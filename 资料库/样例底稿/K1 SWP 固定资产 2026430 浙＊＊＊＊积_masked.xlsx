
<file path=[Content_Types].xml><?xml version="1.0" encoding="utf-8"?>
<Types xmlns="http://schemas.openxmlformats.org/package/2006/content-types">
  <Default Extension="xml" ContentType="application/xml"/>
  <Default Extension="jpeg" ContentType="image/jpeg"/>
  <Default Extension="JPG" ContentType="image/.jpg"/>
  <Default Extension="wmf" ContentType="image/x-wmf"/>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6" Type="http://schemas.microsoft.com/office/2006/relationships/ui/extensibility" Target="customUI/customUI.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490" windowHeight="7695" tabRatio="751" activeTab="4"/>
  </bookViews>
  <sheets>
    <sheet name="Comments【归档前删除】" sheetId="254" r:id="rId1"/>
    <sheet name="汇总 " sheetId="217" r:id="rId2"/>
    <sheet name="K.00 Lead Sheet" sheetId="225" r:id="rId3"/>
    <sheet name="K.01 Agree SL to GL" sheetId="226" r:id="rId4"/>
    <sheet name="FA list" sheetId="252" r:id="rId5"/>
    <sheet name="K.02.1 新增测试 " sheetId="218" r:id="rId6"/>
    <sheet name="Skywind抽样底稿" sheetId="253" r:id="rId7"/>
    <sheet name="新增清单" sheetId="221" r:id="rId8"/>
    <sheet name="SkywindSettingSheet" sheetId="170" state="veryHidden" r:id="rId9"/>
    <sheet name="处置清单" sheetId="222" r:id="rId10"/>
    <sheet name="K.03.2 折旧测试TOD-by item测试" sheetId="242" r:id="rId11"/>
    <sheet name="K.03.3 折旧政策复核" sheetId="238" r:id="rId12"/>
  </sheets>
  <externalReferences>
    <externalReference r:id="rId17"/>
    <externalReference r:id="rId18"/>
    <externalReference r:id="rId19"/>
  </externalReferences>
  <definedNames>
    <definedName name="_xlnm._FilterDatabase" localSheetId="4" hidden="1">'FA list'!$A$1:$AK$986</definedName>
    <definedName name="_xlnm._FilterDatabase" localSheetId="7" hidden="1">新增清单!$B$5:$I$60</definedName>
    <definedName name="_xlnm._FilterDatabase" localSheetId="10" hidden="1">'K.03.2 折旧测试TOD-by item测试'!$B$7:$R$998</definedName>
    <definedName name="_____dod1" localSheetId="2" hidden="1">{#N/A,#N/A,TRUE,"CPRD";#N/A,#N/A,TRUE,"BCCPDR";#N/A,#N/A,TRUE,"EWRD";#N/A,#N/A,TRUE,"5100";#N/A,#N/A,TRUE,"5110"}</definedName>
    <definedName name="_____dod1" localSheetId="3" hidden="1">{#N/A,#N/A,TRUE,"CPRD";#N/A,#N/A,TRUE,"BCCPDR";#N/A,#N/A,TRUE,"EWRD";#N/A,#N/A,TRUE,"5100";#N/A,#N/A,TRUE,"5110"}</definedName>
    <definedName name="_____dod1" localSheetId="10" hidden="1">{#N/A,#N/A,TRUE,"CPRD";#N/A,#N/A,TRUE,"BCCPDR";#N/A,#N/A,TRUE,"EWRD";#N/A,#N/A,TRUE,"5100";#N/A,#N/A,TRUE,"5110"}</definedName>
    <definedName name="_____dod1" localSheetId="11" hidden="1">{#N/A,#N/A,TRUE,"CPRD";#N/A,#N/A,TRUE,"BCCPDR";#N/A,#N/A,TRUE,"EWRD";#N/A,#N/A,TRUE,"5100";#N/A,#N/A,TRUE,"5110"}</definedName>
    <definedName name="_____dod1" localSheetId="9" hidden="1">{#N/A,#N/A,TRUE,"CPRD";#N/A,#N/A,TRUE,"BCCPDR";#N/A,#N/A,TRUE,"EWRD";#N/A,#N/A,TRUE,"5100";#N/A,#N/A,TRUE,"5110"}</definedName>
    <definedName name="_____dod1" localSheetId="7" hidden="1">{#N/A,#N/A,TRUE,"CPRD";#N/A,#N/A,TRUE,"BCCPDR";#N/A,#N/A,TRUE,"EWRD";#N/A,#N/A,TRUE,"5100";#N/A,#N/A,TRUE,"5110"}</definedName>
    <definedName name="_____dod1" hidden="1">{#N/A,#N/A,TRUE,"CPRD";#N/A,#N/A,TRUE,"BCCPDR";#N/A,#N/A,TRUE,"EWRD";#N/A,#N/A,TRUE,"5100";#N/A,#N/A,TRUE,"5110"}</definedName>
    <definedName name="____dod1" localSheetId="2" hidden="1">{#N/A,#N/A,TRUE,"CPRD";#N/A,#N/A,TRUE,"BCCPDR";#N/A,#N/A,TRUE,"EWRD";#N/A,#N/A,TRUE,"5100";#N/A,#N/A,TRUE,"5110"}</definedName>
    <definedName name="____dod1" localSheetId="3" hidden="1">{#N/A,#N/A,TRUE,"CPRD";#N/A,#N/A,TRUE,"BCCPDR";#N/A,#N/A,TRUE,"EWRD";#N/A,#N/A,TRUE,"5100";#N/A,#N/A,TRUE,"5110"}</definedName>
    <definedName name="____dod1" localSheetId="10" hidden="1">{#N/A,#N/A,TRUE,"CPRD";#N/A,#N/A,TRUE,"BCCPDR";#N/A,#N/A,TRUE,"EWRD";#N/A,#N/A,TRUE,"5100";#N/A,#N/A,TRUE,"5110"}</definedName>
    <definedName name="____dod1" localSheetId="11" hidden="1">{#N/A,#N/A,TRUE,"CPRD";#N/A,#N/A,TRUE,"BCCPDR";#N/A,#N/A,TRUE,"EWRD";#N/A,#N/A,TRUE,"5100";#N/A,#N/A,TRUE,"5110"}</definedName>
    <definedName name="____dod1" localSheetId="9" hidden="1">{#N/A,#N/A,TRUE,"CPRD";#N/A,#N/A,TRUE,"BCCPDR";#N/A,#N/A,TRUE,"EWRD";#N/A,#N/A,TRUE,"5100";#N/A,#N/A,TRUE,"5110"}</definedName>
    <definedName name="____dod1" localSheetId="7" hidden="1">{#N/A,#N/A,TRUE,"CPRD";#N/A,#N/A,TRUE,"BCCPDR";#N/A,#N/A,TRUE,"EWRD";#N/A,#N/A,TRUE,"5100";#N/A,#N/A,TRUE,"5110"}</definedName>
    <definedName name="____dod1" hidden="1">{#N/A,#N/A,TRUE,"CPRD";#N/A,#N/A,TRUE,"BCCPDR";#N/A,#N/A,TRUE,"EWRD";#N/A,#N/A,TRUE,"5100";#N/A,#N/A,TRUE,"5110"}</definedName>
    <definedName name="___dod1" localSheetId="2" hidden="1">{#N/A,#N/A,TRUE,"CPRD";#N/A,#N/A,TRUE,"BCCPDR";#N/A,#N/A,TRUE,"EWRD";#N/A,#N/A,TRUE,"5100";#N/A,#N/A,TRUE,"5110"}</definedName>
    <definedName name="___dod1" localSheetId="3" hidden="1">{#N/A,#N/A,TRUE,"CPRD";#N/A,#N/A,TRUE,"BCCPDR";#N/A,#N/A,TRUE,"EWRD";#N/A,#N/A,TRUE,"5100";#N/A,#N/A,TRUE,"5110"}</definedName>
    <definedName name="___dod1" localSheetId="10" hidden="1">{#N/A,#N/A,TRUE,"CPRD";#N/A,#N/A,TRUE,"BCCPDR";#N/A,#N/A,TRUE,"EWRD";#N/A,#N/A,TRUE,"5100";#N/A,#N/A,TRUE,"5110"}</definedName>
    <definedName name="___dod1" localSheetId="11" hidden="1">{#N/A,#N/A,TRUE,"CPRD";#N/A,#N/A,TRUE,"BCCPDR";#N/A,#N/A,TRUE,"EWRD";#N/A,#N/A,TRUE,"5100";#N/A,#N/A,TRUE,"5110"}</definedName>
    <definedName name="___dod1" localSheetId="9" hidden="1">{#N/A,#N/A,TRUE,"CPRD";#N/A,#N/A,TRUE,"BCCPDR";#N/A,#N/A,TRUE,"EWRD";#N/A,#N/A,TRUE,"5100";#N/A,#N/A,TRUE,"5110"}</definedName>
    <definedName name="___dod1" localSheetId="7" hidden="1">{#N/A,#N/A,TRUE,"CPRD";#N/A,#N/A,TRUE,"BCCPDR";#N/A,#N/A,TRUE,"EWRD";#N/A,#N/A,TRUE,"5100";#N/A,#N/A,TRUE,"5110"}</definedName>
    <definedName name="___dod1" hidden="1">{#N/A,#N/A,TRUE,"CPRD";#N/A,#N/A,TRUE,"BCCPDR";#N/A,#N/A,TRUE,"EWRD";#N/A,#N/A,TRUE,"5100";#N/A,#N/A,TRUE,"5110"}</definedName>
    <definedName name="___dog1" localSheetId="2" hidden="1">{#N/A,#N/A,TRUE,"CPRD";#N/A,#N/A,TRUE,"BCCPDR";#N/A,#N/A,TRUE,"EWRD";#N/A,#N/A,TRUE,"5100";#N/A,#N/A,TRUE,"5110"}</definedName>
    <definedName name="___dog1" localSheetId="3" hidden="1">{#N/A,#N/A,TRUE,"CPRD";#N/A,#N/A,TRUE,"BCCPDR";#N/A,#N/A,TRUE,"EWRD";#N/A,#N/A,TRUE,"5100";#N/A,#N/A,TRUE,"5110"}</definedName>
    <definedName name="___dog1" localSheetId="10" hidden="1">{#N/A,#N/A,TRUE,"CPRD";#N/A,#N/A,TRUE,"BCCPDR";#N/A,#N/A,TRUE,"EWRD";#N/A,#N/A,TRUE,"5100";#N/A,#N/A,TRUE,"5110"}</definedName>
    <definedName name="___dog1" localSheetId="11" hidden="1">{#N/A,#N/A,TRUE,"CPRD";#N/A,#N/A,TRUE,"BCCPDR";#N/A,#N/A,TRUE,"EWRD";#N/A,#N/A,TRUE,"5100";#N/A,#N/A,TRUE,"5110"}</definedName>
    <definedName name="___dog1" localSheetId="9" hidden="1">{#N/A,#N/A,TRUE,"CPRD";#N/A,#N/A,TRUE,"BCCPDR";#N/A,#N/A,TRUE,"EWRD";#N/A,#N/A,TRUE,"5100";#N/A,#N/A,TRUE,"5110"}</definedName>
    <definedName name="___dog1" localSheetId="7"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localSheetId="10" hidden="1">{#N/A,#N/A,FALSE,"Umsatz 99";#N/A,#N/A,FALSE,"ER 99 "}</definedName>
    <definedName name="__A11" localSheetId="11" hidden="1">{#N/A,#N/A,FALSE,"Umsatz 99";#N/A,#N/A,FALSE,"ER 99 "}</definedName>
    <definedName name="__A11" hidden="1">{#N/A,#N/A,FALSE,"Umsatz 99";#N/A,#N/A,FALSE,"ER 99 "}</definedName>
    <definedName name="__c" localSheetId="10" hidden="1">{"Fiesta Facer Page",#N/A,FALSE,"Q_C_S";"Fiesta Main Page",#N/A,FALSE,"V_L";"Fiesta 95BP Struct",#N/A,FALSE,"StructBP";"Fiesta Post 95BP Struct",#N/A,FALSE,"AdjStructBP"}</definedName>
    <definedName name="__c" localSheetId="11" hidden="1">{"Fiesta Facer Page",#N/A,FALSE,"Q_C_S";"Fiesta Main Page",#N/A,FALSE,"V_L";"Fiesta 95BP Struct",#N/A,FALSE,"StructBP";"Fiesta Post 95BP Struct",#N/A,FALSE,"AdjStructBP"}</definedName>
    <definedName name="__c" hidden="1">{"Fiesta Facer Page",#N/A,FALSE,"Q_C_S";"Fiesta Main Page",#N/A,FALSE,"V_L";"Fiesta 95BP Struct",#N/A,FALSE,"StructBP";"Fiesta Post 95BP Struct",#N/A,FALSE,"AdjStructBP"}</definedName>
    <definedName name="__dod1" localSheetId="2" hidden="1">{#N/A,#N/A,TRUE,"CPRD";#N/A,#N/A,TRUE,"BCCPDR";#N/A,#N/A,TRUE,"EWRD";#N/A,#N/A,TRUE,"5100";#N/A,#N/A,TRUE,"5110"}</definedName>
    <definedName name="__dod1" localSheetId="3" hidden="1">{#N/A,#N/A,TRUE,"CPRD";#N/A,#N/A,TRUE,"BCCPDR";#N/A,#N/A,TRUE,"EWRD";#N/A,#N/A,TRUE,"5100";#N/A,#N/A,TRUE,"5110"}</definedName>
    <definedName name="__dod1" localSheetId="10" hidden="1">{#N/A,#N/A,TRUE,"CPRD";#N/A,#N/A,TRUE,"BCCPDR";#N/A,#N/A,TRUE,"EWRD";#N/A,#N/A,TRUE,"5100";#N/A,#N/A,TRUE,"5110"}</definedName>
    <definedName name="__dod1" localSheetId="11" hidden="1">{#N/A,#N/A,TRUE,"CPRD";#N/A,#N/A,TRUE,"BCCPDR";#N/A,#N/A,TRUE,"EWRD";#N/A,#N/A,TRUE,"5100";#N/A,#N/A,TRUE,"5110"}</definedName>
    <definedName name="__dod1" localSheetId="9" hidden="1">{#N/A,#N/A,TRUE,"CPRD";#N/A,#N/A,TRUE,"BCCPDR";#N/A,#N/A,TRUE,"EWRD";#N/A,#N/A,TRUE,"5100";#N/A,#N/A,TRUE,"5110"}</definedName>
    <definedName name="__dod1" localSheetId="7" hidden="1">{#N/A,#N/A,TRUE,"CPRD";#N/A,#N/A,TRUE,"BCCPDR";#N/A,#N/A,TRUE,"EWRD";#N/A,#N/A,TRUE,"5100";#N/A,#N/A,TRUE,"5110"}</definedName>
    <definedName name="__dod1" hidden="1">{#N/A,#N/A,TRUE,"CPRD";#N/A,#N/A,TRUE,"BCCPDR";#N/A,#N/A,TRUE,"EWRD";#N/A,#N/A,TRUE,"5100";#N/A,#N/A,TRUE,"5110"}</definedName>
    <definedName name="__dog1" localSheetId="2" hidden="1">{#N/A,#N/A,TRUE,"CPRD";#N/A,#N/A,TRUE,"BCCPDR";#N/A,#N/A,TRUE,"EWRD";#N/A,#N/A,TRUE,"5100";#N/A,#N/A,TRUE,"5110"}</definedName>
    <definedName name="__dog1" localSheetId="3" hidden="1">{#N/A,#N/A,TRUE,"CPRD";#N/A,#N/A,TRUE,"BCCPDR";#N/A,#N/A,TRUE,"EWRD";#N/A,#N/A,TRUE,"5100";#N/A,#N/A,TRUE,"5110"}</definedName>
    <definedName name="__dog1" localSheetId="10" hidden="1">{#N/A,#N/A,TRUE,"CPRD";#N/A,#N/A,TRUE,"BCCPDR";#N/A,#N/A,TRUE,"EWRD";#N/A,#N/A,TRUE,"5100";#N/A,#N/A,TRUE,"5110"}</definedName>
    <definedName name="__dog1" localSheetId="11" hidden="1">{#N/A,#N/A,TRUE,"CPRD";#N/A,#N/A,TRUE,"BCCPDR";#N/A,#N/A,TRUE,"EWRD";#N/A,#N/A,TRUE,"5100";#N/A,#N/A,TRUE,"5110"}</definedName>
    <definedName name="__dog1" localSheetId="9" hidden="1">{#N/A,#N/A,TRUE,"CPRD";#N/A,#N/A,TRUE,"BCCPDR";#N/A,#N/A,TRUE,"EWRD";#N/A,#N/A,TRUE,"5100";#N/A,#N/A,TRUE,"5110"}</definedName>
    <definedName name="__dog1" localSheetId="7" hidden="1">{#N/A,#N/A,TRUE,"CPRD";#N/A,#N/A,TRUE,"BCCPDR";#N/A,#N/A,TRUE,"EWRD";#N/A,#N/A,TRUE,"5100";#N/A,#N/A,TRUE,"5110"}</definedName>
    <definedName name="__dog1" hidden="1">{#N/A,#N/A,TRUE,"CPRD";#N/A,#N/A,TRUE,"BCCPDR";#N/A,#N/A,TRUE,"EWRD";#N/A,#N/A,TRUE,"5100";#N/A,#N/A,TRUE,"5110"}</definedName>
    <definedName name="__FDS_HYPERLINK_TOGGLE_STATE__" hidden="1">"ON"</definedName>
    <definedName name="__H200" localSheetId="10" hidden="1">{#N/A,#N/A,FALSE,"ABB HOLDING LTD"}</definedName>
    <definedName name="__H200" localSheetId="11" hidden="1">{#N/A,#N/A,FALSE,"ABB HOLDING LTD"}</definedName>
    <definedName name="__H200" hidden="1">{#N/A,#N/A,FALSE,"ABB HOLDING LTD"}</definedName>
    <definedName name="__IntlFixup" hidden="1">TRUE</definedName>
    <definedName name="_1" hidden="1">#REF!</definedName>
    <definedName name="_1__123Graph_ACHART_3" hidden="1">#REF!</definedName>
    <definedName name="_12c_" localSheetId="10" hidden="1">{"Fiesta Facer Page",#N/A,FALSE,"Q_C_S";"Fiesta Main Page",#N/A,FALSE,"V_L";"Fiesta 95BP Struct",#N/A,FALSE,"StructBP";"Fiesta Post 95BP Struct",#N/A,FALSE,"AdjStructBP"}</definedName>
    <definedName name="_12c_" localSheetId="11" hidden="1">{"Fiesta Facer Page",#N/A,FALSE,"Q_C_S";"Fiesta Main Page",#N/A,FALSE,"V_L";"Fiesta 95BP Struct",#N/A,FALSE,"StructBP";"Fiesta Post 95BP Struct",#N/A,FALSE,"AdjStructBP"}</definedName>
    <definedName name="_12c_" hidden="1">{"Fiesta Facer Page",#N/A,FALSE,"Q_C_S";"Fiesta Main Page",#N/A,FALSE,"V_L";"Fiesta 95BP Struct",#N/A,FALSE,"StructBP";"Fiesta Post 95BP Struct",#N/A,FALSE,"AdjStructBP"}</definedName>
    <definedName name="_12H200_" localSheetId="10" hidden="1">{#N/A,#N/A,FALSE,"ABB HOLDING LTD"}</definedName>
    <definedName name="_12H200_" localSheetId="11" hidden="1">{#N/A,#N/A,FALSE,"ABB HOLDING LTD"}</definedName>
    <definedName name="_12H200_" hidden="1">{#N/A,#N/A,FALSE,"ABB HOLDING LTD"}</definedName>
    <definedName name="_15wrn.²Ä1­Ó¤ë1_Ü20¤H." localSheetId="10" hidden="1">{#N/A,#N/A,FALSE,"²Ä1­Ó¤ë"}</definedName>
    <definedName name="_15wrn.²Ä1­Ó¤ë1_Ü20¤H." localSheetId="11" hidden="1">{#N/A,#N/A,FALSE,"²Ä1­Ó¤ë"}</definedName>
    <definedName name="_15wrn.²Ä1­Ó¤ë1_Ü20¤H." hidden="1">{#N/A,#N/A,FALSE,"²Ä1­Ó¤ë"}</definedName>
    <definedName name="_16wrn.²Ä1­Ó¤ë1_Ü20¤H." localSheetId="10" hidden="1">{#N/A,#N/A,FALSE,"²Ä1­Ó¤ë"}</definedName>
    <definedName name="_16wrn.²Ä1­Ó¤ë1_Ü20¤H." localSheetId="11" hidden="1">{#N/A,#N/A,FALSE,"²Ä1­Ó¤ë"}</definedName>
    <definedName name="_16wrn.²Ä1­Ó¤ë1_Ü20¤H." hidden="1">{#N/A,#N/A,FALSE,"²Ä1­Ó¤ë"}</definedName>
    <definedName name="_18wrn.²Ä1­Ó¤ë1_Ü20¤H." localSheetId="10" hidden="1">{#N/A,#N/A,FALSE,"²Ä1­Ó¤ë"}</definedName>
    <definedName name="_18wrn.²Ä1­Ó¤ë1_Ü20¤H." localSheetId="11"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localSheetId="10" hidden="1">{#N/A,#N/A,FALSE,"²Ä1­Ó¤ë"}</definedName>
    <definedName name="_4wrn.²Ä1­Ó¤ë1_Ü20¤H." localSheetId="11" hidden="1">{#N/A,#N/A,FALSE,"²Ä1­Ó¤ë"}</definedName>
    <definedName name="_4wrn.²Ä1­Ó¤ë1_Ü20¤H." hidden="1">{#N/A,#N/A,FALSE,"²Ä1­Ó¤ë"}</definedName>
    <definedName name="_5__123Graph_DCHART_2" hidden="1">#REF!</definedName>
    <definedName name="_57__123Graph_ACHART_1" hidden="1">#REF!</definedName>
    <definedName name="_6__123Graph_DCHART_3" hidden="1">#REF!</definedName>
    <definedName name="_6_0_Table2_"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6A11_" localSheetId="10" hidden="1">{#N/A,#N/A,FALSE,"Umsatz 99";#N/A,#N/A,FALSE,"ER 99 "}</definedName>
    <definedName name="_6A11_" localSheetId="11" hidden="1">{#N/A,#N/A,FALSE,"Umsatz 99";#N/A,#N/A,FALSE,"ER 99 "}</definedName>
    <definedName name="_6A11_" hidden="1">{#N/A,#N/A,FALSE,"Umsatz 99";#N/A,#N/A,FALSE,"ER 99 "}</definedName>
    <definedName name="_a1" localSheetId="10" hidden="1">{#N/A,#N/A,FALSE,"Virgin Flightdeck"}</definedName>
    <definedName name="_a1" localSheetId="11" hidden="1">{#N/A,#N/A,FALSE,"Virgin Flightdeck"}</definedName>
    <definedName name="_a1" hidden="1">{#N/A,#N/A,FALSE,"Virgin Flightdeck"}</definedName>
    <definedName name="_A11" localSheetId="10" hidden="1">{#N/A,#N/A,FALSE,"Umsatz 99";#N/A,#N/A,FALSE,"ER 99 "}</definedName>
    <definedName name="_A11" localSheetId="11" hidden="1">{#N/A,#N/A,FALSE,"Umsatz 99";#N/A,#N/A,FALSE,"ER 99 "}</definedName>
    <definedName name="_A11" hidden="1">{#N/A,#N/A,FALSE,"Umsatz 99";#N/A,#N/A,FALSE,"ER 99 "}</definedName>
    <definedName name="_a2" localSheetId="10" hidden="1">{#N/A,#N/A,FALSE,"Virgin Flightdeck"}</definedName>
    <definedName name="_a2" localSheetId="11" hidden="1">{#N/A,#N/A,FALSE,"Virgin Flightdeck"}</definedName>
    <definedName name="_a2" hidden="1">{#N/A,#N/A,FALSE,"Virgin Flightdeck"}</definedName>
    <definedName name="_a3" localSheetId="10" hidden="1">{#N/A,#N/A,FALSE,"Virgin Flightdeck"}</definedName>
    <definedName name="_a3" localSheetId="11" hidden="1">{#N/A,#N/A,FALSE,"Virgin Flightdeck"}</definedName>
    <definedName name="_a3" hidden="1">{#N/A,#N/A,FALSE,"Virgin Flightdeck"}</definedName>
    <definedName name="_b2" localSheetId="10" hidden="1">{#N/A,#N/A,FALSE,"Virgin Flightdeck"}</definedName>
    <definedName name="_b2" localSheetId="11" hidden="1">{#N/A,#N/A,FALSE,"Virgin Flightdeck"}</definedName>
    <definedName name="_b2" hidden="1">{#N/A,#N/A,FALSE,"Virgin Flightdeck"}</definedName>
    <definedName name="_b3" localSheetId="10" hidden="1">{#N/A,#N/A,FALSE,"Virgin Flightdeck"}</definedName>
    <definedName name="_b3" localSheetId="11" hidden="1">{#N/A,#N/A,FALSE,"Virgin Flightdeck"}</definedName>
    <definedName name="_b3" hidden="1">{#N/A,#N/A,FALSE,"Virgin Flightdeck"}</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c" localSheetId="10" hidden="1">{"Fiesta Facer Page",#N/A,FALSE,"Q_C_S";"Fiesta Main Page",#N/A,FALSE,"V_L";"Fiesta 95BP Struct",#N/A,FALSE,"StructBP";"Fiesta Post 95BP Struct",#N/A,FALSE,"AdjStructBP"}</definedName>
    <definedName name="_c" localSheetId="11" hidden="1">{"Fiesta Facer Page",#N/A,FALSE,"Q_C_S";"Fiesta Main Page",#N/A,FALSE,"V_L";"Fiesta 95BP Struct",#N/A,FALSE,"StructBP";"Fiesta Post 95BP Struct",#N/A,FALSE,"AdjStructBP"}</definedName>
    <definedName name="_c" hidden="1">{"Fiesta Facer Page",#N/A,FALSE,"Q_C_S";"Fiesta Main Page",#N/A,FALSE,"V_L";"Fiesta 95BP Struct",#N/A,FALSE,"StructBP";"Fiesta Post 95BP Struct",#N/A,FALSE,"AdjStructBP"}</definedName>
    <definedName name="_Dist_Bin" hidden="1">#REF!</definedName>
    <definedName name="_dod1" localSheetId="2" hidden="1">{#N/A,#N/A,TRUE,"CPRD";#N/A,#N/A,TRUE,"BCCPDR";#N/A,#N/A,TRUE,"EWRD";#N/A,#N/A,TRUE,"5100";#N/A,#N/A,TRUE,"5110"}</definedName>
    <definedName name="_dod1" localSheetId="3" hidden="1">{#N/A,#N/A,TRUE,"CPRD";#N/A,#N/A,TRUE,"BCCPDR";#N/A,#N/A,TRUE,"EWRD";#N/A,#N/A,TRUE,"5100";#N/A,#N/A,TRUE,"5110"}</definedName>
    <definedName name="_dod1" localSheetId="10" hidden="1">{#N/A,#N/A,TRUE,"CPRD";#N/A,#N/A,TRUE,"BCCPDR";#N/A,#N/A,TRUE,"EWRD";#N/A,#N/A,TRUE,"5100";#N/A,#N/A,TRUE,"5110"}</definedName>
    <definedName name="_dod1" localSheetId="11" hidden="1">{#N/A,#N/A,TRUE,"CPRD";#N/A,#N/A,TRUE,"BCCPDR";#N/A,#N/A,TRUE,"EWRD";#N/A,#N/A,TRUE,"5100";#N/A,#N/A,TRUE,"5110"}</definedName>
    <definedName name="_dod1" localSheetId="9" hidden="1">{#N/A,#N/A,TRUE,"CPRD";#N/A,#N/A,TRUE,"BCCPDR";#N/A,#N/A,TRUE,"EWRD";#N/A,#N/A,TRUE,"5100";#N/A,#N/A,TRUE,"5110"}</definedName>
    <definedName name="_dod1" localSheetId="7" hidden="1">{#N/A,#N/A,TRUE,"CPRD";#N/A,#N/A,TRUE,"BCCPDR";#N/A,#N/A,TRUE,"EWRD";#N/A,#N/A,TRUE,"5100";#N/A,#N/A,TRUE,"5110"}</definedName>
    <definedName name="_dod1" hidden="1">{#N/A,#N/A,TRUE,"CPRD";#N/A,#N/A,TRUE,"BCCPDR";#N/A,#N/A,TRUE,"EWRD";#N/A,#N/A,TRUE,"5100";#N/A,#N/A,TRUE,"5110"}</definedName>
    <definedName name="_dog1" localSheetId="2" hidden="1">{#N/A,#N/A,TRUE,"CPRD";#N/A,#N/A,TRUE,"BCCPDR";#N/A,#N/A,TRUE,"EWRD";#N/A,#N/A,TRUE,"5100";#N/A,#N/A,TRUE,"5110"}</definedName>
    <definedName name="_dog1" localSheetId="3" hidden="1">{#N/A,#N/A,TRUE,"CPRD";#N/A,#N/A,TRUE,"BCCPDR";#N/A,#N/A,TRUE,"EWRD";#N/A,#N/A,TRUE,"5100";#N/A,#N/A,TRUE,"5110"}</definedName>
    <definedName name="_dog1" localSheetId="10" hidden="1">{#N/A,#N/A,TRUE,"CPRD";#N/A,#N/A,TRUE,"BCCPDR";#N/A,#N/A,TRUE,"EWRD";#N/A,#N/A,TRUE,"5100";#N/A,#N/A,TRUE,"5110"}</definedName>
    <definedName name="_dog1" localSheetId="11" hidden="1">{#N/A,#N/A,TRUE,"CPRD";#N/A,#N/A,TRUE,"BCCPDR";#N/A,#N/A,TRUE,"EWRD";#N/A,#N/A,TRUE,"5100";#N/A,#N/A,TRUE,"5110"}</definedName>
    <definedName name="_dog1" localSheetId="9" hidden="1">{#N/A,#N/A,TRUE,"CPRD";#N/A,#N/A,TRUE,"BCCPDR";#N/A,#N/A,TRUE,"EWRD";#N/A,#N/A,TRUE,"5100";#N/A,#N/A,TRUE,"5110"}</definedName>
    <definedName name="_dog1" localSheetId="7" hidden="1">{#N/A,#N/A,TRUE,"CPRD";#N/A,#N/A,TRUE,"BCCPDR";#N/A,#N/A,TRUE,"EWRD";#N/A,#N/A,TRUE,"5100";#N/A,#N/A,TRUE,"5110"}</definedName>
    <definedName name="_dog1" hidden="1">{#N/A,#N/A,TRUE,"CPRD";#N/A,#N/A,TRUE,"BCCPDR";#N/A,#N/A,TRUE,"EWRD";#N/A,#N/A,TRUE,"5100";#N/A,#N/A,TRUE,"5110"}</definedName>
    <definedName name="_Fill" localSheetId="2" hidden="1">'K.00 Lead Sheet'!#REF!</definedName>
    <definedName name="_Fill" localSheetId="3" hidden="1">#REF!</definedName>
    <definedName name="_Fill" localSheetId="10" hidden="1">#REF!</definedName>
    <definedName name="_Fill" hidden="1">#REF!</definedName>
    <definedName name="_xlnm._FilterDatabase" localSheetId="2" hidden="1">'K.00 Lead Sheet'!#REF!</definedName>
    <definedName name="_xlnm._FilterDatabase" localSheetId="3" hidden="1">#REF!</definedName>
    <definedName name="_xlnm._FilterDatabase" localSheetId="1" hidden="1">'汇总 '!$B$5:$H$19</definedName>
    <definedName name="_xlnm._FilterDatabase" hidden="1">#REF!</definedName>
    <definedName name="_h2" localSheetId="10" hidden="1">{#N/A,#N/A,FALSE,"Virgin Flightdeck"}</definedName>
    <definedName name="_h2" localSheetId="11" hidden="1">{#N/A,#N/A,FALSE,"Virgin Flightdeck"}</definedName>
    <definedName name="_h2" hidden="1">{#N/A,#N/A,FALSE,"Virgin Flightdeck"}</definedName>
    <definedName name="_H200" localSheetId="10" hidden="1">{#N/A,#N/A,FALSE,"ABB HOLDING LTD"}</definedName>
    <definedName name="_H200" localSheetId="11" hidden="1">{#N/A,#N/A,FALSE,"ABB HOLDING LTD"}</definedName>
    <definedName name="_H200" hidden="1">{#N/A,#N/A,FALSE,"ABB HOLDING LTD"}</definedName>
    <definedName name="_h3" localSheetId="10" hidden="1">{#N/A,#N/A,FALSE,"Virgin Flightdeck"}</definedName>
    <definedName name="_h3" localSheetId="11" hidden="1">{#N/A,#N/A,FALSE,"Virgin Flightdeck"}</definedName>
    <definedName name="_h3" hidden="1">{#N/A,#N/A,FALSE,"Virgin Flightdeck"}</definedName>
    <definedName name="_K7" localSheetId="10" hidden="1">{#N/A,#N/A,FALSE,"Sheet1"}</definedName>
    <definedName name="_K7" localSheetId="11" hidden="1">{#N/A,#N/A,FALSE,"Sheet1"}</definedName>
    <definedName name="_K7" hidden="1">{#N/A,#N/A,FALSE,"Sheet1"}</definedName>
    <definedName name="_Key1" localSheetId="2" hidden="1">'K.00 Lead Sheet'!#REF!</definedName>
    <definedName name="_Key1" localSheetId="3" hidden="1">#REF!</definedName>
    <definedName name="_Key1" localSheetId="10" hidden="1">#REF!</definedName>
    <definedName name="_Key1" hidden="1">#REF!</definedName>
    <definedName name="_Key2" hidden="1">#REF!</definedName>
    <definedName name="_Key3" hidden="1">#REF!</definedName>
    <definedName name="_O1" localSheetId="10" hidden="1">{#N/A,#N/A,FALSE,"970301";#N/A,#N/A,FALSE,"970302";#N/A,#N/A,FALSE,"970303";#N/A,#N/A,FALSE,"970304";#N/A,#N/A,FALSE,"COM1";#N/A,#N/A,FALSE,"COM2"}</definedName>
    <definedName name="_O1" localSheetId="11" hidden="1">{#N/A,#N/A,FALSE,"970301";#N/A,#N/A,FALSE,"970302";#N/A,#N/A,FALSE,"970303";#N/A,#N/A,FALSE,"970304";#N/A,#N/A,FALSE,"COM1";#N/A,#N/A,FALSE,"COM2"}</definedName>
    <definedName name="_O1" hidden="1">{#N/A,#N/A,FALSE,"970301";#N/A,#N/A,FALSE,"970302";#N/A,#N/A,FALSE,"970303";#N/A,#N/A,FALSE,"970304";#N/A,#N/A,FALSE,"COM1";#N/A,#N/A,FALSE,"COM2"}</definedName>
    <definedName name="_OP2" localSheetId="10" hidden="1">{#N/A,#N/A,FALSE,"PLEDGE";#N/A,#N/A,FALSE,"GLADE";#N/A,#N/A,FALSE,"GREEN BIRD";#N/A,#N/A,FALSE,"MR. MUSCLE";#N/A,#N/A,FALSE,"TOILET DUCK";#N/A,#N/A,FALSE,"Other Home Care";#N/A,#N/A,FALSE,"RED BIRD";#N/A,#N/A,FALSE,"SHANGHAI";#N/A,#N/A,FALSE,"RAID";#N/A,#N/A,FALSE,"OFF";#N/A,#N/A,FALSE,"SEAGULL";#N/A,#N/A,FALSE,"HALSA";#N/A,#N/A,FALSE,"SOFT SENSE";#N/A,#N/A,FALSE,"TOTAL"}</definedName>
    <definedName name="_OP2" localSheetId="11" hidden="1">{#N/A,#N/A,FALSE,"PLEDGE";#N/A,#N/A,FALSE,"GLADE";#N/A,#N/A,FALSE,"GREEN BIRD";#N/A,#N/A,FALSE,"MR. MUSCLE";#N/A,#N/A,FALSE,"TOILET DUCK";#N/A,#N/A,FALSE,"Other Home Care";#N/A,#N/A,FALSE,"RED BIRD";#N/A,#N/A,FALSE,"SHANGHAI";#N/A,#N/A,FALSE,"RAID";#N/A,#N/A,FALSE,"OFF";#N/A,#N/A,FALSE,"SEAGULL";#N/A,#N/A,FALSE,"HALSA";#N/A,#N/A,FALSE,"SOFT SENSE";#N/A,#N/A,FALSE,"TOTAL"}</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localSheetId="10" hidden="1">{"CSC_1",#N/A,FALSE,"CSC Outputs";"CSC_2",#N/A,FALSE,"CSC Outputs"}</definedName>
    <definedName name="_sd2" localSheetId="11" hidden="1">{"CSC_1",#N/A,FALSE,"CSC Outputs";"CSC_2",#N/A,FALSE,"CSC Outputs"}</definedName>
    <definedName name="_sd2" hidden="1">{"CSC_1",#N/A,FALSE,"CSC Outputs";"CSC_2",#N/A,FALSE,"CSC Outputs"}</definedName>
    <definedName name="_Sort" localSheetId="2" hidden="1">'K.00 Lead Sheet'!#REF!</definedName>
    <definedName name="_Sort" localSheetId="3" hidden="1">#REF!</definedName>
    <definedName name="_Sort" localSheetId="10"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localSheetId="10" hidden="1">{#N/A,#N/A,FALSE,"Virgin Flightdeck"}</definedName>
    <definedName name="_wrn2" localSheetId="11" hidden="1">{#N/A,#N/A,FALSE,"Virgin Flightdeck"}</definedName>
    <definedName name="_wrn2" hidden="1">{#N/A,#N/A,FALSE,"Virgin Flightdeck"}</definedName>
    <definedName name="_wrn3" localSheetId="10" hidden="1">{#N/A,#N/A,FALSE,"Virgin Flightdeck"}</definedName>
    <definedName name="_wrn3" localSheetId="11" hidden="1">{#N/A,#N/A,FALSE,"Virgin Flightdeck"}</definedName>
    <definedName name="_wrn3" hidden="1">{#N/A,#N/A,FALSE,"Virgin Flightdeck"}</definedName>
    <definedName name="_wrn4" localSheetId="10" hidden="1">{#N/A,#N/A,FALSE,"Virgin Flightdeck"}</definedName>
    <definedName name="_wrn4" localSheetId="11"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localSheetId="10" hidden="1">{#N/A,#N/A,FALSE,"OffAdvance";#N/A,#N/A,FALSE,"OffExpRprt";#N/A,#N/A,FALSE,"Travelling";#N/A,#N/A,FALSE,"Entertmnt";#N/A,#N/A,FALSE,"Promotion"}</definedName>
    <definedName name="aavbrdf" localSheetId="11" hidden="1">{#N/A,#N/A,FALSE,"OffAdvance";#N/A,#N/A,FALSE,"OffExpRprt";#N/A,#N/A,FALSE,"Travelling";#N/A,#N/A,FALSE,"Entertmnt";#N/A,#N/A,FALSE,"Promotion"}</definedName>
    <definedName name="aavbrdf" hidden="1">{#N/A,#N/A,FALSE,"OffAdvance";#N/A,#N/A,FALSE,"OffExpRprt";#N/A,#N/A,FALSE,"Travelling";#N/A,#N/A,FALSE,"Entertmnt";#N/A,#N/A,FALSE,"Promotion"}</definedName>
    <definedName name="aaz" localSheetId="10" hidden="1">{#N/A,#N/A,FALSE,"资产负债表";#N/A,#N/A,FALSE,"资产负债表"}</definedName>
    <definedName name="aaz" localSheetId="11" hidden="1">{#N/A,#N/A,FALSE,"资产负债表";#N/A,#N/A,FALSE,"资产负债表"}</definedName>
    <definedName name="aaz" hidden="1">{#N/A,#N/A,FALSE,"资产负债表";#N/A,#N/A,FALSE,"资产负债表"}</definedName>
    <definedName name="abcdeg" localSheetId="10" hidden="1">{#N/A,#N/A,FALSE,"PLEDGE";#N/A,#N/A,FALSE,"GLADE";#N/A,#N/A,FALSE,"GREEN BIRD";#N/A,#N/A,FALSE,"MR. MUSCLE";#N/A,#N/A,FALSE,"TOILET DUCK";#N/A,#N/A,FALSE,"Other Home Care";#N/A,#N/A,FALSE,"RED BIRD";#N/A,#N/A,FALSE,"SHANGHAI";#N/A,#N/A,FALSE,"RAID";#N/A,#N/A,FALSE,"OFF";#N/A,#N/A,FALSE,"SEAGULL";#N/A,#N/A,FALSE,"HALSA";#N/A,#N/A,FALSE,"SOFT SENSE";#N/A,#N/A,FALSE,"TOTAL"}</definedName>
    <definedName name="abcdeg" localSheetId="11" hidden="1">{#N/A,#N/A,FALSE,"PLEDGE";#N/A,#N/A,FALSE,"GLADE";#N/A,#N/A,FALSE,"GREEN BIRD";#N/A,#N/A,FALSE,"MR. MUSCLE";#N/A,#N/A,FALSE,"TOILET DUCK";#N/A,#N/A,FALSE,"Other Home Care";#N/A,#N/A,FALSE,"RED BIRD";#N/A,#N/A,FALSE,"SHANGHAI";#N/A,#N/A,FALSE,"RAID";#N/A,#N/A,FALSE,"OFF";#N/A,#N/A,FALSE,"SEAGULL";#N/A,#N/A,FALSE,"HALSA";#N/A,#N/A,FALSE,"SOFT SENSE";#N/A,#N/A,FALSE,"TOTAL"}</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localSheetId="10" hidden="1">{#N/A,#N/A,FALSE,"资产负债表";#N/A,#N/A,FALSE,"资产负债表"}</definedName>
    <definedName name="ada" localSheetId="11" hidden="1">{#N/A,#N/A,FALSE,"资产负债表";#N/A,#N/A,FALSE,"资产负债表"}</definedName>
    <definedName name="ada" hidden="1">{#N/A,#N/A,FALSE,"资产负债表";#N/A,#N/A,FALSE,"资产负债表"}</definedName>
    <definedName name="adaf" localSheetId="10" hidden="1">{#N/A,#N/A,FALSE,"资产负债表";#N/A,#N/A,FALSE,"资产负债表"}</definedName>
    <definedName name="adaf" localSheetId="11" hidden="1">{#N/A,#N/A,FALSE,"资产负债表";#N/A,#N/A,FALSE,"资产负债表"}</definedName>
    <definedName name="adaf" hidden="1">{#N/A,#N/A,FALSE,"资产负债表";#N/A,#N/A,FALSE,"资产负债表"}</definedName>
    <definedName name="adas" localSheetId="2" hidden="1">{"M1Print",#N/A,TRUE,"M1";"M2Print",#N/A,TRUE,"M2";"M1sPrint",#N/A,TRUE,"M1s";"M2aPrint",#N/A,TRUE,"M2a";"M4Print",#N/A,TRUE,"M4";"M5Print",#N/A,TRUE,"M5";"M6Print",#N/A,TRUE,"M6";"M6_1Print",#N/A,TRUE,"M6_1";"M6_2Print",#N/A,TRUE,"M6_2";"M7_1Print",#N/A,TRUE,"M7_1";"M7_2Print",#N/A,TRUE,"M7_2"}</definedName>
    <definedName name="adas" localSheetId="3" hidden="1">{"M1Print",#N/A,TRUE,"M1";"M2Print",#N/A,TRUE,"M2";"M1sPrint",#N/A,TRUE,"M1s";"M2aPrint",#N/A,TRUE,"M2a";"M4Print",#N/A,TRUE,"M4";"M5Print",#N/A,TRUE,"M5";"M6Print",#N/A,TRUE,"M6";"M6_1Print",#N/A,TRUE,"M6_1";"M6_2Print",#N/A,TRUE,"M6_2";"M7_1Print",#N/A,TRUE,"M7_1";"M7_2Print",#N/A,TRUE,"M7_2"}</definedName>
    <definedName name="adas" localSheetId="10" hidden="1">{"M1Print",#N/A,TRUE,"M1";"M2Print",#N/A,TRUE,"M2";"M1sPrint",#N/A,TRUE,"M1s";"M2aPrint",#N/A,TRUE,"M2a";"M4Print",#N/A,TRUE,"M4";"M5Print",#N/A,TRUE,"M5";"M6Print",#N/A,TRUE,"M6";"M6_1Print",#N/A,TRUE,"M6_1";"M6_2Print",#N/A,TRUE,"M6_2";"M7_1Print",#N/A,TRUE,"M7_1";"M7_2Print",#N/A,TRUE,"M7_2"}</definedName>
    <definedName name="adas" localSheetId="11" hidden="1">{"M1Print",#N/A,TRUE,"M1";"M2Print",#N/A,TRUE,"M2";"M1sPrint",#N/A,TRUE,"M1s";"M2aPrint",#N/A,TRUE,"M2a";"M4Print",#N/A,TRUE,"M4";"M5Print",#N/A,TRUE,"M5";"M6Print",#N/A,TRUE,"M6";"M6_1Print",#N/A,TRUE,"M6_1";"M6_2Print",#N/A,TRUE,"M6_2";"M7_1Print",#N/A,TRUE,"M7_1";"M7_2Print",#N/A,TRUE,"M7_2"}</definedName>
    <definedName name="adas" localSheetId="9" hidden="1">{"M1Print",#N/A,TRUE,"M1";"M2Print",#N/A,TRUE,"M2";"M1sPrint",#N/A,TRUE,"M1s";"M2aPrint",#N/A,TRUE,"M2a";"M4Print",#N/A,TRUE,"M4";"M5Print",#N/A,TRUE,"M5";"M6Print",#N/A,TRUE,"M6";"M6_1Print",#N/A,TRUE,"M6_1";"M6_2Print",#N/A,TRUE,"M6_2";"M7_1Print",#N/A,TRUE,"M7_1";"M7_2Print",#N/A,TRUE,"M7_2"}</definedName>
    <definedName name="adas" localSheetId="7"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f" localSheetId="10" hidden="1">{"toptrial",#N/A,TRUE,"toptrial";"adjustment",#N/A,TRUE,"toptrial";"voucher",#N/A,TRUE,"toptrial"}</definedName>
    <definedName name="adf" localSheetId="11" hidden="1">{"toptrial",#N/A,TRUE,"toptrial";"adjustment",#N/A,TRUE,"toptrial";"voucher",#N/A,TRUE,"toptrial"}</definedName>
    <definedName name="adf" hidden="1">{"toptrial",#N/A,TRUE,"toptrial";"adjustment",#N/A,TRUE,"toptrial";"voucher",#N/A,TRUE,"toptrial"}</definedName>
    <definedName name="adfa" localSheetId="10" hidden="1">{"page 1",#N/A,FALSE,"A";"page 2",#N/A,FALSE,"A";"page 3",#N/A,FALSE,"A";"page 4",#N/A,FALSE,"A";"page 5",#N/A,FALSE,"A";"page 6",#N/A,FALSE,"A";"page 7",#N/A,FALSE,"A";"page 8",#N/A,FALSE,"A";"page 9",#N/A,FALSE,"A";"page 10",#N/A,FALSE,"A";"page 11",#N/A,FALSE,"A";"page 12",#N/A,FALSE,"A";"page 13",#N/A,FALSE,"A";"page 14",#N/A,FALSE,"A"}</definedName>
    <definedName name="adfa" localSheetId="11" hidden="1">{"page 1",#N/A,FALSE,"A";"page 2",#N/A,FALSE,"A";"page 3",#N/A,FALSE,"A";"page 4",#N/A,FALSE,"A";"page 5",#N/A,FALSE,"A";"page 6",#N/A,FALSE,"A";"page 7",#N/A,FALSE,"A";"page 8",#N/A,FALSE,"A";"page 9",#N/A,FALSE,"A";"page 10",#N/A,FALSE,"A";"page 11",#N/A,FALSE,"A";"page 12",#N/A,FALSE,"A";"page 13",#N/A,FALSE,"A";"page 14",#N/A,FALSE,"A"}</definedName>
    <definedName name="adfa" hidden="1">{"page 1",#N/A,FALSE,"A";"page 2",#N/A,FALSE,"A";"page 3",#N/A,FALSE,"A";"page 4",#N/A,FALSE,"A";"page 5",#N/A,FALSE,"A";"page 6",#N/A,FALSE,"A";"page 7",#N/A,FALSE,"A";"page 8",#N/A,FALSE,"A";"page 9",#N/A,FALSE,"A";"page 10",#N/A,FALSE,"A";"page 11",#N/A,FALSE,"A";"page 12",#N/A,FALSE,"A";"page 13",#N/A,FALSE,"A";"page 14",#N/A,FALSE,"A"}</definedName>
    <definedName name="adfad" localSheetId="10"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ad" localSheetId="1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localSheetId="10" hidden="1">{#N/A,#N/A,FALSE,"资产负债表";#N/A,#N/A,FALSE,"资产负债表"}</definedName>
    <definedName name="afhai" localSheetId="11" hidden="1">{#N/A,#N/A,FALSE,"资产负债表";#N/A,#N/A,FALSE,"资产负债表"}</definedName>
    <definedName name="afhai" hidden="1">{#N/A,#N/A,FALSE,"资产负债表";#N/A,#N/A,FALSE,"资产负债表"}</definedName>
    <definedName name="afsdavad" hidden="1">#REF!</definedName>
    <definedName name="AGEDDATABASE" localSheetId="10" hidden="1">{#N/A,#N/A,FALSE,"970301";#N/A,#N/A,FALSE,"970302";#N/A,#N/A,FALSE,"970303";#N/A,#N/A,FALSE,"970304";#N/A,#N/A,FALSE,"COM1";#N/A,#N/A,FALSE,"COM2"}</definedName>
    <definedName name="AGEDDATABASE" localSheetId="11" hidden="1">{#N/A,#N/A,FALSE,"970301";#N/A,#N/A,FALSE,"970302";#N/A,#N/A,FALSE,"970303";#N/A,#N/A,FALSE,"970304";#N/A,#N/A,FALSE,"COM1";#N/A,#N/A,FALSE,"COM2"}</definedName>
    <definedName name="AGEDDATABASE" hidden="1">{#N/A,#N/A,FALSE,"970301";#N/A,#N/A,FALSE,"970302";#N/A,#N/A,FALSE,"970303";#N/A,#N/A,FALSE,"970304";#N/A,#N/A,FALSE,"COM1";#N/A,#N/A,FALSE,"COM2"}</definedName>
    <definedName name="aidhaif" localSheetId="10" hidden="1">{#N/A,#N/A,FALSE,"资产负债表";#N/A,#N/A,FALSE,"资产负债表"}</definedName>
    <definedName name="aidhaif" localSheetId="11" hidden="1">{#N/A,#N/A,FALSE,"资产负债表";#N/A,#N/A,FALSE,"资产负债表"}</definedName>
    <definedName name="aidhaif" hidden="1">{#N/A,#N/A,FALSE,"资产负债表";#N/A,#N/A,FALSE,"资产负债表"}</definedName>
    <definedName name="AJHFkjDGHF" localSheetId="10" hidden="1">{"Annual_Income",#N/A,FALSE,"Report Page";"Balance_Cash_Flow",#N/A,FALSE,"Report Page";"Quarterly_Income",#N/A,FALSE,"Report Page"}</definedName>
    <definedName name="AJHFkjDGHF" localSheetId="11" hidden="1">{"Annual_Income",#N/A,FALSE,"Report Page";"Balance_Cash_Flow",#N/A,FALSE,"Report Page";"Quarterly_Income",#N/A,FALSE,"Report Page"}</definedName>
    <definedName name="AJHFkjDGHF" hidden="1">{"Annual_Income",#N/A,FALSE,"Report Page";"Balance_Cash_Flow",#N/A,FALSE,"Report Page";"Quarterly_Income",#N/A,FALSE,"Report Page"}</definedName>
    <definedName name="anakf" localSheetId="10" hidden="1">{#N/A,#N/A,FALSE,"资产负债表";#N/A,#N/A,FALSE,"资产负债表"}</definedName>
    <definedName name="anakf" localSheetId="11" hidden="1">{#N/A,#N/A,FALSE,"资产负债表";#N/A,#N/A,FALSE,"资产负债表"}</definedName>
    <definedName name="anakf" hidden="1">{#N/A,#N/A,FALSE,"资产负债表";#N/A,#N/A,FALSE,"资产负债表"}</definedName>
    <definedName name="ANALSIS._.9511" localSheetId="10" hidden="1">{#N/A,#N/A,FALSE,"ABB HOLDING LTD"}</definedName>
    <definedName name="ANALSIS._.9511" localSheetId="11" hidden="1">{#N/A,#N/A,FALSE,"ABB HOLDING LTD"}</definedName>
    <definedName name="ANALSIS._.9511" hidden="1">{#N/A,#N/A,FALSE,"ABB HOLDING LTD"}</definedName>
    <definedName name="anna" localSheetId="10" hidden="1">{#N/A,#N/A,FALSE,"ABB HOLDING LTD"}</definedName>
    <definedName name="anna" localSheetId="11" hidden="1">{#N/A,#N/A,FALSE,"ABB HOLDING LTD"}</definedName>
    <definedName name="anna" hidden="1">{#N/A,#N/A,FALSE,"ABB HOLDING LTD"}</definedName>
    <definedName name="anscount" hidden="1">1</definedName>
    <definedName name="app0" localSheetId="10" hidden="1">{"M1Print",#N/A,FALSE,"M1"}</definedName>
    <definedName name="app0" localSheetId="11" hidden="1">{"M1Print",#N/A,FALSE,"M1"}</definedName>
    <definedName name="app0" hidden="1">{"M1Print",#N/A,FALSE,"M1"}</definedName>
    <definedName name="are" localSheetId="10" hidden="1">{"toptrial",#N/A,TRUE,"toptrial";"adjustment",#N/A,TRUE,"toptrial";"voucher",#N/A,TRUE,"toptrial"}</definedName>
    <definedName name="are" localSheetId="11" hidden="1">{"toptrial",#N/A,TRUE,"toptrial";"adjustment",#N/A,TRUE,"toptrial";"voucher",#N/A,TRUE,"toptrial"}</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localSheetId="2" hidden="1">'K.00 Lead Sheet'!#REF!</definedName>
    <definedName name="AS2TickmarkLS" localSheetId="3" hidden="1">#REF!</definedName>
    <definedName name="AS2TickmarkLS" localSheetId="10" hidden="1">#REF!</definedName>
    <definedName name="AS2TickmarkLS" hidden="1">#REF!</definedName>
    <definedName name="AS2VersionLS" hidden="1">300</definedName>
    <definedName name="asda" localSheetId="10" hidden="1">{"CSC_1",#N/A,FALSE,"CSC Outputs";"CSC_2",#N/A,FALSE,"CSC Outputs"}</definedName>
    <definedName name="asda" localSheetId="11" hidden="1">{"CSC_1",#N/A,FALSE,"CSC Outputs";"CSC_2",#N/A,FALSE,"CSC Outputs"}</definedName>
    <definedName name="asda" hidden="1">{"CSC_1",#N/A,FALSE,"CSC Outputs";"CSC_2",#N/A,FALSE,"CSC Outputs"}</definedName>
    <definedName name="asdas" hidden="1">{#N/A,#N/A,FALSE,"Marketing";#N/A,#N/A,FALSE,"Selling";#N/A,#N/A,FALSE,"Promotional";#N/A,#N/A,FALSE,"Advertising"}</definedName>
    <definedName name="asdf" localSheetId="10" hidden="1">{#N/A,#N/A,FALSE,"970301";#N/A,#N/A,FALSE,"970302";#N/A,#N/A,FALSE,"970303";#N/A,#N/A,FALSE,"970304";#N/A,#N/A,FALSE,"COM1";#N/A,#N/A,FALSE,"COM2"}</definedName>
    <definedName name="asdf" localSheetId="11" hidden="1">{#N/A,#N/A,FALSE,"970301";#N/A,#N/A,FALSE,"970302";#N/A,#N/A,FALSE,"970303";#N/A,#N/A,FALSE,"970304";#N/A,#N/A,FALSE,"COM1";#N/A,#N/A,FALSE,"COM2"}</definedName>
    <definedName name="asdf" hidden="1">{#N/A,#N/A,FALSE,"970301";#N/A,#N/A,FALSE,"970302";#N/A,#N/A,FALSE,"970303";#N/A,#N/A,FALSE,"970304";#N/A,#N/A,FALSE,"COM1";#N/A,#N/A,FALSE,"COM2"}</definedName>
    <definedName name="asdg" localSheetId="10" hidden="1">{#N/A,#N/A,FALSE,"资产负债表";#N/A,#N/A,FALSE,"资产负债表"}</definedName>
    <definedName name="asdg" localSheetId="11" hidden="1">{#N/A,#N/A,FALSE,"资产负债表";#N/A,#N/A,FALSE,"资产负债表"}</definedName>
    <definedName name="asdg" hidden="1">{#N/A,#N/A,FALSE,"资产负债表";#N/A,#N/A,FALSE,"资产负债表"}</definedName>
    <definedName name="ass" localSheetId="2" hidden="1">{#N/A,#N/A,TRUE,"CPRD";#N/A,#N/A,TRUE,"BCCPDR";#N/A,#N/A,TRUE,"EWRD";#N/A,#N/A,TRUE,"5100";#N/A,#N/A,TRUE,"5110"}</definedName>
    <definedName name="ass" localSheetId="3" hidden="1">{#N/A,#N/A,TRUE,"CPRD";#N/A,#N/A,TRUE,"BCCPDR";#N/A,#N/A,TRUE,"EWRD";#N/A,#N/A,TRUE,"5100";#N/A,#N/A,TRUE,"5110"}</definedName>
    <definedName name="ass" localSheetId="10" hidden="1">{#N/A,#N/A,TRUE,"CPRD";#N/A,#N/A,TRUE,"BCCPDR";#N/A,#N/A,TRUE,"EWRD";#N/A,#N/A,TRUE,"5100";#N/A,#N/A,TRUE,"5110"}</definedName>
    <definedName name="ass" localSheetId="11" hidden="1">{#N/A,#N/A,TRUE,"CPRD";#N/A,#N/A,TRUE,"BCCPDR";#N/A,#N/A,TRUE,"EWRD";#N/A,#N/A,TRUE,"5100";#N/A,#N/A,TRUE,"5110"}</definedName>
    <definedName name="ass" localSheetId="9" hidden="1">{#N/A,#N/A,TRUE,"CPRD";#N/A,#N/A,TRUE,"BCCPDR";#N/A,#N/A,TRUE,"EWRD";#N/A,#N/A,TRUE,"5100";#N/A,#N/A,TRUE,"5110"}</definedName>
    <definedName name="ass" localSheetId="7" hidden="1">{#N/A,#N/A,TRUE,"CPRD";#N/A,#N/A,TRUE,"BCCPDR";#N/A,#N/A,TRUE,"EWRD";#N/A,#N/A,TRUE,"5100";#N/A,#N/A,TRUE,"5110"}</definedName>
    <definedName name="ass" hidden="1">{#N/A,#N/A,TRUE,"CPRD";#N/A,#N/A,TRUE,"BCCPDR";#N/A,#N/A,TRUE,"EWRD";#N/A,#N/A,TRUE,"5100";#N/A,#N/A,TRUE,"5110"}</definedName>
    <definedName name="AuraStyleDefaultsReset" hidden="1">#N/A</definedName>
    <definedName name="Bear" localSheetId="10" hidden="1">{#N/A,#N/A,FALSE,"TS";#N/A,#N/A,FALSE,"Combo";#N/A,#N/A,FALSE,"FAIR";#N/A,#N/A,FALSE,"RBC";#N/A,#N/A,FALSE,"xxxx";#N/A,#N/A,FALSE,"A_D";#N/A,#N/A,FALSE,"WACC";#N/A,#N/A,FALSE,"DCF";#N/A,#N/A,FALSE,"LBO";#N/A,#N/A,FALSE,"AcqMults";#N/A,#N/A,FALSE,"CompMults"}</definedName>
    <definedName name="Bear" localSheetId="11"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hidden="1">#REF!</definedName>
    <definedName name="book" localSheetId="10" hidden="1">{#N/A,#N/A,FALSE,"OffAdvance";#N/A,#N/A,FALSE,"OffExpRprt";#N/A,#N/A,FALSE,"Entertmnt";#N/A,#N/A,FALSE,"Promotion";#N/A,#N/A,FALSE,"Travelling"}</definedName>
    <definedName name="book" localSheetId="11" hidden="1">{#N/A,#N/A,FALSE,"OffAdvance";#N/A,#N/A,FALSE,"OffExpRprt";#N/A,#N/A,FALSE,"Entertmnt";#N/A,#N/A,FALSE,"Promotion";#N/A,#N/A,FALSE,"Travelling"}</definedName>
    <definedName name="book" hidden="1">{#N/A,#N/A,FALSE,"OffAdvance";#N/A,#N/A,FALSE,"OffExpRprt";#N/A,#N/A,FALSE,"Entertmnt";#N/A,#N/A,FALSE,"Promotion";#N/A,#N/A,FALSE,"Travelling"}</definedName>
    <definedName name="book.2" localSheetId="10" hidden="1">{#N/A,#N/A,FALSE,"OffAdvance";#N/A,#N/A,FALSE,"OffExpRprt";#N/A,#N/A,FALSE,"Travelling";#N/A,#N/A,FALSE,"Entertmnt";#N/A,#N/A,FALSE,"Promotion"}</definedName>
    <definedName name="book.2" localSheetId="11" hidden="1">{#N/A,#N/A,FALSE,"OffAdvance";#N/A,#N/A,FALSE,"OffExpRprt";#N/A,#N/A,FALSE,"Travelling";#N/A,#N/A,FALSE,"Entertmnt";#N/A,#N/A,FALSE,"Promotion"}</definedName>
    <definedName name="book.2" hidden="1">{#N/A,#N/A,FALSE,"OffAdvance";#N/A,#N/A,FALSE,"OffExpRprt";#N/A,#N/A,FALSE,"Travelling";#N/A,#N/A,FALSE,"Entertmnt";#N/A,#N/A,FALSE,"Promotion"}</definedName>
    <definedName name="bs_1" localSheetId="10" hidden="1">{#N/A,#N/A,FALSE,"BBPREP"}</definedName>
    <definedName name="bs_1" localSheetId="11" hidden="1">{#N/A,#N/A,FALSE,"BBPREP"}</definedName>
    <definedName name="bs_1" hidden="1">{#N/A,#N/A,FALSE,"BBPREP"}</definedName>
    <definedName name="BYD" hidden="1">{#N/A,#N/A,FALSE,"Earn'gs &amp; Val'n";#N/A,#N/A,FALSE,"Interim"}</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ashflow20030930" localSheetId="3" hidden="1">{"M1Print",#N/A,TRUE,"M1";"M2Print",#N/A,TRUE,"M2";"M1sPrint",#N/A,TRUE,"M1s";"M2aPrint",#N/A,TRUE,"M2a";"M4Print",#N/A,TRUE,"M4";"M5Print",#N/A,TRUE,"M5";"M6Print",#N/A,TRUE,"M6";"M6_1Print",#N/A,TRUE,"M6_1";"M6_2Print",#N/A,TRUE,"M6_2";"M7_1Print",#N/A,TRUE,"M7_1";"M7_2Print",#N/A,TRUE,"M7_2"}</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ashflow20030930" localSheetId="9" hidden="1">{"M1Print",#N/A,TRUE,"M1";"M2Print",#N/A,TRUE,"M2";"M1sPrint",#N/A,TRUE,"M1s";"M2aPrint",#N/A,TRUE,"M2a";"M4Print",#N/A,TRUE,"M4";"M5Print",#N/A,TRUE,"M5";"M6Print",#N/A,TRUE,"M6";"M6_1Print",#N/A,TRUE,"M6_1";"M6_2Print",#N/A,TRUE,"M6_2";"M7_1Print",#N/A,TRUE,"M7_1";"M7_2Print",#N/A,TRUE,"M7_2"}</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x" localSheetId="10" hidden="1">{#N/A,#N/A,FALSE,"M1s Board";#N/A,#N/A,FALSE,"M3 Board";#N/A,#N/A,FALSE,"M6 Board";#N/A,#N/A,FALSE,"M7";#N/A,#N/A,FALSE,"M7B";#N/A,#N/A,FALSE,"M8";#N/A,#N/A,FALSE,"M8A Board";#N/A,#N/A,FALSE,"AF1 Board"}</definedName>
    <definedName name="cbx" localSheetId="11" hidden="1">{#N/A,#N/A,FALSE,"M1s Board";#N/A,#N/A,FALSE,"M3 Board";#N/A,#N/A,FALSE,"M6 Board";#N/A,#N/A,FALSE,"M7";#N/A,#N/A,FALSE,"M7B";#N/A,#N/A,FALSE,"M8";#N/A,#N/A,FALSE,"M8A Board";#N/A,#N/A,FALSE,"AF1 Board"}</definedName>
    <definedName name="cbx" hidden="1">{#N/A,#N/A,FALSE,"M1s Board";#N/A,#N/A,FALSE,"M3 Board";#N/A,#N/A,FALSE,"M6 Board";#N/A,#N/A,FALSE,"M7";#N/A,#N/A,FALSE,"M7B";#N/A,#N/A,FALSE,"M8";#N/A,#N/A,FALSE,"M8A Board";#N/A,#N/A,FALSE,"AF1 Board"}</definedName>
    <definedName name="cccvb" localSheetId="10" hidden="1">{#N/A,#N/A,FALSE,"资产负债表";#N/A,#N/A,FALSE,"资产负债表"}</definedName>
    <definedName name="cccvb" localSheetId="11" hidden="1">{#N/A,#N/A,FALSE,"资产负债表";#N/A,#N/A,FALSE,"资产负债表"}</definedName>
    <definedName name="cccvb" hidden="1">{#N/A,#N/A,FALSE,"资产负债表";#N/A,#N/A,FALSE,"资产负债表"}</definedName>
    <definedName name="CFVVHH" localSheetId="10" hidden="1">{#N/A,#N/A,FALSE,"资产负债表";#N/A,#N/A,FALSE,"资产负债表"}</definedName>
    <definedName name="CFVVHH" localSheetId="11" hidden="1">{#N/A,#N/A,FALSE,"资产负债表";#N/A,#N/A,FALSE,"资产负债表"}</definedName>
    <definedName name="CFVVHH" hidden="1">{#N/A,#N/A,FALSE,"资产负债表";#N/A,#N/A,FALSE,"资产负债表"}</definedName>
    <definedName name="cfyik" localSheetId="10" hidden="1">{#N/A,#N/A,FALSE,"资产负债表";#N/A,#N/A,FALSE,"资产负债表"}</definedName>
    <definedName name="cfyik" localSheetId="11" hidden="1">{#N/A,#N/A,FALSE,"资产负债表";#N/A,#N/A,FALSE,"资产负债表"}</definedName>
    <definedName name="cfyik" hidden="1">{#N/A,#N/A,FALSE,"资产负债表";#N/A,#N/A,FALSE,"资产负债表"}</definedName>
    <definedName name="cgul" localSheetId="10" hidden="1">{#N/A,#N/A,FALSE,"资产负债表";#N/A,#N/A,FALSE,"资产负债表"}</definedName>
    <definedName name="cgul" localSheetId="11" hidden="1">{#N/A,#N/A,FALSE,"资产负债表";#N/A,#N/A,FALSE,"资产负债表"}</definedName>
    <definedName name="cgul" hidden="1">{#N/A,#N/A,FALSE,"资产负债表";#N/A,#N/A,FALSE,"资产负债表"}</definedName>
    <definedName name="cguocnbnl" localSheetId="10" hidden="1">{#N/A,#N/A,FALSE,"资产负债表";#N/A,#N/A,FALSE,"资产负债表"}</definedName>
    <definedName name="cguocnbnl" localSheetId="11"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localSheetId="10" hidden="1">{#N/A,#N/A,FALSE,"970301";#N/A,#N/A,FALSE,"970302";#N/A,#N/A,FALSE,"970303";#N/A,#N/A,FALSE,"970304";#N/A,#N/A,FALSE,"COM1";#N/A,#N/A,FALSE,"COM2"}</definedName>
    <definedName name="Coll" localSheetId="11" hidden="1">{#N/A,#N/A,FALSE,"970301";#N/A,#N/A,FALSE,"970302";#N/A,#N/A,FALSE,"970303";#N/A,#N/A,FALSE,"970304";#N/A,#N/A,FALSE,"COM1";#N/A,#N/A,FALSE,"COM2"}</definedName>
    <definedName name="Coll" hidden="1">{#N/A,#N/A,FALSE,"970301";#N/A,#N/A,FALSE,"970302";#N/A,#N/A,FALSE,"970303";#N/A,#N/A,FALSE,"970304";#N/A,#N/A,FALSE,"COM1";#N/A,#N/A,FALSE,"COM2"}</definedName>
    <definedName name="copia" localSheetId="10" hidden="1">{#N/A,#N/A,FALSE,"voz corporativa";#N/A,#N/A,FALSE,"Transmisión de datos";#N/A,#N/A,FALSE,"Videoconferencia";#N/A,#N/A,FALSE,"Correo electrónico";#N/A,#N/A,FALSE,"Correo de voz";#N/A,#N/A,FALSE,"Megafax";#N/A,#N/A,FALSE,"Edi";#N/A,#N/A,FALSE,"Internet";#N/A,#N/A,FALSE,"VSAT";#N/A,#N/A,FALSE,"ing ult. milla"}</definedName>
    <definedName name="copia" localSheetId="11" hidden="1">{#N/A,#N/A,FALSE,"voz corporativa";#N/A,#N/A,FALSE,"Transmisión de datos";#N/A,#N/A,FALSE,"Videoconferencia";#N/A,#N/A,FALSE,"Correo electrónico";#N/A,#N/A,FALSE,"Correo de voz";#N/A,#N/A,FALSE,"Megafax";#N/A,#N/A,FALSE,"Edi";#N/A,#N/A,FALSE,"Internet";#N/A,#N/A,FALSE,"VSAT";#N/A,#N/A,FALSE,"ing ult. milla"}</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localSheetId="10" hidden="1">Main.SAPF4Help()</definedName>
    <definedName name="CSCGZ" localSheetId="11" hidden="1">Main.SAPF4Help()</definedName>
    <definedName name="CSCGZ" hidden="1">Main.SAPF4Help()</definedName>
    <definedName name="data1" hidden="1">#REF!</definedName>
    <definedName name="data2" hidden="1">#REF!</definedName>
    <definedName name="data3" hidden="1">#REF!</definedName>
    <definedName name="DBS" hidden="1">#REF!</definedName>
    <definedName name="dcca" localSheetId="10" hidden="1">{#N/A,#N/A,FALSE,"资产负债表";#N/A,#N/A,FALSE,"资产负债表"}</definedName>
    <definedName name="dcca" localSheetId="11" hidden="1">{#N/A,#N/A,FALSE,"资产负债表";#N/A,#N/A,FALSE,"资产负债表"}</definedName>
    <definedName name="dcca" hidden="1">{#N/A,#N/A,FALSE,"资产负债表";#N/A,#N/A,FALSE,"资产负债表"}</definedName>
    <definedName name="DDDD" localSheetId="10" hidden="1">{#N/A,#N/A,FALSE,"Virgin Flightdeck"}</definedName>
    <definedName name="DDDD" localSheetId="11" hidden="1">{#N/A,#N/A,FALSE,"Virgin Flightdeck"}</definedName>
    <definedName name="DDDD" hidden="1">{#N/A,#N/A,FALSE,"Virgin Flightdeck"}</definedName>
    <definedName name="DDDDDD" localSheetId="10" hidden="1">{#N/A,#N/A,FALSE,"Virgin Flightdeck"}</definedName>
    <definedName name="DDDDDD" localSheetId="11" hidden="1">{#N/A,#N/A,FALSE,"Virgin Flightdeck"}</definedName>
    <definedName name="DDDDDD" hidden="1">{#N/A,#N/A,FALSE,"Virgin Flightdeck"}</definedName>
    <definedName name="dfdf"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10" hidden="1">{#N/A,#N/A,FALSE,"OffAdvance";#N/A,#N/A,FALSE,"OffExpRprt";#N/A,#N/A,FALSE,"Travelling";#N/A,#N/A,FALSE,"Entertmnt";#N/A,#N/A,FALSE,"Promotion"}</definedName>
    <definedName name="dfgdafsg" localSheetId="11" hidden="1">{#N/A,#N/A,FALSE,"OffAdvance";#N/A,#N/A,FALSE,"OffExpRprt";#N/A,#N/A,FALSE,"Travelling";#N/A,#N/A,FALSE,"Entertmnt";#N/A,#N/A,FALSE,"Promotion"}</definedName>
    <definedName name="dfgdafsg" hidden="1">{#N/A,#N/A,FALSE,"OffAdvance";#N/A,#N/A,FALSE,"OffExpRprt";#N/A,#N/A,FALSE,"Travelling";#N/A,#N/A,FALSE,"Entertmnt";#N/A,#N/A,FALSE,"Promotion"}</definedName>
    <definedName name="dfk"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10" hidden="1">{"M1Print",#N/A,TRUE,"M1";"M2Print",#N/A,TRUE,"M2";"M1sPrint",#N/A,TRUE,"M1s";"M2aPrint",#N/A,TRUE,"M2a";"M4Print",#N/A,TRUE,"M4";"M5Print",#N/A,TRUE,"M5";"M6Print",#N/A,TRUE,"M6";"M6_1Print",#N/A,TRUE,"M6_1";"M6_2Print",#N/A,TRUE,"M6_2";"M7_1Print",#N/A,TRUE,"M7_1";"M7_2Print",#N/A,TRUE,"M7_2"}</definedName>
    <definedName name="dfv" localSheetId="11" hidden="1">{"M1Print",#N/A,TRUE,"M1";"M2Print",#N/A,TRUE,"M2";"M1sPrint",#N/A,TRUE,"M1s";"M2aPrint",#N/A,TRUE,"M2a";"M4Print",#N/A,TRUE,"M4";"M5Print",#N/A,TRUE,"M5";"M6Print",#N/A,TRUE,"M6";"M6_1Print",#N/A,TRUE,"M6_1";"M6_2Print",#N/A,TRUE,"M6_2";"M7_1Print",#N/A,TRUE,"M7_1";"M7_2Print",#N/A,TRUE,"M7_2"}</definedName>
    <definedName name="dfv" hidden="1">{"M1Print",#N/A,TRUE,"M1";"M2Print",#N/A,TRUE,"M2";"M1sPrint",#N/A,TRUE,"M1s";"M2aPrint",#N/A,TRUE,"M2a";"M4Print",#N/A,TRUE,"M4";"M5Print",#N/A,TRUE,"M5";"M6Print",#N/A,TRUE,"M6";"M6_1Print",#N/A,TRUE,"M6_1";"M6_2Print",#N/A,TRUE,"M6_2";"M7_1Print",#N/A,TRUE,"M7_1";"M7_2Print",#N/A,TRUE,"M7_2"}</definedName>
    <definedName name="dh" localSheetId="10" hidden="1">{"M4Print",#N/A,FALSE,"M4"}</definedName>
    <definedName name="dh" localSheetId="11" hidden="1">{"M4Print",#N/A,FALSE,"M4"}</definedName>
    <definedName name="dh" hidden="1">{"M4Print",#N/A,FALSE,"M4"}</definedName>
    <definedName name="Discount" hidden="1">#REF!</definedName>
    <definedName name="display_area_2" hidden="1">#REF!</definedName>
    <definedName name="dlf" localSheetId="10" hidden="1">{"M4Print",#N/A,FALSE,"M4"}</definedName>
    <definedName name="dlf" localSheetId="11" hidden="1">{"M4Print",#N/A,FALSE,"M4"}</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2" hidden="1">{#N/A,#N/A,TRUE,"CPRD";#N/A,#N/A,TRUE,"BCCPDR";#N/A,#N/A,TRUE,"EWRD";#N/A,#N/A,TRUE,"5100";#N/A,#N/A,TRUE,"5110"}</definedName>
    <definedName name="doddd" localSheetId="3" hidden="1">{#N/A,#N/A,TRUE,"CPRD";#N/A,#N/A,TRUE,"BCCPDR";#N/A,#N/A,TRUE,"EWRD";#N/A,#N/A,TRUE,"5100";#N/A,#N/A,TRUE,"5110"}</definedName>
    <definedName name="doddd" localSheetId="10" hidden="1">{#N/A,#N/A,TRUE,"CPRD";#N/A,#N/A,TRUE,"BCCPDR";#N/A,#N/A,TRUE,"EWRD";#N/A,#N/A,TRUE,"5100";#N/A,#N/A,TRUE,"5110"}</definedName>
    <definedName name="doddd" localSheetId="11" hidden="1">{#N/A,#N/A,TRUE,"CPRD";#N/A,#N/A,TRUE,"BCCPDR";#N/A,#N/A,TRUE,"EWRD";#N/A,#N/A,TRUE,"5100";#N/A,#N/A,TRUE,"5110"}</definedName>
    <definedName name="doddd" localSheetId="9" hidden="1">{#N/A,#N/A,TRUE,"CPRD";#N/A,#N/A,TRUE,"BCCPDR";#N/A,#N/A,TRUE,"EWRD";#N/A,#N/A,TRUE,"5100";#N/A,#N/A,TRUE,"5110"}</definedName>
    <definedName name="doddd" localSheetId="7" hidden="1">{#N/A,#N/A,TRUE,"CPRD";#N/A,#N/A,TRUE,"BCCPDR";#N/A,#N/A,TRUE,"EWRD";#N/A,#N/A,TRUE,"5100";#N/A,#N/A,TRUE,"5110"}</definedName>
    <definedName name="doddd" hidden="1">{#N/A,#N/A,TRUE,"CPRD";#N/A,#N/A,TRUE,"BCCPDR";#N/A,#N/A,TRUE,"EWRD";#N/A,#N/A,TRUE,"5100";#N/A,#N/A,TRUE,"5110"}</definedName>
    <definedName name="dog" localSheetId="2" hidden="1">{#N/A,#N/A,TRUE,"CPRD";#N/A,#N/A,TRUE,"BCCPDR";#N/A,#N/A,TRUE,"EWRD";#N/A,#N/A,TRUE,"5100";#N/A,#N/A,TRUE,"5110"}</definedName>
    <definedName name="dog" localSheetId="3" hidden="1">{#N/A,#N/A,TRUE,"CPRD";#N/A,#N/A,TRUE,"BCCPDR";#N/A,#N/A,TRUE,"EWRD";#N/A,#N/A,TRUE,"5100";#N/A,#N/A,TRUE,"5110"}</definedName>
    <definedName name="dog" localSheetId="10" hidden="1">{#N/A,#N/A,TRUE,"CPRD";#N/A,#N/A,TRUE,"BCCPDR";#N/A,#N/A,TRUE,"EWRD";#N/A,#N/A,TRUE,"5100";#N/A,#N/A,TRUE,"5110"}</definedName>
    <definedName name="dog" localSheetId="11" hidden="1">{#N/A,#N/A,TRUE,"CPRD";#N/A,#N/A,TRUE,"BCCPDR";#N/A,#N/A,TRUE,"EWRD";#N/A,#N/A,TRUE,"5100";#N/A,#N/A,TRUE,"5110"}</definedName>
    <definedName name="dog" localSheetId="9" hidden="1">{#N/A,#N/A,TRUE,"CPRD";#N/A,#N/A,TRUE,"BCCPDR";#N/A,#N/A,TRUE,"EWRD";#N/A,#N/A,TRUE,"5100";#N/A,#N/A,TRUE,"5110"}</definedName>
    <definedName name="dog" localSheetId="7" hidden="1">{#N/A,#N/A,TRUE,"CPRD";#N/A,#N/A,TRUE,"BCCPDR";#N/A,#N/A,TRUE,"EWRD";#N/A,#N/A,TRUE,"5100";#N/A,#N/A,TRUE,"5110"}</definedName>
    <definedName name="dog" hidden="1">{#N/A,#N/A,TRUE,"CPRD";#N/A,#N/A,TRUE,"BCCPDR";#N/A,#N/A,TRUE,"EWRD";#N/A,#N/A,TRUE,"5100";#N/A,#N/A,TRUE,"5110"}</definedName>
    <definedName name="DPL" hidden="1">#REF!</definedName>
    <definedName name="ds" localSheetId="10" hidden="1">{"CSC_1",#N/A,FALSE,"CSC Outputs";"CSC_2",#N/A,FALSE,"CSC Outputs"}</definedName>
    <definedName name="ds" localSheetId="11" hidden="1">{"CSC_1",#N/A,FALSE,"CSC Outputs";"CSC_2",#N/A,FALSE,"CSC Outputs"}</definedName>
    <definedName name="ds" hidden="1">{"CSC_1",#N/A,FALSE,"CSC Outputs";"CSC_2",#N/A,FALSE,"CSC Outputs"}</definedName>
    <definedName name="dsasafsadf" localSheetId="10" hidden="1">{"page 1",#N/A,FALSE,"A";"page 2",#N/A,FALSE,"A";"page 3",#N/A,FALSE,"A";"page 4",#N/A,FALSE,"A";"page 5",#N/A,FALSE,"A";"page 6",#N/A,FALSE,"A";"page 7",#N/A,FALSE,"A";"page 8",#N/A,FALSE,"A";"page 9",#N/A,FALSE,"A";"page 10",#N/A,FALSE,"A";"page 11",#N/A,FALSE,"A";"page 12",#N/A,FALSE,"A";"page 13",#N/A,FALSE,"A";"page 14",#N/A,FALSE,"A"}</definedName>
    <definedName name="dsasafsadf" localSheetId="11" hidden="1">{"page 1",#N/A,FALSE,"A";"page 2",#N/A,FALSE,"A";"page 3",#N/A,FALSE,"A";"page 4",#N/A,FALSE,"A";"page 5",#N/A,FALSE,"A";"page 6",#N/A,FALSE,"A";"page 7",#N/A,FALSE,"A";"page 8",#N/A,FALSE,"A";"page 9",#N/A,FALSE,"A";"page 10",#N/A,FALSE,"A";"page 11",#N/A,FALSE,"A";"page 12",#N/A,FALSE,"A";"page 13",#N/A,FALSE,"A";"page 14",#N/A,FALSE,"A"}</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localSheetId="10" hidden="1">{#N/A,#N/A,FALSE,"Verify at a Glance";#N/A,#N/A,FALSE,"CARMS VS. STAR";#N/A,#N/A,FALSE,"Intel-US";#N/A,#N/A,FALSE,"Intel-PR";#N/A,#N/A,FALSE,"Intel-MISC-6";#N/A,#N/A,FALSE,"Intel-DPA-7";#N/A,#N/A,FALSE,"Intel-IRE";#N/A,#N/A,FALSE,"Intel-HK";#N/A,#N/A,FALSE,"DAILY INPUT";#N/A,#N/A,FALSE,"P5 HK Cash List"}</definedName>
    <definedName name="DSCCD" localSheetId="11" hidden="1">{#N/A,#N/A,FALSE,"Verify at a Glance";#N/A,#N/A,FALSE,"CARMS VS. STAR";#N/A,#N/A,FALSE,"Intel-US";#N/A,#N/A,FALSE,"Intel-PR";#N/A,#N/A,FALSE,"Intel-MISC-6";#N/A,#N/A,FALSE,"Intel-DPA-7";#N/A,#N/A,FALSE,"Intel-IRE";#N/A,#N/A,FALSE,"Intel-HK";#N/A,#N/A,FALSE,"DAILY INPUT";#N/A,#N/A,FALSE,"P5 HK Cash List"}</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localSheetId="10" hidden="1">{#N/A,#N/A,FALSE,"资产负债表";#N/A,#N/A,FALSE,"资产负债表"}</definedName>
    <definedName name="dvbm" localSheetId="11" hidden="1">{#N/A,#N/A,FALSE,"资产负债表";#N/A,#N/A,FALSE,"资产负债表"}</definedName>
    <definedName name="dvbm" hidden="1">{#N/A,#N/A,FALSE,"资产负债表";#N/A,#N/A,FALSE,"资产负债表"}</definedName>
    <definedName name="DWED" hidden="1">#REF!</definedName>
    <definedName name="EDEW" hidden="1">#REF!</definedName>
    <definedName name="edispu" localSheetId="10" hidden="1">{#N/A,#N/A,FALSE,"Sheet1"}</definedName>
    <definedName name="edispu" localSheetId="11" hidden="1">{#N/A,#N/A,FALSE,"Sheet1"}</definedName>
    <definedName name="edispu" hidden="1">{#N/A,#N/A,FALSE,"Sheet1"}</definedName>
    <definedName name="ehdg" localSheetId="10" hidden="1">{#N/A,#N/A,FALSE,"Jan"}</definedName>
    <definedName name="ehdg" localSheetId="11" hidden="1">{#N/A,#N/A,FALSE,"Jan"}</definedName>
    <definedName name="ehdg" localSheetId="9" hidden="1">{#N/A,#N/A,FALSE,"Jan"}</definedName>
    <definedName name="ehdg" localSheetId="7" hidden="1">{#N/A,#N/A,FALSE,"Jan"}</definedName>
    <definedName name="ehdg" hidden="1">{#N/A,#N/A,FALSE,"Jan"}</definedName>
    <definedName name="eqwrwer" localSheetId="10" hidden="1">{"Annual_Income",#N/A,FALSE,"Report Page";"Balance_Cash_Flow",#N/A,FALSE,"Report Page";"Quarterly_Income",#N/A,FALSE,"Report Page"}</definedName>
    <definedName name="eqwrwer" localSheetId="11" hidden="1">{"Annual_Income",#N/A,FALSE,"Report Page";"Balance_Cash_Flow",#N/A,FALSE,"Report Page";"Quarterly_Income",#N/A,FALSE,"Report Page"}</definedName>
    <definedName name="eqwrwer" hidden="1">{"Annual_Income",#N/A,FALSE,"Report Page";"Balance_Cash_Flow",#N/A,FALSE,"Report Page";"Quarterly_Income",#N/A,FALSE,"Report Page"}</definedName>
    <definedName name="erf" localSheetId="10" hidden="1">{#N/A,#N/A,FALSE,"970301";#N/A,#N/A,FALSE,"970302";#N/A,#N/A,FALSE,"970303";#N/A,#N/A,FALSE,"970304";#N/A,#N/A,FALSE,"COM1";#N/A,#N/A,FALSE,"COM2"}</definedName>
    <definedName name="erf" localSheetId="11" hidden="1">{#N/A,#N/A,FALSE,"970301";#N/A,#N/A,FALSE,"970302";#N/A,#N/A,FALSE,"970303";#N/A,#N/A,FALSE,"970304";#N/A,#N/A,FALSE,"COM1";#N/A,#N/A,FALSE,"COM2"}</definedName>
    <definedName name="erf" hidden="1">{#N/A,#N/A,FALSE,"970301";#N/A,#N/A,FALSE,"970302";#N/A,#N/A,FALSE,"970303";#N/A,#N/A,FALSE,"970304";#N/A,#N/A,FALSE,"COM1";#N/A,#N/A,FALSE,"COM2"}</definedName>
    <definedName name="errrr" localSheetId="10" hidden="1">{"CSC_1",#N/A,FALSE,"CSC Outputs";"CSC_2",#N/A,FALSE,"CSC Outputs"}</definedName>
    <definedName name="errrr" localSheetId="11" hidden="1">{"CSC_1",#N/A,FALSE,"CSC Outputs";"CSC_2",#N/A,FALSE,"CSC Outputs"}</definedName>
    <definedName name="errrr" hidden="1">{"CSC_1",#N/A,FALSE,"CSC Outputs";"CSC_2",#N/A,FALSE,"CSC Outputs"}</definedName>
    <definedName name="eryj" localSheetId="10" hidden="1">{#N/A,#N/A,FALSE,"资产负债表";#N/A,#N/A,FALSE,"资产负债表"}</definedName>
    <definedName name="eryj" localSheetId="11" hidden="1">{#N/A,#N/A,FALSE,"资产负债表";#N/A,#N/A,FALSE,"资产负债表"}</definedName>
    <definedName name="eryj" hidden="1">{#N/A,#N/A,FALSE,"资产负债表";#N/A,#N/A,FALSE,"资产负债表"}</definedName>
    <definedName name="EV__LASTREFTIME__" hidden="1">39274.4724884259</definedName>
    <definedName name="ExpenseUpload" localSheetId="2" hidden="1">{#N/A,#N/A,TRUE,"CPRD";#N/A,#N/A,TRUE,"BCCPDR";#N/A,#N/A,TRUE,"EWRD";#N/A,#N/A,TRUE,"5100";#N/A,#N/A,TRUE,"5110"}</definedName>
    <definedName name="ExpenseUpload" localSheetId="3" hidden="1">{#N/A,#N/A,TRUE,"CPRD";#N/A,#N/A,TRUE,"BCCPDR";#N/A,#N/A,TRUE,"EWRD";#N/A,#N/A,TRUE,"5100";#N/A,#N/A,TRUE,"5110"}</definedName>
    <definedName name="ExpenseUpload" localSheetId="10" hidden="1">{#N/A,#N/A,TRUE,"CPRD";#N/A,#N/A,TRUE,"BCCPDR";#N/A,#N/A,TRUE,"EWRD";#N/A,#N/A,TRUE,"5100";#N/A,#N/A,TRUE,"5110"}</definedName>
    <definedName name="ExpenseUpload" localSheetId="11" hidden="1">{#N/A,#N/A,TRUE,"CPRD";#N/A,#N/A,TRUE,"BCCPDR";#N/A,#N/A,TRUE,"EWRD";#N/A,#N/A,TRUE,"5100";#N/A,#N/A,TRUE,"5110"}</definedName>
    <definedName name="ExpenseUpload" localSheetId="9" hidden="1">{#N/A,#N/A,TRUE,"CPRD";#N/A,#N/A,TRUE,"BCCPDR";#N/A,#N/A,TRUE,"EWRD";#N/A,#N/A,TRUE,"5100";#N/A,#N/A,TRUE,"5110"}</definedName>
    <definedName name="ExpenseUpload" localSheetId="7" hidden="1">{#N/A,#N/A,TRUE,"CPRD";#N/A,#N/A,TRUE,"BCCPDR";#N/A,#N/A,TRUE,"EWRD";#N/A,#N/A,TRUE,"5100";#N/A,#N/A,TRUE,"5110"}</definedName>
    <definedName name="ExpenseUpload" hidden="1">{#N/A,#N/A,TRUE,"CPRD";#N/A,#N/A,TRUE,"BCCPDR";#N/A,#N/A,TRUE,"EWRD";#N/A,#N/A,TRUE,"5100";#N/A,#N/A,TRUE,"5110"}</definedName>
    <definedName name="faif" localSheetId="10" hidden="1">{#N/A,#N/A,FALSE,"资产负债表";#N/A,#N/A,FALSE,"资产负债表"}</definedName>
    <definedName name="faif" localSheetId="11" hidden="1">{#N/A,#N/A,FALSE,"资产负债表";#N/A,#N/A,FALSE,"资产负债表"}</definedName>
    <definedName name="faif" hidden="1">{#N/A,#N/A,FALSE,"资产负债表";#N/A,#N/A,FALSE,"资产负债表"}</definedName>
    <definedName name="FCode" hidden="1">#REF!</definedName>
    <definedName name="fd" localSheetId="10" hidden="1">{"M1sPrint",#N/A,FALSE,"M1s"}</definedName>
    <definedName name="fd" localSheetId="11" hidden="1">{"M1sPrint",#N/A,FALSE,"M1s"}</definedName>
    <definedName name="fd" hidden="1">{"M1sPrint",#N/A,FALSE,"M1s"}</definedName>
    <definedName name="FDEFRE" hidden="1">#REF!</definedName>
    <definedName name="FDVV" localSheetId="10" hidden="1">{#N/A,#N/A,FALSE,"Verify at a Glance";#N/A,#N/A,FALSE,"CARMS VS. STAR";#N/A,#N/A,FALSE,"Intel-US";#N/A,#N/A,FALSE,"Intel-PR";#N/A,#N/A,FALSE,"Intel-MISC-6";#N/A,#N/A,FALSE,"Intel-DPA-7";#N/A,#N/A,FALSE,"Intel-IRE";#N/A,#N/A,FALSE,"Intel-HK";#N/A,#N/A,FALSE,"DAILY INPUT";#N/A,#N/A,FALSE,"P5 HK Cash List"}</definedName>
    <definedName name="FDVV" localSheetId="11" hidden="1">{#N/A,#N/A,FALSE,"Verify at a Glance";#N/A,#N/A,FALSE,"CARMS VS. STAR";#N/A,#N/A,FALSE,"Intel-US";#N/A,#N/A,FALSE,"Intel-PR";#N/A,#N/A,FALSE,"Intel-MISC-6";#N/A,#N/A,FALSE,"Intel-DPA-7";#N/A,#N/A,FALSE,"Intel-IRE";#N/A,#N/A,FALSE,"Intel-HK";#N/A,#N/A,FALSE,"DAILY INPUT";#N/A,#N/A,FALSE,"P5 HK Cash List"}</definedName>
    <definedName name="FDVV" hidden="1">{#N/A,#N/A,FALSE,"Verify at a Glance";#N/A,#N/A,FALSE,"CARMS VS. STAR";#N/A,#N/A,FALSE,"Intel-US";#N/A,#N/A,FALSE,"Intel-PR";#N/A,#N/A,FALSE,"Intel-MISC-6";#N/A,#N/A,FALSE,"Intel-DPA-7";#N/A,#N/A,FALSE,"Intel-IRE";#N/A,#N/A,FALSE,"Intel-HK";#N/A,#N/A,FALSE,"DAILY INPUT";#N/A,#N/A,FALSE,"P5 HK Cash List"}</definedName>
    <definedName name="feedback" localSheetId="10" hidden="1">{#N/A,#N/A,TRUE,"CPRD";#N/A,#N/A,TRUE,"BCCPDR";#N/A,#N/A,TRUE,"EWRD";#N/A,#N/A,TRUE,"5100";#N/A,#N/A,TRUE,"5110"}</definedName>
    <definedName name="feedback" localSheetId="11" hidden="1">{#N/A,#N/A,TRUE,"CPRD";#N/A,#N/A,TRUE,"BCCPDR";#N/A,#N/A,TRUE,"EWRD";#N/A,#N/A,TRUE,"5100";#N/A,#N/A,TRUE,"5110"}</definedName>
    <definedName name="feedback" hidden="1">{#N/A,#N/A,TRUE,"CPRD";#N/A,#N/A,TRUE,"BCCPDR";#N/A,#N/A,TRUE,"EWRD";#N/A,#N/A,TRUE,"5100";#N/A,#N/A,TRUE,"5110"}</definedName>
    <definedName name="fgdg" localSheetId="10" hidden="1">{"M1Print",#N/A,TRUE,"M1";"M2Print",#N/A,TRUE,"M2";"M1sPrint",#N/A,TRUE,"M1s";"M2aPrint",#N/A,TRUE,"M2a";"M4Print",#N/A,TRUE,"M4";"M5Print",#N/A,TRUE,"M5";"M6Print",#N/A,TRUE,"M6";"M6_1Print",#N/A,TRUE,"M6_1";"M6_2Print",#N/A,TRUE,"M6_2";"M7_1Print",#N/A,TRUE,"M7_1";"M7_2Print",#N/A,TRUE,"M7_2"}</definedName>
    <definedName name="fgdg" localSheetId="11" hidden="1">{"M1Print",#N/A,TRUE,"M1";"M2Print",#N/A,TRUE,"M2";"M1sPrint",#N/A,TRUE,"M1s";"M2aPrint",#N/A,TRUE,"M2a";"M4Print",#N/A,TRUE,"M4";"M5Print",#N/A,TRUE,"M5";"M6Print",#N/A,TRUE,"M6";"M6_1Print",#N/A,TRUE,"M6_1";"M6_2Print",#N/A,TRUE,"M6_2";"M7_1Print",#N/A,TRUE,"M7_1";"M7_2Print",#N/A,TRUE,"M7_2"}</definedName>
    <definedName name="fgdg" hidden="1">{"M1Print",#N/A,TRUE,"M1";"M2Print",#N/A,TRUE,"M2";"M1sPrint",#N/A,TRUE,"M1s";"M2aPrint",#N/A,TRUE,"M2a";"M4Print",#N/A,TRUE,"M4";"M5Print",#N/A,TRUE,"M5";"M6Print",#N/A,TRUE,"M6";"M6_1Print",#N/A,TRUE,"M6_1";"M6_2Print",#N/A,TRUE,"M6_2";"M7_1Print",#N/A,TRUE,"M7_1";"M7_2Print",#N/A,TRUE,"M7_2"}</definedName>
    <definedName name="fggh" localSheetId="10" hidden="1">{#N/A,#N/A,FALSE,"970301";#N/A,#N/A,FALSE,"970302";#N/A,#N/A,FALSE,"970303";#N/A,#N/A,FALSE,"970304";#N/A,#N/A,FALSE,"COM1";#N/A,#N/A,FALSE,"COM2"}</definedName>
    <definedName name="fggh" localSheetId="11" hidden="1">{#N/A,#N/A,FALSE,"970301";#N/A,#N/A,FALSE,"970302";#N/A,#N/A,FALSE,"970303";#N/A,#N/A,FALSE,"970304";#N/A,#N/A,FALSE,"COM1";#N/A,#N/A,FALSE,"COM2"}</definedName>
    <definedName name="fggh" hidden="1">{#N/A,#N/A,FALSE,"970301";#N/A,#N/A,FALSE,"970302";#N/A,#N/A,FALSE,"970303";#N/A,#N/A,FALSE,"970304";#N/A,#N/A,FALSE,"COM1";#N/A,#N/A,FALSE,"COM2"}</definedName>
    <definedName name="fggh1" localSheetId="10" hidden="1">{#N/A,#N/A,FALSE,"970301";#N/A,#N/A,FALSE,"970302";#N/A,#N/A,FALSE,"970303";#N/A,#N/A,FALSE,"970304";#N/A,#N/A,FALSE,"COM1";#N/A,#N/A,FALSE,"COM2"}</definedName>
    <definedName name="fggh1" localSheetId="11" hidden="1">{#N/A,#N/A,FALSE,"970301";#N/A,#N/A,FALSE,"970302";#N/A,#N/A,FALSE,"970303";#N/A,#N/A,FALSE,"970304";#N/A,#N/A,FALSE,"COM1";#N/A,#N/A,FALSE,"COM2"}</definedName>
    <definedName name="fggh1" hidden="1">{#N/A,#N/A,FALSE,"970301";#N/A,#N/A,FALSE,"970302";#N/A,#N/A,FALSE,"970303";#N/A,#N/A,FALSE,"970304";#N/A,#N/A,FALSE,"COM1";#N/A,#N/A,FALSE,"COM2"}</definedName>
    <definedName name="fvb" localSheetId="10" hidden="1">{#N/A,#N/A,FALSE,"资产负债表";#N/A,#N/A,FALSE,"资产负债表"}</definedName>
    <definedName name="fvb" localSheetId="11" hidden="1">{#N/A,#N/A,FALSE,"资产负债表";#N/A,#N/A,FALSE,"资产负债表"}</definedName>
    <definedName name="fvb" hidden="1">{#N/A,#N/A,FALSE,"资产负债表";#N/A,#N/A,FALSE,"资产负债表"}</definedName>
    <definedName name="G9IJGF" localSheetId="10" hidden="1">{#N/A,#N/A,FALSE,"资产负债表";#N/A,#N/A,FALSE,"资产负债表"}</definedName>
    <definedName name="G9IJGF" localSheetId="11" hidden="1">{#N/A,#N/A,FALSE,"资产负债表";#N/A,#N/A,FALSE,"资产负债表"}</definedName>
    <definedName name="G9IJGF" hidden="1">{#N/A,#N/A,FALSE,"资产负债表";#N/A,#N/A,FALSE,"资产负债表"}</definedName>
    <definedName name="gggg" localSheetId="10" hidden="1">{#N/A,#N/A,FALSE,"OffAdvance";#N/A,#N/A,FALSE,"OffExpRprt";#N/A,#N/A,FALSE,"Travelling";#N/A,#N/A,FALSE,"Entertmnt";#N/A,#N/A,FALSE,"Promotion"}</definedName>
    <definedName name="gggg" localSheetId="11" hidden="1">{#N/A,#N/A,FALSE,"OffAdvance";#N/A,#N/A,FALSE,"OffExpRprt";#N/A,#N/A,FALSE,"Travelling";#N/A,#N/A,FALSE,"Entertmnt";#N/A,#N/A,FALSE,"Promotion"}</definedName>
    <definedName name="gggg" hidden="1">{#N/A,#N/A,FALSE,"OffAdvance";#N/A,#N/A,FALSE,"OffExpRprt";#N/A,#N/A,FALSE,"Travelling";#N/A,#N/A,FALSE,"Entertmnt";#N/A,#N/A,FALSE,"Promotion"}</definedName>
    <definedName name="gggg1" localSheetId="10" hidden="1">{#N/A,#N/A,FALSE,"OffAdvance";#N/A,#N/A,FALSE,"OffExpRprt";#N/A,#N/A,FALSE,"Travelling";#N/A,#N/A,FALSE,"Entertmnt";#N/A,#N/A,FALSE,"Promotion"}</definedName>
    <definedName name="gggg1" localSheetId="11" hidden="1">{#N/A,#N/A,FALSE,"OffAdvance";#N/A,#N/A,FALSE,"OffExpRprt";#N/A,#N/A,FALSE,"Travelling";#N/A,#N/A,FALSE,"Entertmnt";#N/A,#N/A,FALSE,"Promotion"}</definedName>
    <definedName name="gggg1" hidden="1">{#N/A,#N/A,FALSE,"OffAdvance";#N/A,#N/A,FALSE,"OffExpRprt";#N/A,#N/A,FALSE,"Travelling";#N/A,#N/A,FALSE,"Entertmnt";#N/A,#N/A,FALSE,"Promotion"}</definedName>
    <definedName name="hadiah" localSheetId="10" hidden="1">{#N/A,#N/A,FALSE,"资产负债表";#N/A,#N/A,FALSE,"资产负债表"}</definedName>
    <definedName name="hadiah" localSheetId="11" hidden="1">{#N/A,#N/A,FALSE,"资产负债表";#N/A,#N/A,FALSE,"资产负债表"}</definedName>
    <definedName name="hadiah" hidden="1">{#N/A,#N/A,FALSE,"资产负债表";#N/A,#N/A,FALSE,"资产负债表"}</definedName>
    <definedName name="HdctTrnd" localSheetId="2" hidden="1">{#N/A,#N/A,TRUE,"CPRD";#N/A,#N/A,TRUE,"BCCPDR";#N/A,#N/A,TRUE,"EWRD";#N/A,#N/A,TRUE,"5100";#N/A,#N/A,TRUE,"5110"}</definedName>
    <definedName name="HdctTrnd" localSheetId="3" hidden="1">{#N/A,#N/A,TRUE,"CPRD";#N/A,#N/A,TRUE,"BCCPDR";#N/A,#N/A,TRUE,"EWRD";#N/A,#N/A,TRUE,"5100";#N/A,#N/A,TRUE,"5110"}</definedName>
    <definedName name="HdctTrnd" localSheetId="10" hidden="1">{#N/A,#N/A,TRUE,"CPRD";#N/A,#N/A,TRUE,"BCCPDR";#N/A,#N/A,TRUE,"EWRD";#N/A,#N/A,TRUE,"5100";#N/A,#N/A,TRUE,"5110"}</definedName>
    <definedName name="HdctTrnd" localSheetId="11" hidden="1">{#N/A,#N/A,TRUE,"CPRD";#N/A,#N/A,TRUE,"BCCPDR";#N/A,#N/A,TRUE,"EWRD";#N/A,#N/A,TRUE,"5100";#N/A,#N/A,TRUE,"5110"}</definedName>
    <definedName name="HdctTrnd" localSheetId="9" hidden="1">{#N/A,#N/A,TRUE,"CPRD";#N/A,#N/A,TRUE,"BCCPDR";#N/A,#N/A,TRUE,"EWRD";#N/A,#N/A,TRUE,"5100";#N/A,#N/A,TRUE,"5110"}</definedName>
    <definedName name="HdctTrnd" localSheetId="7" hidden="1">{#N/A,#N/A,TRUE,"CPRD";#N/A,#N/A,TRUE,"BCCPDR";#N/A,#N/A,TRUE,"EWRD";#N/A,#N/A,TRUE,"5100";#N/A,#N/A,TRUE,"5110"}</definedName>
    <definedName name="HdctTrnd" hidden="1">{#N/A,#N/A,TRUE,"CPRD";#N/A,#N/A,TRUE,"BCCPDR";#N/A,#N/A,TRUE,"EWRD";#N/A,#N/A,TRUE,"5100";#N/A,#N/A,TRUE,"5110"}</definedName>
    <definedName name="HiddenRows" hidden="1">#REF!</definedName>
    <definedName name="hod" localSheetId="10" hidden="1">{#N/A,#N/A,FALSE,"TS";#N/A,#N/A,FALSE,"Combo";#N/A,#N/A,FALSE,"FAIR";#N/A,#N/A,FALSE,"RBC";#N/A,#N/A,FALSE,"xxxx";#N/A,#N/A,FALSE,"A_D";#N/A,#N/A,FALSE,"WACC";#N/A,#N/A,FALSE,"DCF";#N/A,#N/A,FALSE,"LBO";#N/A,#N/A,FALSE,"AcqMults";#N/A,#N/A,FALSE,"CompMults"}</definedName>
    <definedName name="hod" localSheetId="11"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uy" localSheetId="10" hidden="1">{#N/A,#N/A,FALSE,"AD_Purchase";#N/A,#N/A,FALSE,"Credit";#N/A,#N/A,FALSE,"PF Acquisition";#N/A,#N/A,FALSE,"PF Offering"}</definedName>
    <definedName name="houy" localSheetId="11" hidden="1">{#N/A,#N/A,FALSE,"AD_Purchase";#N/A,#N/A,FALSE,"Credit";#N/A,#N/A,FALSE,"PF Acquisition";#N/A,#N/A,FALSE,"PF Offering"}</definedName>
    <definedName name="houy" hidden="1">{#N/A,#N/A,FALSE,"AD_Purchase";#N/A,#N/A,FALSE,"Credit";#N/A,#N/A,FALSE,"PF Acquisition";#N/A,#N/A,FALSE,"PF Offering"}</definedName>
    <definedName name="HTL_Cotrol1" localSheetId="10" hidden="1">{"'Sheet3'!$A$47:$M$47"}</definedName>
    <definedName name="HTL_Cotrol1" localSheetId="11" hidden="1">{"'Sheet3'!$A$47:$M$47"}</definedName>
    <definedName name="HTL_Cotrol1" hidden="1">{"'Sheet3'!$A$47:$M$47"}</definedName>
    <definedName name="HTML_CodePage" hidden="1">1252</definedName>
    <definedName name="HTML_Control" localSheetId="2" hidden="1">{"'Vxxe_times_J750 (2)'!$A$3:$E$14"}</definedName>
    <definedName name="HTML_Control" localSheetId="3" hidden="1">{"'Vxxe_times_J750 (2)'!$A$3:$E$14"}</definedName>
    <definedName name="HTML_Control" localSheetId="10" hidden="1">{"'Vxxe_times_J750 (2)'!$A$3:$E$14"}</definedName>
    <definedName name="HTML_Control" localSheetId="11" hidden="1">{"'Vxxe_times_J750 (2)'!$A$3:$E$14"}</definedName>
    <definedName name="HTML_Control" localSheetId="9" hidden="1">{"'Vxxe_times_J750 (2)'!$A$3:$E$14"}</definedName>
    <definedName name="HTML_Control" localSheetId="7"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localSheetId="10" hidden="1">{#N/A,#N/A,FALSE,"资产负债表";#N/A,#N/A,FALSE,"资产负债表"}</definedName>
    <definedName name="hueoa" localSheetId="11" hidden="1">{#N/A,#N/A,FALSE,"资产负债表";#N/A,#N/A,FALSE,"资产负债表"}</definedName>
    <definedName name="hueoa" hidden="1">{#N/A,#N/A,FALSE,"资产负债表";#N/A,#N/A,FALSE,"资产负债表"}</definedName>
    <definedName name="ieji" localSheetId="10" hidden="1">{#N/A,#N/A,FALSE,"970301";#N/A,#N/A,FALSE,"970302";#N/A,#N/A,FALSE,"970303";#N/A,#N/A,FALSE,"970304";#N/A,#N/A,FALSE,"COM1";#N/A,#N/A,FALSE,"COM2"}</definedName>
    <definedName name="ieji" localSheetId="11" hidden="1">{#N/A,#N/A,FALSE,"970301";#N/A,#N/A,FALSE,"970302";#N/A,#N/A,FALSE,"970303";#N/A,#N/A,FALSE,"970304";#N/A,#N/A,FALSE,"COM1";#N/A,#N/A,FALSE,"COM2"}</definedName>
    <definedName name="ieji" hidden="1">{#N/A,#N/A,FALSE,"970301";#N/A,#N/A,FALSE,"970302";#N/A,#N/A,FALSE,"970303";#N/A,#N/A,FALSE,"970304";#N/A,#N/A,FALSE,"COM1";#N/A,#N/A,FALSE,"COM2"}</definedName>
    <definedName name="iiiiii" localSheetId="10" hidden="1">{#N/A,#N/A,FALSE,"PERSONAL";#N/A,#N/A,FALSE,"explotación";#N/A,#N/A,FALSE,"generales"}</definedName>
    <definedName name="iiiiii" localSheetId="11" hidden="1">{#N/A,#N/A,FALSE,"PERSONAL";#N/A,#N/A,FALSE,"explotación";#N/A,#N/A,FALSE,"generales"}</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localSheetId="10" hidden="1">{"M4Print",#N/A,FALSE,"M4"}</definedName>
    <definedName name="jdda" localSheetId="11" hidden="1">{"M4Print",#N/A,FALSE,"M4"}</definedName>
    <definedName name="jdda" hidden="1">{"M4Print",#N/A,FALSE,"M4"}</definedName>
    <definedName name="jdfslsajdflasdkjpf" localSheetId="10" hidden="1">{#N/A,#N/A,FALSE,"OffAdvance";#N/A,#N/A,FALSE,"OffExpRprt";#N/A,#N/A,FALSE,"Entertmnt";#N/A,#N/A,FALSE,"Promotion";#N/A,#N/A,FALSE,"Travelling"}</definedName>
    <definedName name="jdfslsajdflasdkjpf" localSheetId="11" hidden="1">{#N/A,#N/A,FALSE,"OffAdvance";#N/A,#N/A,FALSE,"OffExpRprt";#N/A,#N/A,FALSE,"Entertmnt";#N/A,#N/A,FALSE,"Promotion";#N/A,#N/A,FALSE,"Travelling"}</definedName>
    <definedName name="jdfslsajdflasdkjpf" hidden="1">{#N/A,#N/A,FALSE,"OffAdvance";#N/A,#N/A,FALSE,"OffExpRprt";#N/A,#N/A,FALSE,"Entertmnt";#N/A,#N/A,FALSE,"Promotion";#N/A,#N/A,FALSE,"Travelling"}</definedName>
    <definedName name="jfgh" localSheetId="10" hidden="1">{"M1sPrint",#N/A,FALSE,"M1s"}</definedName>
    <definedName name="jfgh" localSheetId="11" hidden="1">{"M1sPrint",#N/A,FALSE,"M1s"}</definedName>
    <definedName name="jfgh" hidden="1">{"M1sPrint",#N/A,FALSE,"M1s"}</definedName>
    <definedName name="jgfhfg" localSheetId="10" hidden="1">{"M1sPrint",#N/A,FALSE,"M1s"}</definedName>
    <definedName name="jgfhfg" localSheetId="11" hidden="1">{"M1sPrint",#N/A,FALSE,"M1s"}</definedName>
    <definedName name="jgfhfg" hidden="1">{"M1sPrint",#N/A,FALSE,"M1s"}</definedName>
    <definedName name="jlj" localSheetId="10" hidden="1">{"M2aPrint",#N/A,FALSE,"M2a"}</definedName>
    <definedName name="jlj" localSheetId="11" hidden="1">{"M2aPrint",#N/A,FALSE,"M2a"}</definedName>
    <definedName name="jlj" hidden="1">{"M2aPrint",#N/A,FALSE,"M2a"}</definedName>
    <definedName name="jughn" localSheetId="10" hidden="1">{"M7_1Print",#N/A,TRUE,"M7_1";"M7_2Print",#N/A,TRUE,"M7_2"}</definedName>
    <definedName name="jughn" localSheetId="11" hidden="1">{"M7_1Print",#N/A,TRUE,"M7_1";"M7_2Print",#N/A,TRUE,"M7_2"}</definedName>
    <definedName name="jughn" hidden="1">{"M7_1Print",#N/A,TRUE,"M7_1";"M7_2Print",#N/A,TRUE,"M7_2"}</definedName>
    <definedName name="jytj" localSheetId="10" hidden="1">{"M7_1Print",#N/A,TRUE,"M7_1";"M7_2Print",#N/A,TRUE,"M7_2"}</definedName>
    <definedName name="jytj" localSheetId="11" hidden="1">{"M7_1Print",#N/A,TRUE,"M7_1";"M7_2Print",#N/A,TRUE,"M7_2"}</definedName>
    <definedName name="jytj" hidden="1">{"M7_1Print",#N/A,TRUE,"M7_1";"M7_2Print",#N/A,TRUE,"M7_2"}</definedName>
    <definedName name="K1_500减值测试2022" hidden="1">{#N/A,#N/A,TRUE,"CPRD";#N/A,#N/A,TRUE,"BCCPDR";#N/A,#N/A,TRUE,"EWRD";#N/A,#N/A,TRUE,"5100";#N/A,#N/A,TRUE,"5110"}</definedName>
    <definedName name="K2_WBEVMODE" hidden="1">-1</definedName>
    <definedName name="klj" localSheetId="10" hidden="1">{#N/A,#N/A,FALSE,"OffAdvance";#N/A,#N/A,FALSE,"OffExpRprt";#N/A,#N/A,FALSE,"Travelling";#N/A,#N/A,FALSE,"Entertmnt";#N/A,#N/A,FALSE,"Promotion"}</definedName>
    <definedName name="klj" localSheetId="11" hidden="1">{#N/A,#N/A,FALSE,"OffAdvance";#N/A,#N/A,FALSE,"OffExpRprt";#N/A,#N/A,FALSE,"Travelling";#N/A,#N/A,FALSE,"Entertmnt";#N/A,#N/A,FALSE,"Promotion"}</definedName>
    <definedName name="klj" hidden="1">{#N/A,#N/A,FALSE,"OffAdvance";#N/A,#N/A,FALSE,"OffExpRprt";#N/A,#N/A,FALSE,"Travelling";#N/A,#N/A,FALSE,"Entertmnt";#N/A,#N/A,FALSE,"Promotion"}</definedName>
    <definedName name="kljik" localSheetId="10" hidden="1">{#N/A,#N/A,FALSE,"OffAdvance";#N/A,#N/A,FALSE,"OffExpRprt";#N/A,#N/A,FALSE,"Entertmnt";#N/A,#N/A,FALSE,"Promotion";#N/A,#N/A,FALSE,"Travelling"}</definedName>
    <definedName name="kljik" localSheetId="11" hidden="1">{#N/A,#N/A,FALSE,"OffAdvance";#N/A,#N/A,FALSE,"OffExpRprt";#N/A,#N/A,FALSE,"Entertmnt";#N/A,#N/A,FALSE,"Promotion";#N/A,#N/A,FALSE,"Travelling"}</definedName>
    <definedName name="kljik" hidden="1">{#N/A,#N/A,FALSE,"OffAdvance";#N/A,#N/A,FALSE,"OffExpRprt";#N/A,#N/A,FALSE,"Entertmnt";#N/A,#N/A,FALSE,"Promotion";#N/A,#N/A,FALSE,"Travelling"}</definedName>
    <definedName name="kmk" localSheetId="10" hidden="1">{#N/A,#N/A,FALSE,"Marketing";#N/A,#N/A,FALSE,"Selling";#N/A,#N/A,FALSE,"Promotional";#N/A,#N/A,FALSE,"Advertising"}</definedName>
    <definedName name="kmk" localSheetId="11" hidden="1">{#N/A,#N/A,FALSE,"Marketing";#N/A,#N/A,FALSE,"Selling";#N/A,#N/A,FALSE,"Promotional";#N/A,#N/A,FALSE,"Advertising"}</definedName>
    <definedName name="kmk" hidden="1">{#N/A,#N/A,FALSE,"Marketing";#N/A,#N/A,FALSE,"Selling";#N/A,#N/A,FALSE,"Promotional";#N/A,#N/A,FALSE,"Advertising"}</definedName>
    <definedName name="kuj" localSheetId="10" hidden="1">{"M6Print",#N/A,FALSE,"M6";"M6_1Print",#N/A,FALSE,"M6_1";"M6_2Print",#N/A,FALSE,"M6_2"}</definedName>
    <definedName name="kuj" localSheetId="11" hidden="1">{"M6Print",#N/A,FALSE,"M6";"M6_1Print",#N/A,FALSE,"M6_1";"M6_2Print",#N/A,FALSE,"M6_2"}</definedName>
    <definedName name="kuj" hidden="1">{"M6Print",#N/A,FALSE,"M6";"M6_1Print",#N/A,FALSE,"M6_1";"M6_2Print",#N/A,FALSE,"M6_2"}</definedName>
    <definedName name="lbo" localSheetId="10" hidden="1">{#N/A,#N/A,FALSE,"Summary";#N/A,#N/A,FALSE,"Projections";#N/A,#N/A,FALSE,"Mkt Mults";#N/A,#N/A,FALSE,"DCF";#N/A,#N/A,FALSE,"Accr Dil";#N/A,#N/A,FALSE,"PIC LBO";#N/A,#N/A,FALSE,"MULT10_4";#N/A,#N/A,FALSE,"CBI LBO"}</definedName>
    <definedName name="lbo" localSheetId="11" hidden="1">{#N/A,#N/A,FALSE,"Summary";#N/A,#N/A,FALSE,"Projections";#N/A,#N/A,FALSE,"Mkt Mults";#N/A,#N/A,FALSE,"DCF";#N/A,#N/A,FALSE,"Accr Dil";#N/A,#N/A,FALSE,"PIC LBO";#N/A,#N/A,FALSE,"MULT10_4";#N/A,#N/A,FALSE,"CBI LBO"}</definedName>
    <definedName name="lbo" hidden="1">{#N/A,#N/A,FALSE,"Summary";#N/A,#N/A,FALSE,"Projections";#N/A,#N/A,FALSE,"Mkt Mults";#N/A,#N/A,FALSE,"DCF";#N/A,#N/A,FALSE,"Accr Dil";#N/A,#N/A,FALSE,"PIC LBO";#N/A,#N/A,FALSE,"MULT10_4";#N/A,#N/A,FALSE,"CBI LBO"}</definedName>
    <definedName name="ListOffset" hidden="1">1</definedName>
    <definedName name="lm" localSheetId="10" hidden="1">{#N/A,#N/A,FALSE,"970301";#N/A,#N/A,FALSE,"970302";#N/A,#N/A,FALSE,"970303";#N/A,#N/A,FALSE,"970304";#N/A,#N/A,FALSE,"COM1";#N/A,#N/A,FALSE,"COM2"}</definedName>
    <definedName name="lm" localSheetId="11" hidden="1">{#N/A,#N/A,FALSE,"970301";#N/A,#N/A,FALSE,"970302";#N/A,#N/A,FALSE,"970303";#N/A,#N/A,FALSE,"970304";#N/A,#N/A,FALSE,"COM1";#N/A,#N/A,FALSE,"COM2"}</definedName>
    <definedName name="lm" hidden="1">{#N/A,#N/A,FALSE,"970301";#N/A,#N/A,FALSE,"970302";#N/A,#N/A,FALSE,"970303";#N/A,#N/A,FALSE,"970304";#N/A,#N/A,FALSE,"COM1";#N/A,#N/A,FALSE,"COM2"}</definedName>
    <definedName name="lola" localSheetId="10" hidden="1">{#N/A,#N/A,FALSE,"PERSONAL";#N/A,#N/A,FALSE,"explotación";#N/A,#N/A,FALSE,"generales"}</definedName>
    <definedName name="lola" localSheetId="11" hidden="1">{#N/A,#N/A,FALSE,"PERSONAL";#N/A,#N/A,FALSE,"explotación";#N/A,#N/A,FALSE,"generales"}</definedName>
    <definedName name="lola" hidden="1">{#N/A,#N/A,FALSE,"PERSONAL";#N/A,#N/A,FALSE,"explotación";#N/A,#N/A,FALSE,"generales"}</definedName>
    <definedName name="lolal" localSheetId="10"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l" localSheetId="1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localSheetId="10" hidden="1">{#N/A,#N/A,FALSE,"voz corporativa";#N/A,#N/A,FALSE,"Transmisión de datos";#N/A,#N/A,FALSE,"Videoconferencia";#N/A,#N/A,FALSE,"Correo electrónico";#N/A,#N/A,FALSE,"Correo de voz";#N/A,#N/A,FALSE,"Megafax";#N/A,#N/A,FALSE,"Edi";#N/A,#N/A,FALSE,"Internet";#N/A,#N/A,FALSE,"VSAT";#N/A,#N/A,FALSE,"ing ult. milla"}</definedName>
    <definedName name="lolas" localSheetId="11" hidden="1">{#N/A,#N/A,FALSE,"voz corporativa";#N/A,#N/A,FALSE,"Transmisión de datos";#N/A,#N/A,FALSE,"Videoconferencia";#N/A,#N/A,FALSE,"Correo electrónico";#N/A,#N/A,FALSE,"Correo de voz";#N/A,#N/A,FALSE,"Megafax";#N/A,#N/A,FALSE,"Edi";#N/A,#N/A,FALSE,"Internet";#N/A,#N/A,FALSE,"VSAT";#N/A,#N/A,FALSE,"ing ult. milla"}</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localSheetId="10"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 localSheetId="1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0"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localSheetId="10" hidden="1">{"M1sPrint",#N/A,FALSE,"M1s"}</definedName>
    <definedName name="lu" localSheetId="11" hidden="1">{"M1sPrint",#N/A,FALSE,"M1s"}</definedName>
    <definedName name="lu" hidden="1">{"M1sPrint",#N/A,FALSE,"M1s"}</definedName>
    <definedName name="m" localSheetId="10" hidden="1">{#N/A,#N/A,FALSE,"Virgin Flightdeck"}</definedName>
    <definedName name="m" localSheetId="11" hidden="1">{#N/A,#N/A,FALSE,"Virgin Flightdeck"}</definedName>
    <definedName name="m" hidden="1">{#N/A,#N/A,FALSE,"Virgin Flightdeck"}</definedName>
    <definedName name="M_PlaceofPath" hidden="1">"F:\danders\COMPANY\HET\HET_VDF.XLS"</definedName>
    <definedName name="n" localSheetId="10" hidden="1">{"M2Print",#N/A,FALSE,"M2"}</definedName>
    <definedName name="n" localSheetId="11" hidden="1">{"M2Print",#N/A,FALSE,"M2"}</definedName>
    <definedName name="n" hidden="1">{"M2Print",#N/A,FALSE,"M2"}</definedName>
    <definedName name="nck"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localSheetId="10" hidden="1">{"M1Print",#N/A,TRUE,"M1";"M2Print",#N/A,TRUE,"M2";"M1sPrint",#N/A,TRUE,"M1s";"M2aPrint",#N/A,TRUE,"M2a";"M4Print",#N/A,TRUE,"M4";"M5Print",#N/A,TRUE,"M5";"M6Print",#N/A,TRUE,"M6";"M6_1Print",#N/A,TRUE,"M6_1";"M6_2Print",#N/A,TRUE,"M6_2";"M7_1Print",#N/A,TRUE,"M7_1";"M7_2Print",#N/A,TRUE,"M7_2"}</definedName>
    <definedName name="ngn" localSheetId="11" hidden="1">{"M1Print",#N/A,TRUE,"M1";"M2Print",#N/A,TRUE,"M2";"M1sPrint",#N/A,TRUE,"M1s";"M2aPrint",#N/A,TRUE,"M2a";"M4Print",#N/A,TRUE,"M4";"M5Print",#N/A,TRUE,"M5";"M6Print",#N/A,TRUE,"M6";"M6_1Print",#N/A,TRUE,"M6_1";"M6_2Print",#N/A,TRUE,"M6_2";"M7_1Print",#N/A,TRUE,"M7_1";"M7_2Print",#N/A,TRUE,"M7_2"}</definedName>
    <definedName name="ngn" hidden="1">{"M1Print",#N/A,TRUE,"M1";"M2Print",#N/A,TRUE,"M2";"M1sPrint",#N/A,TRUE,"M1s";"M2aPrint",#N/A,TRUE,"M2a";"M4Print",#N/A,TRUE,"M4";"M5Print",#N/A,TRUE,"M5";"M6Print",#N/A,TRUE,"M6";"M6_1Print",#N/A,TRUE,"M6_1";"M6_2Print",#N/A,TRUE,"M6_2";"M7_1Print",#N/A,TRUE,"M7_1";"M7_2Print",#N/A,TRUE,"M7_2"}</definedName>
    <definedName name="nmm" localSheetId="10" hidden="1">{#N/A,#N/A,FALSE,"Marketing";#N/A,#N/A,FALSE,"Selling";#N/A,#N/A,FALSE,"Promotional";#N/A,#N/A,FALSE,"Advertising"}</definedName>
    <definedName name="nmm" localSheetId="11" hidden="1">{#N/A,#N/A,FALSE,"Marketing";#N/A,#N/A,FALSE,"Selling";#N/A,#N/A,FALSE,"Promotional";#N/A,#N/A,FALSE,"Advertising"}</definedName>
    <definedName name="nmm" hidden="1">{#N/A,#N/A,FALSE,"Marketing";#N/A,#N/A,FALSE,"Selling";#N/A,#N/A,FALSE,"Promotional";#N/A,#N/A,FALSE,"Advertising"}</definedName>
    <definedName name="notused" localSheetId="2" hidden="1">{#N/A,#N/A,TRUE,"CPRD";#N/A,#N/A,TRUE,"BCCPDR";#N/A,#N/A,TRUE,"EWRD";#N/A,#N/A,TRUE,"5100";#N/A,#N/A,TRUE,"5110"}</definedName>
    <definedName name="notused" localSheetId="3" hidden="1">{#N/A,#N/A,TRUE,"CPRD";#N/A,#N/A,TRUE,"BCCPDR";#N/A,#N/A,TRUE,"EWRD";#N/A,#N/A,TRUE,"5100";#N/A,#N/A,TRUE,"5110"}</definedName>
    <definedName name="notused" localSheetId="10" hidden="1">{#N/A,#N/A,TRUE,"CPRD";#N/A,#N/A,TRUE,"BCCPDR";#N/A,#N/A,TRUE,"EWRD";#N/A,#N/A,TRUE,"5100";#N/A,#N/A,TRUE,"5110"}</definedName>
    <definedName name="notused" localSheetId="11" hidden="1">{#N/A,#N/A,TRUE,"CPRD";#N/A,#N/A,TRUE,"BCCPDR";#N/A,#N/A,TRUE,"EWRD";#N/A,#N/A,TRUE,"5100";#N/A,#N/A,TRUE,"5110"}</definedName>
    <definedName name="notused" localSheetId="9" hidden="1">{#N/A,#N/A,TRUE,"CPRD";#N/A,#N/A,TRUE,"BCCPDR";#N/A,#N/A,TRUE,"EWRD";#N/A,#N/A,TRUE,"5100";#N/A,#N/A,TRUE,"5110"}</definedName>
    <definedName name="notused" localSheetId="7" hidden="1">{#N/A,#N/A,TRUE,"CPRD";#N/A,#N/A,TRUE,"BCCPDR";#N/A,#N/A,TRUE,"EWRD";#N/A,#N/A,TRUE,"5100";#N/A,#N/A,TRUE,"5110"}</definedName>
    <definedName name="notused" hidden="1">{#N/A,#N/A,TRUE,"CPRD";#N/A,#N/A,TRUE,"BCCPDR";#N/A,#N/A,TRUE,"EWRD";#N/A,#N/A,TRUE,"5100";#N/A,#N/A,TRUE,"5110"}</definedName>
    <definedName name="ooiuy" localSheetId="10" hidden="1">{#N/A,#N/A,FALSE,"ABB HOLDING LTD"}</definedName>
    <definedName name="ooiuy" localSheetId="11" hidden="1">{#N/A,#N/A,FALSE,"ABB HOLDING LTD"}</definedName>
    <definedName name="ooiuy" hidden="1">{#N/A,#N/A,FALSE,"ABB HOLDING LTD"}</definedName>
    <definedName name="ooo" hidden="1">{#N/A,#N/A,FALSE,"Sales  total 9712";#N/A,#N/A,FALSE,"Sales  total 9712";#N/A,#N/A,FALSE,"Sales  total 9712";#N/A,#N/A,FALSE,"Sales  total 9712"}</definedName>
    <definedName name="OrderTable" hidden="1">#REF!</definedName>
    <definedName name="others" hidden="1">#REF!</definedName>
    <definedName name="Print_CSC_Report_2" localSheetId="10" hidden="1">{"CSC_1",#N/A,FALSE,"CSC Outputs";"CSC_2",#N/A,FALSE,"CSC Outputs"}</definedName>
    <definedName name="Print_CSC_Report_2" localSheetId="11" hidden="1">{"CSC_1",#N/A,FALSE,"CSC Outputs";"CSC_2",#N/A,FALSE,"CSC Outputs"}</definedName>
    <definedName name="Print_CSC_Report_2" hidden="1">{"CSC_1",#N/A,FALSE,"CSC Outputs";"CSC_2",#N/A,FALSE,"CSC Outputs"}</definedName>
    <definedName name="print_CSC_Report_22" localSheetId="10" hidden="1">{"CSC_1",#N/A,FALSE,"CSC Outputs";"CSC_2",#N/A,FALSE,"CSC Outputs"}</definedName>
    <definedName name="print_CSC_Report_22" localSheetId="11" hidden="1">{"CSC_1",#N/A,FALSE,"CSC Outputs";"CSC_2",#N/A,FALSE,"CSC Outputs"}</definedName>
    <definedName name="print_CSC_Report_22" hidden="1">{"CSC_1",#N/A,FALSE,"CSC Outputs";"CSC_2",#N/A,FALSE,"CSC Outputs"}</definedName>
    <definedName name="Print_CSC_Report_3" localSheetId="10" hidden="1">{"CSC_1",#N/A,FALSE,"CSC Outputs";"CSC_2",#N/A,FALSE,"CSC Outputs"}</definedName>
    <definedName name="Print_CSC_Report_3" localSheetId="11"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localSheetId="2" hidden="1">{"M2aPrint",#N/A,FALSE,"M2a"}</definedName>
    <definedName name="qwertyuiopasdfghjkl" localSheetId="3" hidden="1">{"M2aPrint",#N/A,FALSE,"M2a"}</definedName>
    <definedName name="qwertyuiopasdfghjkl" localSheetId="10" hidden="1">{"M2aPrint",#N/A,FALSE,"M2a"}</definedName>
    <definedName name="qwertyuiopasdfghjkl" localSheetId="11" hidden="1">{"M2aPrint",#N/A,FALSE,"M2a"}</definedName>
    <definedName name="qwertyuiopasdfghjkl" localSheetId="9" hidden="1">{"M2aPrint",#N/A,FALSE,"M2a"}</definedName>
    <definedName name="qwertyuiopasdfghjkl" localSheetId="7" hidden="1">{"M2aPrint",#N/A,FALSE,"M2a"}</definedName>
    <definedName name="qwertyuiopasdfghjkl" hidden="1">{"M2aPrint",#N/A,FALSE,"M2a"}</definedName>
    <definedName name="qwwertyuiop" localSheetId="2" hidden="1">{"M2Print",#N/A,FALSE,"M2"}</definedName>
    <definedName name="qwwertyuiop" localSheetId="3" hidden="1">{"M2Print",#N/A,FALSE,"M2"}</definedName>
    <definedName name="qwwertyuiop" localSheetId="10" hidden="1">{"M2Print",#N/A,FALSE,"M2"}</definedName>
    <definedName name="qwwertyuiop" localSheetId="11" hidden="1">{"M2Print",#N/A,FALSE,"M2"}</definedName>
    <definedName name="qwwertyuiop" localSheetId="9" hidden="1">{"M2Print",#N/A,FALSE,"M2"}</definedName>
    <definedName name="qwwertyuiop" localSheetId="7" hidden="1">{"M2Print",#N/A,FALSE,"M2"}</definedName>
    <definedName name="qwwertyuiop" hidden="1">{"M2Print",#N/A,FALSE,"M2"}</definedName>
    <definedName name="RCArea" hidden="1">#REF!</definedName>
    <definedName name="ReportPage1" localSheetId="10" hidden="1">{"Annual_Income",#N/A,FALSE,"Report Page";"Balance_Cash_Flow",#N/A,FALSE,"Report Page";"Quarterly_Income",#N/A,FALSE,"Report Page"}</definedName>
    <definedName name="ReportPage1" localSheetId="11" hidden="1">{"Annual_Income",#N/A,FALSE,"Report Page";"Balance_Cash_Flow",#N/A,FALSE,"Report Page";"Quarterly_Income",#N/A,FALSE,"Report Page"}</definedName>
    <definedName name="ReportPage1" hidden="1">{"Annual_Income",#N/A,FALSE,"Report Page";"Balance_Cash_Flow",#N/A,FALSE,"Report Page";"Quarterly_Income",#N/A,FALSE,"Report Page"}</definedName>
    <definedName name="rfsd" localSheetId="10" hidden="1">{#N/A,#N/A,FALSE,"ABB HOLDING LTD"}</definedName>
    <definedName name="rfsd" localSheetId="11" hidden="1">{#N/A,#N/A,FALSE,"ABB HOLDING LTD"}</definedName>
    <definedName name="rfsd" hidden="1">{#N/A,#N/A,FALSE,"ABB HOLDING LTD"}</definedName>
    <definedName name="RJE" localSheetId="10" hidden="1">{"toptrial",#N/A,TRUE,"toptrial";"adjustment",#N/A,TRUE,"toptrial";"voucher",#N/A,TRUE,"toptrial"}</definedName>
    <definedName name="RJE" localSheetId="11" hidden="1">{"toptrial",#N/A,TRUE,"toptrial";"adjustment",#N/A,TRUE,"toptrial";"voucher",#N/A,TRUE,"toptrial"}</definedName>
    <definedName name="RJE" hidden="1">{"toptrial",#N/A,TRUE,"toptrial";"adjustment",#N/A,TRUE,"toptrial";"voucher",#N/A,TRUE,"toptrial"}</definedName>
    <definedName name="rweqrerqw" localSheetId="10" hidden="1">{"CSC_1",#N/A,FALSE,"CSC Outputs";"CSC_2",#N/A,FALSE,"CSC Outputs"}</definedName>
    <definedName name="rweqrerqw" localSheetId="11" hidden="1">{"CSC_1",#N/A,FALSE,"CSC Outputs";"CSC_2",#N/A,FALSE,"CSC Outputs"}</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localSheetId="10" hidden="1">Main.SAPF4Help()</definedName>
    <definedName name="SAPFuncF4Help" localSheetId="11" hidden="1">Main.SAPF4Help()</definedName>
    <definedName name="SAPFuncF4Help" hidden="1">Main.SAPF4Help()</definedName>
    <definedName name="sdfs" localSheetId="10" hidden="1">{"M1sPrint",#N/A,FALSE,"M1s"}</definedName>
    <definedName name="sdfs" localSheetId="11" hidden="1">{"M1sPrint",#N/A,FALSE,"M1s"}</definedName>
    <definedName name="sdfs" hidden="1">{"M1sPrint",#N/A,FALSE,"M1s"}</definedName>
    <definedName name="Sheet1_BNE_MESSAGES" localSheetId="2" hidden="1">'K.00 Lead Sheet'!#REF!</definedName>
    <definedName name="Sheet1_BNE_MESSAGES" localSheetId="3" hidden="1">#REF!</definedName>
    <definedName name="Sheet1_BNE_MESSAGES" localSheetId="10" hidden="1">#REF!</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localSheetId="10" hidden="1">{#N/A,#N/A,FALSE,"Virgin Flightdeck"}</definedName>
    <definedName name="SHOA" localSheetId="11" hidden="1">{#N/A,#N/A,FALSE,"Virgin Flightdeck"}</definedName>
    <definedName name="SHOA" hidden="1">{#N/A,#N/A,FALSE,"Virgin Flightdeck"}</definedName>
    <definedName name="Snow" localSheetId="10" hidden="1">{#N/A,#N/A,FALSE,"Virgin Flightdeck"}</definedName>
    <definedName name="Snow" localSheetId="11"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localSheetId="10" hidden="1">{#N/A,#N/A,FALSE,"资产负债表";#N/A,#N/A,FALSE,"资产负债表"}</definedName>
    <definedName name="sssz" localSheetId="11" hidden="1">{#N/A,#N/A,FALSE,"资产负债表";#N/A,#N/A,FALSE,"资产负债表"}</definedName>
    <definedName name="sssz" hidden="1">{#N/A,#N/A,FALSE,"资产负债表";#N/A,#N/A,FALSE,"资产负债表"}</definedName>
    <definedName name="ste" localSheetId="10" hidden="1">{#N/A,#N/A,FALSE,"Virgin Flightdeck"}</definedName>
    <definedName name="ste" localSheetId="11" hidden="1">{#N/A,#N/A,FALSE,"Virgin Flightdeck"}</definedName>
    <definedName name="ste" hidden="1">{#N/A,#N/A,FALSE,"Virgin Flightdeck"}</definedName>
    <definedName name="Summary2" localSheetId="10" hidden="1">{#N/A,#N/A,FALSE,"FACTSHEETS";#N/A,#N/A,FALSE,"pump";#N/A,#N/A,FALSE,"filter"}</definedName>
    <definedName name="Summary2" localSheetId="11" hidden="1">{#N/A,#N/A,FALSE,"FACTSHEETS";#N/A,#N/A,FALSE,"pump";#N/A,#N/A,FALSE,"filter"}</definedName>
    <definedName name="Summary2" hidden="1">{#N/A,#N/A,FALSE,"FACTSHEETS";#N/A,#N/A,FALSE,"pump";#N/A,#N/A,FALSE,"filter"}</definedName>
    <definedName name="summary3" localSheetId="10" hidden="1">{#N/A,#N/A,FALSE,"Virgin Flightdeck"}</definedName>
    <definedName name="summary3" localSheetId="11" hidden="1">{#N/A,#N/A,FALSE,"Virgin Flightdeck"}</definedName>
    <definedName name="summary3" hidden="1">{#N/A,#N/A,FALSE,"Virgin Flightdeck"}</definedName>
    <definedName name="tbl_ProdInfo" hidden="1">#REF!</definedName>
    <definedName name="terh" localSheetId="10" hidden="1">{#N/A,#N/A,FALSE,"OffAdvance";#N/A,#N/A,FALSE,"OffExpRprt";#N/A,#N/A,FALSE,"Entertmnt";#N/A,#N/A,FALSE,"Promotion";#N/A,#N/A,FALSE,"Travelling"}</definedName>
    <definedName name="terh" localSheetId="11" hidden="1">{#N/A,#N/A,FALSE,"OffAdvance";#N/A,#N/A,FALSE,"OffExpRprt";#N/A,#N/A,FALSE,"Entertmnt";#N/A,#N/A,FALSE,"Promotion";#N/A,#N/A,FALSE,"Travelling"}</definedName>
    <definedName name="terh" hidden="1">{#N/A,#N/A,FALSE,"OffAdvance";#N/A,#N/A,FALSE,"OffExpRprt";#N/A,#N/A,FALSE,"Entertmnt";#N/A,#N/A,FALSE,"Promotion";#N/A,#N/A,FALSE,"Travelling"}</definedName>
    <definedName name="TextRefCopyRangeCount" hidden="1">4</definedName>
    <definedName name="tfhg" localSheetId="10" hidden="1">{"M1Print",#N/A,FALSE,"M1"}</definedName>
    <definedName name="tfhg" localSheetId="11" hidden="1">{"M1Print",#N/A,FALSE,"M1"}</definedName>
    <definedName name="tfhg" hidden="1">{"M1Print",#N/A,FALSE,"M1"}</definedName>
    <definedName name="the" localSheetId="10" hidden="1">{#N/A,#N/A,FALSE,"Marketing";#N/A,#N/A,FALSE,"Selling";#N/A,#N/A,FALSE,"Promotional";#N/A,#N/A,FALSE,"Advertising"}</definedName>
    <definedName name="the" localSheetId="11" hidden="1">{#N/A,#N/A,FALSE,"Marketing";#N/A,#N/A,FALSE,"Selling";#N/A,#N/A,FALSE,"Promotional";#N/A,#N/A,FALSE,"Advertising"}</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localSheetId="10" hidden="1">{#N/A,#N/A,FALSE,"Virgin Flightdeck"}</definedName>
    <definedName name="tta" localSheetId="11" hidden="1">{#N/A,#N/A,FALSE,"Virgin Flightdeck"}</definedName>
    <definedName name="tta" hidden="1">{#N/A,#N/A,FALSE,"Virgin Flightdeck"}</definedName>
    <definedName name="ufliuf" localSheetId="10" hidden="1">{#N/A,#N/A,FALSE,"Virgin Flightdeck"}</definedName>
    <definedName name="ufliuf" localSheetId="11" hidden="1">{#N/A,#N/A,FALSE,"Virgin Flightdeck"}</definedName>
    <definedName name="ufliuf" hidden="1">{#N/A,#N/A,FALSE,"Virgin Flightdeck"}</definedName>
    <definedName name="ulead" localSheetId="10" hidden="1">{#N/A,#N/A,FALSE,"970301";#N/A,#N/A,FALSE,"970302";#N/A,#N/A,FALSE,"970303";#N/A,#N/A,FALSE,"970304";#N/A,#N/A,FALSE,"COM1";#N/A,#N/A,FALSE,"COM2"}</definedName>
    <definedName name="ulead" localSheetId="11" hidden="1">{#N/A,#N/A,FALSE,"970301";#N/A,#N/A,FALSE,"970302";#N/A,#N/A,FALSE,"970303";#N/A,#N/A,FALSE,"970304";#N/A,#N/A,FALSE,"COM1";#N/A,#N/A,FALSE,"COM2"}</definedName>
    <definedName name="ulead" hidden="1">{#N/A,#N/A,FALSE,"970301";#N/A,#N/A,FALSE,"970302";#N/A,#N/A,FALSE,"970303";#N/A,#N/A,FALSE,"970304";#N/A,#N/A,FALSE,"COM1";#N/A,#N/A,FALSE,"COM2"}</definedName>
    <definedName name="uuuuuuuu" localSheetId="10" hidden="1">Main.SAPF4Help()</definedName>
    <definedName name="uuuuuuuu" localSheetId="11" hidden="1">Main.SAPF4Help()</definedName>
    <definedName name="uuuuuuuu" hidden="1">Main.SAPF4Help()</definedName>
    <definedName name="uygh" localSheetId="10" hidden="1">{"M6Print",#N/A,FALSE,"M6";"M6_1Print",#N/A,FALSE,"M6_1";"M6_2Print",#N/A,FALSE,"M6_2"}</definedName>
    <definedName name="uygh" localSheetId="11" hidden="1">{"M6Print",#N/A,FALSE,"M6";"M6_1Print",#N/A,FALSE,"M6_1";"M6_2Print",#N/A,FALSE,"M6_2"}</definedName>
    <definedName name="uygh" hidden="1">{"M6Print",#N/A,FALSE,"M6";"M6_1Print",#N/A,FALSE,"M6_1";"M6_2Print",#N/A,FALSE,"M6_2"}</definedName>
    <definedName name="vhvkb" localSheetId="10" hidden="1">{#N/A,#N/A,FALSE,"资产负债表";#N/A,#N/A,FALSE,"资产负债表"}</definedName>
    <definedName name="vhvkb" localSheetId="11" hidden="1">{#N/A,#N/A,FALSE,"资产负债表";#N/A,#N/A,FALSE,"资产负债表"}</definedName>
    <definedName name="vhvkb" hidden="1">{#N/A,#N/A,FALSE,"资产负债表";#N/A,#N/A,FALSE,"资产负债表"}</definedName>
    <definedName name="wacc" localSheetId="10" hidden="1">{#N/A,#N/A,FALSE,"Virgin Flightdeck"}</definedName>
    <definedName name="wacc" localSheetId="11" hidden="1">{#N/A,#N/A,FALSE,"Virgin Flightdeck"}</definedName>
    <definedName name="wacc" hidden="1">{#N/A,#N/A,FALSE,"Virgin Flightdeck"}</definedName>
    <definedName name="WACC_new" localSheetId="10" hidden="1">{#N/A,#N/A,FALSE,"Virgin Flightdeck"}</definedName>
    <definedName name="WACC_new" localSheetId="11" hidden="1">{#N/A,#N/A,FALSE,"Virgin Flightdeck"}</definedName>
    <definedName name="WACC_new" hidden="1">{#N/A,#N/A,FALSE,"Virgin Flightdeck"}</definedName>
    <definedName name="wacc1" localSheetId="10" hidden="1">{#N/A,#N/A,FALSE,"voz corporativa";#N/A,#N/A,FALSE,"Transmisión de datos";#N/A,#N/A,FALSE,"Videoconferencia";#N/A,#N/A,FALSE,"Correo electrónico";#N/A,#N/A,FALSE,"Correo de voz";#N/A,#N/A,FALSE,"Megafax";#N/A,#N/A,FALSE,"Edi";#N/A,#N/A,FALSE,"Internet";#N/A,#N/A,FALSE,"VSAT";#N/A,#N/A,FALSE,"ing ult. milla"}</definedName>
    <definedName name="wacc1" localSheetId="11" hidden="1">{#N/A,#N/A,FALSE,"voz corporativa";#N/A,#N/A,FALSE,"Transmisión de datos";#N/A,#N/A,FALSE,"Videoconferencia";#N/A,#N/A,FALSE,"Correo electrónico";#N/A,#N/A,FALSE,"Correo de voz";#N/A,#N/A,FALSE,"Megafax";#N/A,#N/A,FALSE,"Edi";#N/A,#N/A,FALSE,"Internet";#N/A,#N/A,FALSE,"VSAT";#N/A,#N/A,FALSE,"ing ult. milla"}</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localSheetId="10" hidden="1">{"page 1",#N/A,FALSE,"A";"page 2",#N/A,FALSE,"A";"page 3",#N/A,FALSE,"A";"page 4",#N/A,FALSE,"A";"page 5",#N/A,FALSE,"A";"page 6",#N/A,FALSE,"A";"page 7",#N/A,FALSE,"A";"page 8",#N/A,FALSE,"A";"page 9",#N/A,FALSE,"A";"page 10",#N/A,FALSE,"A";"page 11",#N/A,FALSE,"A";"page 12",#N/A,FALSE,"A";"page 13",#N/A,FALSE,"A";"page 14",#N/A,FALSE,"A"}</definedName>
    <definedName name="weqrerqwe" localSheetId="11" hidden="1">{"page 1",#N/A,FALSE,"A";"page 2",#N/A,FALSE,"A";"page 3",#N/A,FALSE,"A";"page 4",#N/A,FALSE,"A";"page 5",#N/A,FALSE,"A";"page 6",#N/A,FALSE,"A";"page 7",#N/A,FALSE,"A";"page 8",#N/A,FALSE,"A";"page 9",#N/A,FALSE,"A";"page 10",#N/A,FALSE,"A";"page 11",#N/A,FALSE,"A";"page 12",#N/A,FALSE,"A";"page 13",#N/A,FALSE,"A";"page 14",#N/A,FALSE,"A"}</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localSheetId="10" hidden="1">{#N/A,#N/A,FALSE,"Summary";#N/A,#N/A,FALSE,"Projections";#N/A,#N/A,FALSE,"Mkt Mults";#N/A,#N/A,FALSE,"DCF";#N/A,#N/A,FALSE,"Accr Dil";#N/A,#N/A,FALSE,"PIC LBO";#N/A,#N/A,FALSE,"MULT10_4";#N/A,#N/A,FALSE,"CBI LBO"}</definedName>
    <definedName name="whatisthis" localSheetId="11" hidden="1">{#N/A,#N/A,FALSE,"Summary";#N/A,#N/A,FALSE,"Projections";#N/A,#N/A,FALSE,"Mkt Mults";#N/A,#N/A,FALSE,"DCF";#N/A,#N/A,FALSE,"Accr Dil";#N/A,#N/A,FALSE,"PIC LBO";#N/A,#N/A,FALSE,"MULT10_4";#N/A,#N/A,FALSE,"CBI LBO"}</definedName>
    <definedName name="whatisthis" hidden="1">{#N/A,#N/A,FALSE,"Summary";#N/A,#N/A,FALSE,"Projections";#N/A,#N/A,FALSE,"Mkt Mults";#N/A,#N/A,FALSE,"DCF";#N/A,#N/A,FALSE,"Accr Dil";#N/A,#N/A,FALSE,"PIC LBO";#N/A,#N/A,FALSE,"MULT10_4";#N/A,#N/A,FALSE,"CBI LBO"}</definedName>
    <definedName name="whatisthissss" localSheetId="10" hidden="1">{#N/A,#N/A,FALSE,"IPO";#N/A,#N/A,FALSE,"DCF";#N/A,#N/A,FALSE,"LBO";#N/A,#N/A,FALSE,"MULT_VAL";#N/A,#N/A,FALSE,"Status Quo";#N/A,#N/A,FALSE,"Recap"}</definedName>
    <definedName name="whatisthissss" localSheetId="11" hidden="1">{#N/A,#N/A,FALSE,"IPO";#N/A,#N/A,FALSE,"DCF";#N/A,#N/A,FALSE,"LBO";#N/A,#N/A,FALSE,"MULT_VAL";#N/A,#N/A,FALSE,"Status Quo";#N/A,#N/A,FALSE,"Recap"}</definedName>
    <definedName name="whatisthissss" hidden="1">{#N/A,#N/A,FALSE,"IPO";#N/A,#N/A,FALSE,"DCF";#N/A,#N/A,FALSE,"LBO";#N/A,#N/A,FALSE,"MULT_VAL";#N/A,#N/A,FALSE,"Status Quo";#N/A,#N/A,FALSE,"Recap"}</definedName>
    <definedName name="whatisthisssss" localSheetId="10" hidden="1">{#N/A,#N/A,FALSE,"Summary";#N/A,#N/A,FALSE,"Projections";#N/A,#N/A,FALSE,"Mkt Mults";#N/A,#N/A,FALSE,"DCF";#N/A,#N/A,FALSE,"Accr Dil";#N/A,#N/A,FALSE,"PIC LBO";#N/A,#N/A,FALSE,"MULT10_4";#N/A,#N/A,FALSE,"CBI LBO"}</definedName>
    <definedName name="whatisthisssss" localSheetId="11" hidden="1">{#N/A,#N/A,FALSE,"Summary";#N/A,#N/A,FALSE,"Projections";#N/A,#N/A,FALSE,"Mkt Mults";#N/A,#N/A,FALSE,"DCF";#N/A,#N/A,FALSE,"Accr Dil";#N/A,#N/A,FALSE,"PIC LBO";#N/A,#N/A,FALSE,"MULT10_4";#N/A,#N/A,FALSE,"CBI LBO"}</definedName>
    <definedName name="whatisthisssss" hidden="1">{#N/A,#N/A,FALSE,"Summary";#N/A,#N/A,FALSE,"Projections";#N/A,#N/A,FALSE,"Mkt Mults";#N/A,#N/A,FALSE,"DCF";#N/A,#N/A,FALSE,"Accr Dil";#N/A,#N/A,FALSE,"PIC LBO";#N/A,#N/A,FALSE,"MULT10_4";#N/A,#N/A,FALSE,"CBI LBO"}</definedName>
    <definedName name="wq" localSheetId="10" hidden="1">{#N/A,#N/A,FALSE,"OffAdvance";#N/A,#N/A,FALSE,"OffExpRprt";#N/A,#N/A,FALSE,"Entertmnt";#N/A,#N/A,FALSE,"Promotion";#N/A,#N/A,FALSE,"Travelling"}</definedName>
    <definedName name="wq" localSheetId="11" hidden="1">{#N/A,#N/A,FALSE,"OffAdvance";#N/A,#N/A,FALSE,"OffExpRprt";#N/A,#N/A,FALSE,"Entertmnt";#N/A,#N/A,FALSE,"Promotion";#N/A,#N/A,FALSE,"Travelling"}</definedName>
    <definedName name="wq" hidden="1">{#N/A,#N/A,FALSE,"OffAdvance";#N/A,#N/A,FALSE,"OffExpRprt";#N/A,#N/A,FALSE,"Entertmnt";#N/A,#N/A,FALSE,"Promotion";#N/A,#N/A,FALSE,"Travelling"}</definedName>
    <definedName name="wqererwerwq" localSheetId="10"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qererwerwq" localSheetId="1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eqrqe"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localSheetId="10" hidden="1">{"Overview",#N/A,TRUE,"Trading Levels";"Overview",#N/A,TRUE,"Overview";"Overview",#N/A,TRUE,"Classic Qwest";"Overview",#N/A,TRUE,"US WEST";"Overview",#N/A,TRUE,"Wireless";"Overview",#N/A,TRUE,"DEX";"Overview",#N/A,TRUE,"Cash Flow";"Overview",#N/A,TRUE,"Debt and Interest";"Overview",#N/A,TRUE,"Coverage";"Overview",#N/A,TRUE,"Wk Cap"}</definedName>
    <definedName name="wrn.A." localSheetId="11" hidden="1">{"Overview",#N/A,TRUE,"Trading Levels";"Overview",#N/A,TRUE,"Overview";"Overview",#N/A,TRUE,"Classic Qwest";"Overview",#N/A,TRUE,"US WEST";"Overview",#N/A,TRUE,"Wireless";"Overview",#N/A,TRUE,"DEX";"Overview",#N/A,TRUE,"Cash Flow";"Overview",#N/A,TRUE,"Debt and Interest";"Overview",#N/A,TRUE,"Coverage";"Overview",#N/A,TRUE,"Wk Cap"}</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localSheetId="10" hidden="1">{#N/A,#N/A,FALSE,"A_D";#N/A,#N/A,FALSE,"WACC";#N/A,#N/A,FALSE,"DCF";#N/A,#N/A,FALSE,"A";#N/A,#N/A,FALSE,"LBO";#N/A,#N/A,FALSE,"C";#N/A,#N/A,FALSE,"impd";#N/A,#N/A,FALSE,"comps"}</definedName>
    <definedName name="wrn.A_VALUATION." localSheetId="11"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ccr_Dil." localSheetId="10" hidden="1">{#N/A,#N/A,FALSE,"Debt Accr";#N/A,#N/A,FALSE,"Stock Accr";#N/A,#N/A,FALSE,"Debt Stock Accr"}</definedName>
    <definedName name="wrn.Accr_Dil." localSheetId="11" hidden="1">{#N/A,#N/A,FALSE,"Debt Accr";#N/A,#N/A,FALSE,"Stock Accr";#N/A,#N/A,FALSE,"Debt Stock Accr"}</definedName>
    <definedName name="wrn.Accr_Dil." hidden="1">{#N/A,#N/A,FALSE,"Debt Accr";#N/A,#N/A,FALSE,"Stock Accr";#N/A,#N/A,FALSE,"Debt Stock Accr"}</definedName>
    <definedName name="wrn.Aging._.and._.Trend._.Analysis." localSheetId="2"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localSheetId="9"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2" hidden="1">{#N/A,#N/A,FALSE,"SUM";#N/A,#N/A,FALSE,"SK_TOT";#N/A,#N/A,FALSE,"YM";#N/A,#N/A,FALSE,"TSMC";#N/A,#N/A,FALSE,"ICW";#N/A,#N/A,FALSE,"Sheet1"}</definedName>
    <definedName name="wrn.ALL." localSheetId="3" hidden="1">{#N/A,#N/A,FALSE,"SUM";#N/A,#N/A,FALSE,"SK_TOT";#N/A,#N/A,FALSE,"YM";#N/A,#N/A,FALSE,"TSMC";#N/A,#N/A,FALSE,"ICW";#N/A,#N/A,FALSE,"Sheet1"}</definedName>
    <definedName name="wrn.ALL." localSheetId="10" hidden="1">{#N/A,#N/A,FALSE,"SUM";#N/A,#N/A,FALSE,"SK_TOT";#N/A,#N/A,FALSE,"YM";#N/A,#N/A,FALSE,"TSMC";#N/A,#N/A,FALSE,"ICW";#N/A,#N/A,FALSE,"Sheet1"}</definedName>
    <definedName name="wrn.ALL." localSheetId="11" hidden="1">{#N/A,#N/A,FALSE,"SUM";#N/A,#N/A,FALSE,"SK_TOT";#N/A,#N/A,FALSE,"YM";#N/A,#N/A,FALSE,"TSMC";#N/A,#N/A,FALSE,"ICW";#N/A,#N/A,FALSE,"Sheet1"}</definedName>
    <definedName name="wrn.ALL." localSheetId="9" hidden="1">{#N/A,#N/A,FALSE,"SUM";#N/A,#N/A,FALSE,"SK_TOT";#N/A,#N/A,FALSE,"YM";#N/A,#N/A,FALSE,"TSMC";#N/A,#N/A,FALSE,"ICW";#N/A,#N/A,FALSE,"Sheet1"}</definedName>
    <definedName name="wrn.ALL." localSheetId="7" hidden="1">{#N/A,#N/A,FALSE,"SUM";#N/A,#N/A,FALSE,"SK_TOT";#N/A,#N/A,FALSE,"YM";#N/A,#N/A,FALSE,"TSMC";#N/A,#N/A,FALSE,"ICW";#N/A,#N/A,FALSE,"Sheet1"}</definedName>
    <definedName name="wrn.ALL." hidden="1">{#N/A,#N/A,FALSE,"SUM";#N/A,#N/A,FALSE,"SK_TOT";#N/A,#N/A,FALSE,"YM";#N/A,#N/A,FALSE,"TSMC";#N/A,#N/A,FALSE,"ICW";#N/A,#N/A,FALSE,"Sheet1"}</definedName>
    <definedName name="wrn.all._.gulp._.sheets." localSheetId="1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1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localSheetId="10" hidden="1">{#N/A,#N/A,FALSE,"puboff";#N/A,#N/A,FALSE,"financials";#N/A,#N/A,FALSE,"valuation";#N/A,#N/A,FALSE,"split"}</definedName>
    <definedName name="wrn.ALL._.PAGES." localSheetId="11" hidden="1">{#N/A,#N/A,FALSE,"puboff";#N/A,#N/A,FALSE,"financials";#N/A,#N/A,FALSE,"valuation";#N/A,#N/A,FALSE,"split"}</definedName>
    <definedName name="wrn.ALL._.PAGES." hidden="1">{#N/A,#N/A,FALSE,"puboff";#N/A,#N/A,FALSE,"financials";#N/A,#N/A,FALSE,"valuation";#N/A,#N/A,FALSE,"split"}</definedName>
    <definedName name="wrn.ALL._.SHEETS." localSheetId="10" hidden="1">{#N/A,#N/A,FALSE,"Adj Proj";#N/A,#N/A,FALSE,"Sheet1";#N/A,#N/A,FALSE,"LBO";#N/A,#N/A,FALSE,"LBOMER";#N/A,#N/A,FALSE,"WACC";#N/A,#N/A,FALSE,"DCF";#N/A,#N/A,FALSE,"DCFMER";#N/A,#N/A,FALSE,"Pooling";#N/A,#N/A,FALSE,"income";#N/A,#N/A,FALSE,"Offer"}</definedName>
    <definedName name="wrn.ALL._.SHEETS." localSheetId="11"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Worksheets." localSheetId="10"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Worksheets." localSheetId="11"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10" hidden="1">{"M1Print",#N/A,TRUE,"M1";"M2Print",#N/A,TRUE,"M2";"M1sPrint",#N/A,TRUE,"M1s";"M2aPrint",#N/A,TRUE,"M2a";"M4Print",#N/A,TRUE,"M4";"M5Print",#N/A,TRUE,"M5";"M6Print",#N/A,TRUE,"M6";"M6_1Print",#N/A,TRUE,"M6_1";"M6_2Print",#N/A,TRUE,"M6_2";"M7_1Print",#N/A,TRUE,"M7_1";"M7_2Print",#N/A,TRUE,"M7_2"}</definedName>
    <definedName name="wrn.all._M._.Scheduleds。1" localSheetId="1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localSheetId="10" hidden="1">{#N/A,#N/A,FALSE,"Summary";#N/A,#N/A,FALSE,"Projections";#N/A,#N/A,FALSE,"Mkt Mults";#N/A,#N/A,FALSE,"DCF";#N/A,#N/A,FALSE,"Accr Dil";#N/A,#N/A,FALSE,"PIC LBO";#N/A,#N/A,FALSE,"MULT10_4";#N/A,#N/A,FALSE,"CBI LBO"}</definedName>
    <definedName name="wrn.All_Models." localSheetId="11"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Sheets." localSheetId="10" hidden="1">{#N/A,#N/A,FALSE,"Projections";#N/A,#N/A,FALSE,"Contribution_Stock";#N/A,#N/A,FALSE,"PF_Combo_Stock";#N/A,#N/A,FALSE,"Projections";#N/A,#N/A,FALSE,"Contribution_Cash";#N/A,#N/A,FALSE,"PF_Combo_Cash";#N/A,#N/A,FALSE,"IPO_Cash"}</definedName>
    <definedName name="wrn.All_Sheets." localSheetId="11"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butPREMIUM."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10" hidden="1">{#N/A,#N/A,FALSE,"AD_Purchase";#N/A,#N/A,FALSE,"Credit";#N/A,#N/A,FALSE,"PF Acquisition";#N/A,#N/A,FALSE,"PF Offering"}</definedName>
    <definedName name="wrn.AllModels." localSheetId="11" hidden="1">{#N/A,#N/A,FALSE,"AD_Purchase";#N/A,#N/A,FALSE,"Credit";#N/A,#N/A,FALSE,"PF Acquisition";#N/A,#N/A,FALSE,"PF Offering"}</definedName>
    <definedName name="wrn.AllModels." hidden="1">{#N/A,#N/A,FALSE,"AD_Purchase";#N/A,#N/A,FALSE,"Credit";#N/A,#N/A,FALSE,"PF Acquisition";#N/A,#N/A,FALSE,"PF Offering"}</definedName>
    <definedName name="wrn.ANALYSIS._.9507." localSheetId="10" hidden="1">{#N/A,#N/A,FALSE,"ABB HOLDING LTD"}</definedName>
    <definedName name="wrn.ANALYSIS._.9507." localSheetId="11" hidden="1">{#N/A,#N/A,FALSE,"ABB HOLDING LTD"}</definedName>
    <definedName name="wrn.ANALYSIS._.9507." hidden="1">{#N/A,#N/A,FALSE,"ABB HOLDING LTD"}</definedName>
    <definedName name="WRN.ANALYSIS._.9511." localSheetId="10" hidden="1">{#N/A,#N/A,FALSE,"ABB HOLDING LTD"}</definedName>
    <definedName name="WRN.ANALYSIS._.9511." localSheetId="11" hidden="1">{#N/A,#N/A,FALSE,"ABB HOLDING LTD"}</definedName>
    <definedName name="WRN.ANALYSIS._.9511." hidden="1">{#N/A,#N/A,FALSE,"ABB HOLDING LTD"}</definedName>
    <definedName name="wrn.Anixter." localSheetId="10" hidden="1">{#N/A,#N/A,FALSE,"Gao Jia Cheng, Jeffery";#N/A,#N/A,FALSE,"Dennis Pak - Feb to Mar 97";#N/A,#N/A,FALSE,"Dennis Pak - Jan 97";#N/A,#N/A,FALSE,"Dennis Pak - Jun to Dec 96"}</definedName>
    <definedName name="wrn.Anixter." localSheetId="11" hidden="1">{#N/A,#N/A,FALSE,"Gao Jia Cheng, Jeffery";#N/A,#N/A,FALSE,"Dennis Pak - Feb to Mar 97";#N/A,#N/A,FALSE,"Dennis Pak - Jan 97";#N/A,#N/A,FALSE,"Dennis Pak - Jun to Dec 96"}</definedName>
    <definedName name="wrn.Anixter." hidden="1">{#N/A,#N/A,FALSE,"Gao Jia Cheng, Jeffery";#N/A,#N/A,FALSE,"Dennis Pak - Feb to Mar 97";#N/A,#N/A,FALSE,"Dennis Pak - Jan 97";#N/A,#N/A,FALSE,"Dennis Pak - Jun to Dec 96"}</definedName>
    <definedName name="wrn.Asia."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localSheetId="10" hidden="1">{#N/A,#N/A,FALSE,"TSUM";#N/A,#N/A,FALSE,"shares";#N/A,#N/A,FALSE,"earnout";#N/A,#N/A,FALSE,"Heaty";#N/A,#N/A,FALSE,"self-tend";#N/A,#N/A,FALSE,"self-sum"}</definedName>
    <definedName name="wrn.basics." localSheetId="11" hidden="1">{#N/A,#N/A,FALSE,"TSUM";#N/A,#N/A,FALSE,"shares";#N/A,#N/A,FALSE,"earnout";#N/A,#N/A,FALSE,"Heaty";#N/A,#N/A,FALSE,"self-tend";#N/A,#N/A,FALSE,"self-sum"}</definedName>
    <definedName name="wrn.basics." hidden="1">{#N/A,#N/A,FALSE,"TSUM";#N/A,#N/A,FALSE,"shares";#N/A,#N/A,FALSE,"earnout";#N/A,#N/A,FALSE,"Heaty";#N/A,#N/A,FALSE,"self-tend";#N/A,#N/A,FALSE,"self-sum"}</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2" hidden="1">{#N/A,#N/A,FALSE,"M1s Board";#N/A,#N/A,FALSE,"M3 Board";#N/A,#N/A,FALSE,"M6 Board";#N/A,#N/A,FALSE,"M7";#N/A,#N/A,FALSE,"M7B";#N/A,#N/A,FALSE,"M8";#N/A,#N/A,FALSE,"M8A Board";#N/A,#N/A,FALSE,"AF1 Board"}</definedName>
    <definedName name="wrn.Board._.Reports." localSheetId="3" hidden="1">{#N/A,#N/A,FALSE,"M1s Board";#N/A,#N/A,FALSE,"M3 Board";#N/A,#N/A,FALSE,"M6 Board";#N/A,#N/A,FALSE,"M7";#N/A,#N/A,FALSE,"M7B";#N/A,#N/A,FALSE,"M8";#N/A,#N/A,FALSE,"M8A Board";#N/A,#N/A,FALSE,"AF1 Board"}</definedName>
    <definedName name="wrn.Board._.Reports." localSheetId="10" hidden="1">{#N/A,#N/A,FALSE,"M1s Board";#N/A,#N/A,FALSE,"M3 Board";#N/A,#N/A,FALSE,"M6 Board";#N/A,#N/A,FALSE,"M7";#N/A,#N/A,FALSE,"M7B";#N/A,#N/A,FALSE,"M8";#N/A,#N/A,FALSE,"M8A Board";#N/A,#N/A,FALSE,"AF1 Board"}</definedName>
    <definedName name="wrn.Board._.Reports." localSheetId="11" hidden="1">{#N/A,#N/A,FALSE,"M1s Board";#N/A,#N/A,FALSE,"M3 Board";#N/A,#N/A,FALSE,"M6 Board";#N/A,#N/A,FALSE,"M7";#N/A,#N/A,FALSE,"M7B";#N/A,#N/A,FALSE,"M8";#N/A,#N/A,FALSE,"M8A Board";#N/A,#N/A,FALSE,"AF1 Board"}</definedName>
    <definedName name="wrn.Board._.Reports." localSheetId="9" hidden="1">{#N/A,#N/A,FALSE,"M1s Board";#N/A,#N/A,FALSE,"M3 Board";#N/A,#N/A,FALSE,"M6 Board";#N/A,#N/A,FALSE,"M7";#N/A,#N/A,FALSE,"M7B";#N/A,#N/A,FALSE,"M8";#N/A,#N/A,FALSE,"M8A Board";#N/A,#N/A,FALSE,"AF1 Board"}</definedName>
    <definedName name="wrn.Board._.Reports." localSheetId="7"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budget." localSheetId="10" hidden="1">{#N/A,#N/A,FALSE,"SummByYr";#N/A,#N/A,FALSE,"DetailByYr";#N/A,#N/A,FALSE,"SummByQtr";#N/A,#N/A,FALSE,"SummByMon";#N/A,#N/A,FALSE,"DetailByQtr";#N/A,#N/A,FALSE,"DetailByMon";#N/A,#N/A,FALSE,"StationYTD";#N/A,#N/A,FALSE,"StationYr";#N/A,#N/A,FALSE,"StationMon";#N/A,#N/A,FALSE,"Actual97";#N/A,#N/A,FALSE,"Actual96";#N/A,#N/A,FALSE,"Actual95";#N/A,#N/A,FALSE,"Actual94"}</definedName>
    <definedName name="wrn.budget." localSheetId="11" hidden="1">{#N/A,#N/A,FALSE,"SummByYr";#N/A,#N/A,FALSE,"DetailByYr";#N/A,#N/A,FALSE,"SummByQtr";#N/A,#N/A,FALSE,"SummByMon";#N/A,#N/A,FALSE,"DetailByQtr";#N/A,#N/A,FALSE,"DetailByMon";#N/A,#N/A,FALSE,"StationYTD";#N/A,#N/A,FALSE,"StationYr";#N/A,#N/A,FALSE,"StationMon";#N/A,#N/A,FALSE,"Actual97";#N/A,#N/A,FALSE,"Actual96";#N/A,#N/A,FALSE,"Actual95";#N/A,#N/A,FALSE,"Actual94"}</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localSheetId="10" hidden="1">{#N/A,#N/A,FALSE,"Sheet1";#N/A,#N/A,FALSE,"Summary";#N/A,#N/A,FALSE,"proj1";#N/A,#N/A,FALSE,"proj2"}</definedName>
    <definedName name="wrn.bullshit1." localSheetId="11" hidden="1">{#N/A,#N/A,FALSE,"Sheet1";#N/A,#N/A,FALSE,"Summary";#N/A,#N/A,FALSE,"proj1";#N/A,#N/A,FALSE,"proj2"}</definedName>
    <definedName name="wrn.bullshit1." hidden="1">{#N/A,#N/A,FALSE,"Sheet1";#N/A,#N/A,FALSE,"Summary";#N/A,#N/A,FALSE,"proj1";#N/A,#N/A,FALSE,"proj2"}</definedName>
    <definedName name="wrn.contribution." localSheetId="10" hidden="1">{#N/A,#N/A,FALSE,"Contribution Analysis"}</definedName>
    <definedName name="wrn.contribution." localSheetId="11" hidden="1">{#N/A,#N/A,FALSE,"Contribution Analysis"}</definedName>
    <definedName name="wrn.contribution." hidden="1">{#N/A,#N/A,FALSE,"Contribution Analysis"}</definedName>
    <definedName name="wrn.Cover." localSheetId="10" hidden="1">{"coverall",#N/A,FALSE,"Definitions";"cover1",#N/A,FALSE,"Definitions";"cover2",#N/A,FALSE,"Definitions";"cover3",#N/A,FALSE,"Definitions";"cover4",#N/A,FALSE,"Definitions";"cover5",#N/A,FALSE,"Definitions";"blank",#N/A,FALSE,"Definitions"}</definedName>
    <definedName name="wrn.Cover." localSheetId="11"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sc." localSheetId="10" hidden="1">{"orixcsc",#N/A,FALSE,"ORIX CSC";"orixcsc2",#N/A,FALSE,"ORIX CSC"}</definedName>
    <definedName name="wrn.csc." localSheetId="11" hidden="1">{"orixcsc",#N/A,FALSE,"ORIX CSC";"orixcsc2",#N/A,FALSE,"ORIX CSC"}</definedName>
    <definedName name="wrn.csc." hidden="1">{"orixcsc",#N/A,FALSE,"ORIX CSC";"orixcsc2",#N/A,FALSE,"ORIX CSC"}</definedName>
    <definedName name="wrn.csc2." localSheetId="10" hidden="1">{#N/A,#N/A,FALSE,"ORIX CSC"}</definedName>
    <definedName name="wrn.csc2." localSheetId="11" hidden="1">{#N/A,#N/A,FALSE,"ORIX CSC"}</definedName>
    <definedName name="wrn.csc2." hidden="1">{#N/A,#N/A,FALSE,"ORIX CSC"}</definedName>
    <definedName name="wrn.Current_External." localSheetId="10" hidden="1">{"Current_View",#N/A,TRUE,"P&amp;L - External";#N/A,#N/A,TRUE,"Backlog";#N/A,#N/A,TRUE,"Revenue";#N/A,#N/A,TRUE,"Std Margin";#N/A,#N/A,TRUE,"Waterfall - External"}</definedName>
    <definedName name="wrn.Current_External." localSheetId="11" hidden="1">{"Current_View",#N/A,TRUE,"P&amp;L - External";#N/A,#N/A,TRUE,"Backlog";#N/A,#N/A,TRUE,"Revenue";#N/A,#N/A,TRUE,"Std Margin";#N/A,#N/A,TRUE,"Waterfall - External"}</definedName>
    <definedName name="wrn.Current_External." hidden="1">{"Current_View",#N/A,TRUE,"P&amp;L - External";#N/A,#N/A,TRUE,"Backlog";#N/A,#N/A,TRUE,"Revenue";#N/A,#N/A,TRUE,"Std Margin";#N/A,#N/A,TRUE,"Waterfall - External"}</definedName>
    <definedName name="wrn.Current_Internal." localSheetId="10" hidden="1">{"Current_View",#N/A,TRUE,"P&amp;L";#N/A,#N/A,TRUE,"Backlog";#N/A,#N/A,TRUE,"Revenue";#N/A,#N/A,TRUE,"Std Margin";#N/A,#N/A,TRUE,"Waterfall"}</definedName>
    <definedName name="wrn.Current_Internal." localSheetId="11" hidden="1">{"Current_View",#N/A,TRUE,"P&amp;L";#N/A,#N/A,TRUE,"Backlog";#N/A,#N/A,TRUE,"Revenue";#N/A,#N/A,TRUE,"Std Margin";#N/A,#N/A,TRUE,"Waterfall"}</definedName>
    <definedName name="wrn.Current_Internal." hidden="1">{"Current_View",#N/A,TRUE,"P&amp;L";#N/A,#N/A,TRUE,"Backlog";#N/A,#N/A,TRUE,"Revenue";#N/A,#N/A,TRUE,"Std Margin";#N/A,#N/A,TRUE,"Waterfall"}</definedName>
    <definedName name="wrn.dcf." localSheetId="10" hidden="1">{"mgmt forecast",#N/A,FALSE,"Mgmt Forecast";"dcf table",#N/A,FALSE,"Mgmt Forecast";"sensitivity",#N/A,FALSE,"Mgmt Forecast";"table inputs",#N/A,FALSE,"Mgmt Forecast";"calculations",#N/A,FALSE,"Mgmt Forecast"}</definedName>
    <definedName name="wrn.dcf." localSheetId="11"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eposit._.By._.Day." localSheetId="10" hidden="1">{#N/A,#N/A,FALSE,"Deposits by day"}</definedName>
    <definedName name="wrn.Deposit._.By._.Day." localSheetId="11" hidden="1">{#N/A,#N/A,FALSE,"Deposits by day"}</definedName>
    <definedName name="wrn.Deposit._.By._.Day." localSheetId="9" hidden="1">{#N/A,#N/A,FALSE,"Deposits by day"}</definedName>
    <definedName name="wrn.Deposit._.By._.Day." localSheetId="7" hidden="1">{#N/A,#N/A,FALSE,"Deposits by day"}</definedName>
    <definedName name="wrn.Deposit._.By._.Day." hidden="1">{#N/A,#N/A,FALSE,"Deposits by day"}</definedName>
    <definedName name="wrn.Deptartment._.Expenses." localSheetId="2" hidden="1">{#N/A,#N/A,TRUE,"CPRD";#N/A,#N/A,TRUE,"BCCPDR";#N/A,#N/A,TRUE,"EWRD";#N/A,#N/A,TRUE,"5100";#N/A,#N/A,TRUE,"5110"}</definedName>
    <definedName name="wrn.Deptartment._.Expenses." localSheetId="3" hidden="1">{#N/A,#N/A,TRUE,"CPRD";#N/A,#N/A,TRUE,"BCCPDR";#N/A,#N/A,TRUE,"EWRD";#N/A,#N/A,TRUE,"5100";#N/A,#N/A,TRUE,"5110"}</definedName>
    <definedName name="wrn.Deptartment._.Expenses." localSheetId="10" hidden="1">{#N/A,#N/A,TRUE,"CPRD";#N/A,#N/A,TRUE,"BCCPDR";#N/A,#N/A,TRUE,"EWRD";#N/A,#N/A,TRUE,"5100";#N/A,#N/A,TRUE,"5110"}</definedName>
    <definedName name="wrn.Deptartment._.Expenses." localSheetId="11" hidden="1">{#N/A,#N/A,TRUE,"CPRD";#N/A,#N/A,TRUE,"BCCPDR";#N/A,#N/A,TRUE,"EWRD";#N/A,#N/A,TRUE,"5100";#N/A,#N/A,TRUE,"5110"}</definedName>
    <definedName name="wrn.Deptartment._.Expenses." localSheetId="9" hidden="1">{#N/A,#N/A,TRUE,"CPRD";#N/A,#N/A,TRUE,"BCCPDR";#N/A,#N/A,TRUE,"EWRD";#N/A,#N/A,TRUE,"5100";#N/A,#N/A,TRUE,"5110"}</definedName>
    <definedName name="wrn.Deptartment._.Expenses." localSheetId="7" hidden="1">{#N/A,#N/A,TRUE,"CPRD";#N/A,#N/A,TRUE,"BCCPDR";#N/A,#N/A,TRUE,"EWRD";#N/A,#N/A,TRUE,"5100";#N/A,#N/A,TRUE,"5110"}</definedName>
    <definedName name="wrn.Deptartment._.Expenses." hidden="1">{#N/A,#N/A,TRUE,"CPRD";#N/A,#N/A,TRUE,"BCCPDR";#N/A,#N/A,TRUE,"EWRD";#N/A,#N/A,TRUE,"5100";#N/A,#N/A,TRUE,"5110"}</definedName>
    <definedName name="wrn.Detail._.income._.and._.expense." localSheetId="10" hidden="1">{#N/A,#N/A,TRUE,"Assumptions";#N/A,#N/A,TRUE,"Revenue &amp; Direct Expense";#N/A,#N/A,TRUE,"Indirect Expense"}</definedName>
    <definedName name="wrn.Detail._.income._.and._.expense." localSheetId="11" hidden="1">{#N/A,#N/A,TRUE,"Assumptions";#N/A,#N/A,TRUE,"Revenue &amp; Direct Expense";#N/A,#N/A,TRUE,"Indirect Expense"}</definedName>
    <definedName name="wrn.Detail._.income._.and._.expense." hidden="1">{#N/A,#N/A,TRUE,"Assumptions";#N/A,#N/A,TRUE,"Revenue &amp; Direct Expense";#N/A,#N/A,TRUE,"Indirect Expense"}</definedName>
    <definedName name="wrn.dir." localSheetId="10" hidden="1">{#N/A,#N/A,FALSE,"Dir. Marketing_Summary";#N/A,#N/A,FALSE,"Infolink";#N/A,#N/A,FALSE,"Direct";#N/A,#N/A,FALSE,"Med_Marketing";#N/A,#N/A,FALSE,"Dimac_1";#N/A,#N/A,FALSE,"Dimac_2";#N/A,#N/A,FALSE,"Vantage";#N/A,#N/A,FALSE,"Tomahawk";#N/A,#N/A,FALSE,"BofA";#N/A,#N/A,FALSE,"Epsilon";#N/A,#N/A,FALSE,"Epsilon"}</definedName>
    <definedName name="wrn.dir." localSheetId="11" hidden="1">{#N/A,#N/A,FALSE,"Dir. Marketing_Summary";#N/A,#N/A,FALSE,"Infolink";#N/A,#N/A,FALSE,"Direct";#N/A,#N/A,FALSE,"Med_Marketing";#N/A,#N/A,FALSE,"Dimac_1";#N/A,#N/A,FALSE,"Dimac_2";#N/A,#N/A,FALSE,"Vantage";#N/A,#N/A,FALSE,"Tomahawk";#N/A,#N/A,FALSE,"BofA";#N/A,#N/A,FALSE,"Epsilon";#N/A,#N/A,FALSE,"Epsilon"}</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10" hidden="1">{#N/A,#N/A,FALSE,"YTCHAN";#N/A,#N/A,FALSE,"TOMMY";#N/A,#N/A,FALSE,"REP.OFFICE";#N/A,#N/A,FALSE,"E&amp;Y_CONSULTANT";#N/A,#N/A,FALSE,"BT &amp; CIT"}</definedName>
    <definedName name="wrn.ERNST." localSheetId="11" hidden="1">{#N/A,#N/A,FALSE,"YTCHAN";#N/A,#N/A,FALSE,"TOMMY";#N/A,#N/A,FALSE,"REP.OFFICE";#N/A,#N/A,FALSE,"E&amp;Y_CONSULTANT";#N/A,#N/A,FALSE,"BT &amp; CIT"}</definedName>
    <definedName name="wrn.ERNST." hidden="1">{#N/A,#N/A,FALSE,"YTCHAN";#N/A,#N/A,FALSE,"TOMMY";#N/A,#N/A,FALSE,"REP.OFFICE";#N/A,#N/A,FALSE,"E&amp;Y_CONSULTANT";#N/A,#N/A,FALSE,"BT &amp; CIT"}</definedName>
    <definedName name="wrn.Europe." localSheetId="1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0"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1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localSheetId="10" hidden="1">{"External_Annual_Income",#N/A,FALSE,"External";"External_Quarterly_Income",#N/A,FALSE,"External"}</definedName>
    <definedName name="wrn.External." localSheetId="11" hidden="1">{"External_Annual_Income",#N/A,FALSE,"External";"External_Quarterly_Income",#N/A,FALSE,"External"}</definedName>
    <definedName name="wrn.External." hidden="1">{"External_Annual_Income",#N/A,FALSE,"External";"External_Quarterly_Income",#N/A,FALSE,"External"}</definedName>
    <definedName name="wrn.external.2" localSheetId="10" hidden="1">{"External_Annual_Income",#N/A,FALSE,"External";"External_Quarterly_Income",#N/A,FALSE,"External"}</definedName>
    <definedName name="wrn.external.2" localSheetId="11" hidden="1">{"External_Annual_Income",#N/A,FALSE,"External";"External_Quarterly_Income",#N/A,FALSE,"External"}</definedName>
    <definedName name="wrn.external.2" hidden="1">{"External_Annual_Income",#N/A,FALSE,"External";"External_Quarterly_Income",#N/A,FALSE,"External"}</definedName>
    <definedName name="wrn.Filter." localSheetId="10" hidden="1">{#N/A,#N/A,FALSE,"Assump2";#N/A,#N/A,FALSE,"Income2";#N/A,#N/A,FALSE,"Balance2";#N/A,#N/A,FALSE,"DCF Filter";#N/A,#N/A,FALSE,"Trans Assump2";#N/A,#N/A,FALSE,"Combined Income2";#N/A,#N/A,FALSE,"Combined Balance2"}</definedName>
    <definedName name="wrn.Filter." localSheetId="11"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ancial._.Report." localSheetId="10"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1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localSheetId="10" hidden="1">{"Overview",#N/A,FALSE,"Overview";"Overview",#N/A,FALSE,"Classic Qwest"}</definedName>
    <definedName name="wrn.Financials." localSheetId="11" hidden="1">{"Overview",#N/A,FALSE,"Overview";"Overview",#N/A,FALSE,"Classic Qwest"}</definedName>
    <definedName name="wrn.Financials." hidden="1">{"Overview",#N/A,FALSE,"Overview";"Overview",#N/A,FALSE,"Classic Qwest"}</definedName>
    <definedName name="wrn.first2." localSheetId="10" hidden="1">{#N/A,#N/A,FALSE,"sum-don";#N/A,#N/A,FALSE,"inc-don"}</definedName>
    <definedName name="wrn.first2." localSheetId="11" hidden="1">{#N/A,#N/A,FALSE,"sum-don";#N/A,#N/A,FALSE,"inc-don"}</definedName>
    <definedName name="wrn.first2." hidden="1">{#N/A,#N/A,FALSE,"sum-don";#N/A,#N/A,FALSE,"inc-don"}</definedName>
    <definedName name="wrn.first3." localSheetId="10" hidden="1">{#N/A,#N/A,FALSE,"Summary";#N/A,#N/A,FALSE,"proj1";#N/A,#N/A,FALSE,"proj2"}</definedName>
    <definedName name="wrn.first3." localSheetId="11" hidden="1">{#N/A,#N/A,FALSE,"Summary";#N/A,#N/A,FALSE,"proj1";#N/A,#N/A,FALSE,"proj2"}</definedName>
    <definedName name="wrn.first3." hidden="1">{#N/A,#N/A,FALSE,"Summary";#N/A,#N/A,FALSE,"proj1";#N/A,#N/A,FALSE,"proj2"}</definedName>
    <definedName name="wrn.first4." localSheetId="10" hidden="1">{#N/A,#N/A,FALSE,"Summary";#N/A,#N/A,FALSE,"proj1";#N/A,#N/A,FALSE,"proj2";#N/A,#N/A,FALSE,"DCF"}</definedName>
    <definedName name="wrn.first4." localSheetId="11" hidden="1">{#N/A,#N/A,FALSE,"Summary";#N/A,#N/A,FALSE,"proj1";#N/A,#N/A,FALSE,"proj2";#N/A,#N/A,FALSE,"DCF"}</definedName>
    <definedName name="wrn.first4." hidden="1">{#N/A,#N/A,FALSE,"Summary";#N/A,#N/A,FALSE,"proj1";#N/A,#N/A,FALSE,"proj2";#N/A,#N/A,FALSE,"DCF"}</definedName>
    <definedName name="wrn.form." localSheetId="10" hidden="1">{#N/A,#N/A,FALSE,"OffAdvance";#N/A,#N/A,FALSE,"OffExpRprt";#N/A,#N/A,FALSE,"Entertmnt";#N/A,#N/A,FALSE,"Promotion";#N/A,#N/A,FALSE,"Travelling"}</definedName>
    <definedName name="wrn.form." localSheetId="11" hidden="1">{#N/A,#N/A,FALSE,"OffAdvance";#N/A,#N/A,FALSE,"OffExpRprt";#N/A,#N/A,FALSE,"Entertmnt";#N/A,#N/A,FALSE,"Promotion";#N/A,#N/A,FALSE,"Travelling"}</definedName>
    <definedName name="wrn.form." hidden="1">{#N/A,#N/A,FALSE,"OffAdvance";#N/A,#N/A,FALSE,"OffExpRprt";#N/A,#N/A,FALSE,"Entertmnt";#N/A,#N/A,FALSE,"Promotion";#N/A,#N/A,FALSE,"Travelling"}</definedName>
    <definedName name="wrn.fy00_Q1Q2." localSheetId="10" hidden="1">{#N/A,#N/A,FALSE,"Sheet1"}</definedName>
    <definedName name="wrn.fy00_Q1Q2." localSheetId="11" hidden="1">{#N/A,#N/A,FALSE,"Sheet1"}</definedName>
    <definedName name="wrn.fy00_Q1Q2." hidden="1">{#N/A,#N/A,FALSE,"Sheet1"}</definedName>
    <definedName name="wrn.gastos." localSheetId="10" hidden="1">{#N/A,#N/A,FALSE,"PERSONAL";#N/A,#N/A,FALSE,"explotación";#N/A,#N/A,FALSE,"generales"}</definedName>
    <definedName name="wrn.gastos." localSheetId="11" hidden="1">{#N/A,#N/A,FALSE,"PERSONAL";#N/A,#N/A,FALSE,"explotación";#N/A,#N/A,FALSE,"generales"}</definedName>
    <definedName name="wrn.gastos." hidden="1">{#N/A,#N/A,FALSE,"PERSONAL";#N/A,#N/A,FALSE,"explotación";#N/A,#N/A,FALSE,"generales"}</definedName>
    <definedName name="wrn.gb." localSheetId="10" hidden="1">{#N/A,#N/A,FALSE,"资产负债表";#N/A,#N/A,FALSE,"资产负债表"}</definedName>
    <definedName name="wrn.gb." localSheetId="11" hidden="1">{#N/A,#N/A,FALSE,"资产负债表";#N/A,#N/A,FALSE,"资产负债表"}</definedName>
    <definedName name="wrn.gb." hidden="1">{#N/A,#N/A,FALSE,"资产负债表";#N/A,#N/A,FALSE,"资产负债表"}</definedName>
    <definedName name="wrn.HEAT." localSheetId="10" hidden="1">{#N/A,#N/A,FALSE,"Heat";#N/A,#N/A,FALSE,"DCF";#N/A,#N/A,FALSE,"LBO";#N/A,#N/A,FALSE,"A";#N/A,#N/A,FALSE,"C";#N/A,#N/A,FALSE,"impd";#N/A,#N/A,FALSE,"Accr-Dilu"}</definedName>
    <definedName name="wrn.HEAT." localSheetId="11" hidden="1">{#N/A,#N/A,FALSE,"Heat";#N/A,#N/A,FALSE,"DCF";#N/A,#N/A,FALSE,"LBO";#N/A,#N/A,FALSE,"A";#N/A,#N/A,FALSE,"C";#N/A,#N/A,FALSE,"impd";#N/A,#N/A,FALSE,"Accr-Dilu"}</definedName>
    <definedName name="wrn.HEAT." hidden="1">{#N/A,#N/A,FALSE,"Heat";#N/A,#N/A,FALSE,"DCF";#N/A,#N/A,FALSE,"LBO";#N/A,#N/A,FALSE,"A";#N/A,#N/A,FALSE,"C";#N/A,#N/A,FALSE,"impd";#N/A,#N/A,FALSE,"Accr-Dilu"}</definedName>
    <definedName name="wrn.Hydraulic." localSheetId="1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1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0" hidden="1">{#N/A,#N/A,FALSE,"HuscoCombined-Summ";#N/A,#N/A,FALSE,"HuscoCombined-Income";#N/A,#N/A,FALSE,"HuscoCombined-Offering";#N/A,#N/A,FALSE,"Husco-Income";#N/A,#N/A,FALSE,"TargetEngineer";#N/A,#N/A,FALSE,"TargetAcqCalc";#N/A,#N/A,FALSE,"Husco-Acq"}</definedName>
    <definedName name="wrn.Hydraulic2." localSheetId="11"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ncome._.Statement." localSheetId="10" hidden="1">{#N/A,#N/A,FALSE,"Report Print"}</definedName>
    <definedName name="wrn.Income._.Statement." localSheetId="11" hidden="1">{#N/A,#N/A,FALSE,"Report Print"}</definedName>
    <definedName name="wrn.Income._.Statement." hidden="1">{#N/A,#N/A,FALSE,"Report Print"}</definedName>
    <definedName name="wrn.ingreso." localSheetId="10" hidden="1">{#N/A,#N/A,FALSE,"voz corporativa";#N/A,#N/A,FALSE,"Transmisión de datos";#N/A,#N/A,FALSE,"Videoconferencia";#N/A,#N/A,FALSE,"Correo electrónico";#N/A,#N/A,FALSE,"Correo de voz";#N/A,#N/A,FALSE,"Megafax";#N/A,#N/A,FALSE,"Edi";#N/A,#N/A,FALSE,"Internet";#N/A,#N/A,FALSE,"VSAT";#N/A,#N/A,FALSE,"ing ult. milla"}</definedName>
    <definedName name="wrn.ingreso." localSheetId="11" hidden="1">{#N/A,#N/A,FALSE,"voz corporativa";#N/A,#N/A,FALSE,"Transmisión de datos";#N/A,#N/A,FALSE,"Videoconferencia";#N/A,#N/A,FALSE,"Correo electrónico";#N/A,#N/A,FALSE,"Correo de voz";#N/A,#N/A,FALSE,"Megafax";#N/A,#N/A,FALSE,"Edi";#N/A,#N/A,FALSE,"Internet";#N/A,#N/A,FALSE,"VSAT";#N/A,#N/A,FALSE,"ing ult. milla"}</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localSheetId="10" hidden="1">{#N/A,#N/A,FALSE,"voz corporativa";#N/A,#N/A,FALSE,"Transmisión de datos";#N/A,#N/A,FALSE,"Videoconferencia";#N/A,#N/A,FALSE,"Correo electrónico";#N/A,#N/A,FALSE,"Correo de voz";#N/A,#N/A,FALSE,"Megafax";#N/A,#N/A,FALSE,"Edi";#N/A,#N/A,FALSE,"Internet";#N/A,#N/A,FALSE,"VSAT";#N/A,#N/A,FALSE,"ing ult. milla"}</definedName>
    <definedName name="wrn.ingresos." localSheetId="11"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localSheetId="10" hidden="1">{"Input_Fin",#N/A,FALSE,"By Code";"Input_Opt",#N/A,FALSE,"By Code"}</definedName>
    <definedName name="wrn.Input._.Data." localSheetId="11" hidden="1">{"Input_Fin",#N/A,FALSE,"By Code";"Input_Opt",#N/A,FALSE,"By Code"}</definedName>
    <definedName name="wrn.Input._.Data." hidden="1">{"Input_Fin",#N/A,FALSE,"By Code";"Input_Opt",#N/A,FALSE,"By Code"}</definedName>
    <definedName name="wrn.Inputs._.and._.detail._.calculations." localSheetId="10" hidden="1">{#N/A,#N/A,TRUE,"Revenue &amp; Direct Expense";#N/A,#N/A,TRUE,"Indirect Expense";#N/A,#N/A,TRUE,"Assumptions";#N/A,#N/A,TRUE,"Headcount Inputs";#N/A,#N/A,TRUE,"Markets";#N/A,#N/A,TRUE,"Colocation";#N/A,#N/A,TRUE,"Demographics";#N/A,#N/A,TRUE,"ILEC Rates"}</definedName>
    <definedName name="wrn.Inputs._.and._.detail._.calculations." localSheetId="11" hidden="1">{#N/A,#N/A,TRUE,"Revenue &amp; Direct Expense";#N/A,#N/A,TRUE,"Indirect Expense";#N/A,#N/A,TRUE,"Assumptions";#N/A,#N/A,TRUE,"Headcount Inputs";#N/A,#N/A,TRUE,"Markets";#N/A,#N/A,TRUE,"Colocation";#N/A,#N/A,TRUE,"Demographics";#N/A,#N/A,TRUE,"ILEC Rates"}</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localSheetId="10" hidden="1">{#N/A,#N/A,FALSE,"PLEDGE";#N/A,#N/A,FALSE,"GLADE";#N/A,#N/A,FALSE,"GREEN BIRD";#N/A,#N/A,FALSE,"MR. MUSCLE";#N/A,#N/A,FALSE,"TOILET DUCK";#N/A,#N/A,FALSE,"Other Home Care";#N/A,#N/A,FALSE,"RED BIRD";#N/A,#N/A,FALSE,"SHANGHAI";#N/A,#N/A,FALSE,"RAID";#N/A,#N/A,FALSE,"OFF";#N/A,#N/A,FALSE,"SEAGULL";#N/A,#N/A,FALSE,"HALSA";#N/A,#N/A,FALSE,"SOFT SENSE";#N/A,#N/A,FALSE,"TOTAL"}</definedName>
    <definedName name="wrn.inventory._.aging." localSheetId="11" hidden="1">{#N/A,#N/A,FALSE,"PLEDGE";#N/A,#N/A,FALSE,"GLADE";#N/A,#N/A,FALSE,"GREEN BIRD";#N/A,#N/A,FALSE,"MR. MUSCLE";#N/A,#N/A,FALSE,"TOILET DUCK";#N/A,#N/A,FALSE,"Other Home Care";#N/A,#N/A,FALSE,"RED BIRD";#N/A,#N/A,FALSE,"SHANGHAI";#N/A,#N/A,FALSE,"RAID";#N/A,#N/A,FALSE,"OFF";#N/A,#N/A,FALSE,"SEAGULL";#N/A,#N/A,FALSE,"HALSA";#N/A,#N/A,FALSE,"SOFT SENSE";#N/A,#N/A,FALSE,"TOTAL"}</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localSheetId="10" hidden="1">{#N/A,#N/A,FALSE,"Report Print"}</definedName>
    <definedName name="wrn.IPIX." localSheetId="11" hidden="1">{#N/A,#N/A,FALSE,"Report Print"}</definedName>
    <definedName name="wrn.IPIX." hidden="1">{#N/A,#N/A,FALSE,"Report Print"}</definedName>
    <definedName name="wrn.IPO._.Valuation." localSheetId="10" hidden="1">{"assumptions",#N/A,FALSE,"Scenario 1";"valuation",#N/A,FALSE,"Scenario 1"}</definedName>
    <definedName name="wrn.IPO._.Valuation." localSheetId="11" hidden="1">{"assumptions",#N/A,FALSE,"Scenario 1";"valuation",#N/A,FALSE,"Scenario 1"}</definedName>
    <definedName name="wrn.IPO._.Valuation." hidden="1">{"assumptions",#N/A,FALSE,"Scenario 1";"valuation",#N/A,FALSE,"Scenario 1"}</definedName>
    <definedName name="wrn.ipovalue." localSheetId="10" hidden="1">{#N/A,#N/A,FALSE,"puboff";#N/A,#N/A,FALSE,"valuation";#N/A,#N/A,FALSE,"finanalsis";#N/A,#N/A,FALSE,"split";#N/A,#N/A,FALSE,"ownership"}</definedName>
    <definedName name="wrn.ipovalue." localSheetId="11" hidden="1">{#N/A,#N/A,FALSE,"puboff";#N/A,#N/A,FALSE,"valuation";#N/A,#N/A,FALSE,"finanalsis";#N/A,#N/A,FALSE,"split";#N/A,#N/A,FALSE,"ownership"}</definedName>
    <definedName name="wrn.ipovalue." hidden="1">{#N/A,#N/A,FALSE,"puboff";#N/A,#N/A,FALSE,"valuation";#N/A,#N/A,FALSE,"finanalsis";#N/A,#N/A,FALSE,"split";#N/A,#N/A,FALSE,"ownership"}</definedName>
    <definedName name="wrn.ISCG._.model." localSheetId="10" hidden="1">{#N/A,#N/A,FALSE,"Second";#N/A,#N/A,FALSE,"ownership";#N/A,#N/A,FALSE,"Valuation";#N/A,#N/A,FALSE,"Eqiv";#N/A,#N/A,FALSE,"Mults";#N/A,#N/A,FALSE,"ISCG Graphics"}</definedName>
    <definedName name="wrn.ISCG._.model." localSheetId="11"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jan." localSheetId="10" hidden="1">{#N/A,#N/A,FALSE,"Jan"}</definedName>
    <definedName name="wrn.jan." localSheetId="11" hidden="1">{#N/A,#N/A,FALSE,"Jan"}</definedName>
    <definedName name="wrn.jan." localSheetId="9" hidden="1">{#N/A,#N/A,FALSE,"Jan"}</definedName>
    <definedName name="wrn.jan." localSheetId="7" hidden="1">{#N/A,#N/A,FALSE,"Jan"}</definedName>
    <definedName name="wrn.jan." hidden="1">{#N/A,#N/A,FALSE,"Jan"}</definedName>
    <definedName name="wrn.LBO._.Summary." localSheetId="10" hidden="1">{"LBO Summary",#N/A,FALSE,"Summary"}</definedName>
    <definedName name="wrn.LBO._.Summary." localSheetId="11" hidden="1">{"LBO Summary",#N/A,FALSE,"Summary"}</definedName>
    <definedName name="wrn.LBO._.Summary." hidden="1">{"LBO Summary",#N/A,FALSE,"Summary"}</definedName>
    <definedName name="wrn.M1._.Operating._.Statement." localSheetId="2" hidden="1">{"M1Print",#N/A,FALSE,"M1"}</definedName>
    <definedName name="wrn.M1._.Operating._.Statement." localSheetId="3" hidden="1">{"M1Print",#N/A,FALSE,"M1"}</definedName>
    <definedName name="wrn.M1._.Operating._.Statement." localSheetId="10" hidden="1">{"M1Print",#N/A,FALSE,"M1"}</definedName>
    <definedName name="wrn.M1._.Operating._.Statement." localSheetId="11" hidden="1">{"M1Print",#N/A,FALSE,"M1"}</definedName>
    <definedName name="wrn.M1._.Operating._.Statement." localSheetId="9" hidden="1">{"M1Print",#N/A,FALSE,"M1"}</definedName>
    <definedName name="wrn.M1._.Operating._.Statement." localSheetId="7" hidden="1">{"M1Print",#N/A,FALSE,"M1"}</definedName>
    <definedName name="wrn.M1._.Operating._.Statement." hidden="1">{"M1Print",#N/A,FALSE,"M1"}</definedName>
    <definedName name="wrn.M1s._.Statistics." localSheetId="2" hidden="1">{"M1sPrint",#N/A,FALSE,"M1s"}</definedName>
    <definedName name="wrn.M1s._.Statistics." localSheetId="3" hidden="1">{"M1sPrint",#N/A,FALSE,"M1s"}</definedName>
    <definedName name="wrn.M1s._.Statistics." localSheetId="10" hidden="1">{"M1sPrint",#N/A,FALSE,"M1s"}</definedName>
    <definedName name="wrn.M1s._.Statistics." localSheetId="11" hidden="1">{"M1sPrint",#N/A,FALSE,"M1s"}</definedName>
    <definedName name="wrn.M1s._.Statistics." localSheetId="9" hidden="1">{"M1sPrint",#N/A,FALSE,"M1s"}</definedName>
    <definedName name="wrn.M1s._.Statistics." localSheetId="7" hidden="1">{"M1sPrint",#N/A,FALSE,"M1s"}</definedName>
    <definedName name="wrn.M1s._.Statistics." hidden="1">{"M1sPrint",#N/A,FALSE,"M1s"}</definedName>
    <definedName name="wrn.M2._.Balance._.Sheet." localSheetId="2" hidden="1">{"M2Print",#N/A,FALSE,"M2"}</definedName>
    <definedName name="wrn.M2._.Balance._.Sheet." localSheetId="3" hidden="1">{"M2Print",#N/A,FALSE,"M2"}</definedName>
    <definedName name="wrn.M2._.Balance._.Sheet." localSheetId="10" hidden="1">{"M2Print",#N/A,FALSE,"M2"}</definedName>
    <definedName name="wrn.M2._.Balance._.Sheet." localSheetId="11" hidden="1">{"M2Print",#N/A,FALSE,"M2"}</definedName>
    <definedName name="wrn.M2._.Balance._.Sheet." localSheetId="9" hidden="1">{"M2Print",#N/A,FALSE,"M2"}</definedName>
    <definedName name="wrn.M2._.Balance._.Sheet." localSheetId="7" hidden="1">{"M2Print",#N/A,FALSE,"M2"}</definedName>
    <definedName name="wrn.M2._.Balance._.Sheet." hidden="1">{"M2Print",#N/A,FALSE,"M2"}</definedName>
    <definedName name="wrn.M2a._.Cashflow." localSheetId="2" hidden="1">{"M2aPrint",#N/A,FALSE,"M2a"}</definedName>
    <definedName name="wrn.M2a._.Cashflow." localSheetId="3" hidden="1">{"M2aPrint",#N/A,FALSE,"M2a"}</definedName>
    <definedName name="wrn.M2a._.Cashflow." localSheetId="10" hidden="1">{"M2aPrint",#N/A,FALSE,"M2a"}</definedName>
    <definedName name="wrn.M2a._.Cashflow." localSheetId="11" hidden="1">{"M2aPrint",#N/A,FALSE,"M2a"}</definedName>
    <definedName name="wrn.M2a._.Cashflow." localSheetId="9" hidden="1">{"M2aPrint",#N/A,FALSE,"M2a"}</definedName>
    <definedName name="wrn.M2a._.Cashflow." localSheetId="7" hidden="1">{"M2aPrint",#N/A,FALSE,"M2a"}</definedName>
    <definedName name="wrn.M2a._.Cashflow." hidden="1">{"M2aPrint",#N/A,FALSE,"M2a"}</definedName>
    <definedName name="wrn.M4._.Inventories." localSheetId="2" hidden="1">{"M4Print",#N/A,FALSE,"M4"}</definedName>
    <definedName name="wrn.M4._.Inventories." localSheetId="3" hidden="1">{"M4Print",#N/A,FALSE,"M4"}</definedName>
    <definedName name="wrn.M4._.Inventories." localSheetId="10" hidden="1">{"M4Print",#N/A,FALSE,"M4"}</definedName>
    <definedName name="wrn.M4._.Inventories." localSheetId="11" hidden="1">{"M4Print",#N/A,FALSE,"M4"}</definedName>
    <definedName name="wrn.M4._.Inventories." localSheetId="9" hidden="1">{"M4Print",#N/A,FALSE,"M4"}</definedName>
    <definedName name="wrn.M4._.Inventories." localSheetId="7" hidden="1">{"M4Print",#N/A,FALSE,"M4"}</definedName>
    <definedName name="wrn.M4._.Inventories." hidden="1">{"M4Print",#N/A,FALSE,"M4"}</definedName>
    <definedName name="wrn.M5._.Flash._.and._.Forecast." localSheetId="2" hidden="1">{"M5Print",#N/A,FALSE,"M5"}</definedName>
    <definedName name="wrn.M5._.Flash._.and._.Forecast." localSheetId="3" hidden="1">{"M5Print",#N/A,FALSE,"M5"}</definedName>
    <definedName name="wrn.M5._.Flash._.and._.Forecast." localSheetId="10" hidden="1">{"M5Print",#N/A,FALSE,"M5"}</definedName>
    <definedName name="wrn.M5._.Flash._.and._.Forecast." localSheetId="11" hidden="1">{"M5Print",#N/A,FALSE,"M5"}</definedName>
    <definedName name="wrn.M5._.Flash._.and._.Forecast." localSheetId="9" hidden="1">{"M5Print",#N/A,FALSE,"M5"}</definedName>
    <definedName name="wrn.M5._.Flash._.and._.Forecast." localSheetId="7" hidden="1">{"M5Print",#N/A,FALSE,"M5"}</definedName>
    <definedName name="wrn.M5._.Flash._.and._.Forecast." hidden="1">{"M5Print",#N/A,FALSE,"M5"}</definedName>
    <definedName name="wrn.M6._.Management._.Summary." localSheetId="2" hidden="1">{"M6Print",#N/A,FALSE,"M6";"M6_1Print",#N/A,FALSE,"M6_1";"M6_2Print",#N/A,FALSE,"M6_2"}</definedName>
    <definedName name="wrn.M6._.Management._.Summary." localSheetId="3" hidden="1">{"M6Print",#N/A,FALSE,"M6";"M6_1Print",#N/A,FALSE,"M6_1";"M6_2Print",#N/A,FALSE,"M6_2"}</definedName>
    <definedName name="wrn.M6._.Management._.Summary." localSheetId="10" hidden="1">{"M6Print",#N/A,FALSE,"M6";"M6_1Print",#N/A,FALSE,"M6_1";"M6_2Print",#N/A,FALSE,"M6_2"}</definedName>
    <definedName name="wrn.M6._.Management._.Summary." localSheetId="11" hidden="1">{"M6Print",#N/A,FALSE,"M6";"M6_1Print",#N/A,FALSE,"M6_1";"M6_2Print",#N/A,FALSE,"M6_2"}</definedName>
    <definedName name="wrn.M6._.Management._.Summary." localSheetId="9" hidden="1">{"M6Print",#N/A,FALSE,"M6";"M6_1Print",#N/A,FALSE,"M6_1";"M6_2Print",#N/A,FALSE,"M6_2"}</definedName>
    <definedName name="wrn.M6._.Management._.Summary." localSheetId="7" hidden="1">{"M6Print",#N/A,FALSE,"M6";"M6_1Print",#N/A,FALSE,"M6_1";"M6_2Print",#N/A,FALSE,"M6_2"}</definedName>
    <definedName name="wrn.M6._.Management._.Summary." hidden="1">{"M6Print",#N/A,FALSE,"M6";"M6_1Print",#N/A,FALSE,"M6_1";"M6_2Print",#N/A,FALSE,"M6_2"}</definedName>
    <definedName name="wrn.M7._.Financial._.Controllers._.report." localSheetId="2" hidden="1">{"M7_1Print",#N/A,TRUE,"M7_1";"M7_2Print",#N/A,TRUE,"M7_2"}</definedName>
    <definedName name="wrn.M7._.Financial._.Controllers._.report." localSheetId="3" hidden="1">{"M7_1Print",#N/A,TRUE,"M7_1";"M7_2Print",#N/A,TRUE,"M7_2"}</definedName>
    <definedName name="wrn.M7._.Financial._.Controllers._.report." localSheetId="10" hidden="1">{"M7_1Print",#N/A,TRUE,"M7_1";"M7_2Print",#N/A,TRUE,"M7_2"}</definedName>
    <definedName name="wrn.M7._.Financial._.Controllers._.report." localSheetId="11" hidden="1">{"M7_1Print",#N/A,TRUE,"M7_1";"M7_2Print",#N/A,TRUE,"M7_2"}</definedName>
    <definedName name="wrn.M7._.Financial._.Controllers._.report." localSheetId="9" hidden="1">{"M7_1Print",#N/A,TRUE,"M7_1";"M7_2Print",#N/A,TRUE,"M7_2"}</definedName>
    <definedName name="wrn.M7._.Financial._.Controllers._.report." localSheetId="7" hidden="1">{"M7_1Print",#N/A,TRUE,"M7_1";"M7_2Print",#N/A,TRUE,"M7_2"}</definedName>
    <definedName name="wrn.M7._.Financial._.Controllers._.report." hidden="1">{"M7_1Print",#N/A,TRUE,"M7_1";"M7_2Print",#N/A,TRUE,"M7_2"}</definedName>
    <definedName name="wrn.Maine." localSheetId="10" hidden="1">{"Assumptions",#N/A,TRUE,"Assumptions";"Income",#N/A,TRUE,"Income";"Balance",#N/A,TRUE,"Balance"}</definedName>
    <definedName name="wrn.Maine." localSheetId="11" hidden="1">{"Assumptions",#N/A,TRUE,"Assumptions";"Income",#N/A,TRUE,"Income";"Balance",#N/A,TRUE,"Balance"}</definedName>
    <definedName name="wrn.Maine." hidden="1">{"Assumptions",#N/A,TRUE,"Assumptions";"Income",#N/A,TRUE,"Income";"Balance",#N/A,TRUE,"Balance"}</definedName>
    <definedName name="wrn.Maine2." localSheetId="1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1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localSheetId="10" hidden="1">{"Annual_Income",#N/A,FALSE,"Master Model";"Quarterly_Income",#N/A,FALSE,"Master Model"}</definedName>
    <definedName name="wrn.Master_Income." localSheetId="11" hidden="1">{"Annual_Income",#N/A,FALSE,"Master Model";"Quarterly_Income",#N/A,FALSE,"Master Model"}</definedName>
    <definedName name="wrn.Master_Income." hidden="1">{"Annual_Income",#N/A,FALSE,"Master Model";"Quarterly_Income",#N/A,FALSE,"Master Model"}</definedName>
    <definedName name="wrn.merge." localSheetId="10" hidden="1">{#N/A,#N/A,FALSE,"IPO";#N/A,#N/A,FALSE,"DCF";#N/A,#N/A,FALSE,"LBO";#N/A,#N/A,FALSE,"MULT_VAL";#N/A,#N/A,FALSE,"Status Quo";#N/A,#N/A,FALSE,"Recap"}</definedName>
    <definedName name="wrn.merge." localSheetId="11" hidden="1">{#N/A,#N/A,FALSE,"IPO";#N/A,#N/A,FALSE,"DCF";#N/A,#N/A,FALSE,"LBO";#N/A,#N/A,FALSE,"MULT_VAL";#N/A,#N/A,FALSE,"Status Quo";#N/A,#N/A,FALSE,"Recap"}</definedName>
    <definedName name="wrn.merge." hidden="1">{#N/A,#N/A,FALSE,"IPO";#N/A,#N/A,FALSE,"DCF";#N/A,#N/A,FALSE,"LBO";#N/A,#N/A,FALSE,"MULT_VAL";#N/A,#N/A,FALSE,"Status Quo";#N/A,#N/A,FALSE,"Recap"}</definedName>
    <definedName name="wrn.MONTH._.END._.SPREADS." localSheetId="10" hidden="1">{#N/A,#N/A,FALSE,"Verify at a Glance";#N/A,#N/A,FALSE,"CARMS VS. STAR";#N/A,#N/A,FALSE,"Intel-US";#N/A,#N/A,FALSE,"Intel-PR";#N/A,#N/A,FALSE,"Intel-MISC-6";#N/A,#N/A,FALSE,"Intel-DPA-7";#N/A,#N/A,FALSE,"Intel-IRE";#N/A,#N/A,FALSE,"Intel-HK";#N/A,#N/A,FALSE,"DAILY INPUT";#N/A,#N/A,FALSE,"P5 HK Cash List"}</definedName>
    <definedName name="wrn.MONTH._.END._.SPREADS." localSheetId="11" hidden="1">{#N/A,#N/A,FALSE,"Verify at a Glance";#N/A,#N/A,FALSE,"CARMS VS. STAR";#N/A,#N/A,FALSE,"Intel-US";#N/A,#N/A,FALSE,"Intel-PR";#N/A,#N/A,FALSE,"Intel-MISC-6";#N/A,#N/A,FALSE,"Intel-DPA-7";#N/A,#N/A,FALSE,"Intel-IRE";#N/A,#N/A,FALSE,"Intel-HK";#N/A,#N/A,FALSE,"DAILY INPUT";#N/A,#N/A,FALSE,"P5 HK Cash List"}</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MONTHLY._.REVENUE._.REPORT." localSheetId="10" hidden="1">{#N/A,#N/A,FALSE,"REV RPT";#N/A,#N/A,FALSE,"AFF COMP";#N/A,#N/A,FALSE,"REP COMM";#N/A,#N/A,FALSE,"REVBYADV";#N/A,#N/A,FALSE,"DAYPART";#N/A,#N/A,FALSE,"FLASH"}</definedName>
    <definedName name="wrn.MONTHLY._.REVENUE._.REPORT." localSheetId="11" hidden="1">{#N/A,#N/A,FALSE,"REV RPT";#N/A,#N/A,FALSE,"AFF COMP";#N/A,#N/A,FALSE,"REP COMM";#N/A,#N/A,FALSE,"REVBYADV";#N/A,#N/A,FALSE,"DAYPART";#N/A,#N/A,FALSE,"FLASH"}</definedName>
    <definedName name="wrn.MONTHLY._.REVENUE._.REPORT." hidden="1">{#N/A,#N/A,FALSE,"REV RPT";#N/A,#N/A,FALSE,"AFF COMP";#N/A,#N/A,FALSE,"REP COMM";#N/A,#N/A,FALSE,"REVBYADV";#N/A,#N/A,FALSE,"DAYPART";#N/A,#N/A,FALSE,"FLASH"}</definedName>
    <definedName name="wrn.monthly._.review." localSheetId="10" hidden="1">{#N/A,#N/A,FALSE,"SUMMARY";#N/A,#N/A,FALSE,"MTD";#N/A,#N/A,FALSE,"YTD";#N/A,#N/A,FALSE,"Forecast"}</definedName>
    <definedName name="wrn.monthly._.review." localSheetId="11" hidden="1">{#N/A,#N/A,FALSE,"SUMMARY";#N/A,#N/A,FALSE,"MTD";#N/A,#N/A,FALSE,"YTD";#N/A,#N/A,FALSE,"Forecast"}</definedName>
    <definedName name="wrn.monthly._.review." hidden="1">{#N/A,#N/A,FALSE,"SUMMARY";#N/A,#N/A,FALSE,"MTD";#N/A,#N/A,FALSE,"YTD";#N/A,#N/A,FALSE,"Forecast"}</definedName>
    <definedName name="wrn.monthly._.to._.issue." localSheetId="10" hidden="1">{#N/A,#N/A,FALSE,"SUMMARY";#N/A,#N/A,FALSE,"MTD";#N/A,#N/A,FALSE,"YTD";#N/A,#N/A,FALSE,"Forecast";#N/A,#N/A,FALSE,"Debt Structure";#N/A,#N/A,FALSE,"RATINGS"}</definedName>
    <definedName name="wrn.monthly._.to._.issue." localSheetId="11" hidden="1">{#N/A,#N/A,FALSE,"SUMMARY";#N/A,#N/A,FALSE,"MTD";#N/A,#N/A,FALSE,"YTD";#N/A,#N/A,FALSE,"Forecast";#N/A,#N/A,FALSE,"Debt Structure";#N/A,#N/A,FALSE,"RATINGS"}</definedName>
    <definedName name="wrn.monthly._.to._.issue." hidden="1">{#N/A,#N/A,FALSE,"SUMMARY";#N/A,#N/A,FALSE,"MTD";#N/A,#N/A,FALSE,"YTD";#N/A,#N/A,FALSE,"Forecast";#N/A,#N/A,FALSE,"Debt Structure";#N/A,#N/A,FALSE,"RATINGS"}</definedName>
    <definedName name="wrn.newest." localSheetId="10" hidden="1">{#N/A,#N/A,TRUE,"TS";#N/A,#N/A,TRUE,"Combo";#N/A,#N/A,TRUE,"FAIR";#N/A,#N/A,TRUE,"RBC";#N/A,#N/A,TRUE,"xxxx"}</definedName>
    <definedName name="wrn.newest." localSheetId="11" hidden="1">{#N/A,#N/A,TRUE,"TS";#N/A,#N/A,TRUE,"Combo";#N/A,#N/A,TRUE,"FAIR";#N/A,#N/A,TRUE,"RBC";#N/A,#N/A,TRUE,"xxxx"}</definedName>
    <definedName name="wrn.newest." hidden="1">{#N/A,#N/A,TRUE,"TS";#N/A,#N/A,TRUE,"Combo";#N/A,#N/A,TRUE,"FAIR";#N/A,#N/A,TRUE,"RBC";#N/A,#N/A,TRUE,"xxxx"}</definedName>
    <definedName name="wrn.Office." localSheetId="10" hidden="1">{#N/A,#N/A,FALSE,"OffAdvance";#N/A,#N/A,FALSE,"OffExpRprt";#N/A,#N/A,FALSE,"Travelling";#N/A,#N/A,FALSE,"Entertmnt";#N/A,#N/A,FALSE,"Promotion"}</definedName>
    <definedName name="wrn.Office." localSheetId="11" hidden="1">{#N/A,#N/A,FALSE,"OffAdvance";#N/A,#N/A,FALSE,"OffExpRprt";#N/A,#N/A,FALSE,"Travelling";#N/A,#N/A,FALSE,"Entertmnt";#N/A,#N/A,FALSE,"Promotion"}</definedName>
    <definedName name="wrn.Office." hidden="1">{#N/A,#N/A,FALSE,"OffAdvance";#N/A,#N/A,FALSE,"OffExpRprt";#N/A,#N/A,FALSE,"Travelling";#N/A,#N/A,FALSE,"Entertmnt";#N/A,#N/A,FALSE,"Promotion"}</definedName>
    <definedName name="wrn.Operation._.Report." localSheetId="10"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11"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1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localSheetId="1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1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localSheetId="10" hidden="1">{"PE_View",#N/A,TRUE,"P&amp;L - External";#N/A,#N/A,TRUE,"Backlog";#N/A,#N/A,TRUE,"Revenue";#N/A,#N/A,TRUE,"Std Margin";#N/A,#N/A,TRUE,"Waterfall - External"}</definedName>
    <definedName name="wrn.PE_External." localSheetId="11" hidden="1">{"PE_View",#N/A,TRUE,"P&amp;L - External";#N/A,#N/A,TRUE,"Backlog";#N/A,#N/A,TRUE,"Revenue";#N/A,#N/A,TRUE,"Std Margin";#N/A,#N/A,TRUE,"Waterfall - External"}</definedName>
    <definedName name="wrn.PE_External." hidden="1">{"PE_View",#N/A,TRUE,"P&amp;L - External";#N/A,#N/A,TRUE,"Backlog";#N/A,#N/A,TRUE,"Revenue";#N/A,#N/A,TRUE,"Std Margin";#N/A,#N/A,TRUE,"Waterfall - External"}</definedName>
    <definedName name="wrn.PE_Internal." localSheetId="10" hidden="1">{"PE_View",#N/A,TRUE,"P&amp;L";#N/A,#N/A,TRUE,"Backlog";#N/A,#N/A,TRUE,"Revenue";#N/A,#N/A,TRUE,"Std Margin";#N/A,#N/A,TRUE,"Waterfall"}</definedName>
    <definedName name="wrn.PE_Internal." localSheetId="11" hidden="1">{"PE_View",#N/A,TRUE,"P&amp;L";#N/A,#N/A,TRUE,"Backlog";#N/A,#N/A,TRUE,"Revenue";#N/A,#N/A,TRUE,"Std Margin";#N/A,#N/A,TRUE,"Waterfall"}</definedName>
    <definedName name="wrn.PE_Internal." hidden="1">{"PE_View",#N/A,TRUE,"P&amp;L";#N/A,#N/A,TRUE,"Backlog";#N/A,#N/A,TRUE,"Revenue";#N/A,#N/A,TRUE,"Std Margin";#N/A,#N/A,TRUE,"Waterfall"}</definedName>
    <definedName name="wrn.PE2_External." localSheetId="10" hidden="1">{"PE_View",#N/A,TRUE,"P&amp;L - External";#N/A,#N/A,TRUE,"Backlog";#N/A,#N/A,TRUE,"Revenue";#N/A,#N/A,TRUE,"Std Margin";#N/A,#N/A,TRUE,"Waterfall - External"}</definedName>
    <definedName name="wrn.PE2_External." localSheetId="11" hidden="1">{"PE_View",#N/A,TRUE,"P&amp;L - External";#N/A,#N/A,TRUE,"Backlog";#N/A,#N/A,TRUE,"Revenue";#N/A,#N/A,TRUE,"Std Margin";#N/A,#N/A,TRUE,"Waterfall - External"}</definedName>
    <definedName name="wrn.PE2_External." hidden="1">{"PE_View",#N/A,TRUE,"P&amp;L - External";#N/A,#N/A,TRUE,"Backlog";#N/A,#N/A,TRUE,"Revenue";#N/A,#N/A,TRUE,"Std Margin";#N/A,#N/A,TRUE,"Waterfall - External"}</definedName>
    <definedName name="wrn.Print._.All._.Pages." localSheetId="10" hidden="1">{"LBO Summary",#N/A,FALSE,"Summary";"Income Statement",#N/A,FALSE,"Model";"Cash Flow",#N/A,FALSE,"Model";"Balance Sheet",#N/A,FALSE,"Model";"Working Capital",#N/A,FALSE,"Model";"Pro Forma Balance Sheets",#N/A,FALSE,"PFBS";"Debt Balances",#N/A,FALSE,"Model";"Fee Schedules",#N/A,FALSE,"Model"}</definedName>
    <definedName name="wrn.Print._.All._.Pages." localSheetId="11"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localSheetId="10" hidden="1">{"standalone1",#N/A,FALSE,"DCFBase";"standalone2",#N/A,FALSE,"DCFBase"}</definedName>
    <definedName name="wrn.print._.standalone." localSheetId="11" hidden="1">{"standalone1",#N/A,FALSE,"DCFBase";"standalone2",#N/A,FALSE,"DCFBase"}</definedName>
    <definedName name="wrn.print._.standalone." hidden="1">{"standalone1",#N/A,FALSE,"DCFBase";"standalone2",#N/A,FALSE,"DCFBase"}</definedName>
    <definedName name="wrn.Print_CSC." localSheetId="10" hidden="1">{"CSC_1",#N/A,FALSE,"CSC Outputs";"CSC_2",#N/A,FALSE,"CSC Outputs"}</definedName>
    <definedName name="wrn.Print_CSC." localSheetId="11" hidden="1">{"CSC_1",#N/A,FALSE,"CSC Outputs";"CSC_2",#N/A,FALSE,"CSC Outputs"}</definedName>
    <definedName name="wrn.Print_CSC." hidden="1">{"CSC_1",#N/A,FALSE,"CSC Outputs";"CSC_2",#N/A,FALSE,"CSC Outputs"}</definedName>
    <definedName name="wrn.print_csc.2" localSheetId="10" hidden="1">{"CSC_1",#N/A,FALSE,"CSC Outputs";"CSC_2",#N/A,FALSE,"CSC Outputs"}</definedName>
    <definedName name="wrn.print_csc.2" localSheetId="11" hidden="1">{"CSC_1",#N/A,FALSE,"CSC Outputs";"CSC_2",#N/A,FALSE,"CSC Outputs"}</definedName>
    <definedName name="wrn.print_csc.2" hidden="1">{"CSC_1",#N/A,FALSE,"CSC Outputs";"CSC_2",#N/A,FALSE,"CSC Outputs"}</definedName>
    <definedName name="wrn.Print_CSC2" localSheetId="10" hidden="1">{"CSC_1",#N/A,FALSE,"CSC Outputs";"CSC_2",#N/A,FALSE,"CSC Outputs"}</definedName>
    <definedName name="wrn.Print_CSC2" localSheetId="11" hidden="1">{"CSC_1",#N/A,FALSE,"CSC Outputs";"CSC_2",#N/A,FALSE,"CSC Outputs"}</definedName>
    <definedName name="wrn.Print_CSC2" hidden="1">{"CSC_1",#N/A,FALSE,"CSC Outputs";"CSC_2",#N/A,FALSE,"CSC Outputs"}</definedName>
    <definedName name="wrn.printall." localSheetId="10" hidden="1">{"projections1",#N/A,FALSE,"projections";"dcf2",#N/A,FALSE,"dcf";"dcf no profit sharing",#N/A,FALSE,"dcf no profit sharing";"avp1",#N/A,FALSE,"avp"}</definedName>
    <definedName name="wrn.printall." localSheetId="11" hidden="1">{"projections1",#N/A,FALSE,"projections";"dcf2",#N/A,FALSE,"dcf";"dcf no profit sharing",#N/A,FALSE,"dcf no profit sharing";"avp1",#N/A,FALSE,"avp"}</definedName>
    <definedName name="wrn.printall." hidden="1">{"projections1",#N/A,FALSE,"projections";"dcf2",#N/A,FALSE,"dcf";"dcf no profit sharing",#N/A,FALSE,"dcf no profit sharing";"avp1",#N/A,FALSE,"avp"}</definedName>
    <definedName name="wrn.Pump." localSheetId="10" hidden="1">{#N/A,#N/A,FALSE,"Assump";#N/A,#N/A,FALSE,"Income";#N/A,#N/A,FALSE,"Balance";#N/A,#N/A,FALSE,"DCF Pump";#N/A,#N/A,FALSE,"Trans Assump";#N/A,#N/A,FALSE,"Combined Income";#N/A,#N/A,FALSE,"Combined Balance"}</definedName>
    <definedName name="wrn.Pump." localSheetId="11"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qtr._.review." localSheetId="10" hidden="1">{#N/A,#N/A,FALSE,"SUMMARY";#N/A,#N/A,FALSE,"MTD";#N/A,#N/A,FALSE,"QTD";#N/A,#N/A,FALSE,"YTD"}</definedName>
    <definedName name="wrn.qtr._.review." localSheetId="11" hidden="1">{#N/A,#N/A,FALSE,"SUMMARY";#N/A,#N/A,FALSE,"MTD";#N/A,#N/A,FALSE,"QTD";#N/A,#N/A,FALSE,"YTD"}</definedName>
    <definedName name="wrn.qtr._.review." hidden="1">{#N/A,#N/A,FALSE,"SUMMARY";#N/A,#N/A,FALSE,"MTD";#N/A,#N/A,FALSE,"QTD";#N/A,#N/A,FALSE,"YTD"}</definedName>
    <definedName name="wrn.qtr._.to._.issue." localSheetId="10" hidden="1">{#N/A,#N/A,FALSE,"SUMMARY";#N/A,#N/A,FALSE,"MTD";#N/A,#N/A,FALSE,"QTD";#N/A,#N/A,FALSE,"YTD";#N/A,#N/A,FALSE,"Combined";#N/A,#N/A,FALSE,"Forecast";#N/A,#N/A,FALSE,"Debt Structure";#N/A,#N/A,FALSE,"RATINGS";#N/A,#N/A,FALSE,"HEADCOUNT"}</definedName>
    <definedName name="wrn.qtr._.to._.issue." localSheetId="11" hidden="1">{#N/A,#N/A,FALSE,"SUMMARY";#N/A,#N/A,FALSE,"MTD";#N/A,#N/A,FALSE,"QTD";#N/A,#N/A,FALSE,"YTD";#N/A,#N/A,FALSE,"Combined";#N/A,#N/A,FALSE,"Forecast";#N/A,#N/A,FALSE,"Debt Structure";#N/A,#N/A,FALSE,"RATINGS";#N/A,#N/A,FALSE,"HEADCOUNT"}</definedName>
    <definedName name="wrn.qtr._.to._.issue." hidden="1">{#N/A,#N/A,FALSE,"SUMMARY";#N/A,#N/A,FALSE,"MTD";#N/A,#N/A,FALSE,"QTD";#N/A,#N/A,FALSE,"YTD";#N/A,#N/A,FALSE,"Combined";#N/A,#N/A,FALSE,"Forecast";#N/A,#N/A,FALSE,"Debt Structure";#N/A,#N/A,FALSE,"RATINGS";#N/A,#N/A,FALSE,"HEADCOUNT"}</definedName>
    <definedName name="wrn.Radio." localSheetId="10" hidden="1">{#N/A,#N/A,FALSE,"Virgin Flightdeck"}</definedName>
    <definedName name="wrn.Radio." localSheetId="11" hidden="1">{#N/A,#N/A,FALSE,"Virgin Flightdeck"}</definedName>
    <definedName name="wrn.Radio." hidden="1">{#N/A,#N/A,FALSE,"Virgin Flightdeck"}</definedName>
    <definedName name="wrn.RELEVANTSHEETS." localSheetId="10" hidden="1">{#N/A,#N/A,FALSE,"AD_Purch";#N/A,#N/A,FALSE,"Projections";#N/A,#N/A,FALSE,"DCF";#N/A,#N/A,FALSE,"Mkt Val"}</definedName>
    <definedName name="wrn.RELEVANTSHEETS." localSheetId="11" hidden="1">{#N/A,#N/A,FALSE,"AD_Purch";#N/A,#N/A,FALSE,"Projections";#N/A,#N/A,FALSE,"DCF";#N/A,#N/A,FALSE,"Mkt Val"}</definedName>
    <definedName name="wrn.RELEVANTSHEETS." hidden="1">{#N/A,#N/A,FALSE,"AD_Purch";#N/A,#N/A,FALSE,"Projections";#N/A,#N/A,FALSE,"DCF";#N/A,#N/A,FALSE,"Mkt Val"}</definedName>
    <definedName name="wrn.rep_page." localSheetId="10" hidden="1">{"Annual_Income",#N/A,FALSE,"Report Page";"Balance_Cash_Flow",#N/A,FALSE,"Report Page";"Quarterly_Income",#N/A,FALSE,"Report Page"}</definedName>
    <definedName name="wrn.rep_page." localSheetId="11" hidden="1">{"Annual_Income",#N/A,FALSE,"Report Page";"Balance_Cash_Flow",#N/A,FALSE,"Report Page";"Quarterly_Income",#N/A,FALSE,"Report Page"}</definedName>
    <definedName name="wrn.rep_page." hidden="1">{"Annual_Income",#N/A,FALSE,"Report Page";"Balance_Cash_Flow",#N/A,FALSE,"Report Page";"Quarterly_Income",#N/A,FALSE,"Report Page"}</definedName>
    <definedName name="wrn.report." localSheetId="10" hidden="1">{#N/A,#N/A,FALSE,"Temp Staf_Summary";#N/A,#N/A,FALSE,"ATC Services";#N/A,#N/A,FALSE,"Brannon &amp; Tully";#N/A,#N/A,FALSE,"Debbie";#N/A,#N/A,FALSE,"Alternative";#N/A,#N/A,FALSE,"Mid-States";#N/A,#N/A,FALSE,"United Temp."}</definedName>
    <definedName name="wrn.report." localSheetId="11" hidden="1">{#N/A,#N/A,FALSE,"Temp Staf_Summary";#N/A,#N/A,FALSE,"ATC Services";#N/A,#N/A,FALSE,"Brannon &amp; Tully";#N/A,#N/A,FALSE,"Debbie";#N/A,#N/A,FALSE,"Alternative";#N/A,#N/A,FALSE,"Mid-States";#N/A,#N/A,FALSE,"United Temp."}</definedName>
    <definedName name="wrn.report." hidden="1">{#N/A,#N/A,FALSE,"Temp Staf_Summary";#N/A,#N/A,FALSE,"ATC Services";#N/A,#N/A,FALSE,"Brannon &amp; Tully";#N/A,#N/A,FALSE,"Debbie";#N/A,#N/A,FALSE,"Alternative";#N/A,#N/A,FALSE,"Mid-States";#N/A,#N/A,FALSE,"United Temp."}</definedName>
    <definedName name="wrn.Report_Page." localSheetId="10" hidden="1">{"Annual_Income",#N/A,FALSE,"Report Page";"Balance_Cash_Flow",#N/A,FALSE,"Report Page";"Quarterly_Income",#N/A,FALSE,"Report Page"}</definedName>
    <definedName name="wrn.Report_Page." localSheetId="11"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Sales." localSheetId="10" hidden="1">{#N/A,#N/A,FALSE,"Marketing";#N/A,#N/A,FALSE,"Selling";#N/A,#N/A,FALSE,"Promotional";#N/A,#N/A,FALSE,"Advertising"}</definedName>
    <definedName name="wrn.Sales." localSheetId="11" hidden="1">{#N/A,#N/A,FALSE,"Marketing";#N/A,#N/A,FALSE,"Selling";#N/A,#N/A,FALSE,"Promotional";#N/A,#N/A,FALSE,"Advertising"}</definedName>
    <definedName name="wrn.Sales." hidden="1">{#N/A,#N/A,FALSE,"Marketing";#N/A,#N/A,FALSE,"Selling";#N/A,#N/A,FALSE,"Promotional";#N/A,#N/A,FALSE,"Advertising"}</definedName>
    <definedName name="wrn.Schedule._.A." localSheetId="10" hidden="1">{#N/A,#N/A,FALSE,"ALLOFFSUM-A1"}</definedName>
    <definedName name="wrn.Schedule._.A." localSheetId="11" hidden="1">{#N/A,#N/A,FALSE,"ALLOFFSUM-A1"}</definedName>
    <definedName name="wrn.Schedule._.A." hidden="1">{#N/A,#N/A,FALSE,"ALLOFFSUM-A1"}</definedName>
    <definedName name="wrn.SKSCS1." localSheetId="10" hidden="1">{#N/A,#N/A,FALSE,"Antony Financials";#N/A,#N/A,FALSE,"Cowboy Financials";#N/A,#N/A,FALSE,"Combined";#N/A,#N/A,FALSE,"Valuematrix";#N/A,#N/A,FALSE,"DCFAntony";#N/A,#N/A,FALSE,"DCFCowboy";#N/A,#N/A,FALSE,"DCFCombined"}</definedName>
    <definedName name="wrn.SKSCS1." localSheetId="11"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mithtj." localSheetId="10" hidden="1">{#N/A,#N/A,FALSE,"LIN CALVIN";#N/A,#N/A,FALSE,"KOO JOYCE";#N/A,#N/A,FALSE,"MAK PAUL";#N/A,#N/A,FALSE,"LAM BING";#N/A,#N/A,FALSE,"WU JOHN";#N/A,#N/A,FALSE,"DR SEET LIP CHAI";#N/A,#N/A,FALSE,"ZUDNECK ZENON";#N/A,#N/A,FALSE,"MENG JANE";#N/A,#N/A,FALSE,"T C CHENG";#N/A,#N/A,FALSE,"MARCHALL MA"}</definedName>
    <definedName name="wrn.smithtj." localSheetId="11" hidden="1">{#N/A,#N/A,FALSE,"LIN CALVIN";#N/A,#N/A,FALSE,"KOO JOYCE";#N/A,#N/A,FALSE,"MAK PAUL";#N/A,#N/A,FALSE,"LAM BING";#N/A,#N/A,FALSE,"WU JOHN";#N/A,#N/A,FALSE,"DR SEET LIP CHAI";#N/A,#N/A,FALSE,"ZUDNECK ZENON";#N/A,#N/A,FALSE,"MENG JANE";#N/A,#N/A,FALSE,"T C CHENG";#N/A,#N/A,FALSE,"MARCHALL MA"}</definedName>
    <definedName name="wrn.smithtj." hidden="1">{#N/A,#N/A,FALSE,"LIN CALVIN";#N/A,#N/A,FALSE,"KOO JOYCE";#N/A,#N/A,FALSE,"MAK PAUL";#N/A,#N/A,FALSE,"LAM BING";#N/A,#N/A,FALSE,"WU JOHN";#N/A,#N/A,FALSE,"DR SEET LIP CHAI";#N/A,#N/A,FALSE,"ZUDNECK ZENON";#N/A,#N/A,FALSE,"MENG JANE";#N/A,#N/A,FALSE,"T C CHENG";#N/A,#N/A,FALSE,"MARCHALL MA"}</definedName>
    <definedName name="wrn.Standard." localSheetId="10" hidden="1">{"Financials",#N/A,FALSE,"Financials";"AVP",#N/A,FALSE,"AVP";"DCF",#N/A,FALSE,"DCF";"CSC",#N/A,FALSE,"CSC";"Deal_Comp",#N/A,FALSE,"DealComp"}</definedName>
    <definedName name="wrn.Standard." localSheetId="11" hidden="1">{"Financials",#N/A,FALSE,"Financials";"AVP",#N/A,FALSE,"AVP";"DCF",#N/A,FALSE,"DCF";"CSC",#N/A,FALSE,"CSC";"Deal_Comp",#N/A,FALSE,"DealComp"}</definedName>
    <definedName name="wrn.Standard." hidden="1">{"Financials",#N/A,FALSE,"Financials";"AVP",#N/A,FALSE,"AVP";"DCF",#N/A,FALSE,"DCF";"CSC",#N/A,FALSE,"CSC";"Deal_Comp",#N/A,FALSE,"DealComp"}</definedName>
    <definedName name="wrn.Summary._.Report._.by._.Month." localSheetId="10" hidden="1">{#N/A,#N/A,TRUE,"Cover Page";#N/A,#N/A,TRUE,"Summary Stats Month";#N/A,#N/A,TRUE,"Balance Sheet Month";#N/A,#N/A,TRUE,"Cash Flow Month";#N/A,#N/A,TRUE,"Income Statement Month";#N/A,#N/A,TRUE,"CAPEX Month";#N/A,#N/A,TRUE,"Headcount Summary Month";#N/A,#N/A,TRUE,"Assumptions"}</definedName>
    <definedName name="wrn.Summary._.Report._.by._.Month." localSheetId="11" hidden="1">{#N/A,#N/A,TRUE,"Cover Page";#N/A,#N/A,TRUE,"Summary Stats Month";#N/A,#N/A,TRUE,"Balance Sheet Month";#N/A,#N/A,TRUE,"Cash Flow Month";#N/A,#N/A,TRUE,"Income Statement Month";#N/A,#N/A,TRUE,"CAPEX Month";#N/A,#N/A,TRUE,"Headcount Summary Month";#N/A,#N/A,TRUE,"Assumptions"}</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localSheetId="10" hidden="1">{#N/A,#N/A,TRUE,"Cover Page";#N/A,#N/A,TRUE,"Summary Stats Annual";#N/A,#N/A,TRUE,"Balance Sheet Annual";#N/A,#N/A,TRUE,"Cash Flow Annual";#N/A,#N/A,TRUE,"Income Statement Annual";#N/A,#N/A,TRUE,"CAPEX Annual";#N/A,#N/A,TRUE,"Assumptions"}</definedName>
    <definedName name="wrn.Summary._.Report._.by._.Year." localSheetId="11" hidden="1">{#N/A,#N/A,TRUE,"Cover Page";#N/A,#N/A,TRUE,"Summary Stats Annual";#N/A,#N/A,TRUE,"Balance Sheet Annual";#N/A,#N/A,TRUE,"Cash Flow Annual";#N/A,#N/A,TRUE,"Income Statement Annual";#N/A,#N/A,TRUE,"CAPEX Annual";#N/A,#N/A,TRUE,"Assumptions"}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localSheetId="10" hidden="1">{#N/A,#N/A,FALSE,"CreditStat";#N/A,#N/A,FALSE,"SPbrkup";#N/A,#N/A,FALSE,"MerSPsyn";#N/A,#N/A,FALSE,"MerSPwKCsyn";#N/A,#N/A,FALSE,"MerSPwKCsyn (2)";#N/A,#N/A,FALSE,"CreditStat (2)"}</definedName>
    <definedName name="wrn.SummaryPgs." localSheetId="11"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nmicro." localSheetId="10" hidden="1">{#N/A,#N/A,FALSE,"FREEMAN";#N/A,#N/A,FALSE,"STEPHEN";#N/A,#N/A,FALSE,"VICTOR"}</definedName>
    <definedName name="wrn.sunmicro." localSheetId="11" hidden="1">{#N/A,#N/A,FALSE,"FREEMAN";#N/A,#N/A,FALSE,"STEPHEN";#N/A,#N/A,FALSE,"VICTOR"}</definedName>
    <definedName name="wrn.sunmicro." hidden="1">{#N/A,#N/A,FALSE,"FREEMAN";#N/A,#N/A,FALSE,"STEPHEN";#N/A,#N/A,FALSE,"VICTOR"}</definedName>
    <definedName name="wrn.tel2." localSheetId="10" hidden="1">{#N/A,#N/A,FALSE,"FS_Summary";#N/A,#N/A,FALSE,"Tel_Summary";#N/A,#N/A,FALSE,"Tomahawk";#N/A,#N/A,FALSE,"Medical Marketing";#N/A,#N/A,FALSE,"DIMAC";#N/A,#N/A,FALSE,"Epsilon";#N/A,#N/A,FALSE,"Direct";#N/A,#N/A,FALSE,"DIMAC(2)"}</definedName>
    <definedName name="wrn.tel2." localSheetId="11" hidden="1">{#N/A,#N/A,FALSE,"FS_Summary";#N/A,#N/A,FALSE,"Tel_Summary";#N/A,#N/A,FALSE,"Tomahawk";#N/A,#N/A,FALSE,"Medical Marketing";#N/A,#N/A,FALSE,"DIMAC";#N/A,#N/A,FALSE,"Epsilon";#N/A,#N/A,FALSE,"Direct";#N/A,#N/A,FALSE,"DIMAC(2)"}</definedName>
    <definedName name="wrn.tel2." hidden="1">{#N/A,#N/A,FALSE,"FS_Summary";#N/A,#N/A,FALSE,"Tel_Summary";#N/A,#N/A,FALSE,"Tomahawk";#N/A,#N/A,FALSE,"Medical Marketing";#N/A,#N/A,FALSE,"DIMAC";#N/A,#N/A,FALSE,"Epsilon";#N/A,#N/A,FALSE,"Direct";#N/A,#N/A,FALSE,"DIMAC(2)"}</definedName>
    <definedName name="wrn.telem." localSheetId="10" hidden="1">{#N/A,#N/A,FALSE,"FS_Summary";#N/A,#N/A,FALSE,"Tomahawk";#N/A,#N/A,FALSE,"Medical Marketing";#N/A,#N/A,FALSE,"Epsilon";#N/A,#N/A,FALSE,"DIMAC";#N/A,#N/A,FALSE,"Direct";#N/A,#N/A,FALSE,"DIMAC(2)"}</definedName>
    <definedName name="wrn.telem." localSheetId="11" hidden="1">{#N/A,#N/A,FALSE,"FS_Summary";#N/A,#N/A,FALSE,"Tomahawk";#N/A,#N/A,FALSE,"Medical Marketing";#N/A,#N/A,FALSE,"Epsilon";#N/A,#N/A,FALSE,"DIMAC";#N/A,#N/A,FALSE,"Direct";#N/A,#N/A,FALSE,"DIMAC(2)"}</definedName>
    <definedName name="wrn.telem." hidden="1">{#N/A,#N/A,FALSE,"FS_Summary";#N/A,#N/A,FALSE,"Tomahawk";#N/A,#N/A,FALSE,"Medical Marketing";#N/A,#N/A,FALSE,"Epsilon";#N/A,#N/A,FALSE,"DIMAC";#N/A,#N/A,FALSE,"Direct";#N/A,#N/A,FALSE,"DIMAC(2)"}</definedName>
    <definedName name="wrn.test." localSheetId="10" hidden="1">{"test2",#N/A,TRUE,"Prices"}</definedName>
    <definedName name="wrn.test." localSheetId="11" hidden="1">{"test2",#N/A,TRUE,"Prices"}</definedName>
    <definedName name="wrn.test." hidden="1">{"test2",#N/A,TRUE,"Prices"}</definedName>
    <definedName name="wrn.test1." hidden="1">{#N/A,#N/A,FALSE,"Earn'gs &amp; Val'n";#N/A,#N/A,FALSE,"Interim"}</definedName>
    <definedName name="wrn.TODO." localSheetId="10"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DO." localSheetId="1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localSheetId="1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10" hidden="1">{"toptrial",#N/A,TRUE,"toptrial";"adjustment",#N/A,TRUE,"toptrial";"voucher",#N/A,TRUE,"toptrial"}</definedName>
    <definedName name="wrn.tope" localSheetId="11" hidden="1">{"toptrial",#N/A,TRUE,"toptrial";"adjustment",#N/A,TRUE,"toptrial";"voucher",#N/A,TRUE,"toptrial"}</definedName>
    <definedName name="wrn.tope" hidden="1">{"toptrial",#N/A,TRUE,"toptrial";"adjustment",#N/A,TRUE,"toptrial";"voucher",#N/A,TRUE,"toptrial"}</definedName>
    <definedName name="wrn.toptrial." localSheetId="10" hidden="1">{"toptrial",#N/A,TRUE,"toptrial";"adjustment",#N/A,TRUE,"toptrial";"voucher",#N/A,TRUE,"toptrial"}</definedName>
    <definedName name="wrn.toptrial." localSheetId="11" hidden="1">{"toptrial",#N/A,TRUE,"toptrial";"adjustment",#N/A,TRUE,"toptrial";"voucher",#N/A,TRUE,"toptrial"}</definedName>
    <definedName name="wrn.toptrial." hidden="1">{"toptrial",#N/A,TRUE,"toptrial";"adjustment",#N/A,TRUE,"toptrial";"voucher",#N/A,TRUE,"toptrial"}</definedName>
    <definedName name="wrn.Total." localSheetId="10" hidden="1">{#N/A,#N/A,FALSE,"Trans-Sum";#N/A,#N/A,FALSE,"Accr-Dilu2";#N/A,#N/A,FALSE,"Contribution";#N/A,#N/A,FALSE,"Combined";#N/A,#N/A,FALSE,"ASTF";#N/A,#N/A,FALSE,"BRA";#N/A,#N/A,FALSE,"Bra_C";#N/A,#N/A,FALSE,"AcqMults";#N/A,#N/A,FALSE,"CompMults";#N/A,#N/A,FALSE,"DCF";#N/A,#N/A,FALSE,"WACC";#N/A,#N/A,FALSE,"LBO";#N/A,#N/A,FALSE,"Summary";#N/A,#N/A,FALSE,"StructSum"}</definedName>
    <definedName name="wrn.Total." localSheetId="11"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10" hidden="1">{#N/A,#N/A,TRUE,"TransPrcd 1";#N/A,#N/A,TRUE,"TransPrcd 2";#N/A,#N/A,TRUE,"TransPrcd 3"}</definedName>
    <definedName name="wrn.TransPrcd_123." localSheetId="11" hidden="1">{#N/A,#N/A,TRUE,"TransPrcd 1";#N/A,#N/A,TRUE,"TransPrcd 2";#N/A,#N/A,TRUE,"TransPrcd 3"}</definedName>
    <definedName name="wrn.TransPrcd_123." hidden="1">{#N/A,#N/A,TRUE,"TransPrcd 1";#N/A,#N/A,TRUE,"TransPrcd 2";#N/A,#N/A,TRUE,"TransPrcd 3"}</definedName>
    <definedName name="wrn.Tweety." localSheetId="10" hidden="1">{#N/A,#N/A,FALSE,"A&amp;E";#N/A,#N/A,FALSE,"HighTop";#N/A,#N/A,FALSE,"JG";#N/A,#N/A,FALSE,"RI";#N/A,#N/A,FALSE,"woHT";#N/A,#N/A,FALSE,"woHT&amp;JG"}</definedName>
    <definedName name="wrn.Tweety." localSheetId="11" hidden="1">{#N/A,#N/A,FALSE,"A&amp;E";#N/A,#N/A,FALSE,"HighTop";#N/A,#N/A,FALSE,"JG";#N/A,#N/A,FALSE,"RI";#N/A,#N/A,FALSE,"woHT";#N/A,#N/A,FALSE,"woHT&amp;JG"}</definedName>
    <definedName name="wrn.Tweety." hidden="1">{#N/A,#N/A,FALSE,"A&amp;E";#N/A,#N/A,FALSE,"HighTop";#N/A,#N/A,FALSE,"JG";#N/A,#N/A,FALSE,"RI";#N/A,#N/A,FALSE,"woHT";#N/A,#N/A,FALSE,"woHT&amp;JG"}</definedName>
    <definedName name="wrn.Upper._.Case." localSheetId="10"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localSheetId="11"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localSheetId="10" hidden="1">{#N/A,#N/A,FALSE,"Pooling";#N/A,#N/A,FALSE,"income";#N/A,#N/A,FALSE,"valuation"}</definedName>
    <definedName name="wrn.VALUATION." localSheetId="11" hidden="1">{#N/A,#N/A,FALSE,"Pooling";#N/A,#N/A,FALSE,"income";#N/A,#N/A,FALSE,"valuation"}</definedName>
    <definedName name="wrn.VALUATION." hidden="1">{#N/A,#N/A,FALSE,"Pooling";#N/A,#N/A,FALSE,"income";#N/A,#N/A,FALSE,"valuation"}</definedName>
    <definedName name="wrn.Valuation._.Package._.1." localSheetId="10"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1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10" hidden="1">{#N/A,#N/A,FALSE,"970301";#N/A,#N/A,FALSE,"970302";#N/A,#N/A,FALSE,"970303";#N/A,#N/A,FALSE,"970304";#N/A,#N/A,FALSE,"COM1";#N/A,#N/A,FALSE,"COM2"}</definedName>
    <definedName name="wrn.voucher9703." localSheetId="11" hidden="1">{#N/A,#N/A,FALSE,"970301";#N/A,#N/A,FALSE,"970302";#N/A,#N/A,FALSE,"970303";#N/A,#N/A,FALSE,"970304";#N/A,#N/A,FALSE,"COM1";#N/A,#N/A,FALSE,"COM2"}</definedName>
    <definedName name="wrn.voucher9703." hidden="1">{#N/A,#N/A,FALSE,"970301";#N/A,#N/A,FALSE,"970302";#N/A,#N/A,FALSE,"970303";#N/A,#N/A,FALSE,"970304";#N/A,#N/A,FALSE,"COM1";#N/A,#N/A,FALSE,"COM2"}</definedName>
    <definedName name="wrn.whole._.document." localSheetId="10" hidden="1">{"page 1",#N/A,FALSE,"A";"page 2",#N/A,FALSE,"A";"page 3",#N/A,FALSE,"A";"page 4",#N/A,FALSE,"A";"page 5",#N/A,FALSE,"A";"page 6",#N/A,FALSE,"A";"page 7",#N/A,FALSE,"A";"page 8",#N/A,FALSE,"A";"page 9",#N/A,FALSE,"A";"page 10",#N/A,FALSE,"A";"page 11",#N/A,FALSE,"A";"page 12",#N/A,FALSE,"A";"page 13",#N/A,FALSE,"A";"page 14",#N/A,FALSE,"A"}</definedName>
    <definedName name="wrn.whole._.document." localSheetId="11"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localSheetId="10"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1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0" hidden="1">{#N/A,#N/A,FALSE,"FACTSHEETS";#N/A,#N/A,FALSE,"pump";#N/A,#N/A,FALSE,"filter"}</definedName>
    <definedName name="wrn.wicor." localSheetId="11" hidden="1">{#N/A,#N/A,FALSE,"FACTSHEETS";#N/A,#N/A,FALSE,"pump";#N/A,#N/A,FALSE,"filter"}</definedName>
    <definedName name="wrn.wicor." hidden="1">{#N/A,#N/A,FALSE,"FACTSHEETS";#N/A,#N/A,FALSE,"pump";#N/A,#N/A,FALSE,"filter"}</definedName>
    <definedName name="wrn.ytd." localSheetId="10" hidden="1">{#N/A,#N/A,FALSE,"YTD"}</definedName>
    <definedName name="wrn.ytd." localSheetId="11" hidden="1">{#N/A,#N/A,FALSE,"YTD"}</definedName>
    <definedName name="wrn.ytd." localSheetId="9" hidden="1">{#N/A,#N/A,FALSE,"YTD"}</definedName>
    <definedName name="wrn.ytd." localSheetId="7" hidden="1">{#N/A,#N/A,FALSE,"YTD"}</definedName>
    <definedName name="wrn.ytd." hidden="1">{#N/A,#N/A,FALSE,"YTD"}</definedName>
    <definedName name="wrn.채권채무조회서." localSheetId="10" hidden="1">{#N/A,#N/A,FALSE,"채권채무";#N/A,#N/A,FALSE,"control sheet"}</definedName>
    <definedName name="wrn.채권채무조회서." localSheetId="11" hidden="1">{#N/A,#N/A,FALSE,"채권채무";#N/A,#N/A,FALSE,"control sheet"}</definedName>
    <definedName name="wrn.채권채무조회서." hidden="1">{#N/A,#N/A,FALSE,"채권채무";#N/A,#N/A,FALSE,"control sheet"}</definedName>
    <definedName name="wrn100.gb" localSheetId="10" hidden="1">{#N/A,#N/A,FALSE,"资产负债表";#N/A,#N/A,FALSE,"资产负债表"}</definedName>
    <definedName name="wrn100.gb" localSheetId="11" hidden="1">{#N/A,#N/A,FALSE,"资产负债表";#N/A,#N/A,FALSE,"资产负债表"}</definedName>
    <definedName name="wrn100.gb" hidden="1">{#N/A,#N/A,FALSE,"资产负债表";#N/A,#N/A,FALSE,"资产负债表"}</definedName>
    <definedName name="wrnn" localSheetId="10" hidden="1">{#N/A,#N/A,FALSE,"PERSONAL";#N/A,#N/A,FALSE,"explotación";#N/A,#N/A,FALSE,"generales"}</definedName>
    <definedName name="wrnn" localSheetId="11" hidden="1">{#N/A,#N/A,FALSE,"PERSONAL";#N/A,#N/A,FALSE,"explotación";#N/A,#N/A,FALSE,"generales"}</definedName>
    <definedName name="wrnn" hidden="1">{#N/A,#N/A,FALSE,"PERSONAL";#N/A,#N/A,FALSE,"explotación";#N/A,#N/A,FALSE,"generales"}</definedName>
    <definedName name="wrnn.all." localSheetId="2" hidden="1">{#N/A,#N/A,FALSE,"SUM";#N/A,#N/A,FALSE,"SK_TOT";#N/A,#N/A,FALSE,"YM";#N/A,#N/A,FALSE,"TSMC";#N/A,#N/A,FALSE,"ICW";#N/A,#N/A,FALSE,"Sheet1"}</definedName>
    <definedName name="wrnn.all." localSheetId="3" hidden="1">{#N/A,#N/A,FALSE,"SUM";#N/A,#N/A,FALSE,"SK_TOT";#N/A,#N/A,FALSE,"YM";#N/A,#N/A,FALSE,"TSMC";#N/A,#N/A,FALSE,"ICW";#N/A,#N/A,FALSE,"Sheet1"}</definedName>
    <definedName name="wrnn.all." localSheetId="10" hidden="1">{#N/A,#N/A,FALSE,"SUM";#N/A,#N/A,FALSE,"SK_TOT";#N/A,#N/A,FALSE,"YM";#N/A,#N/A,FALSE,"TSMC";#N/A,#N/A,FALSE,"ICW";#N/A,#N/A,FALSE,"Sheet1"}</definedName>
    <definedName name="wrnn.all." localSheetId="11" hidden="1">{#N/A,#N/A,FALSE,"SUM";#N/A,#N/A,FALSE,"SK_TOT";#N/A,#N/A,FALSE,"YM";#N/A,#N/A,FALSE,"TSMC";#N/A,#N/A,FALSE,"ICW";#N/A,#N/A,FALSE,"Sheet1"}</definedName>
    <definedName name="wrnn.all." localSheetId="9" hidden="1">{#N/A,#N/A,FALSE,"SUM";#N/A,#N/A,FALSE,"SK_TOT";#N/A,#N/A,FALSE,"YM";#N/A,#N/A,FALSE,"TSMC";#N/A,#N/A,FALSE,"ICW";#N/A,#N/A,FALSE,"Sheet1"}</definedName>
    <definedName name="wrnn.all." localSheetId="7" hidden="1">{#N/A,#N/A,FALSE,"SUM";#N/A,#N/A,FALSE,"SK_TOT";#N/A,#N/A,FALSE,"YM";#N/A,#N/A,FALSE,"TSMC";#N/A,#N/A,FALSE,"ICW";#N/A,#N/A,FALSE,"Sheet1"}</definedName>
    <definedName name="wrnn.all." hidden="1">{#N/A,#N/A,FALSE,"SUM";#N/A,#N/A,FALSE,"SK_TOT";#N/A,#N/A,FALSE,"YM";#N/A,#N/A,FALSE,"TSMC";#N/A,#N/A,FALSE,"ICW";#N/A,#N/A,FALSE,"Sheet1"}</definedName>
    <definedName name="wro.fy00_Q1Q2." localSheetId="10" hidden="1">{#N/A,#N/A,FALSE,"Sheet1"}</definedName>
    <definedName name="wro.fy00_Q1Q2." localSheetId="11" hidden="1">{#N/A,#N/A,FALSE,"Sheet1"}</definedName>
    <definedName name="wro.fy00_Q1Q2." hidden="1">{#N/A,#N/A,FALSE,"Sheet1"}</definedName>
    <definedName name="wtr" localSheetId="10" hidden="1">{#N/A,#N/A,FALSE,"资产负债表";#N/A,#N/A,FALSE,"资产负债表"}</definedName>
    <definedName name="wtr" localSheetId="11" hidden="1">{#N/A,#N/A,FALSE,"资产负债表";#N/A,#N/A,FALSE,"资产负债表"}</definedName>
    <definedName name="wtr" hidden="1">{#N/A,#N/A,FALSE,"资产负债表";#N/A,#N/A,FALSE,"资产负债表"}</definedName>
    <definedName name="wvu.Curr_View." localSheetId="10"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Curr_View." localSheetId="11"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localSheetId="10"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wvu.P01_View." localSheetId="11"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hidden="1">#REF!</definedName>
    <definedName name="XREF_COLUMN_10" localSheetId="2" hidden="1">'K.00 Lead Sheet'!#REF!</definedName>
    <definedName name="XREF_COLUMN_10" localSheetId="3" hidden="1">#REF!</definedName>
    <definedName name="XREF_COLUMN_10" localSheetId="10" hidden="1">#REF!</definedName>
    <definedName name="XREF_COLUMN_10" hidden="1">#REF!</definedName>
    <definedName name="XREF_COLUMN_11" localSheetId="2" hidden="1">'K.00 Lead Sheet'!#REF!</definedName>
    <definedName name="XREF_COLUMN_11" localSheetId="3" hidden="1">#REF!</definedName>
    <definedName name="XREF_COLUMN_11" localSheetId="10" hidden="1">#REF!</definedName>
    <definedName name="XREF_COLUMN_11" hidden="1">#REF!</definedName>
    <definedName name="XREF_COLUMN_12" hidden="1">#REF!</definedName>
    <definedName name="XREF_COLUMN_19" localSheetId="2" hidden="1">'K.00 Lead Sheet'!#REF!</definedName>
    <definedName name="XREF_COLUMN_19" localSheetId="3" hidden="1">#REF!</definedName>
    <definedName name="XREF_COLUMN_19" localSheetId="10" hidden="1">#REF!</definedName>
    <definedName name="XREF_COLUMN_19" hidden="1">#REF!</definedName>
    <definedName name="XREF_COLUMN_2" localSheetId="2" hidden="1">'K.00 Lead Sheet'!#REF!</definedName>
    <definedName name="XREF_COLUMN_2" localSheetId="3" hidden="1">#REF!</definedName>
    <definedName name="XREF_COLUMN_2" localSheetId="10" hidden="1">#REF!</definedName>
    <definedName name="XREF_COLUMN_2" hidden="1">#REF!</definedName>
    <definedName name="XREF_COLUMN_20" localSheetId="2" hidden="1">'K.00 Lead Sheet'!#REF!</definedName>
    <definedName name="XREF_COLUMN_20" localSheetId="3" hidden="1">#REF!</definedName>
    <definedName name="XREF_COLUMN_20" localSheetId="10" hidden="1">#REF!</definedName>
    <definedName name="XREF_COLUMN_20" hidden="1">#REF!</definedName>
    <definedName name="XREF_COLUMN_21" hidden="1">#REF!</definedName>
    <definedName name="XREF_COLUMN_3" localSheetId="2" hidden="1">'K.00 Lead Sheet'!#REF!</definedName>
    <definedName name="XREF_COLUMN_3" localSheetId="3" hidden="1">#REF!</definedName>
    <definedName name="XREF_COLUMN_3" localSheetId="10" hidden="1">#REF!</definedName>
    <definedName name="XREF_COLUMN_3" hidden="1">#REF!</definedName>
    <definedName name="XREF_COLUMN_4" localSheetId="2" hidden="1">'K.00 Lead Sheet'!#REF!</definedName>
    <definedName name="XREF_COLUMN_4" localSheetId="3" hidden="1">#REF!</definedName>
    <definedName name="XREF_COLUMN_4" localSheetId="10" hidden="1">#REF!</definedName>
    <definedName name="XREF_COLUMN_4" hidden="1">#REF!</definedName>
    <definedName name="XREF_COLUMN_5" localSheetId="2" hidden="1">'K.00 Lead Sheet'!#REF!</definedName>
    <definedName name="XREF_COLUMN_5" localSheetId="3" hidden="1">#REF!</definedName>
    <definedName name="XREF_COLUMN_5" localSheetId="10" hidden="1">#REF!</definedName>
    <definedName name="XREF_COLUMN_5" hidden="1">#REF!</definedName>
    <definedName name="XREF_COLUMN_6" localSheetId="2" hidden="1">'K.00 Lead Sheet'!#REF!</definedName>
    <definedName name="XREF_COLUMN_6" localSheetId="3" hidden="1">#REF!</definedName>
    <definedName name="XREF_COLUMN_6" localSheetId="10" hidden="1">#REF!</definedName>
    <definedName name="XREF_COLUMN_6" hidden="1">#REF!</definedName>
    <definedName name="XREF_COLUMN_7" hidden="1">#REF!</definedName>
    <definedName name="XRefActiveRow" localSheetId="2" hidden="1">'K.00 Lead Sheet'!#REF!</definedName>
    <definedName name="XRefActiveRow" localSheetId="3" hidden="1">#REF!</definedName>
    <definedName name="XRefActiveRow" localSheetId="10" hidden="1">#REF!</definedName>
    <definedName name="XRefActiveRow" hidden="1">#REF!</definedName>
    <definedName name="XRefColumnsCount" hidden="1">2</definedName>
    <definedName name="XRefCopy1" localSheetId="2" hidden="1">'K.00 Lead Sheet'!#REF!</definedName>
    <definedName name="XRefCopy1" localSheetId="3" hidden="1">#REF!</definedName>
    <definedName name="XRefCopy1" localSheetId="10" hidden="1">#REF!</definedName>
    <definedName name="XRefCopy1" hidden="1">#REF!</definedName>
    <definedName name="XRefCopy10" hidden="1">#REF!</definedName>
    <definedName name="XRefCopy10Row" hidden="1">#REF!</definedName>
    <definedName name="XRefCopy11" localSheetId="2" hidden="1">'K.00 Lead Sheet'!#REF!</definedName>
    <definedName name="XRefCopy11" localSheetId="3" hidden="1">#REF!</definedName>
    <definedName name="XRefCopy11" localSheetId="10" hidden="1">#REF!</definedName>
    <definedName name="XRefCopy11" hidden="1">#REF!</definedName>
    <definedName name="XRefCopy11Row" localSheetId="2" hidden="1">'K.00 Lead Sheet'!#REF!</definedName>
    <definedName name="XRefCopy11Row" localSheetId="3" hidden="1">#REF!</definedName>
    <definedName name="XRefCopy11Row" localSheetId="10" hidden="1">#REF!</definedName>
    <definedName name="XRefCopy11Row" hidden="1">#REF!</definedName>
    <definedName name="XRefCopy12" hidden="1">#REF!</definedName>
    <definedName name="XRefCopy13" hidden="1">#REF!</definedName>
    <definedName name="XRefCopy13Row" localSheetId="2" hidden="1">'K.00 Lead Sheet'!#REF!</definedName>
    <definedName name="XRefCopy13Row" localSheetId="3" hidden="1">#REF!</definedName>
    <definedName name="XRefCopy13Row" localSheetId="10" hidden="1">#REF!</definedName>
    <definedName name="XRefCopy13Row" hidden="1">#REF!</definedName>
    <definedName name="XRefCopy14" localSheetId="2" hidden="1">'K.00 Lead Sheet'!#REF!</definedName>
    <definedName name="XRefCopy14" localSheetId="3" hidden="1">#REF!</definedName>
    <definedName name="XRefCopy14" localSheetId="10" hidden="1">#REF!</definedName>
    <definedName name="XRefCopy14" hidden="1">#REF!</definedName>
    <definedName name="XRefCopy15" hidden="1">#REF!</definedName>
    <definedName name="XRefCopy16" hidden="1">#REF!</definedName>
    <definedName name="XRefCopy16Row" localSheetId="2" hidden="1">'K.00 Lead Sheet'!#REF!</definedName>
    <definedName name="XRefCopy16Row" localSheetId="3" hidden="1">#REF!</definedName>
    <definedName name="XRefCopy16Row" localSheetId="10" hidden="1">#REF!</definedName>
    <definedName name="XRefCopy16Row" hidden="1">#REF!</definedName>
    <definedName name="XRefCopy17" hidden="1">#REF!</definedName>
    <definedName name="XRefCopy1Row" localSheetId="2" hidden="1">'K.00 Lead Sheet'!#REF!</definedName>
    <definedName name="XRefCopy1Row" localSheetId="3" hidden="1">#REF!</definedName>
    <definedName name="XRefCopy1Row" localSheetId="10"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5" hidden="1">#REF!</definedName>
    <definedName name="XRefPaste1Row" hidden="1">#REF!</definedName>
    <definedName name="XRefPaste2" localSheetId="2" hidden="1">'K.00 Lead Sheet'!#REF!</definedName>
    <definedName name="XRefPaste2" localSheetId="3" hidden="1">#REF!</definedName>
    <definedName name="XRefPaste2" localSheetId="10" hidden="1">#REF!</definedName>
    <definedName name="XRefPaste2" hidden="1">#REF!</definedName>
    <definedName name="XRefPaste24" localSheetId="2" hidden="1">'K.00 Lead Sheet'!#REF!</definedName>
    <definedName name="XRefPaste24" localSheetId="3" hidden="1">#REF!</definedName>
    <definedName name="XRefPaste24" localSheetId="10"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localSheetId="2" hidden="1">'K.00 Lead Sheet'!#REF!</definedName>
    <definedName name="XRefPaste2Row" localSheetId="3" hidden="1">#REF!</definedName>
    <definedName name="XRefPaste2Row" localSheetId="10" hidden="1">#REF!</definedName>
    <definedName name="XRefPaste2Row" hidden="1">#REF!</definedName>
    <definedName name="XRefPaste3" localSheetId="2" hidden="1">'K.00 Lead Sheet'!#REF!</definedName>
    <definedName name="XRefPaste3" localSheetId="3" hidden="1">#REF!</definedName>
    <definedName name="XRefPaste3" localSheetId="10"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localSheetId="2" hidden="1">'K.00 Lead Sheet'!#REF!</definedName>
    <definedName name="XRefPaste6Row" localSheetId="3" hidden="1">#REF!</definedName>
    <definedName name="XRefPaste6Row" localSheetId="10" hidden="1">#REF!</definedName>
    <definedName name="XRefPaste6Row" hidden="1">#REF!</definedName>
    <definedName name="XRefPaste7" localSheetId="2" hidden="1">'K.00 Lead Sheet'!#REF!</definedName>
    <definedName name="XRefPaste7" localSheetId="3" hidden="1">#REF!</definedName>
    <definedName name="XRefPaste7" localSheetId="10"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localSheetId="10" hidden="1">{#N/A,#N/A,FALSE,"Virgin Flightdeck"}</definedName>
    <definedName name="xxx" localSheetId="11" hidden="1">{#N/A,#N/A,FALSE,"Virgin Flightdeck"}</definedName>
    <definedName name="xxx" hidden="1">{#N/A,#N/A,FALSE,"Virgin Flightdeck"}</definedName>
    <definedName name="XXXXXXXXXXXX" hidden="1">#REF!</definedName>
    <definedName name="xyz" hidden="1">#REF!</definedName>
    <definedName name="xzxsfd" localSheetId="2" hidden="1">{"M1Print",#N/A,FALSE,"M1"}</definedName>
    <definedName name="xzxsfd" localSheetId="3" hidden="1">{"M1Print",#N/A,FALSE,"M1"}</definedName>
    <definedName name="xzxsfd" localSheetId="10" hidden="1">{"M1Print",#N/A,FALSE,"M1"}</definedName>
    <definedName name="xzxsfd" localSheetId="11" hidden="1">{"M1Print",#N/A,FALSE,"M1"}</definedName>
    <definedName name="xzxsfd" localSheetId="9" hidden="1">{"M1Print",#N/A,FALSE,"M1"}</definedName>
    <definedName name="xzxsfd" localSheetId="7" hidden="1">{"M1Print",#N/A,FALSE,"M1"}</definedName>
    <definedName name="xzxsfd" hidden="1">{"M1Print",#N/A,FALSE,"M1"}</definedName>
    <definedName name="y" localSheetId="10" hidden="1">{#N/A,#N/A,FALSE,"970301";#N/A,#N/A,FALSE,"970302";#N/A,#N/A,FALSE,"970303";#N/A,#N/A,FALSE,"970304";#N/A,#N/A,FALSE,"COM1";#N/A,#N/A,FALSE,"COM2"}</definedName>
    <definedName name="y" localSheetId="11" hidden="1">{#N/A,#N/A,FALSE,"970301";#N/A,#N/A,FALSE,"970302";#N/A,#N/A,FALSE,"970303";#N/A,#N/A,FALSE,"970304";#N/A,#N/A,FALSE,"COM1";#N/A,#N/A,FALSE,"COM2"}</definedName>
    <definedName name="y" hidden="1">{#N/A,#N/A,FALSE,"970301";#N/A,#N/A,FALSE,"970302";#N/A,#N/A,FALSE,"970303";#N/A,#N/A,FALSE,"970304";#N/A,#N/A,FALSE,"COM1";#N/A,#N/A,FALSE,"COM2"}</definedName>
    <definedName name="yy" localSheetId="10" hidden="1">{#N/A,#N/A,FALSE,"ABB HOLDING LTD"}</definedName>
    <definedName name="yy" localSheetId="11" hidden="1">{#N/A,#N/A,FALSE,"ABB HOLDING LTD"}</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localSheetId="2" hidden="1">'K.00 Lead Sheet'!#REF!</definedName>
    <definedName name="Z_E738B51C_56AE_4F9F_8D8A_36AD6137B90D_.wvu.Cols" localSheetId="3" hidden="1">#REF!</definedName>
    <definedName name="Z_E738B51C_56AE_4F9F_8D8A_36AD6137B90D_.wvu.Cols" localSheetId="10" hidden="1">#REF!</definedName>
    <definedName name="Z_E738B51C_56AE_4F9F_8D8A_36AD6137B90D_.wvu.Cols" hidden="1">#REF!</definedName>
    <definedName name="Z_E738B51C_56AE_4F9F_8D8A_36AD6137B90D_.wvu.PrintArea" hidden="1">#REF!</definedName>
    <definedName name="Z_E738B51C_56AE_4F9F_8D8A_36AD6137B90D_.wvu.PrintTitles" localSheetId="2" hidden="1">'K.00 Lead Sheet'!#REF!,'K.00 Lead Sheet'!#REF!</definedName>
    <definedName name="Z_E738B51C_56AE_4F9F_8D8A_36AD6137B90D_.wvu.PrintTitles" localSheetId="3" hidden="1">#REF!,#REF!</definedName>
    <definedName name="Z_E738B51C_56AE_4F9F_8D8A_36AD6137B90D_.wvu.PrintTitles" localSheetId="10" hidden="1">#REF!,#REF!</definedName>
    <definedName name="Z_E738B51C_56AE_4F9F_8D8A_36AD6137B90D_.wvu.PrintTitles" hidden="1">#REF!,#REF!</definedName>
    <definedName name="Z_E738B51C_56AE_4F9F_8D8A_36AD6137B90D_.wvu.Rows" localSheetId="2" hidden="1">'K.00 Lead Sheet'!#REF!</definedName>
    <definedName name="Z_E738B51C_56AE_4F9F_8D8A_36AD6137B90D_.wvu.Rows" localSheetId="3" hidden="1">#REF!</definedName>
    <definedName name="Z_E738B51C_56AE_4F9F_8D8A_36AD6137B90D_.wvu.Rows" localSheetId="10" hidden="1">#REF!</definedName>
    <definedName name="Z_E738B51C_56AE_4F9F_8D8A_36AD6137B90D_.wvu.Rows" hidden="1">#REF!</definedName>
    <definedName name="zdry" localSheetId="10" hidden="1">{#N/A,#N/A,FALSE,"资产负债表";#N/A,#N/A,FALSE,"资产负债表"}</definedName>
    <definedName name="zdry" localSheetId="11" hidden="1">{#N/A,#N/A,FALSE,"资产负债表";#N/A,#N/A,FALSE,"资产负债表"}</definedName>
    <definedName name="zdry" hidden="1">{#N/A,#N/A,FALSE,"资产负债表";#N/A,#N/A,FALSE,"资产负债表"}</definedName>
    <definedName name="zerey" localSheetId="10" hidden="1">{#N/A,#N/A,FALSE,"资产负债表";#N/A,#N/A,FALSE,"资产负债表"}</definedName>
    <definedName name="zerey" localSheetId="11" hidden="1">{#N/A,#N/A,FALSE,"资产负债表";#N/A,#N/A,FALSE,"资产负债表"}</definedName>
    <definedName name="zerey" hidden="1">{#N/A,#N/A,FALSE,"资产负债表";#N/A,#N/A,FALSE,"资产负债表"}</definedName>
    <definedName name="zxc" localSheetId="10" hidden="1">{#N/A,#N/A,FALSE,"OffAdvance";#N/A,#N/A,FALSE,"OffExpRprt";#N/A,#N/A,FALSE,"Travelling";#N/A,#N/A,FALSE,"Entertmnt";#N/A,#N/A,FALSE,"Promotion"}</definedName>
    <definedName name="zxc" localSheetId="11" hidden="1">{#N/A,#N/A,FALSE,"OffAdvance";#N/A,#N/A,FALSE,"OffExpRprt";#N/A,#N/A,FALSE,"Travelling";#N/A,#N/A,FALSE,"Entertmnt";#N/A,#N/A,FALSE,"Promotion"}</definedName>
    <definedName name="zxc" hidden="1">{#N/A,#N/A,FALSE,"OffAdvance";#N/A,#N/A,FALSE,"OffExpRprt";#N/A,#N/A,FALSE,"Travelling";#N/A,#N/A,FALSE,"Entertmnt";#N/A,#N/A,FALSE,"Promotion"}</definedName>
    <definedName name="ZZZZZZZZZZZZZ" hidden="1">#REF!</definedName>
    <definedName name="啊" localSheetId="10" hidden="1">{#N/A,#N/A,FALSE,"970301";#N/A,#N/A,FALSE,"970302";#N/A,#N/A,FALSE,"970303";#N/A,#N/A,FALSE,"970304";#N/A,#N/A,FALSE,"COM1";#N/A,#N/A,FALSE,"COM2"}</definedName>
    <definedName name="啊" localSheetId="11" hidden="1">{#N/A,#N/A,FALSE,"970301";#N/A,#N/A,FALSE,"970302";#N/A,#N/A,FALSE,"970303";#N/A,#N/A,FALSE,"970304";#N/A,#N/A,FALSE,"COM1";#N/A,#N/A,FALSE,"COM2"}</definedName>
    <definedName name="啊" hidden="1">{#N/A,#N/A,FALSE,"970301";#N/A,#N/A,FALSE,"970302";#N/A,#N/A,FALSE,"970303";#N/A,#N/A,FALSE,"970304";#N/A,#N/A,FALSE,"COM1";#N/A,#N/A,FALSE,"COM2"}</definedName>
    <definedName name="把" localSheetId="10" hidden="1">{#N/A,#N/A,FALSE,"Virgin Flightdeck"}</definedName>
    <definedName name="把" localSheetId="11" hidden="1">{#N/A,#N/A,FALSE,"Virgin Flightdeck"}</definedName>
    <definedName name="把" hidden="1">{#N/A,#N/A,FALSE,"Virgin Flightdeck"}</definedName>
    <definedName name="备用" localSheetId="10" hidden="1">{#N/A,#N/A,FALSE,"OffAdvance";#N/A,#N/A,FALSE,"OffExpRprt";#N/A,#N/A,FALSE,"Entertmnt";#N/A,#N/A,FALSE,"Promotion";#N/A,#N/A,FALSE,"Travelling"}</definedName>
    <definedName name="备用" localSheetId="11" hidden="1">{#N/A,#N/A,FALSE,"OffAdvance";#N/A,#N/A,FALSE,"OffExpRprt";#N/A,#N/A,FALSE,"Entertmnt";#N/A,#N/A,FALSE,"Promotion";#N/A,#N/A,FALSE,"Travelling"}</definedName>
    <definedName name="备用" hidden="1">{#N/A,#N/A,FALSE,"OffAdvance";#N/A,#N/A,FALSE,"OffExpRprt";#N/A,#N/A,FALSE,"Entertmnt";#N/A,#N/A,FALSE,"Promotion";#N/A,#N/A,FALSE,"Travelling"}</definedName>
    <definedName name="本循环科目" hidden="1">#REF!</definedName>
    <definedName name="借款" localSheetId="10" hidden="1">{#N/A,#N/A,FALSE,"970301";#N/A,#N/A,FALSE,"970302";#N/A,#N/A,FALSE,"970303";#N/A,#N/A,FALSE,"970304";#N/A,#N/A,FALSE,"COM1";#N/A,#N/A,FALSE,"COM2"}</definedName>
    <definedName name="借款" localSheetId="11" hidden="1">{#N/A,#N/A,FALSE,"970301";#N/A,#N/A,FALSE,"970302";#N/A,#N/A,FALSE,"970303";#N/A,#N/A,FALSE,"970304";#N/A,#N/A,FALSE,"COM1";#N/A,#N/A,FALSE,"COM2"}</definedName>
    <definedName name="借款" hidden="1">{#N/A,#N/A,FALSE,"970301";#N/A,#N/A,FALSE,"970302";#N/A,#N/A,FALSE,"970303";#N/A,#N/A,FALSE,"970304";#N/A,#N/A,FALSE,"COM1";#N/A,#N/A,FALSE,"COM2"}</definedName>
    <definedName name="苛" localSheetId="2" hidden="1">{"M1sPrint",#N/A,FALSE,"M1s"}</definedName>
    <definedName name="苛" localSheetId="3" hidden="1">{"M1sPrint",#N/A,FALSE,"M1s"}</definedName>
    <definedName name="苛" localSheetId="10" hidden="1">{"M1sPrint",#N/A,FALSE,"M1s"}</definedName>
    <definedName name="苛" localSheetId="11" hidden="1">{"M1sPrint",#N/A,FALSE,"M1s"}</definedName>
    <definedName name="苛" localSheetId="9" hidden="1">{"M1sPrint",#N/A,FALSE,"M1s"}</definedName>
    <definedName name="苛" localSheetId="7" hidden="1">{"M1sPrint",#N/A,FALSE,"M1s"}</definedName>
    <definedName name="苛" hidden="1">{"M1sPrint",#N/A,FALSE,"M1s"}</definedName>
    <definedName name="试验" localSheetId="10" hidden="1">{#N/A,#N/A,FALSE,"OffAdvance";#N/A,#N/A,FALSE,"OffExpRprt";#N/A,#N/A,FALSE,"Travelling";#N/A,#N/A,FALSE,"Entertmnt";#N/A,#N/A,FALSE,"Promotion"}</definedName>
    <definedName name="试验" localSheetId="11" hidden="1">{#N/A,#N/A,FALSE,"OffAdvance";#N/A,#N/A,FALSE,"OffExpRprt";#N/A,#N/A,FALSE,"Travelling";#N/A,#N/A,FALSE,"Entertmnt";#N/A,#N/A,FALSE,"Promotion"}</definedName>
    <definedName name="试验" hidden="1">{#N/A,#N/A,FALSE,"OffAdvance";#N/A,#N/A,FALSE,"OffExpRprt";#N/A,#N/A,FALSE,"Travelling";#N/A,#N/A,FALSE,"Entertmnt";#N/A,#N/A,FALSE,"Promotion"}</definedName>
    <definedName name="已05" localSheetId="10" hidden="1">{"M1Print",#N/A,TRUE,"M1";"M2Print",#N/A,TRUE,"M2";"M1sPrint",#N/A,TRUE,"M1s";"M2aPrint",#N/A,TRUE,"M2a";"M4Print",#N/A,TRUE,"M4";"M5Print",#N/A,TRUE,"M5";"M6Print",#N/A,TRUE,"M6";"M6_1Print",#N/A,TRUE,"M6_1";"M6_2Print",#N/A,TRUE,"M6_2";"M7_1Print",#N/A,TRUE,"M7_1";"M7_2Print",#N/A,TRUE,"M7_2"}</definedName>
    <definedName name="已05" localSheetId="11" hidden="1">{"M1Print",#N/A,TRUE,"M1";"M2Print",#N/A,TRUE,"M2";"M1sPrint",#N/A,TRUE,"M1s";"M2aPrint",#N/A,TRUE,"M2a";"M4Print",#N/A,TRUE,"M4";"M5Print",#N/A,TRUE,"M5";"M6Print",#N/A,TRUE,"M6";"M6_1Print",#N/A,TRUE,"M6_1";"M6_2Print",#N/A,TRUE,"M6_2";"M7_1Print",#N/A,TRUE,"M7_1";"M7_2Print",#N/A,TRUE,"M7_2"}</definedName>
    <definedName name="已05" hidden="1">{"M1Print",#N/A,TRUE,"M1";"M2Print",#N/A,TRUE,"M2";"M1sPrint",#N/A,TRUE,"M1s";"M2aPrint",#N/A,TRUE,"M2a";"M4Print",#N/A,TRUE,"M4";"M5Print",#N/A,TRUE,"M5";"M6Print",#N/A,TRUE,"M6";"M6_1Print",#N/A,TRUE,"M6_1";"M6_2Print",#N/A,TRUE,"M6_2";"M7_1Print",#N/A,TRUE,"M7_1";"M7_2Print",#N/A,TRUE,"M7_2"}</definedName>
    <definedName name="应手款" localSheetId="10" hidden="1">{#N/A,#N/A,FALSE,"970301";#N/A,#N/A,FALSE,"970302";#N/A,#N/A,FALSE,"970303";#N/A,#N/A,FALSE,"970304";#N/A,#N/A,FALSE,"COM1";#N/A,#N/A,FALSE,"COM2"}</definedName>
    <definedName name="应手款" localSheetId="11" hidden="1">{#N/A,#N/A,FALSE,"970301";#N/A,#N/A,FALSE,"970302";#N/A,#N/A,FALSE,"970303";#N/A,#N/A,FALSE,"970304";#N/A,#N/A,FALSE,"COM1";#N/A,#N/A,FALSE,"COM2"}</definedName>
    <definedName name="应手款" hidden="1">{#N/A,#N/A,FALSE,"970301";#N/A,#N/A,FALSE,"970302";#N/A,#N/A,FALSE,"970303";#N/A,#N/A,FALSE,"970304";#N/A,#N/A,FALSE,"COM1";#N/A,#N/A,FALSE,"COM2"}</definedName>
    <definedName name="应手款1月" localSheetId="10" hidden="1">{#N/A,#N/A,FALSE,"Marketing";#N/A,#N/A,FALSE,"Selling";#N/A,#N/A,FALSE,"Promotional";#N/A,#N/A,FALSE,"Advertising"}</definedName>
    <definedName name="应手款1月" localSheetId="11" hidden="1">{#N/A,#N/A,FALSE,"Marketing";#N/A,#N/A,FALSE,"Selling";#N/A,#N/A,FALSE,"Promotional";#N/A,#N/A,FALSE,"Advertising"}</definedName>
    <definedName name="应手款1月" hidden="1">{#N/A,#N/A,FALSE,"Marketing";#N/A,#N/A,FALSE,"Selling";#N/A,#N/A,FALSE,"Promotional";#N/A,#N/A,FALSE,"Advertising"}</definedName>
    <definedName name="최재호"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tc={781E29E7-74EC-4EA2-BE07-248DB5686EE1}</author>
    <author>tc={48D86CC7-437D-445A-9C44-175DFA9D62E8}</author>
    <author>tc={24DF5BD7-5777-4A0B-9DF3-BAA0C67B4DF0}</author>
  </authors>
  <commentList>
    <comment ref="C5"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199.2万，请确认
答复:
    已修改为最新Link</t>
        </r>
      </text>
    </comment>
    <comment ref="C6" authorId="1">
      <text>
        <r>
          <rPr>
            <sz val="10"/>
            <rFont val="宋体"/>
            <charset val="134"/>
          </rPr>
          <t xml:space="preserve">[线程批注]
你的Excel版本可读取此线程批注; 但如果在更新版本的Excel中打开文件，则对批注所作的任何改动都将被删除。了解详细信息: https://go.microsoft.com/fwlink/?linkid=870924
注释:
    23.4万，请确认
答复:
    已修改为最新Link
</t>
        </r>
      </text>
    </comment>
    <comment ref="B67" authorId="2">
      <text>
        <r>
          <rPr>
            <sz val="10"/>
            <rFont val="宋体"/>
            <charset val="134"/>
          </rPr>
          <t>[线程批注]
你的Excel版本可读取此线程批注; 但如果在更新版本的Excel中打开文件，则对批注所作的任何改动都将被删除。了解详细信息: https://go.microsoft.com/fwlink/?linkid=870924
注释:
    补充索引
答复:
    已补充</t>
        </r>
      </text>
    </comment>
  </commentList>
</comments>
</file>

<file path=xl/comments2.xml><?xml version="1.0" encoding="utf-8"?>
<comments xmlns="http://schemas.openxmlformats.org/spreadsheetml/2006/main">
  <authors>
    <author>tc={1F7EA8D9-347B-4A06-AE45-F175C9B56CB7}</author>
  </authors>
  <commentList>
    <comment ref="R10"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电子设备为什么要分两列列示？补充note</t>
        </r>
      </text>
    </comment>
  </commentList>
</comments>
</file>

<file path=xl/comments3.xml><?xml version="1.0" encoding="utf-8"?>
<comments xmlns="http://schemas.openxmlformats.org/spreadsheetml/2006/main">
  <authors>
    <author>tc={5E792683-837B-4AFF-BFF4-19754EB11384}</author>
  </authors>
  <commentList>
    <comment ref="O34"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这两个样本问下客户，我看签收日期是25年6月，发票日期是25年10月，其他资料也都是25年的，让客户不从26年才入账的依据，比如转固验收单？之类的</t>
        </r>
      </text>
    </comment>
  </commentList>
</comments>
</file>

<file path=xl/comments4.xml><?xml version="1.0" encoding="utf-8"?>
<comments xmlns="http://schemas.openxmlformats.org/spreadsheetml/2006/main">
  <authors>
    <author>tc={CA52BC7F-9D0C-46C2-9A20-1D7EB8CC4E9A}</author>
  </authors>
  <commentList>
    <comment ref="F15"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金额不对</t>
        </r>
      </text>
    </comment>
  </commentList>
</comments>
</file>

<file path=xl/comments5.xml><?xml version="1.0" encoding="utf-8"?>
<comments xmlns="http://schemas.openxmlformats.org/spreadsheetml/2006/main">
  <authors>
    <author>tc={6E7A6250-E68D-46A9-B938-0C6CC6635C5F}</author>
  </authors>
  <commentList>
    <comment ref="B17"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同前，这个1和2到底啥区别呀/有必要分开列嘛</t>
        </r>
      </text>
    </comment>
  </commentList>
</comments>
</file>

<file path=xl/sharedStrings.xml><?xml version="1.0" encoding="utf-8"?>
<sst xmlns="http://schemas.openxmlformats.org/spreadsheetml/2006/main" count="8143" uniqueCount="1421">
  <si>
    <t>EY Ref.</t>
  </si>
  <si>
    <t>Tab Ref.</t>
  </si>
  <si>
    <t>Cell Ref.</t>
  </si>
  <si>
    <t>Question/Comment</t>
  </si>
  <si>
    <t>Answer/Comment</t>
  </si>
  <si>
    <t>Closed?</t>
  </si>
  <si>
    <t>K.00 Lead Sheet</t>
  </si>
  <si>
    <t>$C$5</t>
  </si>
  <si>
    <t xml:space="preserve">Dana D Li:
199.2万，请确认
</t>
  </si>
  <si>
    <t>No</t>
  </si>
  <si>
    <t>$C$6</t>
  </si>
  <si>
    <t xml:space="preserve">Dana D Li:
23.4万，请确认
</t>
  </si>
  <si>
    <t>$B$67</t>
  </si>
  <si>
    <t xml:space="preserve">Dana D Li:
补充索引
</t>
  </si>
  <si>
    <t>K****gree SL to GL</t>
  </si>
  <si>
    <t>$R$10</t>
  </si>
  <si>
    <t xml:space="preserve">Dana D Li:
电子设备为什么要分两列列示？补充note
</t>
  </si>
  <si>
    <t>BKD-成都力积</t>
  </si>
  <si>
    <t>$L$10</t>
  </si>
  <si>
    <t xml:space="preserve">Dana D Li:
同前，为什么电子设备分两列
</t>
  </si>
  <si>
    <t>$B$52</t>
  </si>
  <si>
    <t xml:space="preserve">Dana D Li:
无形资产？
</t>
  </si>
  <si>
    <t xml:space="preserve">K.02.1 新增测试 </t>
  </si>
  <si>
    <t>$O$34</t>
  </si>
  <si>
    <t xml:space="preserve">Dana D Li:
这两个样本问下客户，我看签收日期是25年6月，发票日期是25年10月，其他资料也都是25年的，让客户不从26年才入账的依据，比如转固验收单？之类的
</t>
  </si>
  <si>
    <t>K.03.3 折旧政策复核</t>
  </si>
  <si>
    <t>$B$17</t>
  </si>
  <si>
    <t xml:space="preserve">Dana D Li:
同前，这个1和2到底啥区别呀/有必要分开列嘛
</t>
  </si>
  <si>
    <t>V6 SWP</t>
  </si>
  <si>
    <r>
      <rPr>
        <b/>
        <sz val="14"/>
        <color rgb="FF000000"/>
        <rFont val="微软雅黑"/>
        <charset val="134"/>
      </rPr>
      <t>该科目涉及</t>
    </r>
    <r>
      <rPr>
        <b/>
        <sz val="14"/>
        <color rgb="FF000000"/>
        <rFont val="Arial"/>
        <charset val="134"/>
      </rPr>
      <t>OSP</t>
    </r>
    <r>
      <rPr>
        <b/>
        <sz val="14"/>
        <color rgb="FF000000"/>
        <rFont val="微软雅黑"/>
        <charset val="134"/>
      </rPr>
      <t>底稿可参考此链接</t>
    </r>
  </si>
  <si>
    <t>O****x</t>
  </si>
  <si>
    <t>K.00</t>
  </si>
  <si>
    <r>
      <rPr>
        <b/>
        <sz val="10"/>
        <rFont val="微软雅黑"/>
        <charset val="134"/>
      </rPr>
      <t>程序页</t>
    </r>
  </si>
  <si>
    <r>
      <rPr>
        <b/>
        <sz val="10"/>
        <rFont val="微软雅黑"/>
        <charset val="134"/>
      </rPr>
      <t>执行</t>
    </r>
  </si>
  <si>
    <r>
      <rPr>
        <b/>
        <sz val="10"/>
        <rFont val="微软雅黑"/>
        <charset val="134"/>
      </rPr>
      <t>不执行的原因</t>
    </r>
  </si>
  <si>
    <r>
      <rPr>
        <b/>
        <sz val="10"/>
        <rFont val="微软雅黑"/>
        <charset val="134"/>
      </rPr>
      <t>注意事项</t>
    </r>
  </si>
  <si>
    <r>
      <rPr>
        <sz val="10"/>
        <color theme="1"/>
        <rFont val="微软雅黑"/>
        <charset val="134"/>
      </rPr>
      <t>获取和编制固定资产两期变动的引导表，并与试算平衡表和上年底稿核对一致。对固定资产变动建立预期并说明理由，对不符合预期的变动以及异常变动进行调查和分析。</t>
    </r>
  </si>
  <si>
    <t>是</t>
  </si>
  <si>
    <t>K.01</t>
  </si>
  <si>
    <t>K****gree SL to GL（认定：BS：E、V、C    IS：M、C）</t>
  </si>
  <si>
    <r>
      <rPr>
        <sz val="10"/>
        <color theme="1"/>
        <rFont val="微软雅黑"/>
        <charset val="134"/>
      </rPr>
      <t>获取固定资产后推明细表，并将其与试算平衡表和固定资产清单核对一致。</t>
    </r>
  </si>
  <si>
    <t>K.02</t>
  </si>
  <si>
    <r>
      <rPr>
        <b/>
        <sz val="10"/>
        <color rgb="FF000000"/>
        <rFont val="Arial"/>
        <charset val="134"/>
      </rPr>
      <t xml:space="preserve">K.02.1 </t>
    </r>
    <r>
      <rPr>
        <b/>
        <sz val="10"/>
        <color rgb="FF000000"/>
        <rFont val="微软雅黑"/>
        <charset val="134"/>
      </rPr>
      <t>新增测试</t>
    </r>
    <r>
      <rPr>
        <b/>
        <sz val="10"/>
        <color rgb="FF000000"/>
        <rFont val="Microsoft YaHei"/>
        <charset val="134"/>
      </rPr>
      <t>（认定：</t>
    </r>
    <r>
      <rPr>
        <b/>
        <sz val="10"/>
        <color rgb="FF000000"/>
        <rFont val="Arial"/>
        <charset val="134"/>
      </rPr>
      <t>BS</t>
    </r>
    <r>
      <rPr>
        <b/>
        <sz val="10"/>
        <color rgb="FF000000"/>
        <rFont val="Microsoft YaHei"/>
        <charset val="134"/>
      </rPr>
      <t>：</t>
    </r>
    <r>
      <rPr>
        <b/>
        <sz val="10"/>
        <color rgb="FF000000"/>
        <rFont val="Arial"/>
        <charset val="134"/>
      </rPr>
      <t>E</t>
    </r>
    <r>
      <rPr>
        <b/>
        <sz val="10"/>
        <color rgb="FF000000"/>
        <rFont val="Microsoft YaHei"/>
        <charset val="134"/>
      </rPr>
      <t>、</t>
    </r>
    <r>
      <rPr>
        <b/>
        <sz val="10"/>
        <color rgb="FF000000"/>
        <rFont val="Arial"/>
        <charset val="134"/>
      </rPr>
      <t>V</t>
    </r>
    <r>
      <rPr>
        <b/>
        <sz val="10"/>
        <color rgb="FF000000"/>
        <rFont val="Microsoft YaHei"/>
        <charset val="134"/>
      </rPr>
      <t>、</t>
    </r>
    <r>
      <rPr>
        <b/>
        <sz val="10"/>
        <color rgb="FF000000"/>
        <rFont val="Arial"/>
        <charset val="134"/>
      </rPr>
      <t>C</t>
    </r>
    <r>
      <rPr>
        <b/>
        <sz val="10"/>
        <color rgb="FF000000"/>
        <rFont val="Microsoft YaHei"/>
        <charset val="134"/>
      </rPr>
      <t>、</t>
    </r>
    <r>
      <rPr>
        <b/>
        <sz val="10"/>
        <color rgb="FF000000"/>
        <rFont val="Arial"/>
        <charset val="134"/>
      </rPr>
      <t>R&amp;O</t>
    </r>
    <r>
      <rPr>
        <b/>
        <sz val="10"/>
        <color rgb="FF000000"/>
        <rFont val="Microsoft YaHei"/>
        <charset val="134"/>
      </rPr>
      <t>、</t>
    </r>
    <r>
      <rPr>
        <b/>
        <sz val="10"/>
        <color rgb="FF000000"/>
        <rFont val="Arial"/>
        <charset val="134"/>
      </rPr>
      <t>P&amp;D   IS：M,P&amp;D</t>
    </r>
    <r>
      <rPr>
        <b/>
        <sz val="10"/>
        <color rgb="FF000000"/>
        <rFont val="Microsoft YaHei"/>
        <charset val="134"/>
      </rPr>
      <t>）</t>
    </r>
  </si>
  <si>
    <r>
      <rPr>
        <sz val="10"/>
        <color theme="1"/>
        <rFont val="微软雅黑"/>
        <charset val="134"/>
      </rPr>
      <t>获取当期按类别划分的所有固定资产新增清单，并将该清单与固定资产后推核对一致，调查超过</t>
    </r>
    <r>
      <rPr>
        <sz val="10"/>
        <color theme="1"/>
        <rFont val="Arial"/>
        <charset val="134"/>
      </rPr>
      <t>SAD</t>
    </r>
    <r>
      <rPr>
        <sz val="10"/>
        <color theme="1"/>
        <rFont val="微软雅黑"/>
        <charset val="134"/>
      </rPr>
      <t>名义金额的差额。</t>
    </r>
  </si>
  <si>
    <r>
      <rPr>
        <b/>
        <u/>
        <sz val="10"/>
        <color theme="4"/>
        <rFont val="微软雅黑"/>
        <charset val="134"/>
      </rPr>
      <t>新增清单</t>
    </r>
  </si>
  <si>
    <t>K.02.1a skywind抽样页面日期选择错误，但样本池仅资产名称及对应本期新增金额，抽样过程不受该时间影响，不影响随机抽样结果，特补充说明</t>
  </si>
  <si>
    <r>
      <rPr>
        <sz val="10"/>
        <color theme="1"/>
        <rFont val="微软雅黑"/>
        <charset val="134"/>
      </rPr>
      <t>对本年新增资产执行关键性样本测试和代表性样本测试（如需要）。</t>
    </r>
  </si>
  <si>
    <r>
      <rPr>
        <b/>
        <u/>
        <sz val="10"/>
        <color theme="4"/>
        <rFont val="Arial"/>
        <charset val="134"/>
      </rPr>
      <t xml:space="preserve">K.02.1 </t>
    </r>
    <r>
      <rPr>
        <b/>
        <u/>
        <sz val="10"/>
        <color theme="4"/>
        <rFont val="微软雅黑"/>
        <charset val="134"/>
      </rPr>
      <t>新增测试</t>
    </r>
  </si>
  <si>
    <t>K.02.1a 新增选样输出</t>
  </si>
  <si>
    <r>
      <rPr>
        <b/>
        <sz val="10"/>
        <color rgb="FF000000"/>
        <rFont val="Arial"/>
        <charset val="134"/>
      </rPr>
      <t xml:space="preserve">K.02.2 </t>
    </r>
    <r>
      <rPr>
        <b/>
        <sz val="10"/>
        <color rgb="FF000000"/>
        <rFont val="微软雅黑"/>
        <charset val="134"/>
      </rPr>
      <t>处置测试（认定：</t>
    </r>
    <r>
      <rPr>
        <b/>
        <sz val="10"/>
        <color rgb="FF000000"/>
        <rFont val="Arial"/>
        <charset val="134"/>
      </rPr>
      <t>BS</t>
    </r>
    <r>
      <rPr>
        <b/>
        <sz val="10"/>
        <color rgb="FF000000"/>
        <rFont val="微软雅黑"/>
        <charset val="134"/>
      </rPr>
      <t>：</t>
    </r>
    <r>
      <rPr>
        <b/>
        <sz val="10"/>
        <color rgb="FF000000"/>
        <rFont val="Arial"/>
        <charset val="134"/>
      </rPr>
      <t>E</t>
    </r>
    <r>
      <rPr>
        <b/>
        <sz val="10"/>
        <color rgb="FF000000"/>
        <rFont val="微软雅黑"/>
        <charset val="134"/>
      </rPr>
      <t>、</t>
    </r>
    <r>
      <rPr>
        <b/>
        <sz val="10"/>
        <color rgb="FF000000"/>
        <rFont val="Arial"/>
        <charset val="134"/>
      </rPr>
      <t>V</t>
    </r>
    <r>
      <rPr>
        <b/>
        <sz val="10"/>
        <color rgb="FF000000"/>
        <rFont val="微软雅黑"/>
        <charset val="134"/>
      </rPr>
      <t>、</t>
    </r>
    <r>
      <rPr>
        <b/>
        <sz val="10"/>
        <color rgb="FF000000"/>
        <rFont val="Arial"/>
        <charset val="134"/>
      </rPr>
      <t>C</t>
    </r>
    <r>
      <rPr>
        <b/>
        <sz val="10"/>
        <color rgb="FF000000"/>
        <rFont val="微软雅黑"/>
        <charset val="134"/>
      </rPr>
      <t>、</t>
    </r>
    <r>
      <rPr>
        <b/>
        <sz val="10"/>
        <color rgb="FF000000"/>
        <rFont val="Arial"/>
        <charset val="134"/>
      </rPr>
      <t>R&amp;O</t>
    </r>
    <r>
      <rPr>
        <b/>
        <sz val="10"/>
        <color rgb="FF000000"/>
        <rFont val="微软雅黑"/>
        <charset val="134"/>
      </rPr>
      <t>、</t>
    </r>
    <r>
      <rPr>
        <b/>
        <sz val="10"/>
        <color rgb="FF000000"/>
        <rFont val="Arial"/>
        <charset val="134"/>
      </rPr>
      <t>P&amp;D    IS</t>
    </r>
    <r>
      <rPr>
        <b/>
        <sz val="10"/>
        <color rgb="FF000000"/>
        <rFont val="微软雅黑"/>
        <charset val="134"/>
      </rPr>
      <t>：</t>
    </r>
    <r>
      <rPr>
        <b/>
        <sz val="10"/>
        <color rgb="FF000000"/>
        <rFont val="Arial"/>
        <charset val="134"/>
      </rPr>
      <t>M,P&amp;D</t>
    </r>
    <r>
      <rPr>
        <b/>
        <sz val="10"/>
        <color rgb="FF000000"/>
        <rFont val="微软雅黑"/>
        <charset val="134"/>
      </rPr>
      <t>）</t>
    </r>
  </si>
  <si>
    <r>
      <rPr>
        <sz val="10"/>
        <color theme="1"/>
        <rFont val="微软雅黑"/>
        <charset val="134"/>
      </rPr>
      <t>获取当期按类别划分的所有固定资产处置清单，包括记录的处置的损益，并将该清单与固定资产后推核对一致，我们调查超过</t>
    </r>
    <r>
      <rPr>
        <sz val="10"/>
        <color theme="1"/>
        <rFont val="Arial"/>
        <charset val="134"/>
      </rPr>
      <t>SAD</t>
    </r>
    <r>
      <rPr>
        <sz val="10"/>
        <color theme="1"/>
        <rFont val="微软雅黑"/>
        <charset val="134"/>
      </rPr>
      <t>名义金额的差额。</t>
    </r>
  </si>
  <si>
    <r>
      <rPr>
        <b/>
        <u/>
        <sz val="10"/>
        <color theme="4"/>
        <rFont val="微软雅黑"/>
        <charset val="134"/>
      </rPr>
      <t>处置清单</t>
    </r>
  </si>
  <si>
    <r>
      <rPr>
        <sz val="10"/>
        <color theme="1"/>
        <rFont val="微软雅黑"/>
        <charset val="134"/>
      </rPr>
      <t>对本年处置资产执行关键性样本测试和代表性样本测试（如需要）。</t>
    </r>
  </si>
  <si>
    <r>
      <rPr>
        <b/>
        <u/>
        <sz val="10"/>
        <color theme="4"/>
        <rFont val="Arial"/>
        <charset val="134"/>
      </rPr>
      <t xml:space="preserve">K.02.2 </t>
    </r>
    <r>
      <rPr>
        <b/>
        <u/>
        <sz val="11"/>
        <color theme="4"/>
        <rFont val="微软雅黑"/>
        <charset val="134"/>
      </rPr>
      <t>处置测试</t>
    </r>
  </si>
  <si>
    <t>否</t>
  </si>
  <si>
    <t>K.02.2a 处置选样输出</t>
  </si>
  <si>
    <t>K.03</t>
  </si>
  <si>
    <r>
      <rPr>
        <b/>
        <sz val="10"/>
        <color rgb="FF000000"/>
        <rFont val="Arial"/>
        <charset val="134"/>
      </rPr>
      <t xml:space="preserve">K.03 </t>
    </r>
    <r>
      <rPr>
        <b/>
        <sz val="10"/>
        <color rgb="FF000000"/>
        <rFont val="微软雅黑"/>
        <charset val="134"/>
      </rPr>
      <t>折旧测试（认定：</t>
    </r>
    <r>
      <rPr>
        <b/>
        <sz val="10"/>
        <color rgb="FF000000"/>
        <rFont val="Arial"/>
        <charset val="134"/>
      </rPr>
      <t>BS：V    IS:O</t>
    </r>
    <r>
      <rPr>
        <b/>
        <sz val="10"/>
        <color rgb="FF000000"/>
        <rFont val="微软雅黑"/>
        <charset val="134"/>
      </rPr>
      <t>、</t>
    </r>
    <r>
      <rPr>
        <b/>
        <sz val="10"/>
        <color rgb="FF000000"/>
        <rFont val="Arial"/>
        <charset val="134"/>
      </rPr>
      <t>M</t>
    </r>
    <r>
      <rPr>
        <b/>
        <sz val="10"/>
        <color rgb="FF000000"/>
        <rFont val="微软雅黑"/>
        <charset val="134"/>
      </rPr>
      <t>、</t>
    </r>
    <r>
      <rPr>
        <b/>
        <sz val="10"/>
        <color rgb="FF000000"/>
        <rFont val="Arial"/>
        <charset val="134"/>
      </rPr>
      <t>P&amp;D</t>
    </r>
    <r>
      <rPr>
        <b/>
        <sz val="10"/>
        <color rgb="FF000000"/>
        <rFont val="微软雅黑"/>
        <charset val="134"/>
      </rPr>
      <t>）</t>
    </r>
  </si>
  <si>
    <t>执行实质性分析程序(SAP)测试折旧费用，可参考264 GL 或K****AP模板执行。如不执行，可直接执行K.03.2 折旧测试TOD。</t>
  </si>
  <si>
    <t>K****AP</t>
  </si>
  <si>
    <t>选择TOD方法1:by item测算</t>
  </si>
  <si>
    <t>如选择执行详细测试，可使用该底稿记录。</t>
  </si>
  <si>
    <r>
      <rPr>
        <b/>
        <u/>
        <sz val="10"/>
        <color theme="4"/>
        <rFont val="Arial"/>
        <charset val="134"/>
      </rPr>
      <t xml:space="preserve">K.03.2 </t>
    </r>
    <r>
      <rPr>
        <b/>
        <u/>
        <sz val="10"/>
        <color theme="4"/>
        <rFont val="微软雅黑"/>
        <charset val="134"/>
      </rPr>
      <t>折旧测试</t>
    </r>
    <r>
      <rPr>
        <b/>
        <u/>
        <sz val="10"/>
        <color theme="4"/>
        <rFont val="Arial"/>
        <charset val="134"/>
      </rPr>
      <t>TOD</t>
    </r>
  </si>
  <si>
    <r>
      <rPr>
        <sz val="10"/>
        <color rgb="FF000000"/>
        <rFont val="微软雅黑"/>
        <charset val="134"/>
      </rPr>
      <t>检查固定资产各项目的折旧政策是否符合有关规定，是否与上期一致，评价其合理性。若改变折旧政策，检查其依据是否充分。</t>
    </r>
  </si>
  <si>
    <r>
      <rPr>
        <b/>
        <u/>
        <sz val="10"/>
        <color theme="4"/>
        <rFont val="Arial"/>
        <charset val="134"/>
      </rPr>
      <t xml:space="preserve">K.03.3 </t>
    </r>
    <r>
      <rPr>
        <b/>
        <u/>
        <sz val="10"/>
        <color theme="4"/>
        <rFont val="微软雅黑"/>
        <charset val="134"/>
      </rPr>
      <t>折旧政策复核</t>
    </r>
  </si>
  <si>
    <t>K.04</t>
  </si>
  <si>
    <r>
      <rPr>
        <b/>
        <sz val="10"/>
        <color rgb="FF000000"/>
        <rFont val="Arial"/>
        <charset val="134"/>
      </rPr>
      <t>K.04 固定资产的减值</t>
    </r>
    <r>
      <rPr>
        <b/>
        <sz val="10"/>
        <color rgb="FF000000"/>
        <rFont val="Microsoft YaHei"/>
        <charset val="134"/>
      </rPr>
      <t>（认定：</t>
    </r>
    <r>
      <rPr>
        <b/>
        <sz val="10"/>
        <color rgb="FF000000"/>
        <rFont val="Arial"/>
        <charset val="134"/>
      </rPr>
      <t>BS</t>
    </r>
    <r>
      <rPr>
        <b/>
        <sz val="10"/>
        <color rgb="FF000000"/>
        <rFont val="Microsoft YaHei"/>
        <charset val="134"/>
      </rPr>
      <t>：</t>
    </r>
    <r>
      <rPr>
        <b/>
        <sz val="10"/>
        <color rgb="FF000000"/>
        <rFont val="Arial"/>
        <charset val="134"/>
      </rPr>
      <t>V  IS：M</t>
    </r>
    <r>
      <rPr>
        <b/>
        <sz val="10"/>
        <color rgb="FF000000"/>
        <rFont val="Microsoft YaHei"/>
        <charset val="134"/>
      </rPr>
      <t>）</t>
    </r>
  </si>
  <si>
    <r>
      <rPr>
        <sz val="10"/>
        <color rgb="FF000000"/>
        <rFont val="Arial"/>
        <charset val="134"/>
      </rPr>
      <t>1.</t>
    </r>
    <r>
      <rPr>
        <sz val="10"/>
        <color rgb="FF000000"/>
        <rFont val="微软雅黑"/>
        <charset val="134"/>
      </rPr>
      <t>使用在审计过程中所获得的信息来确定管理层是否已识别适当的减值迹象；可使用</t>
    </r>
    <r>
      <rPr>
        <sz val="10"/>
        <color rgb="FF000000"/>
        <rFont val="Arial"/>
        <charset val="134"/>
      </rPr>
      <t>PSP Canvas form K.04</t>
    </r>
    <r>
      <rPr>
        <sz val="10"/>
        <color rgb="FF000000"/>
        <rFont val="微软雅黑"/>
        <charset val="134"/>
      </rPr>
      <t>：识别减值迹象，也可使用</t>
    </r>
    <r>
      <rPr>
        <sz val="10"/>
        <color rgb="FF000000"/>
        <rFont val="Arial"/>
        <charset val="134"/>
      </rPr>
      <t xml:space="preserve"> &lt;SWP</t>
    </r>
    <r>
      <rPr>
        <sz val="10"/>
        <color rgb="FF000000"/>
        <rFont val="微软雅黑"/>
        <charset val="134"/>
      </rPr>
      <t>减值迹象识别</t>
    </r>
    <r>
      <rPr>
        <sz val="10"/>
        <color rgb="FF000000"/>
        <rFont val="Arial"/>
        <charset val="134"/>
      </rPr>
      <t xml:space="preserve">&gt; </t>
    </r>
    <r>
      <rPr>
        <sz val="10"/>
        <color rgb="FF000000"/>
        <rFont val="微软雅黑"/>
        <charset val="134"/>
      </rPr>
      <t xml:space="preserve">对减值迹象进行评估，并根据指引要求获取相关支持性文件。
</t>
    </r>
    <r>
      <rPr>
        <sz val="10"/>
        <color rgb="FF000000"/>
        <rFont val="Arial"/>
        <charset val="134"/>
      </rPr>
      <t>2.</t>
    </r>
    <r>
      <rPr>
        <sz val="10"/>
        <color rgb="FF000000"/>
        <rFont val="微软雅黑"/>
        <charset val="134"/>
      </rPr>
      <t xml:space="preserve">如有减值迹象的，评价管理层假设、未来现金流等减值评估的合理性，核实并测算减值金额。
</t>
    </r>
    <r>
      <rPr>
        <sz val="10"/>
        <color rgb="FF000000"/>
        <rFont val="Arial"/>
        <charset val="134"/>
      </rPr>
      <t>3.</t>
    </r>
    <r>
      <rPr>
        <sz val="10"/>
        <color rgb="FF000000"/>
        <rFont val="微软雅黑"/>
        <charset val="134"/>
      </rPr>
      <t>检查是否存在转回固定资产减值准备的情况，确定减值准备在以后会计期间没有转回。</t>
    </r>
  </si>
  <si>
    <t>程序4_商誉减值测试明细-VIU</t>
  </si>
  <si>
    <r>
      <rPr>
        <b/>
        <sz val="14"/>
        <color rgb="FFFFFFFF"/>
        <rFont val="微软雅黑"/>
        <charset val="134"/>
      </rPr>
      <t xml:space="preserve">                                                                                                                             标准工作底稿</t>
    </r>
    <r>
      <rPr>
        <b/>
        <sz val="14"/>
        <color rgb="FFFFFFFF"/>
        <rFont val="Arial"/>
        <charset val="134"/>
      </rPr>
      <t xml:space="preserve">: K1 SWP </t>
    </r>
    <r>
      <rPr>
        <b/>
        <sz val="14"/>
        <color rgb="FFFFFFFF"/>
        <rFont val="微软雅黑"/>
        <charset val="134"/>
      </rPr>
      <t>不动产、厂房和设备及相关账户（</t>
    </r>
    <r>
      <rPr>
        <b/>
        <sz val="14"/>
        <color rgb="FFFFFFFF"/>
        <rFont val="Arial"/>
        <charset val="134"/>
      </rPr>
      <t>PPE</t>
    </r>
    <r>
      <rPr>
        <b/>
        <sz val="14"/>
        <color rgb="FFFFFFFF"/>
        <rFont val="微软雅黑"/>
        <charset val="134"/>
      </rPr>
      <t>）</t>
    </r>
  </si>
  <si>
    <r>
      <rPr>
        <b/>
        <sz val="12"/>
        <rFont val="微软雅黑"/>
        <charset val="134"/>
      </rPr>
      <t>客户名称</t>
    </r>
  </si>
  <si>
    <t>浙****积</t>
  </si>
  <si>
    <r>
      <rPr>
        <b/>
        <sz val="12"/>
        <color rgb="FF000000"/>
        <rFont val="微软雅黑"/>
        <charset val="134"/>
      </rPr>
      <t>此工作底稿需要与以下</t>
    </r>
    <r>
      <rPr>
        <b/>
        <sz val="12"/>
        <color rgb="FF000000"/>
        <rFont val="Arial"/>
        <charset val="134"/>
      </rPr>
      <t xml:space="preserve"> Canvas PSP guided workflow forms</t>
    </r>
    <r>
      <rPr>
        <b/>
        <sz val="12"/>
        <color rgb="FF000000"/>
        <rFont val="微软雅黑"/>
        <charset val="134"/>
      </rPr>
      <t xml:space="preserve">一起使用：
</t>
    </r>
    <r>
      <rPr>
        <b/>
        <sz val="12"/>
        <color rgb="FF000000"/>
        <rFont val="Arial"/>
        <charset val="134"/>
      </rPr>
      <t>•K.00 PPE</t>
    </r>
    <r>
      <rPr>
        <b/>
        <sz val="12"/>
        <color rgb="FF000000"/>
        <rFont val="微软雅黑"/>
        <charset val="134"/>
      </rPr>
      <t xml:space="preserve">引导表
</t>
    </r>
    <r>
      <rPr>
        <b/>
        <sz val="12"/>
        <color rgb="FF000000"/>
        <rFont val="Arial"/>
        <charset val="134"/>
      </rPr>
      <t xml:space="preserve">•K.01 </t>
    </r>
    <r>
      <rPr>
        <b/>
        <sz val="12"/>
        <color rgb="FF000000"/>
        <rFont val="微软雅黑"/>
        <charset val="134"/>
      </rPr>
      <t xml:space="preserve">将明细账与总账核对一致
</t>
    </r>
    <r>
      <rPr>
        <b/>
        <sz val="12"/>
        <color rgb="FF000000"/>
        <rFont val="Arial"/>
        <charset val="134"/>
      </rPr>
      <t xml:space="preserve">•K.02 </t>
    </r>
    <r>
      <rPr>
        <b/>
        <sz val="12"/>
        <color rgb="FF000000"/>
        <rFont val="微软雅黑"/>
        <charset val="134"/>
      </rPr>
      <t xml:space="preserve">增加和处置
</t>
    </r>
    <r>
      <rPr>
        <b/>
        <sz val="12"/>
        <color rgb="FF000000"/>
        <rFont val="Arial"/>
        <charset val="134"/>
      </rPr>
      <t xml:space="preserve">•K.03 </t>
    </r>
    <r>
      <rPr>
        <b/>
        <sz val="12"/>
        <color rgb="FF000000"/>
        <rFont val="微软雅黑"/>
        <charset val="134"/>
      </rPr>
      <t xml:space="preserve">折旧、损耗和摊销
</t>
    </r>
    <r>
      <rPr>
        <b/>
        <sz val="12"/>
        <color rgb="FF000000"/>
        <rFont val="Arial"/>
        <charset val="134"/>
      </rPr>
      <t xml:space="preserve">•K.04 </t>
    </r>
    <r>
      <rPr>
        <b/>
        <sz val="12"/>
        <color rgb="FF000000"/>
        <rFont val="微软雅黑"/>
        <charset val="134"/>
      </rPr>
      <t xml:space="preserve">固定资产减值
</t>
    </r>
    <r>
      <rPr>
        <b/>
        <sz val="12"/>
        <color rgb="FF000000"/>
        <rFont val="Arial"/>
        <charset val="134"/>
      </rPr>
      <t>•</t>
    </r>
    <r>
      <rPr>
        <b/>
        <sz val="12"/>
        <color rgb="FF000000"/>
        <rFont val="微软雅黑"/>
        <charset val="134"/>
      </rPr>
      <t>账户结论</t>
    </r>
  </si>
  <si>
    <r>
      <rPr>
        <b/>
        <sz val="12"/>
        <rFont val="微软雅黑"/>
        <charset val="134"/>
      </rPr>
      <t>期末</t>
    </r>
  </si>
  <si>
    <r>
      <rPr>
        <b/>
        <sz val="12"/>
        <rFont val="微软雅黑"/>
        <charset val="134"/>
      </rPr>
      <t>分析日期</t>
    </r>
  </si>
  <si>
    <r>
      <rPr>
        <b/>
        <sz val="12"/>
        <rFont val="微软雅黑"/>
        <charset val="134"/>
      </rPr>
      <t>可容忍误差（</t>
    </r>
    <r>
      <rPr>
        <b/>
        <sz val="12"/>
        <rFont val="Arial"/>
        <charset val="134"/>
      </rPr>
      <t>TE</t>
    </r>
    <r>
      <rPr>
        <b/>
        <sz val="12"/>
        <rFont val="微软雅黑"/>
        <charset val="134"/>
      </rPr>
      <t>）</t>
    </r>
  </si>
  <si>
    <r>
      <rPr>
        <b/>
        <sz val="12"/>
        <rFont val="微软雅黑"/>
        <charset val="134"/>
      </rPr>
      <t>名义金额（</t>
    </r>
    <r>
      <rPr>
        <b/>
        <sz val="12"/>
        <rFont val="Arial"/>
        <charset val="134"/>
      </rPr>
      <t>SAD</t>
    </r>
    <r>
      <rPr>
        <b/>
        <sz val="12"/>
        <rFont val="微软雅黑"/>
        <charset val="134"/>
      </rPr>
      <t>）</t>
    </r>
  </si>
  <si>
    <r>
      <rPr>
        <b/>
        <sz val="12"/>
        <rFont val="微软雅黑"/>
        <charset val="134"/>
      </rPr>
      <t>适用会计准则（</t>
    </r>
    <r>
      <rPr>
        <b/>
        <sz val="12"/>
        <rFont val="Arial"/>
        <charset val="134"/>
      </rPr>
      <t>GAAP</t>
    </r>
    <r>
      <rPr>
        <b/>
        <sz val="12"/>
        <rFont val="微软雅黑"/>
        <charset val="134"/>
      </rPr>
      <t>）</t>
    </r>
  </si>
  <si>
    <t>HKFRS</t>
  </si>
  <si>
    <r>
      <rPr>
        <b/>
        <sz val="12"/>
        <rFont val="微软雅黑"/>
        <charset val="134"/>
      </rPr>
      <t>记账本位币</t>
    </r>
  </si>
  <si>
    <t>CNY</t>
  </si>
  <si>
    <r>
      <rPr>
        <b/>
        <sz val="12"/>
        <color rgb="FF000000"/>
        <rFont val="Arial"/>
        <charset val="134"/>
      </rPr>
      <t xml:space="preserve">K.00 </t>
    </r>
    <r>
      <rPr>
        <b/>
        <sz val="12"/>
        <color rgb="FF000000"/>
        <rFont val="微软雅黑"/>
        <charset val="134"/>
      </rPr>
      <t>编制引导表并比较余额</t>
    </r>
  </si>
  <si>
    <t>返回汇总页</t>
  </si>
  <si>
    <t>Threshold(s)</t>
  </si>
  <si>
    <r>
      <rPr>
        <b/>
        <sz val="10"/>
        <rFont val="微软雅黑"/>
        <charset val="134"/>
      </rPr>
      <t>安永标记</t>
    </r>
  </si>
  <si>
    <r>
      <rPr>
        <b/>
        <sz val="10"/>
        <rFont val="微软雅黑"/>
        <charset val="134"/>
      </rPr>
      <t>认定</t>
    </r>
  </si>
  <si>
    <t>CRA</t>
  </si>
  <si>
    <r>
      <rPr>
        <b/>
        <sz val="10"/>
        <rFont val="微软雅黑"/>
        <charset val="134"/>
      </rPr>
      <t>各项认定</t>
    </r>
    <r>
      <rPr>
        <b/>
        <vertAlign val="superscript"/>
        <sz val="10"/>
        <color rgb="FFFF0000"/>
        <rFont val="Arial"/>
        <charset val="134"/>
      </rPr>
      <t>1</t>
    </r>
  </si>
  <si>
    <r>
      <rPr>
        <b/>
        <sz val="10"/>
        <rFont val="微软雅黑"/>
        <charset val="134"/>
      </rPr>
      <t>所有相关认定</t>
    </r>
    <r>
      <rPr>
        <b/>
        <sz val="10"/>
        <rFont val="Arial"/>
        <charset val="134"/>
      </rPr>
      <t xml:space="preserve"> </t>
    </r>
    <r>
      <rPr>
        <b/>
        <vertAlign val="superscript"/>
        <sz val="10"/>
        <color rgb="FFFF0000"/>
        <rFont val="Arial"/>
        <charset val="134"/>
      </rPr>
      <t>2</t>
    </r>
  </si>
  <si>
    <t>TB</t>
  </si>
  <si>
    <r>
      <rPr>
        <sz val="10"/>
        <color rgb="FF000000"/>
        <rFont val="微软雅黑"/>
        <charset val="134"/>
      </rPr>
      <t>已与科目余额表核对无误</t>
    </r>
  </si>
  <si>
    <r>
      <rPr>
        <sz val="10"/>
        <color rgb="FF000000"/>
        <rFont val="微软雅黑"/>
        <charset val="134"/>
      </rPr>
      <t>完整性（</t>
    </r>
    <r>
      <rPr>
        <sz val="10"/>
        <color rgb="FF000000"/>
        <rFont val="Arial"/>
        <charset val="134"/>
      </rPr>
      <t>C</t>
    </r>
    <r>
      <rPr>
        <sz val="10"/>
        <color rgb="FF000000"/>
        <rFont val="微软雅黑"/>
        <charset val="134"/>
      </rPr>
      <t>）</t>
    </r>
  </si>
  <si>
    <t>Minimal</t>
  </si>
  <si>
    <t>PY</t>
  </si>
  <si>
    <r>
      <rPr>
        <sz val="10"/>
        <color rgb="FF000000"/>
        <rFont val="微软雅黑"/>
        <charset val="134"/>
      </rPr>
      <t>与上年最终审定数核对一致</t>
    </r>
  </si>
  <si>
    <r>
      <rPr>
        <sz val="10"/>
        <color rgb="FF000000"/>
        <rFont val="微软雅黑"/>
        <charset val="134"/>
      </rPr>
      <t>存在性</t>
    </r>
    <r>
      <rPr>
        <sz val="10"/>
        <color rgb="FF000000"/>
        <rFont val="Arial"/>
        <charset val="134"/>
      </rPr>
      <t>/</t>
    </r>
    <r>
      <rPr>
        <sz val="10"/>
        <color rgb="FF000000"/>
        <rFont val="微软雅黑"/>
        <charset val="134"/>
      </rPr>
      <t>发生</t>
    </r>
    <r>
      <rPr>
        <sz val="10"/>
        <color rgb="FF000000"/>
        <rFont val="Arial"/>
        <charset val="134"/>
      </rPr>
      <t xml:space="preserve"> (E/O)</t>
    </r>
  </si>
  <si>
    <t>A3</t>
  </si>
  <si>
    <r>
      <rPr>
        <sz val="10"/>
        <rFont val="微软雅黑"/>
        <charset val="134"/>
      </rPr>
      <t>与未审数、审定数核对一致</t>
    </r>
  </si>
  <si>
    <r>
      <rPr>
        <sz val="10"/>
        <color rgb="FF000000"/>
        <rFont val="微软雅黑"/>
        <charset val="134"/>
      </rPr>
      <t>计价</t>
    </r>
    <r>
      <rPr>
        <sz val="10"/>
        <color rgb="FF000000"/>
        <rFont val="Arial"/>
        <charset val="134"/>
      </rPr>
      <t>/</t>
    </r>
    <r>
      <rPr>
        <sz val="10"/>
        <color rgb="FF000000"/>
        <rFont val="微软雅黑"/>
        <charset val="134"/>
      </rPr>
      <t>计量（</t>
    </r>
    <r>
      <rPr>
        <sz val="10"/>
        <color rgb="FF000000"/>
        <rFont val="Arial"/>
        <charset val="134"/>
      </rPr>
      <t>V/M</t>
    </r>
    <r>
      <rPr>
        <sz val="10"/>
        <color rgb="FF000000"/>
        <rFont val="微软雅黑"/>
        <charset val="134"/>
      </rPr>
      <t>）</t>
    </r>
  </si>
  <si>
    <t>A5</t>
  </si>
  <si>
    <r>
      <rPr>
        <sz val="10"/>
        <rFont val="微软雅黑"/>
        <charset val="134"/>
      </rPr>
      <t>与审计调整核对一致</t>
    </r>
  </si>
  <si>
    <r>
      <rPr>
        <sz val="10"/>
        <color rgb="FF000000"/>
        <rFont val="微软雅黑"/>
        <charset val="134"/>
      </rPr>
      <t>权利和义务（</t>
    </r>
    <r>
      <rPr>
        <sz val="10"/>
        <color rgb="FF000000"/>
        <rFont val="Arial"/>
        <charset val="134"/>
      </rPr>
      <t>R&amp;O</t>
    </r>
    <r>
      <rPr>
        <sz val="10"/>
        <color rgb="FF000000"/>
        <rFont val="微软雅黑"/>
        <charset val="134"/>
      </rPr>
      <t>）</t>
    </r>
  </si>
  <si>
    <t>FS</t>
  </si>
  <si>
    <r>
      <rPr>
        <sz val="10"/>
        <color rgb="FF000000"/>
        <rFont val="微软雅黑"/>
        <charset val="134"/>
      </rPr>
      <t>与</t>
    </r>
    <r>
      <rPr>
        <sz val="10"/>
        <color rgb="FF000000"/>
        <rFont val="Arial"/>
        <charset val="134"/>
      </rPr>
      <t>FS.0x</t>
    </r>
    <r>
      <rPr>
        <sz val="10"/>
        <color rgb="FF000000"/>
        <rFont val="微软雅黑"/>
        <charset val="134"/>
      </rPr>
      <t>与财务报表核对无误</t>
    </r>
  </si>
  <si>
    <r>
      <rPr>
        <sz val="10"/>
        <color rgb="FF000000"/>
        <rFont val="微软雅黑"/>
        <charset val="134"/>
      </rPr>
      <t>列报和披露（</t>
    </r>
    <r>
      <rPr>
        <sz val="10"/>
        <color rgb="FF000000"/>
        <rFont val="Arial"/>
        <charset val="134"/>
      </rPr>
      <t>P&amp;D</t>
    </r>
    <r>
      <rPr>
        <sz val="10"/>
        <color rgb="FF000000"/>
        <rFont val="微软雅黑"/>
        <charset val="134"/>
      </rPr>
      <t>）</t>
    </r>
  </si>
  <si>
    <t>N/A</t>
  </si>
  <si>
    <t>w</t>
  </si>
  <si>
    <r>
      <rPr>
        <sz val="10"/>
        <color rgb="FF000000"/>
        <rFont val="微软雅黑"/>
        <charset val="134"/>
      </rPr>
      <t>低于</t>
    </r>
    <r>
      <rPr>
        <sz val="10"/>
        <color rgb="FF000000"/>
        <rFont val="Arial"/>
        <charset val="134"/>
      </rPr>
      <t>SAD</t>
    </r>
    <r>
      <rPr>
        <sz val="10"/>
        <color rgb="FF000000"/>
        <rFont val="微软雅黑"/>
        <charset val="134"/>
      </rPr>
      <t>的金额</t>
    </r>
    <r>
      <rPr>
        <sz val="10"/>
        <color rgb="FF000000"/>
        <rFont val="Arial"/>
        <charset val="134"/>
      </rPr>
      <t>——</t>
    </r>
    <r>
      <rPr>
        <sz val="10"/>
        <color rgb="FF000000"/>
        <rFont val="微软雅黑"/>
        <charset val="134"/>
      </rPr>
      <t>放弃进一步调查</t>
    </r>
  </si>
  <si>
    <r>
      <rPr>
        <b/>
        <i/>
        <sz val="9"/>
        <color rgb="FFFF0000"/>
        <rFont val="Arial"/>
        <charset val="134"/>
      </rPr>
      <t xml:space="preserve">1 </t>
    </r>
    <r>
      <rPr>
        <b/>
        <i/>
        <sz val="9"/>
        <color rgb="FFFF0000"/>
        <rFont val="微软雅黑"/>
        <charset val="134"/>
      </rPr>
      <t>各项认定的测试阈值，是根据</t>
    </r>
    <r>
      <rPr>
        <b/>
        <i/>
        <sz val="9"/>
        <color rgb="FFFF0000"/>
        <rFont val="Arial"/>
        <charset val="134"/>
      </rPr>
      <t xml:space="preserve">EY GAM SUBSTANTIVE DESIGN 2.2.1 </t>
    </r>
  </si>
  <si>
    <t>Rx</t>
  </si>
  <si>
    <r>
      <rPr>
        <sz val="10"/>
        <color rgb="FF000000"/>
        <rFont val="微软雅黑"/>
        <charset val="134"/>
      </rPr>
      <t>重新计算，无异常</t>
    </r>
  </si>
  <si>
    <r>
      <rPr>
        <b/>
        <i/>
        <sz val="9"/>
        <color rgb="FFFF0000"/>
        <rFont val="微软雅黑"/>
        <charset val="134"/>
      </rPr>
      <t>中的示例测试阈值（用占</t>
    </r>
    <r>
      <rPr>
        <b/>
        <i/>
        <sz val="9"/>
        <color rgb="FFFF0000"/>
        <rFont val="Arial"/>
        <charset val="134"/>
      </rPr>
      <t>TE</t>
    </r>
    <r>
      <rPr>
        <b/>
        <i/>
        <sz val="9"/>
        <color rgb="FFFF0000"/>
        <rFont val="微软雅黑"/>
        <charset val="134"/>
      </rPr>
      <t>的百分比表示）在相应风险等级（</t>
    </r>
    <r>
      <rPr>
        <b/>
        <i/>
        <sz val="9"/>
        <color rgb="FFFF0000"/>
        <rFont val="Arial"/>
        <charset val="134"/>
      </rPr>
      <t>CRA</t>
    </r>
    <r>
      <rPr>
        <b/>
        <i/>
        <sz val="9"/>
        <color rgb="FFFF0000"/>
        <rFont val="微软雅黑"/>
        <charset val="134"/>
      </rPr>
      <t>）区间的上限计算得出的。</t>
    </r>
  </si>
  <si>
    <t>m</t>
  </si>
  <si>
    <r>
      <rPr>
        <sz val="10"/>
        <color rgb="FF000000"/>
        <rFont val="微软雅黑"/>
        <charset val="134"/>
      </rPr>
      <t>余额</t>
    </r>
    <r>
      <rPr>
        <sz val="10"/>
        <color rgb="FF000000"/>
        <rFont val="Arial"/>
        <charset val="134"/>
      </rPr>
      <t>/</t>
    </r>
    <r>
      <rPr>
        <sz val="10"/>
        <color rgb="FF000000"/>
        <rFont val="微软雅黑"/>
        <charset val="134"/>
      </rPr>
      <t>活动不符合测试范围</t>
    </r>
    <r>
      <rPr>
        <sz val="10"/>
        <color rgb="FF000000"/>
        <rFont val="Arial"/>
        <charset val="134"/>
      </rPr>
      <t>–</t>
    </r>
    <r>
      <rPr>
        <sz val="10"/>
        <color rgb="FF000000"/>
        <rFont val="微软雅黑"/>
        <charset val="134"/>
      </rPr>
      <t>无需进一步调查</t>
    </r>
  </si>
  <si>
    <r>
      <rPr>
        <b/>
        <i/>
        <sz val="9"/>
        <color rgb="FFFF0000"/>
        <rFont val="微软雅黑"/>
        <charset val="134"/>
      </rPr>
      <t>除负债</t>
    </r>
    <r>
      <rPr>
        <b/>
        <i/>
        <sz val="9"/>
        <color rgb="FFFF0000"/>
        <rFont val="Arial"/>
        <charset val="134"/>
      </rPr>
      <t>/</t>
    </r>
    <r>
      <rPr>
        <b/>
        <i/>
        <sz val="9"/>
        <color rgb="FFFF0000"/>
        <rFont val="微软雅黑"/>
        <charset val="134"/>
      </rPr>
      <t>费用类别账户的完整性认定应当使用负债</t>
    </r>
    <r>
      <rPr>
        <b/>
        <i/>
        <sz val="9"/>
        <color rgb="FFFF0000"/>
        <rFont val="Arial"/>
        <charset val="134"/>
      </rPr>
      <t>/</t>
    </r>
    <r>
      <rPr>
        <b/>
        <i/>
        <sz val="9"/>
        <color rgb="FFFF0000"/>
        <rFont val="微软雅黑"/>
        <charset val="134"/>
      </rPr>
      <t>费用账户表之外，其他类别账户和认定均可使用资产</t>
    </r>
    <r>
      <rPr>
        <b/>
        <i/>
        <sz val="9"/>
        <color rgb="FFFF0000"/>
        <rFont val="Arial"/>
        <charset val="134"/>
      </rPr>
      <t>/</t>
    </r>
    <r>
      <rPr>
        <b/>
        <i/>
        <sz val="9"/>
        <color rgb="FFFF0000"/>
        <rFont val="微软雅黑"/>
        <charset val="134"/>
      </rPr>
      <t>收入账户表。</t>
    </r>
  </si>
  <si>
    <t>SL</t>
  </si>
  <si>
    <r>
      <rPr>
        <sz val="10"/>
        <color rgb="FF000000"/>
        <rFont val="微软雅黑"/>
        <charset val="134"/>
      </rPr>
      <t>已与明细账核对无误</t>
    </r>
  </si>
  <si>
    <r>
      <rPr>
        <b/>
        <i/>
        <sz val="9"/>
        <color rgb="FFFF0000"/>
        <rFont val="Arial"/>
        <charset val="134"/>
      </rPr>
      <t xml:space="preserve">2 </t>
    </r>
    <r>
      <rPr>
        <b/>
        <i/>
        <sz val="9"/>
        <color rgb="FFFF0000"/>
        <rFont val="微软雅黑"/>
        <charset val="134"/>
      </rPr>
      <t>所有相关认定的测试阈值，是所有有效认定对应之测试阈值的最小值。我们在</t>
    </r>
    <r>
      <rPr>
        <b/>
        <i/>
        <sz val="9"/>
        <color rgb="FFFF0000"/>
        <rFont val="Arial"/>
        <charset val="134"/>
      </rPr>
      <t xml:space="preserve"> </t>
    </r>
  </si>
  <si>
    <r>
      <rPr>
        <b/>
        <i/>
        <sz val="9"/>
        <color rgb="FFFF0000"/>
        <rFont val="Arial"/>
        <charset val="134"/>
      </rPr>
      <t>Lead</t>
    </r>
    <r>
      <rPr>
        <b/>
        <i/>
        <sz val="9"/>
        <color rgb="FFFF0000"/>
        <rFont val="微软雅黑"/>
        <charset val="134"/>
      </rPr>
      <t>中使用该测试阈值：（</t>
    </r>
    <r>
      <rPr>
        <b/>
        <i/>
        <sz val="9"/>
        <color rgb="FFFF0000"/>
        <rFont val="Arial"/>
        <charset val="134"/>
      </rPr>
      <t>a</t>
    </r>
    <r>
      <rPr>
        <b/>
        <i/>
        <sz val="9"/>
        <color rgb="FFFF0000"/>
        <rFont val="微软雅黑"/>
        <charset val="134"/>
      </rPr>
      <t>）作为选取总账账户进行测试的起点；（</t>
    </r>
    <r>
      <rPr>
        <b/>
        <i/>
        <sz val="9"/>
        <color rgb="FFFF0000"/>
        <rFont val="Arial"/>
        <charset val="134"/>
      </rPr>
      <t>b</t>
    </r>
    <r>
      <rPr>
        <b/>
        <i/>
        <sz val="9"/>
        <color rgb="FFFF0000"/>
        <rFont val="微软雅黑"/>
        <charset val="134"/>
      </rPr>
      <t>）作为（需要进一步调查的）金额波动范围的起点。</t>
    </r>
  </si>
  <si>
    <r>
      <rPr>
        <b/>
        <sz val="10"/>
        <rFont val="微软雅黑"/>
        <charset val="134"/>
      </rPr>
      <t>在下文中描述我们对固定资产在此期间的相关账户余额和相关波动的预期，以及我们对这些预期的依据和理由。</t>
    </r>
  </si>
  <si>
    <r>
      <rPr>
        <b/>
        <sz val="10"/>
        <color theme="1"/>
        <rFont val="微软雅黑"/>
        <charset val="134"/>
      </rPr>
      <t>账户变更</t>
    </r>
  </si>
  <si>
    <r>
      <rPr>
        <b/>
        <sz val="10"/>
        <color theme="1"/>
        <rFont val="微软雅黑"/>
        <charset val="134"/>
      </rPr>
      <t>预期及额外考虑</t>
    </r>
  </si>
  <si>
    <r>
      <rPr>
        <b/>
        <i/>
        <sz val="10"/>
        <color theme="1"/>
        <rFont val="微软雅黑"/>
        <charset val="134"/>
      </rPr>
      <t>新增</t>
    </r>
  </si>
  <si>
    <t>被审计单位为了满足不断增长的客户需求，购买新的设备和生产用具等资产，以取代已折旧和处置的资产和/或维护资本支出支持其现有的生产经营活动；因此，我们预计本期固定资产的原值将存在新增的变动。</t>
  </si>
  <si>
    <r>
      <rPr>
        <b/>
        <i/>
        <sz val="10"/>
        <color theme="1"/>
        <rFont val="微软雅黑"/>
        <charset val="134"/>
      </rPr>
      <t>减少</t>
    </r>
  </si>
  <si>
    <t>随****备，我们预计本期固定资产的原值将存在较小的处置变动。</t>
  </si>
  <si>
    <r>
      <rPr>
        <b/>
        <i/>
        <sz val="10"/>
        <color theme="1"/>
        <rFont val="微软雅黑"/>
        <charset val="134"/>
      </rPr>
      <t>在建工程转入（如适用）</t>
    </r>
  </si>
  <si>
    <t>需要安装的固定资产预计本期达到使用状态而转固。</t>
  </si>
  <si>
    <r>
      <rPr>
        <b/>
        <i/>
        <sz val="10"/>
        <color theme="1"/>
        <rFont val="微软雅黑"/>
        <charset val="134"/>
      </rPr>
      <t>转让、外汇和其他调整</t>
    </r>
  </si>
  <si>
    <t>被审计单位本期不涉及其他资产的转让、外汇业务等事项。</t>
  </si>
  <si>
    <r>
      <rPr>
        <b/>
        <i/>
        <sz val="10"/>
        <color theme="1"/>
        <rFont val="微软雅黑"/>
        <charset val="134"/>
      </rPr>
      <t>折旧方法</t>
    </r>
  </si>
  <si>
    <t>直线法，我们预计本年较上年无变化。</t>
  </si>
  <si>
    <r>
      <rPr>
        <b/>
        <i/>
        <sz val="10"/>
        <color theme="1"/>
        <rFont val="微软雅黑"/>
        <charset val="134"/>
      </rPr>
      <t>折旧费用</t>
    </r>
  </si>
  <si>
    <t>因为被审计单位折旧方法和使用寿命没有变化，将与往年一样正常计提折旧；同时，本年新增的机器设备将在全年投入使用，且无重大处置资产。因此，我们预计本年度累计折旧较上年增加。</t>
  </si>
  <si>
    <r>
      <rPr>
        <b/>
        <i/>
        <sz val="10"/>
        <color theme="1"/>
        <rFont val="微软雅黑"/>
        <charset val="134"/>
      </rPr>
      <t>使用寿命变化</t>
    </r>
  </si>
  <si>
    <t>由于本年度被审计单位的折旧政策未发生变化，我们预计被审计单位固定资产的使用寿命也不会发生变化。</t>
  </si>
  <si>
    <r>
      <rPr>
        <b/>
        <sz val="10"/>
        <rFont val="微软雅黑"/>
        <charset val="134"/>
      </rPr>
      <t>波动范围</t>
    </r>
  </si>
  <si>
    <r>
      <rPr>
        <b/>
        <sz val="10"/>
        <rFont val="微软雅黑"/>
        <charset val="134"/>
      </rPr>
      <t>波动幅度</t>
    </r>
    <r>
      <rPr>
        <b/>
        <sz val="10"/>
        <rFont val="Arial"/>
        <charset val="134"/>
      </rPr>
      <t xml:space="preserve"> (%):</t>
    </r>
  </si>
  <si>
    <r>
      <rPr>
        <b/>
        <sz val="10"/>
        <rFont val="微软雅黑"/>
        <charset val="134"/>
      </rPr>
      <t>我们获取或编制了与上期对比的重大账户（固定资产）引导表。我们将本期余额与试算平衡表核对一致，并将上期余额与上期审定数核对一致</t>
    </r>
    <r>
      <rPr>
        <b/>
        <sz val="10"/>
        <color rgb="FFFF0000"/>
        <rFont val="微软雅黑"/>
        <charset val="134"/>
      </rPr>
      <t>（如适用）</t>
    </r>
    <r>
      <rPr>
        <b/>
        <sz val="10"/>
        <rFont val="微软雅黑"/>
        <charset val="134"/>
      </rPr>
      <t>。</t>
    </r>
  </si>
  <si>
    <r>
      <rPr>
        <b/>
        <sz val="10"/>
        <rFont val="微软雅黑"/>
        <charset val="134"/>
      </rPr>
      <t>我们将期末余额与上期余额进行对比。调查超出测试阈值（金额和百分比）的波动，以及代表异常或预期外变动或未发生预期中变动的波动，并确定其对我们计划实质性程序的影响</t>
    </r>
    <r>
      <rPr>
        <b/>
        <sz val="10"/>
        <color rgb="FFFF0000"/>
        <rFont val="Arial"/>
        <charset val="134"/>
      </rPr>
      <t xml:space="preserve"> (</t>
    </r>
    <r>
      <rPr>
        <b/>
        <sz val="10"/>
        <color rgb="FFFF0000"/>
        <rFont val="微软雅黑"/>
        <charset val="134"/>
      </rPr>
      <t>如有</t>
    </r>
    <r>
      <rPr>
        <b/>
        <sz val="10"/>
        <color rgb="FFFF0000"/>
        <rFont val="Arial"/>
        <charset val="134"/>
      </rPr>
      <t>)</t>
    </r>
    <r>
      <rPr>
        <b/>
        <sz val="10"/>
        <rFont val="微软雅黑"/>
        <charset val="134"/>
      </rPr>
      <t>。</t>
    </r>
  </si>
  <si>
    <t>|------- TB -------|</t>
  </si>
  <si>
    <t>|------- PY -------|</t>
  </si>
  <si>
    <t>本期和上期期末余额</t>
  </si>
  <si>
    <t>基于波动幅度判断，是否进一步调查？</t>
  </si>
  <si>
    <t>基于定性考虑判断，是否进一步调查？</t>
  </si>
  <si>
    <t>总账科目编码</t>
  </si>
  <si>
    <t>科目名称</t>
  </si>
  <si>
    <t>索引号</t>
  </si>
  <si>
    <t>期末账面数</t>
  </si>
  <si>
    <t>账表调整数</t>
  </si>
  <si>
    <t>期末未审数</t>
  </si>
  <si>
    <t>审计调整数</t>
  </si>
  <si>
    <t>期末审定数</t>
  </si>
  <si>
    <t>上期末审定数</t>
  </si>
  <si>
    <t>变动金额</t>
  </si>
  <si>
    <t>变动%</t>
  </si>
  <si>
    <t>Notes</t>
  </si>
  <si>
    <r>
      <rPr>
        <b/>
        <sz val="10"/>
        <rFont val="微软雅黑"/>
        <charset val="134"/>
      </rPr>
      <t>原值</t>
    </r>
  </si>
  <si>
    <t>[A]</t>
  </si>
  <si>
    <r>
      <rPr>
        <b/>
        <sz val="10"/>
        <rFont val="微软雅黑"/>
        <charset val="134"/>
      </rPr>
      <t>累计折旧</t>
    </r>
  </si>
  <si>
    <t>[B]</t>
  </si>
  <si>
    <t>-</t>
  </si>
  <si>
    <r>
      <rPr>
        <b/>
        <sz val="10"/>
        <rFont val="微软雅黑"/>
        <charset val="134"/>
      </rPr>
      <t>减值准备</t>
    </r>
  </si>
  <si>
    <r>
      <rPr>
        <b/>
        <sz val="10"/>
        <color rgb="FF000000"/>
        <rFont val="微软雅黑"/>
        <charset val="134"/>
      </rPr>
      <t>净值</t>
    </r>
  </si>
  <si>
    <t>check with A3</t>
  </si>
  <si>
    <t>Diff</t>
  </si>
  <si>
    <t>波动说明</t>
  </si>
  <si>
    <r>
      <rPr>
        <b/>
        <i/>
        <sz val="10"/>
        <color rgb="FFFF0000"/>
        <rFont val="Arial"/>
        <charset val="134"/>
      </rPr>
      <t>[A]</t>
    </r>
    <r>
      <rPr>
        <sz val="10"/>
        <color rgb="FF000000"/>
        <rFont val="微软雅黑"/>
        <charset val="134"/>
      </rPr>
      <t xml:space="preserve">本期固定资产原值较上期增加9,173千元，增幅10.69%，主要系为适应业务增长的需求，购入大批电子设备和生产设备等资产，且本年报废小部分生产设备、办公电脑等资产，无其他重大资产处置，因此本年资产原值较大，我们对本年新增资产执行了细节测试，未见异常。
</t>
    </r>
    <r>
      <rPr>
        <b/>
        <i/>
        <sz val="10"/>
        <color rgb="FFFF0000"/>
        <rFont val="Arial"/>
        <charset val="134"/>
      </rPr>
      <t>[B]</t>
    </r>
    <r>
      <rPr>
        <sz val="10"/>
        <color theme="1"/>
        <rFont val="微软雅黑"/>
        <charset val="134"/>
      </rPr>
      <t>本期</t>
    </r>
    <r>
      <rPr>
        <sz val="10"/>
        <color rgb="FF000000"/>
        <rFont val="微软雅黑"/>
        <charset val="134"/>
      </rPr>
      <t>累计折旧较上年增加人民币</t>
    </r>
    <r>
      <rPr>
        <sz val="10"/>
        <color rgb="FF000000"/>
        <rFont val="Arial"/>
        <charset val="134"/>
      </rPr>
      <t>2,059</t>
    </r>
    <r>
      <rPr>
        <sz val="10"/>
        <color rgb="FF000000"/>
        <rFont val="微软雅黑"/>
        <charset val="134"/>
      </rPr>
      <t>千元，增长</t>
    </r>
    <r>
      <rPr>
        <sz val="10"/>
        <color rgb="FF000000"/>
        <rFont val="Arial"/>
        <charset val="134"/>
      </rPr>
      <t>15%</t>
    </r>
    <r>
      <rPr>
        <sz val="10"/>
        <color rgb="FF000000"/>
        <rFont val="微软雅黑"/>
        <charset val="134"/>
      </rPr>
      <t>，主要系本年原值增加导致折旧费用增加所致，且本年无重大资产处置，因此本年计提折旧金额较大。我们对本年折旧执行了合理性测试，未见异常。</t>
    </r>
  </si>
  <si>
    <r>
      <rPr>
        <b/>
        <sz val="10"/>
        <color rgb="FF000000"/>
        <rFont val="Arial"/>
        <charset val="134"/>
      </rPr>
      <t>调整汇总表</t>
    </r>
    <r>
      <rPr>
        <b/>
        <i/>
        <sz val="10"/>
        <color rgb="FFFF0000"/>
        <rFont val="Arial"/>
        <charset val="134"/>
      </rPr>
      <t>（如不适用请删除）</t>
    </r>
  </si>
  <si>
    <r>
      <rPr>
        <sz val="10"/>
        <rFont val="微软雅黑"/>
        <charset val="134"/>
      </rPr>
      <t>调整类型</t>
    </r>
  </si>
  <si>
    <t>已更正审计调整(AA/RA/OA)</t>
  </si>
  <si>
    <t>AA#22</t>
  </si>
  <si>
    <t>详见&lt;浙江力积A3_IPO三年-浙江力积A5-PRC&gt;</t>
  </si>
  <si>
    <t>8G DDR4 F25光罩研发失败调整进费用</t>
  </si>
  <si>
    <t>固定资产</t>
  </si>
  <si>
    <t>累计折旧</t>
  </si>
  <si>
    <t>研发费用</t>
  </si>
  <si>
    <t>折旧费</t>
  </si>
  <si>
    <t>年初未分配利润</t>
  </si>
  <si>
    <t>8G DDR4 F25光罩2604报废冲回</t>
  </si>
  <si>
    <t>营业外支出</t>
  </si>
  <si>
    <t>8G DDR4 F25光罩研发失败 冲25年计提折旧</t>
  </si>
  <si>
    <t>管理费用</t>
  </si>
  <si>
    <r>
      <rPr>
        <b/>
        <sz val="14"/>
        <color theme="0"/>
        <rFont val="微软雅黑"/>
        <charset val="134"/>
      </rPr>
      <t>标准工作底稿</t>
    </r>
    <r>
      <rPr>
        <b/>
        <sz val="14"/>
        <color theme="0"/>
        <rFont val="Arial"/>
        <charset val="134"/>
      </rPr>
      <t xml:space="preserve">: K1 SWP </t>
    </r>
    <r>
      <rPr>
        <b/>
        <sz val="14"/>
        <color theme="0"/>
        <rFont val="微软雅黑"/>
        <charset val="134"/>
      </rPr>
      <t>不动产、厂房和设备及相关账户（</t>
    </r>
    <r>
      <rPr>
        <b/>
        <sz val="14"/>
        <color theme="0"/>
        <rFont val="Arial"/>
        <charset val="134"/>
      </rPr>
      <t>PPE</t>
    </r>
    <r>
      <rPr>
        <b/>
        <sz val="14"/>
        <color theme="0"/>
        <rFont val="微软雅黑"/>
        <charset val="134"/>
      </rPr>
      <t>）</t>
    </r>
  </si>
  <si>
    <r>
      <rPr>
        <b/>
        <sz val="12"/>
        <color rgb="FF000000"/>
        <rFont val="Arial"/>
        <charset val="134"/>
      </rPr>
      <t xml:space="preserve">K.01 </t>
    </r>
    <r>
      <rPr>
        <b/>
        <sz val="12"/>
        <color rgb="FF000000"/>
        <rFont val="微软雅黑"/>
        <charset val="134"/>
      </rPr>
      <t>将明细账与总账核对一致</t>
    </r>
  </si>
  <si>
    <r>
      <rPr>
        <b/>
        <sz val="10"/>
        <rFont val="微软雅黑"/>
        <charset val="134"/>
      </rPr>
      <t>获取上期末至本期末（或中期，如适用）固定资产及相关新增、处置、转让和折旧的后推明细表。（原值、累计折旧、减值均为正数填列，本期减少以负数填列，账表调整、审计调整数据均直接链接至</t>
    </r>
    <r>
      <rPr>
        <b/>
        <sz val="10"/>
        <rFont val="Arial"/>
        <charset val="134"/>
      </rPr>
      <t>K.00 Lead</t>
    </r>
    <r>
      <rPr>
        <b/>
        <sz val="10"/>
        <rFont val="微软雅黑"/>
        <charset val="134"/>
      </rPr>
      <t>。）</t>
    </r>
  </si>
  <si>
    <r>
      <rPr>
        <b/>
        <sz val="10"/>
        <rFont val="微软雅黑"/>
        <charset val="134"/>
      </rPr>
      <t>我们将期初固定资产余额与上期审定数核对一致，将期末固定资产余额与固定资产明细账和试算表核对一致。我们调查了大于</t>
    </r>
    <r>
      <rPr>
        <b/>
        <sz val="10"/>
        <rFont val="Arial"/>
        <charset val="134"/>
      </rPr>
      <t>SAD</t>
    </r>
    <r>
      <rPr>
        <b/>
        <sz val="10"/>
        <rFont val="微软雅黑"/>
        <charset val="134"/>
      </rPr>
      <t>的差异。我们将利润表金额（如，折旧费用）与试算表核对一致</t>
    </r>
    <r>
      <rPr>
        <b/>
        <sz val="10"/>
        <color rgb="FFFF0000"/>
        <rFont val="微软雅黑"/>
        <charset val="134"/>
      </rPr>
      <t>（如适用）</t>
    </r>
    <r>
      <rPr>
        <b/>
        <sz val="10"/>
        <rFont val="微软雅黑"/>
        <charset val="134"/>
      </rPr>
      <t>。</t>
    </r>
  </si>
  <si>
    <r>
      <rPr>
        <b/>
        <sz val="10"/>
        <rFont val="微软雅黑"/>
        <charset val="134"/>
      </rPr>
      <t>我们选择了超过测试阈值的后推活动（如，新增、处置、固定资产转入、转移和折旧费用），以执行</t>
    </r>
    <r>
      <rPr>
        <b/>
        <sz val="10"/>
        <rFont val="Arial"/>
        <charset val="134"/>
      </rPr>
      <t>K.02</t>
    </r>
    <r>
      <rPr>
        <b/>
        <sz val="10"/>
        <rFont val="微软雅黑"/>
        <charset val="134"/>
      </rPr>
      <t>和</t>
    </r>
    <r>
      <rPr>
        <b/>
        <sz val="10"/>
        <rFont val="Arial"/>
        <charset val="134"/>
      </rPr>
      <t>K.03</t>
    </r>
    <r>
      <rPr>
        <b/>
        <sz val="10"/>
        <rFont val="微软雅黑"/>
        <charset val="134"/>
      </rPr>
      <t>的实质性程序。对于未包含在本程序表范围内的程序，我们交叉索引至完成该程序的单独程序表。我们评估了固定资产的转移和其他调整，以了解调整的性质，并确定是否需要执行额外程序。</t>
    </r>
  </si>
  <si>
    <r>
      <rPr>
        <b/>
        <sz val="10"/>
        <color rgb="FFFF0000"/>
        <rFont val="微软雅黑"/>
        <charset val="134"/>
      </rPr>
      <t>表</t>
    </r>
    <r>
      <rPr>
        <b/>
        <sz val="10"/>
        <color rgb="FFFF0000"/>
        <rFont val="Arial"/>
        <charset val="134"/>
      </rPr>
      <t>1</t>
    </r>
  </si>
  <si>
    <t>|--------------------------- Rx ------------------------------|</t>
  </si>
  <si>
    <r>
      <rPr>
        <b/>
        <sz val="10"/>
        <rFont val="微软雅黑"/>
        <charset val="134"/>
      </rPr>
      <t>固定资产类别</t>
    </r>
  </si>
  <si>
    <t>房屋建筑物</t>
  </si>
  <si>
    <t>生产设备</t>
  </si>
  <si>
    <t>家具工具</t>
  </si>
  <si>
    <t>运输工具</t>
  </si>
  <si>
    <t>电子设备1</t>
  </si>
  <si>
    <t>电子设备2</t>
  </si>
  <si>
    <r>
      <rPr>
        <b/>
        <sz val="10"/>
        <rFont val="微软雅黑"/>
        <charset val="134"/>
      </rPr>
      <t>【</t>
    </r>
    <r>
      <rPr>
        <b/>
        <sz val="10"/>
        <rFont val="Arial"/>
        <charset val="134"/>
      </rPr>
      <t>…</t>
    </r>
    <r>
      <rPr>
        <b/>
        <sz val="10"/>
        <rFont val="微软雅黑"/>
        <charset val="134"/>
      </rPr>
      <t>】</t>
    </r>
  </si>
  <si>
    <r>
      <rPr>
        <b/>
        <sz val="10"/>
        <rFont val="微软雅黑"/>
        <charset val="134"/>
      </rPr>
      <t>合计</t>
    </r>
  </si>
  <si>
    <r>
      <rPr>
        <sz val="10"/>
        <rFont val="微软雅黑"/>
        <charset val="134"/>
      </rPr>
      <t>账面数</t>
    </r>
  </si>
  <si>
    <r>
      <rPr>
        <sz val="10"/>
        <rFont val="微软雅黑"/>
        <charset val="134"/>
      </rPr>
      <t>账表调整</t>
    </r>
    <r>
      <rPr>
        <sz val="10"/>
        <rFont val="Arial"/>
        <charset val="134"/>
      </rPr>
      <t>/</t>
    </r>
    <r>
      <rPr>
        <sz val="10"/>
        <rFont val="微软雅黑"/>
        <charset val="134"/>
      </rPr>
      <t>审计调整</t>
    </r>
  </si>
  <si>
    <r>
      <rPr>
        <sz val="10"/>
        <rFont val="微软雅黑"/>
        <charset val="134"/>
      </rPr>
      <t>审定数</t>
    </r>
  </si>
  <si>
    <t>CHECK</t>
  </si>
  <si>
    <r>
      <rPr>
        <b/>
        <sz val="10"/>
        <rFont val="微软雅黑"/>
        <charset val="134"/>
      </rPr>
      <t>年初余额</t>
    </r>
  </si>
  <si>
    <r>
      <rPr>
        <sz val="10"/>
        <rFont val="微软雅黑"/>
        <charset val="134"/>
      </rPr>
      <t>购置</t>
    </r>
  </si>
  <si>
    <t>K.02.1</t>
  </si>
  <si>
    <r>
      <rPr>
        <sz val="10"/>
        <rFont val="微软雅黑"/>
        <charset val="134"/>
      </rPr>
      <t>在建工程转入</t>
    </r>
  </si>
  <si>
    <t>J1.02</t>
  </si>
  <si>
    <r>
      <rPr>
        <sz val="10"/>
        <rFont val="微软雅黑"/>
        <charset val="134"/>
      </rPr>
      <t>处置或报废</t>
    </r>
  </si>
  <si>
    <t>K.02.2</t>
  </si>
  <si>
    <r>
      <rPr>
        <sz val="10"/>
        <rFont val="微软雅黑"/>
        <charset val="134"/>
      </rPr>
      <t>内部重分类</t>
    </r>
  </si>
  <si>
    <t>[…]</t>
  </si>
  <si>
    <r>
      <rPr>
        <b/>
        <sz val="10"/>
        <rFont val="微软雅黑"/>
        <charset val="134"/>
      </rPr>
      <t>年末余额</t>
    </r>
  </si>
  <si>
    <r>
      <rPr>
        <sz val="10"/>
        <rFont val="微软雅黑"/>
        <charset val="134"/>
      </rPr>
      <t>计提</t>
    </r>
  </si>
  <si>
    <t>K.03.2</t>
  </si>
  <si>
    <r>
      <rPr>
        <b/>
        <sz val="10"/>
        <color rgb="FFFF0000"/>
        <rFont val="Arial"/>
        <charset val="134"/>
      </rPr>
      <t xml:space="preserve">&lt;K.03 </t>
    </r>
    <r>
      <rPr>
        <b/>
        <sz val="10"/>
        <color rgb="FFFF0000"/>
        <rFont val="宋体"/>
        <charset val="134"/>
      </rPr>
      <t>折旧测试</t>
    </r>
    <r>
      <rPr>
        <b/>
        <sz val="10"/>
        <color rgb="FFFF0000"/>
        <rFont val="Arial"/>
        <charset val="134"/>
      </rPr>
      <t>&gt;</t>
    </r>
  </si>
  <si>
    <r>
      <rPr>
        <b/>
        <sz val="10"/>
        <color rgb="FFFF0000"/>
        <rFont val="Arial"/>
        <charset val="134"/>
      </rPr>
      <t xml:space="preserve">SWP </t>
    </r>
    <r>
      <rPr>
        <b/>
        <sz val="10"/>
        <color rgb="FFFF0000"/>
        <rFont val="微软雅黑"/>
        <charset val="134"/>
      </rPr>
      <t>减值</t>
    </r>
  </si>
  <si>
    <r>
      <rPr>
        <b/>
        <sz val="10"/>
        <rFont val="微软雅黑"/>
        <charset val="134"/>
      </rPr>
      <t>净值</t>
    </r>
    <r>
      <rPr>
        <b/>
        <sz val="10"/>
        <rFont val="Arial"/>
        <charset val="134"/>
      </rPr>
      <t xml:space="preserve"> (NBV)</t>
    </r>
  </si>
  <si>
    <r>
      <rPr>
        <b/>
        <sz val="10"/>
        <rFont val="微软雅黑"/>
        <charset val="134"/>
      </rPr>
      <t>变动</t>
    </r>
  </si>
  <si>
    <r>
      <rPr>
        <sz val="10"/>
        <rFont val="微软雅黑"/>
        <charset val="134"/>
      </rPr>
      <t>原值变动金额</t>
    </r>
  </si>
  <si>
    <r>
      <rPr>
        <sz val="10"/>
        <rFont val="微软雅黑"/>
        <charset val="134"/>
      </rPr>
      <t>本年</t>
    </r>
    <r>
      <rPr>
        <sz val="10"/>
        <rFont val="Arial"/>
        <charset val="134"/>
      </rPr>
      <t>VS</t>
    </r>
    <r>
      <rPr>
        <sz val="10"/>
        <rFont val="微软雅黑"/>
        <charset val="134"/>
      </rPr>
      <t>上年</t>
    </r>
  </si>
  <si>
    <r>
      <rPr>
        <sz val="10"/>
        <rFont val="微软雅黑"/>
        <charset val="134"/>
      </rPr>
      <t>原值变动比例</t>
    </r>
  </si>
  <si>
    <t>%</t>
  </si>
  <si>
    <r>
      <rPr>
        <sz val="10"/>
        <rFont val="微软雅黑"/>
        <charset val="134"/>
      </rPr>
      <t>累计折旧变动金额</t>
    </r>
  </si>
  <si>
    <r>
      <rPr>
        <sz val="10"/>
        <rFont val="微软雅黑"/>
        <charset val="134"/>
      </rPr>
      <t>累计折旧变动比例</t>
    </r>
  </si>
  <si>
    <r>
      <rPr>
        <sz val="10"/>
        <rFont val="微软雅黑"/>
        <charset val="134"/>
      </rPr>
      <t>减值准备变动金额</t>
    </r>
  </si>
  <si>
    <r>
      <rPr>
        <sz val="10"/>
        <rFont val="微软雅黑"/>
        <charset val="134"/>
      </rPr>
      <t>减值准备变动比例</t>
    </r>
  </si>
  <si>
    <r>
      <rPr>
        <sz val="10"/>
        <rFont val="微软雅黑"/>
        <charset val="134"/>
      </rPr>
      <t>净值变动金额</t>
    </r>
  </si>
  <si>
    <r>
      <rPr>
        <sz val="10"/>
        <rFont val="微软雅黑"/>
        <charset val="134"/>
      </rPr>
      <t>净值变动比例</t>
    </r>
  </si>
  <si>
    <r>
      <rPr>
        <b/>
        <sz val="10"/>
        <color rgb="FFFF0000"/>
        <rFont val="Arial"/>
        <charset val="134"/>
      </rPr>
      <t>TB-</t>
    </r>
    <r>
      <rPr>
        <b/>
        <sz val="10"/>
        <color rgb="FFFF0000"/>
        <rFont val="微软雅黑"/>
        <charset val="134"/>
      </rPr>
      <t>原值</t>
    </r>
  </si>
  <si>
    <r>
      <rPr>
        <b/>
        <sz val="10"/>
        <color rgb="FFFF0000"/>
        <rFont val="微软雅黑"/>
        <charset val="134"/>
      </rPr>
      <t>差异</t>
    </r>
  </si>
  <si>
    <r>
      <rPr>
        <b/>
        <sz val="10"/>
        <color rgb="FFFF0000"/>
        <rFont val="Arial"/>
        <charset val="134"/>
      </rPr>
      <t>TB-</t>
    </r>
    <r>
      <rPr>
        <b/>
        <sz val="10"/>
        <color rgb="FFFF0000"/>
        <rFont val="微软雅黑"/>
        <charset val="134"/>
      </rPr>
      <t>累计折旧</t>
    </r>
  </si>
  <si>
    <r>
      <rPr>
        <b/>
        <sz val="10"/>
        <color rgb="FFFF0000"/>
        <rFont val="Arial"/>
        <charset val="134"/>
      </rPr>
      <t>TB-</t>
    </r>
    <r>
      <rPr>
        <b/>
        <sz val="10"/>
        <color rgb="FFFF0000"/>
        <rFont val="微软雅黑"/>
        <charset val="134"/>
      </rPr>
      <t>减值准备</t>
    </r>
  </si>
  <si>
    <r>
      <rPr>
        <b/>
        <sz val="10"/>
        <color rgb="FFFF0000"/>
        <rFont val="Arial"/>
        <charset val="134"/>
      </rPr>
      <t>TB-</t>
    </r>
    <r>
      <rPr>
        <b/>
        <sz val="10"/>
        <color rgb="FFFF0000"/>
        <rFont val="微软雅黑"/>
        <charset val="134"/>
      </rPr>
      <t>净值</t>
    </r>
  </si>
  <si>
    <r>
      <rPr>
        <b/>
        <sz val="10"/>
        <rFont val="微软雅黑"/>
        <charset val="134"/>
      </rPr>
      <t>获取期末的固定资产明细清单，我们将固定资产明细清单的金额与表</t>
    </r>
    <r>
      <rPr>
        <b/>
        <sz val="10"/>
        <rFont val="Arial"/>
        <charset val="134"/>
      </rPr>
      <t>1</t>
    </r>
    <r>
      <rPr>
        <b/>
        <sz val="10"/>
        <rFont val="微软雅黑"/>
        <charset val="134"/>
      </rPr>
      <t>金额进行核对，调查大于</t>
    </r>
    <r>
      <rPr>
        <b/>
        <sz val="10"/>
        <rFont val="Arial"/>
        <charset val="134"/>
      </rPr>
      <t>SAD</t>
    </r>
    <r>
      <rPr>
        <b/>
        <sz val="10"/>
        <rFont val="微软雅黑"/>
        <charset val="134"/>
      </rPr>
      <t>的差异。</t>
    </r>
  </si>
  <si>
    <r>
      <rPr>
        <b/>
        <sz val="10"/>
        <color rgb="FFFF0000"/>
        <rFont val="微软雅黑"/>
        <charset val="134"/>
      </rPr>
      <t>表</t>
    </r>
    <r>
      <rPr>
        <b/>
        <sz val="10"/>
        <color rgb="FFFF0000"/>
        <rFont val="Arial"/>
        <charset val="134"/>
      </rPr>
      <t>2</t>
    </r>
  </si>
  <si>
    <r>
      <rPr>
        <b/>
        <sz val="10"/>
        <color rgb="FFFF0000"/>
        <rFont val="微软雅黑"/>
        <charset val="134"/>
      </rPr>
      <t>表</t>
    </r>
    <r>
      <rPr>
        <b/>
        <sz val="10"/>
        <color rgb="FFFF0000"/>
        <rFont val="Arial"/>
        <charset val="134"/>
      </rPr>
      <t>3</t>
    </r>
  </si>
  <si>
    <r>
      <rPr>
        <b/>
        <sz val="10"/>
        <color theme="1"/>
        <rFont val="微软雅黑"/>
        <charset val="134"/>
      </rPr>
      <t>汇总</t>
    </r>
  </si>
  <si>
    <r>
      <rPr>
        <b/>
        <sz val="10"/>
        <color rgb="FFFF0000"/>
        <rFont val="微软雅黑"/>
        <charset val="134"/>
      </rPr>
      <t>表</t>
    </r>
    <r>
      <rPr>
        <b/>
        <sz val="10"/>
        <color rgb="FFFF0000"/>
        <rFont val="Arial"/>
        <charset val="134"/>
      </rPr>
      <t xml:space="preserve">2 check with </t>
    </r>
    <r>
      <rPr>
        <b/>
        <sz val="10"/>
        <color rgb="FFFF0000"/>
        <rFont val="微软雅黑"/>
        <charset val="134"/>
      </rPr>
      <t>表</t>
    </r>
    <r>
      <rPr>
        <b/>
        <sz val="10"/>
        <color rgb="FFFF0000"/>
        <rFont val="Arial"/>
        <charset val="134"/>
      </rPr>
      <t>1</t>
    </r>
  </si>
  <si>
    <r>
      <rPr>
        <b/>
        <sz val="10"/>
        <color theme="1"/>
        <rFont val="微软雅黑"/>
        <charset val="134"/>
      </rPr>
      <t>固定资产类别</t>
    </r>
  </si>
  <si>
    <r>
      <rPr>
        <b/>
        <sz val="10"/>
        <color theme="1"/>
        <rFont val="微软雅黑"/>
        <charset val="134"/>
      </rPr>
      <t>原值</t>
    </r>
  </si>
  <si>
    <r>
      <rPr>
        <b/>
        <sz val="10"/>
        <color theme="1"/>
        <rFont val="微软雅黑"/>
        <charset val="134"/>
      </rPr>
      <t>累计折旧</t>
    </r>
  </si>
  <si>
    <r>
      <rPr>
        <b/>
        <sz val="10"/>
        <color theme="1"/>
        <rFont val="微软雅黑"/>
        <charset val="134"/>
      </rPr>
      <t>减值准备</t>
    </r>
  </si>
  <si>
    <r>
      <rPr>
        <b/>
        <sz val="10"/>
        <color theme="1"/>
        <rFont val="微软雅黑"/>
        <charset val="134"/>
      </rPr>
      <t>净值</t>
    </r>
  </si>
  <si>
    <r>
      <rPr>
        <b/>
        <sz val="10"/>
        <color theme="1"/>
        <rFont val="微软雅黑"/>
        <charset val="134"/>
      </rPr>
      <t>合计</t>
    </r>
  </si>
  <si>
    <r>
      <rPr>
        <b/>
        <sz val="10"/>
        <color rgb="FFFF0000"/>
        <rFont val="Arial"/>
        <charset val="134"/>
      </rPr>
      <t>Notes</t>
    </r>
    <r>
      <rPr>
        <sz val="10"/>
        <color rgb="FF000000"/>
        <rFont val="Arial"/>
        <charset val="134"/>
      </rPr>
      <t xml:space="preserve">  </t>
    </r>
    <r>
      <rPr>
        <sz val="10"/>
        <color rgb="FF000000"/>
        <rFont val="微软雅黑"/>
        <charset val="134"/>
      </rPr>
      <t>请在此记录固定资产明细账和总账的差异，并详细记录对差异进行的核查程序。</t>
    </r>
  </si>
  <si>
    <t xml:space="preserve">
固定资产的明细账与总账核对一致，无异常发现。</t>
  </si>
  <si>
    <t>将固定资产本年折旧与利润表相关科目金额核对。复核本期折旧是否正确，与利润表科目核对是否相符。</t>
  </si>
  <si>
    <t>表4</t>
  </si>
  <si>
    <r>
      <rPr>
        <b/>
        <sz val="10"/>
        <rFont val="微软雅黑"/>
        <charset val="134"/>
      </rPr>
      <t>折旧费用与利润表科目核对</t>
    </r>
  </si>
  <si>
    <r>
      <rPr>
        <b/>
        <sz val="10"/>
        <rFont val="微软雅黑"/>
        <charset val="134"/>
      </rPr>
      <t>账套名称</t>
    </r>
    <r>
      <rPr>
        <b/>
        <sz val="10"/>
        <rFont val="Arial"/>
        <charset val="134"/>
      </rPr>
      <t>/</t>
    </r>
    <r>
      <rPr>
        <b/>
        <sz val="10"/>
        <rFont val="微软雅黑"/>
        <charset val="134"/>
      </rPr>
      <t>账套编码</t>
    </r>
  </si>
  <si>
    <r>
      <rPr>
        <b/>
        <sz val="10"/>
        <rFont val="微软雅黑"/>
        <charset val="134"/>
      </rPr>
      <t>科目编码</t>
    </r>
  </si>
  <si>
    <r>
      <rPr>
        <b/>
        <sz val="10"/>
        <rFont val="微软雅黑"/>
        <charset val="134"/>
      </rPr>
      <t>交叉索引</t>
    </r>
  </si>
  <si>
    <r>
      <rPr>
        <b/>
        <sz val="10"/>
        <rFont val="微软雅黑"/>
        <charset val="134"/>
      </rPr>
      <t>科目名称</t>
    </r>
  </si>
  <si>
    <r>
      <rPr>
        <b/>
        <sz val="10"/>
        <rFont val="微软雅黑"/>
        <charset val="134"/>
      </rPr>
      <t>金额</t>
    </r>
  </si>
  <si>
    <t>510102</t>
  </si>
  <si>
    <t>Uexp制造费用BKD</t>
  </si>
  <si>
    <r>
      <rPr>
        <sz val="10"/>
        <color theme="1"/>
        <rFont val="微软雅黑"/>
        <charset val="134"/>
      </rPr>
      <t>制造费用</t>
    </r>
  </si>
  <si>
    <t>66011201</t>
  </si>
  <si>
    <t>VC.00销售费用BKD</t>
  </si>
  <si>
    <r>
      <rPr>
        <sz val="10"/>
        <rFont val="微软雅黑"/>
        <charset val="134"/>
      </rPr>
      <t>销售费用</t>
    </r>
  </si>
  <si>
    <t>66021201~6</t>
  </si>
  <si>
    <t>VD.00管理的用BKD</t>
  </si>
  <si>
    <r>
      <rPr>
        <sz val="10"/>
        <rFont val="微软雅黑"/>
        <charset val="134"/>
      </rPr>
      <t>管理费用</t>
    </r>
  </si>
  <si>
    <t>66040301</t>
  </si>
  <si>
    <t>Uexp研发费用 1.0 BKD</t>
  </si>
  <si>
    <r>
      <rPr>
        <sz val="10"/>
        <rFont val="微软雅黑"/>
        <charset val="134"/>
      </rPr>
      <t>研发费用</t>
    </r>
  </si>
  <si>
    <r>
      <rPr>
        <sz val="10"/>
        <rFont val="微软雅黑"/>
        <charset val="134"/>
      </rPr>
      <t>合计</t>
    </r>
  </si>
  <si>
    <t>K1</t>
  </si>
  <si>
    <r>
      <rPr>
        <sz val="10"/>
        <rFont val="微软雅黑"/>
        <charset val="134"/>
      </rPr>
      <t>累计折旧科目</t>
    </r>
    <r>
      <rPr>
        <sz val="10"/>
        <rFont val="Arial"/>
        <charset val="134"/>
      </rPr>
      <t>-</t>
    </r>
    <r>
      <rPr>
        <sz val="10"/>
        <rFont val="微软雅黑"/>
        <charset val="134"/>
      </rPr>
      <t>本年计提</t>
    </r>
  </si>
  <si>
    <r>
      <rPr>
        <sz val="10"/>
        <rFont val="微软雅黑"/>
        <charset val="134"/>
      </rPr>
      <t>差异</t>
    </r>
  </si>
  <si>
    <t xml:space="preserve">
经折旧费用与利润表科目核对一致，未见异常。</t>
  </si>
  <si>
    <t>资产分类名称</t>
  </si>
  <si>
    <t>财产编号</t>
  </si>
  <si>
    <t>中文名称</t>
  </si>
  <si>
    <t>数量</t>
  </si>
  <si>
    <t>规格型号</t>
  </si>
  <si>
    <t>取得日期</t>
  </si>
  <si>
    <t>入帐日期</t>
  </si>
  <si>
    <t>开始折旧</t>
  </si>
  <si>
    <t>年限</t>
  </si>
  <si>
    <t>未用年限</t>
  </si>
  <si>
    <t>期初账面原值</t>
  </si>
  <si>
    <t>本期增加</t>
  </si>
  <si>
    <t>本期减少</t>
  </si>
  <si>
    <t>期末账面原值</t>
  </si>
  <si>
    <t>本年折旧</t>
  </si>
  <si>
    <t>期末累计折旧（含加速）</t>
  </si>
  <si>
    <t>帐面价值</t>
  </si>
  <si>
    <t>减值准备</t>
  </si>
  <si>
    <t>资产净额</t>
  </si>
  <si>
    <t>存放位置</t>
  </si>
  <si>
    <t>折旧科目</t>
  </si>
  <si>
    <t>序列号</t>
  </si>
  <si>
    <t>手动调试工具</t>
  </si>
  <si>
    <t>C220077-1</t>
  </si>
  <si>
    <t>金华厂房</t>
  </si>
  <si>
    <t>F25 512M DDR2探针卡</t>
  </si>
  <si>
    <t>458DUT_T5377_3FB</t>
  </si>
  <si>
    <t>台湾</t>
  </si>
  <si>
    <t>S/N:SAU2400217*1</t>
  </si>
  <si>
    <t>S/N:SAU2400218*1</t>
  </si>
  <si>
    <t>F25 2G DDR3光罩</t>
  </si>
  <si>
    <t>一整套47片40万美金</t>
  </si>
  <si>
    <t>台湾力晶晶圆厂</t>
  </si>
  <si>
    <t>F25 2G DDR3探针卡</t>
  </si>
  <si>
    <t>F25 2G DDR3</t>
  </si>
  <si>
    <t>1套</t>
  </si>
  <si>
    <t>DDR4*16颗粒烧测治具</t>
  </si>
  <si>
    <t>BGA96 DDR4 *16 DEDICATED BURN</t>
  </si>
  <si>
    <t>温度记录仪</t>
  </si>
  <si>
    <t>DIAF8862</t>
  </si>
  <si>
    <t>GL260A-CN/B-563SL-30</t>
  </si>
  <si>
    <t>M6242</t>
  </si>
  <si>
    <t>GL860A</t>
  </si>
  <si>
    <t>帕捷双联体高温项箱</t>
  </si>
  <si>
    <t>STC3503-D</t>
  </si>
  <si>
    <t>IC装载/分选机 Sorter上卸板机(7件)</t>
  </si>
  <si>
    <t>WFD-3000</t>
  </si>
  <si>
    <t>ZF91-25100602</t>
  </si>
  <si>
    <t>Lead Scan外观锡球检验机</t>
  </si>
  <si>
    <t>P5000</t>
  </si>
  <si>
    <t>ZF91-25100603</t>
  </si>
  <si>
    <t>镭射盖印机（全自动激光打标机）</t>
  </si>
  <si>
    <t>TM612G</t>
  </si>
  <si>
    <t>ZF91-25110160（金额=设备+运费）</t>
  </si>
  <si>
    <t>杰锐思1*8拾取头快换模组</t>
  </si>
  <si>
    <t>1*8</t>
  </si>
  <si>
    <t>ZF91-25120411</t>
  </si>
  <si>
    <t>512M DDR2 F25探针卡</t>
  </si>
  <si>
    <t>F25_512MDDR2_458DUT _T5377_3FB</t>
  </si>
  <si>
    <t>ZF91-26010551</t>
  </si>
  <si>
    <t>HSM1光罩</t>
  </si>
  <si>
    <t>SASAPTKSD1DP</t>
  </si>
  <si>
    <t>ZF91-26010555</t>
  </si>
  <si>
    <t>SASAPTHDD1FP</t>
  </si>
  <si>
    <t>ZF91-26010556</t>
  </si>
  <si>
    <t>SASAPTH8D1DP</t>
  </si>
  <si>
    <t>ZF91-26010557</t>
  </si>
  <si>
    <t>SASAPTKRD1DP</t>
  </si>
  <si>
    <t>ZF91-26010558</t>
  </si>
  <si>
    <t>DDR3 96BGA DSA治具</t>
  </si>
  <si>
    <t>T5588 M6242</t>
  </si>
  <si>
    <t>ZF91-26020389</t>
  </si>
  <si>
    <t>F25_4GD3探针卡</t>
  </si>
  <si>
    <t>S/N:SAU2402692</t>
  </si>
  <si>
    <t>ZF91-26040522</t>
  </si>
  <si>
    <t>F25_HSM1探针卡</t>
  </si>
  <si>
    <t>S/N:TW259003</t>
  </si>
  <si>
    <t>ZF91-26040521</t>
  </si>
  <si>
    <t>诺力电动搬运车</t>
  </si>
  <si>
    <t>诺力电池叉车</t>
  </si>
  <si>
    <t>搬运车</t>
  </si>
  <si>
    <t>3T685*1220</t>
  </si>
  <si>
    <t>杜瓦罐防倾倒气瓶推车</t>
  </si>
  <si>
    <t>上海仓捷</t>
  </si>
  <si>
    <t>不锈钢移动小推车</t>
  </si>
  <si>
    <t>不锈钢移动小推车B</t>
  </si>
  <si>
    <t>ZF91-25110143</t>
  </si>
  <si>
    <t>洁净车间</t>
  </si>
  <si>
    <t>金华工厂二楼电子生产净化车间</t>
  </si>
  <si>
    <t>钢制文件柜</t>
  </si>
  <si>
    <t>杭州办公室</t>
  </si>
  <si>
    <t>艾思培训桌</t>
  </si>
  <si>
    <t>艾思演讲台</t>
  </si>
  <si>
    <t>艾文培训椅</t>
  </si>
  <si>
    <t>吧台</t>
  </si>
  <si>
    <t>班前椅</t>
  </si>
  <si>
    <t>德尚会议桌</t>
  </si>
  <si>
    <t>定制6门柜</t>
  </si>
  <si>
    <t>定制储物柜</t>
  </si>
  <si>
    <t>菲斯茶水柜</t>
  </si>
  <si>
    <t>隔断柜</t>
  </si>
  <si>
    <t>汉诺威茶几</t>
  </si>
  <si>
    <t>1200*600*400</t>
  </si>
  <si>
    <t>600*600*400</t>
  </si>
  <si>
    <t>亨里克会议椅</t>
  </si>
  <si>
    <t>莱弗会议桌</t>
  </si>
  <si>
    <t>2S组合沙发</t>
  </si>
  <si>
    <t>灵科组合沙发</t>
  </si>
  <si>
    <t>灵悦班椅</t>
  </si>
  <si>
    <t>凌动员工椅</t>
  </si>
  <si>
    <t>卢克单人位沙发</t>
  </si>
  <si>
    <t>卢克三人位沙发</t>
  </si>
  <si>
    <t>麦克茶几</t>
  </si>
  <si>
    <t>魔方电话亭</t>
  </si>
  <si>
    <t>诺亚班椅</t>
  </si>
  <si>
    <t>诺亚班前椅</t>
  </si>
  <si>
    <t>培训椅</t>
  </si>
  <si>
    <t>洽谈桌</t>
  </si>
  <si>
    <t>600*750</t>
  </si>
  <si>
    <t>700*700*750</t>
  </si>
  <si>
    <t>双面文件柜</t>
  </si>
  <si>
    <t>文件高柜</t>
  </si>
  <si>
    <t>休闲椅</t>
  </si>
  <si>
    <t>会议椅</t>
  </si>
  <si>
    <t>移动茶水柜</t>
  </si>
  <si>
    <t>黑色</t>
  </si>
  <si>
    <t>莱弗行政桌</t>
  </si>
  <si>
    <t>1800*800*750</t>
  </si>
  <si>
    <t>高背</t>
  </si>
  <si>
    <t>衣柜</t>
  </si>
  <si>
    <t>凭证柜</t>
  </si>
  <si>
    <t>展台</t>
  </si>
  <si>
    <t>1200*2400*960</t>
  </si>
  <si>
    <t>1800*1160</t>
  </si>
  <si>
    <t>财务凭证柜</t>
  </si>
  <si>
    <t>文件柜铁皮柜</t>
  </si>
  <si>
    <t>虎牌保险柜</t>
  </si>
  <si>
    <t>静电椅</t>
  </si>
  <si>
    <t>防静电升降椅</t>
  </si>
  <si>
    <t>防静电工作台</t>
  </si>
  <si>
    <t>工作台</t>
  </si>
  <si>
    <t>防静电方凳</t>
  </si>
  <si>
    <t>工作台凳子</t>
  </si>
  <si>
    <t>内存测试架</t>
  </si>
  <si>
    <t>L1800*W700*H18</t>
  </si>
  <si>
    <t>员工更衣柜</t>
  </si>
  <si>
    <t>240*80*75cm</t>
  </si>
  <si>
    <t>长360mm*宽400mm*高600mm</t>
  </si>
  <si>
    <t>1.53*0.75m</t>
  </si>
  <si>
    <t>1.53*0.75m 不带电源</t>
  </si>
  <si>
    <t>防静电货架</t>
  </si>
  <si>
    <t>2000*600*2000MM</t>
  </si>
  <si>
    <t>2000*600*2000MM副架</t>
  </si>
  <si>
    <t>不锈钢更衣柜</t>
  </si>
  <si>
    <t>凳子</t>
  </si>
  <si>
    <t>台面加层电脑桌</t>
  </si>
  <si>
    <t>1200*800*1350</t>
  </si>
  <si>
    <t>推拉门储物柜</t>
  </si>
  <si>
    <t>1200*800*850</t>
  </si>
  <si>
    <t>1900*800*1010MM</t>
  </si>
  <si>
    <t>货架</t>
  </si>
  <si>
    <t>400*1600*2000MM 四层</t>
  </si>
  <si>
    <t>普通电脑桌</t>
  </si>
  <si>
    <t>1200*800*750</t>
  </si>
  <si>
    <t>推车</t>
  </si>
  <si>
    <t>605*405*50MM</t>
  </si>
  <si>
    <t>二门更衣柜</t>
  </si>
  <si>
    <t>HY-9001</t>
  </si>
  <si>
    <t>通玻文件柜</t>
  </si>
  <si>
    <t>0.5mm</t>
  </si>
  <si>
    <t>不锈钢桌</t>
  </si>
  <si>
    <t>304不锈钢</t>
  </si>
  <si>
    <t>3层防静电工作台</t>
  </si>
  <si>
    <t>主台:1800*800*750副柜:1800</t>
  </si>
  <si>
    <t>ZF91-25100618</t>
  </si>
  <si>
    <t>双层不锈钢柜子</t>
  </si>
  <si>
    <t>双层不锈钢柜子A</t>
  </si>
  <si>
    <t>多层不锈钢柜子</t>
  </si>
  <si>
    <t>多层不锈钢柜子C</t>
  </si>
  <si>
    <t>工作台 WORK TABLE</t>
  </si>
  <si>
    <t>WORK TABLE D</t>
  </si>
  <si>
    <t>文件柜</t>
  </si>
  <si>
    <t>放置说明书、光盘</t>
  </si>
  <si>
    <t>不锈钢柜子</t>
  </si>
  <si>
    <t>304不锈钢收纳柜</t>
  </si>
  <si>
    <t>ZF91-25110362</t>
  </si>
  <si>
    <t>测试架</t>
  </si>
  <si>
    <t>测试架L1800*W700*H2000</t>
  </si>
  <si>
    <t>ZF91-26020193</t>
  </si>
  <si>
    <t>2400*800*1500</t>
  </si>
  <si>
    <t>ZF91-26040086</t>
  </si>
  <si>
    <t>512M DDR1 F38探针卡</t>
  </si>
  <si>
    <t>512M DDR1 F38</t>
  </si>
  <si>
    <t>60</t>
  </si>
  <si>
    <t>512M DDR2 F25光罩</t>
  </si>
  <si>
    <t>4G DDR3 F25光罩</t>
  </si>
  <si>
    <t>512M DDR2 F25</t>
  </si>
  <si>
    <t>1G DDR3 F25光罩（47片）</t>
  </si>
  <si>
    <t>探针卡（MJC1G DDR3 F25)</t>
  </si>
  <si>
    <t>F25_1GDDR3_64DUT_T5377_3FA</t>
  </si>
  <si>
    <t>探针卡(MJC512M DDR2 F38)</t>
  </si>
  <si>
    <t>Hawk_T5377</t>
  </si>
  <si>
    <t>光罩（512M D2 F25）</t>
  </si>
  <si>
    <t>1G DDR3 F25光罩</t>
  </si>
  <si>
    <t>空压机</t>
  </si>
  <si>
    <t>AQ22VSD</t>
  </si>
  <si>
    <t>冷干机</t>
  </si>
  <si>
    <t>F55</t>
  </si>
  <si>
    <t>吸干机</t>
  </si>
  <si>
    <t>AD60</t>
  </si>
  <si>
    <t>过滤器</t>
  </si>
  <si>
    <t>DD/PD/PDp75</t>
  </si>
  <si>
    <t>储气罐</t>
  </si>
  <si>
    <t>0.6/8 SS</t>
  </si>
  <si>
    <t>不间断电源设备</t>
  </si>
  <si>
    <t>93E400K</t>
  </si>
  <si>
    <t>T5503HS2高速存储器测试机</t>
  </si>
  <si>
    <t>M6242动态机械手（5503）</t>
  </si>
  <si>
    <t>AF8862C7H3老化测试机</t>
  </si>
  <si>
    <t>模块式蒸发冷涡旋冷水机组</t>
  </si>
  <si>
    <t>KMEC-1040AW4</t>
  </si>
  <si>
    <t>吸烟仪</t>
  </si>
  <si>
    <t>BVX-201</t>
  </si>
  <si>
    <t>半自动打包机</t>
  </si>
  <si>
    <t>真空机</t>
  </si>
  <si>
    <t>电动打包机+电池</t>
  </si>
  <si>
    <t>JD13/16</t>
  </si>
  <si>
    <t>老化测试IC板</t>
  </si>
  <si>
    <t>爱德万5503机械手定位治具DDR3</t>
  </si>
  <si>
    <t>CK76037CN-I</t>
  </si>
  <si>
    <t>高保真测试机接口板</t>
  </si>
  <si>
    <t>HF76072CN-I</t>
  </si>
  <si>
    <t>DDR3-手动调试工具</t>
  </si>
  <si>
    <t>C220134-1-I</t>
  </si>
  <si>
    <t>C220134-1</t>
  </si>
  <si>
    <t>C220135-1-I</t>
  </si>
  <si>
    <t>C220135-1</t>
  </si>
  <si>
    <t>C220132-1-I</t>
  </si>
  <si>
    <t>C220132-1</t>
  </si>
  <si>
    <t>C220133-1-I</t>
  </si>
  <si>
    <t>C220133-1</t>
  </si>
  <si>
    <t>CK76035CN-I</t>
  </si>
  <si>
    <t>爱德万5503机械手定位治具DDR4</t>
  </si>
  <si>
    <t>CK76033CN-I</t>
  </si>
  <si>
    <t>HF76046CN-I</t>
  </si>
  <si>
    <t>DDR4-手动调试工具</t>
  </si>
  <si>
    <t>C220127-1-I</t>
  </si>
  <si>
    <t>C220127-1</t>
  </si>
  <si>
    <t>C220128-1-I</t>
  </si>
  <si>
    <t>C220128-1</t>
  </si>
  <si>
    <t>C220126-1-I</t>
  </si>
  <si>
    <t>C220126-1</t>
  </si>
  <si>
    <t>机械手芯片定位治具</t>
  </si>
  <si>
    <t>CK76031CN</t>
  </si>
  <si>
    <t>HF76045CN</t>
  </si>
  <si>
    <t>激光打印机</t>
  </si>
  <si>
    <t>热转印打印机</t>
  </si>
  <si>
    <t>戴尔台式机电脑整机</t>
  </si>
  <si>
    <t>针式打印机</t>
  </si>
  <si>
    <t>MAXHUB会议平板</t>
  </si>
  <si>
    <t>深圳办公室</t>
  </si>
  <si>
    <t>容声电冰箱</t>
  </si>
  <si>
    <t>主板</t>
  </si>
  <si>
    <t>电脑</t>
  </si>
  <si>
    <t>格兰仕微波一体式</t>
  </si>
  <si>
    <t>讯飞翻译器</t>
  </si>
  <si>
    <t>电子计算机CPU</t>
  </si>
  <si>
    <t>盒装处理器</t>
  </si>
  <si>
    <t>切换控制器</t>
  </si>
  <si>
    <t>TCL电视机</t>
  </si>
  <si>
    <t>SANCENIU红外触摸一体机</t>
  </si>
  <si>
    <t>希捷硬盘</t>
  </si>
  <si>
    <t>联想笔记本电脑</t>
  </si>
  <si>
    <t>笔记本电脑</t>
  </si>
  <si>
    <t>北京办公室</t>
  </si>
  <si>
    <t>德龙咖啡机</t>
  </si>
  <si>
    <t>惠普136nw打印机</t>
  </si>
  <si>
    <t>惠普打印机</t>
  </si>
  <si>
    <t>西安办公室</t>
  </si>
  <si>
    <t>PC DDR4主板</t>
  </si>
  <si>
    <t>PC DDR3主板</t>
  </si>
  <si>
    <t>激光多功能打印机</t>
  </si>
  <si>
    <t>会议平板</t>
  </si>
  <si>
    <t>格力空调1.5匹</t>
  </si>
  <si>
    <t>格力空调1匹</t>
  </si>
  <si>
    <t>扫描枪</t>
  </si>
  <si>
    <t>霍尼韦尔1900GHD</t>
  </si>
  <si>
    <t>显示器</t>
  </si>
  <si>
    <t>AOC显示器</t>
  </si>
  <si>
    <t>AOC U27N3R</t>
  </si>
  <si>
    <t>组装电脑（I7-12700KF 32G内存 1TSSD AOC27寸显示器）</t>
  </si>
  <si>
    <t>I7-12700KF 32G 1TSSD AOC27寸</t>
  </si>
  <si>
    <t>AOC Q27E12C</t>
  </si>
  <si>
    <t>台式电脑</t>
  </si>
  <si>
    <t>小新mini</t>
  </si>
  <si>
    <t>Lenovo Thinkbook14+</t>
  </si>
  <si>
    <t>AOC Q27E12</t>
  </si>
  <si>
    <t>美的饮水机</t>
  </si>
  <si>
    <t>YR1801S-X</t>
  </si>
  <si>
    <t>27寸显示器</t>
  </si>
  <si>
    <t>AOCQ27E12C</t>
  </si>
  <si>
    <t>上海办公室</t>
  </si>
  <si>
    <t>清知淼步进式一体开水器</t>
  </si>
  <si>
    <t>QM-3Y</t>
  </si>
  <si>
    <t>ThinkBook 14+</t>
  </si>
  <si>
    <t>ThinkBook 14</t>
  </si>
  <si>
    <t>台式机电脑</t>
  </si>
  <si>
    <t>Lenovo M4000q</t>
  </si>
  <si>
    <t>飞腾FT D2000主板套装（D4）</t>
  </si>
  <si>
    <t>龙芯3A6000华硕主板套装（D4)</t>
  </si>
  <si>
    <t>打印机</t>
  </si>
  <si>
    <t>HP M281FDW</t>
  </si>
  <si>
    <t>thinkbook 16</t>
  </si>
  <si>
    <t>DELL服务器</t>
  </si>
  <si>
    <t>R740 1*银牌 4210R  64GDDR4</t>
  </si>
  <si>
    <t>霍尼韦尔扫描枪</t>
  </si>
  <si>
    <t>1900GHD</t>
  </si>
  <si>
    <t>吸尘器</t>
  </si>
  <si>
    <t>YZ-302  70L清洁升级加强</t>
  </si>
  <si>
    <t>Think Book 14+</t>
  </si>
  <si>
    <t>斑马打印机</t>
  </si>
  <si>
    <t>ZT610  600DPI 工业型</t>
  </si>
  <si>
    <t>联想台式电脑</t>
  </si>
  <si>
    <t>来酷MIN I PR0</t>
  </si>
  <si>
    <t>LENOVE THINKBOOK14+</t>
  </si>
  <si>
    <t>Lenovo Thinkbook14</t>
  </si>
  <si>
    <t>服务器主板</t>
  </si>
  <si>
    <t>BC15MBSA</t>
  </si>
  <si>
    <t>深圳实验室</t>
  </si>
  <si>
    <t>DDR5 SLT设备</t>
  </si>
  <si>
    <t>THINK BOOK14</t>
  </si>
  <si>
    <t>thinkbook14</t>
  </si>
  <si>
    <t>HP M281DFW</t>
  </si>
  <si>
    <t>一体式计算机</t>
  </si>
  <si>
    <t>钛坦CPU、AMD锐龙、华硕</t>
  </si>
  <si>
    <t>格力立式空调3匹</t>
  </si>
  <si>
    <t>KFR-72LW/72504FNhAa-B1</t>
  </si>
  <si>
    <t>飞腾主板、MX显卡</t>
  </si>
  <si>
    <t>光启电子主板</t>
  </si>
  <si>
    <t>D3000-D5FST</t>
  </si>
  <si>
    <t>小米空气净化器</t>
  </si>
  <si>
    <t>小米AC-M27-SC</t>
  </si>
  <si>
    <t>世特力硬盘拷贝机</t>
  </si>
  <si>
    <t>KD25/35UHS1T3</t>
  </si>
  <si>
    <t>霍尼韦尔有线扫描枪</t>
  </si>
  <si>
    <t>美的柜机空调</t>
  </si>
  <si>
    <t>3匹 冷暖变频220V</t>
  </si>
  <si>
    <t>N80zG2</t>
  </si>
  <si>
    <t>Think book14+</t>
  </si>
  <si>
    <t>Think Book14+</t>
  </si>
  <si>
    <t>Think Book14</t>
  </si>
  <si>
    <t>华为MateView SE23.8英寸</t>
  </si>
  <si>
    <t>AOC Q27P2U</t>
  </si>
  <si>
    <t>联想台式机电脑工作站</t>
  </si>
  <si>
    <t>M90fG1s主机+显示器</t>
  </si>
  <si>
    <t>AOC Q27P2C</t>
  </si>
  <si>
    <t>Q27E12C</t>
  </si>
  <si>
    <t>海光H3350工作站</t>
  </si>
  <si>
    <t>天阔T40</t>
  </si>
  <si>
    <t>THINKBOOK 14+</t>
  </si>
  <si>
    <t>AOC 显示器</t>
  </si>
  <si>
    <t>Thinkbook14+</t>
  </si>
  <si>
    <t>联想小新MINI主机</t>
  </si>
  <si>
    <t>酷睿13代i5 16G 1TB SSD</t>
  </si>
  <si>
    <t>24口千兆交换机</t>
  </si>
  <si>
    <t>TP-LSG2024MP</t>
  </si>
  <si>
    <t>THINKBOOK14</t>
  </si>
  <si>
    <t>诚迈P1-11003A6000/256G</t>
  </si>
  <si>
    <t>KFR-35GW/(35587)FNHAN-B1</t>
  </si>
  <si>
    <t>Thinkbook 16+</t>
  </si>
  <si>
    <t>LENOVO mini Pro(R7-8745H 16G)</t>
  </si>
  <si>
    <t>飞腾D3000主板</t>
  </si>
  <si>
    <t>FTD3000主板</t>
  </si>
  <si>
    <t>APC Q27P2C</t>
  </si>
  <si>
    <t>台式机</t>
  </si>
  <si>
    <t>世恒D80F3(D3000)</t>
  </si>
  <si>
    <t>世恒TD120A2(D2000)</t>
  </si>
  <si>
    <t>联想MINI PRO主机</t>
  </si>
  <si>
    <t>thinkbook 14+</t>
  </si>
  <si>
    <t>海康威视摄像头</t>
  </si>
  <si>
    <t>DDR3测试平台</t>
  </si>
  <si>
    <t>IP电话机</t>
  </si>
  <si>
    <t>微波炉</t>
  </si>
  <si>
    <t>DDR3*8导电胶测试治具</t>
  </si>
  <si>
    <t>DDR3*16导电胶测试治具</t>
  </si>
  <si>
    <t>DDR4*8导电胶测试治具</t>
  </si>
  <si>
    <t>DDR4*16导电胶测试治具</t>
  </si>
  <si>
    <t>干燥箱</t>
  </si>
  <si>
    <t>锐玛 MRD-55W</t>
  </si>
  <si>
    <t>DDR5 X86测试平台</t>
  </si>
  <si>
    <t>i7主机+华硕主板+电源</t>
  </si>
  <si>
    <t>无线麦克风</t>
  </si>
  <si>
    <t>BM20</t>
  </si>
  <si>
    <t>恒温恒湿箱</t>
  </si>
  <si>
    <t>KW-TH-80F</t>
  </si>
  <si>
    <t>Thinkbook 14+</t>
  </si>
  <si>
    <t>华为Mate ViewSE</t>
  </si>
  <si>
    <t>AOC Q32P2C</t>
  </si>
  <si>
    <t>3D打印机</t>
  </si>
  <si>
    <t>无线AP</t>
  </si>
  <si>
    <t>FAP-221E</t>
  </si>
  <si>
    <t>中央空调</t>
  </si>
  <si>
    <t>美的（杭州17楼）</t>
  </si>
  <si>
    <t>尘埃粒子计数器</t>
  </si>
  <si>
    <t>云唐科器YT-CAL2</t>
  </si>
  <si>
    <t>群晖NAS</t>
  </si>
  <si>
    <t>DS1621+</t>
  </si>
  <si>
    <t>温湿度记录仪</t>
  </si>
  <si>
    <t>RCW-360plus</t>
  </si>
  <si>
    <t>冰箱</t>
  </si>
  <si>
    <t>海尔</t>
  </si>
  <si>
    <t>Think book 14+</t>
  </si>
  <si>
    <t>HP打印机</t>
  </si>
  <si>
    <t>HP M281fdw</t>
  </si>
  <si>
    <t>德龙咖啡机E系列意式</t>
  </si>
  <si>
    <t>格兰仕不锈钢微波炉</t>
  </si>
  <si>
    <t>电视机</t>
  </si>
  <si>
    <t>海信 R58</t>
  </si>
  <si>
    <t>宝德服务器</t>
  </si>
  <si>
    <t>PT620W</t>
  </si>
  <si>
    <t>ThinkPad X1 Nano</t>
  </si>
  <si>
    <t>容声冰箱</t>
  </si>
  <si>
    <t>75寸会议平板</t>
  </si>
  <si>
    <t>MAXHUB-S75CDP</t>
  </si>
  <si>
    <t>65寸会议平板</t>
  </si>
  <si>
    <t>MAXHUB-EC65CAD</t>
  </si>
  <si>
    <t>全向麦</t>
  </si>
  <si>
    <t>MAXHUB-BM31</t>
  </si>
  <si>
    <t>台式机主板套装</t>
  </si>
  <si>
    <t>支持DDR5 Z790套装</t>
  </si>
  <si>
    <t>施耐德PDU插座电源</t>
  </si>
  <si>
    <t>APDU9953</t>
  </si>
  <si>
    <t>thinkbook14+</t>
  </si>
  <si>
    <t>志高空调</t>
  </si>
  <si>
    <t>音箱</t>
  </si>
  <si>
    <t>电饭锅</t>
  </si>
  <si>
    <t>扫描仪</t>
  </si>
  <si>
    <t>凭证装订机</t>
  </si>
  <si>
    <t>消毒柜</t>
  </si>
  <si>
    <t>相机</t>
  </si>
  <si>
    <t>惠普显示器</t>
  </si>
  <si>
    <t>台式电脑主机</t>
  </si>
  <si>
    <t>碎纸机</t>
  </si>
  <si>
    <t>显示屏</t>
  </si>
  <si>
    <t>主机</t>
  </si>
  <si>
    <t>华为智慧屏</t>
  </si>
  <si>
    <t>龙芯L71笔记本电脑</t>
  </si>
  <si>
    <t>龙芯ML5A-D04台式机电脑</t>
  </si>
  <si>
    <t>尼崎事務所ｻｰﾊﾞﾃﾞｰﾀ容量UP</t>
  </si>
  <si>
    <t>显示屏+主机</t>
  </si>
  <si>
    <t>惠普彩色激光多功能一体机</t>
  </si>
  <si>
    <t>咖啡机</t>
  </si>
  <si>
    <t>群晖网络存储器</t>
  </si>
  <si>
    <t>服务器</t>
  </si>
  <si>
    <t>电冰箱</t>
  </si>
  <si>
    <t>液晶显示器</t>
  </si>
  <si>
    <t>27P2U 27英寸2K高清</t>
  </si>
  <si>
    <t>ZF91-26040365</t>
  </si>
  <si>
    <t>主板套装</t>
  </si>
  <si>
    <t>PRO WS W880-ACE SE</t>
  </si>
  <si>
    <t>ZF91-26040374</t>
  </si>
  <si>
    <t>存储服务器</t>
  </si>
  <si>
    <t>戴尔服务器</t>
  </si>
  <si>
    <t>网络交换机</t>
  </si>
  <si>
    <t>网络设备</t>
  </si>
  <si>
    <t>普联服务器</t>
  </si>
  <si>
    <t>计算机网络设备机柜</t>
  </si>
  <si>
    <t>金华办公室</t>
  </si>
  <si>
    <t>路由器</t>
  </si>
  <si>
    <t>国光龙芯双路服务器</t>
  </si>
  <si>
    <t>交换机</t>
  </si>
  <si>
    <t>防火墙</t>
  </si>
  <si>
    <t>中科可控服务器</t>
  </si>
  <si>
    <t>R6240HO</t>
  </si>
  <si>
    <t>中科可控工作站</t>
  </si>
  <si>
    <t>W3335HA1</t>
  </si>
  <si>
    <t>Dell R750xs</t>
  </si>
  <si>
    <t>申泰RM5220-L</t>
  </si>
  <si>
    <t>X86服务器</t>
  </si>
  <si>
    <t>新华三R4900 G5</t>
  </si>
  <si>
    <t>浪潮NF5280M6</t>
  </si>
  <si>
    <t>斯格员工桌</t>
  </si>
  <si>
    <t>活动柜</t>
  </si>
  <si>
    <t>柜子</t>
  </si>
  <si>
    <t>丽影员工椅</t>
  </si>
  <si>
    <t>主管椅</t>
  </si>
  <si>
    <t>保险柜</t>
  </si>
  <si>
    <t>沙发</t>
  </si>
  <si>
    <t>资料柜</t>
  </si>
  <si>
    <t>主管桌</t>
  </si>
  <si>
    <t>奈高静电工作台</t>
  </si>
  <si>
    <t>懒人沙发茶几组合</t>
  </si>
  <si>
    <t>得力保险柜</t>
  </si>
  <si>
    <t>电力安全工具柜</t>
  </si>
  <si>
    <t>110*70*150*4</t>
  </si>
  <si>
    <t>危化品柜</t>
  </si>
  <si>
    <t>不锈钢工作桌</t>
  </si>
  <si>
    <t>390*500*635</t>
  </si>
  <si>
    <t>背柜</t>
  </si>
  <si>
    <t>斯格单人位员工桌</t>
  </si>
  <si>
    <t>斯格双人位员工桌</t>
  </si>
  <si>
    <t>斯格4人位员工桌</t>
  </si>
  <si>
    <t>斯格6人位员工桌</t>
  </si>
  <si>
    <t>斯格8人位员工桌</t>
  </si>
  <si>
    <t>奈德班台</t>
  </si>
  <si>
    <t>H3CR4900G5</t>
  </si>
  <si>
    <t>通讯交换设备</t>
  </si>
  <si>
    <t>Avaya A30</t>
  </si>
  <si>
    <t>机柜</t>
  </si>
  <si>
    <t>图腾K3.8142</t>
  </si>
  <si>
    <t>是德示波器</t>
  </si>
  <si>
    <t>DSAV254A</t>
  </si>
  <si>
    <t>宝德PR210K</t>
  </si>
  <si>
    <t>Dell 服务器</t>
  </si>
  <si>
    <t>DELL R750</t>
  </si>
  <si>
    <t>擎天RF6260V5</t>
  </si>
  <si>
    <t>章江SLT内存测试设备</t>
  </si>
  <si>
    <t>MRV-D4S-X2</t>
  </si>
  <si>
    <t>DELL服务器750</t>
  </si>
  <si>
    <t>CST内存测试设备</t>
  </si>
  <si>
    <t>Eureka DDR4 DIMM-2933</t>
  </si>
  <si>
    <t>标签条码打印机</t>
  </si>
  <si>
    <t>日本斑马ZT610</t>
  </si>
  <si>
    <t>飞腾 D3000主板</t>
  </si>
  <si>
    <t>FT D3000主板</t>
  </si>
  <si>
    <t>工业电子显微镜</t>
  </si>
  <si>
    <t>WL-745-30E-11.6</t>
  </si>
  <si>
    <t>CPU主板（D4&amp;D5）测试套装</t>
  </si>
  <si>
    <t>D4*10/D5*10/显键鼠*2/交*1</t>
  </si>
  <si>
    <t>终端台式机套装</t>
  </si>
  <si>
    <t>飞腾FT D2000主板套装</t>
  </si>
  <si>
    <t>终端台式机套装（天阔T40）</t>
  </si>
  <si>
    <t>网卡</t>
  </si>
  <si>
    <t>broadcom 57412</t>
  </si>
  <si>
    <t>华为存储</t>
  </si>
  <si>
    <t>droado 2000</t>
  </si>
  <si>
    <t>S6735S-S48X6C-A</t>
  </si>
  <si>
    <t>群晖一体机</t>
  </si>
  <si>
    <t>DS1821+</t>
  </si>
  <si>
    <t>DDR5 SLT 测试设备</t>
  </si>
  <si>
    <t>KTI DDR5 RDIMM SLT高速测试</t>
  </si>
  <si>
    <t>DDR4 SLT 测试设备</t>
  </si>
  <si>
    <t>KTI DDR4 RDIMM SLT测试专用</t>
  </si>
  <si>
    <t>超聚变服务器2288HV7-127021</t>
  </si>
  <si>
    <t>2288HV7-127021</t>
  </si>
  <si>
    <t>SLT测试设备MRV-D4S-X2</t>
  </si>
  <si>
    <t>电阻表面测试仪</t>
  </si>
  <si>
    <t>RT-1000</t>
  </si>
  <si>
    <t>超聚变服务器</t>
  </si>
  <si>
    <t>2288H V7</t>
  </si>
  <si>
    <t>超聚变2288HV7服务器</t>
  </si>
  <si>
    <t>LPDDR颗粒 SLT测试板及配套软件</t>
  </si>
  <si>
    <t>LPDDR4X 200ball 4266Mbps SLT</t>
  </si>
  <si>
    <t>RT1000静电测试仪</t>
  </si>
  <si>
    <t>DELL  POWEREDGE R750</t>
  </si>
  <si>
    <t>R750（12*3.5）</t>
  </si>
  <si>
    <t>LPDDR4颗粒SLT测试设备</t>
  </si>
  <si>
    <t>显微镜</t>
  </si>
  <si>
    <t>奥林巴斯BX53金相显微</t>
  </si>
  <si>
    <t>200ball 1266Mbps</t>
  </si>
  <si>
    <t>HG 4号服务器</t>
  </si>
  <si>
    <t>HG 7480</t>
  </si>
  <si>
    <t>32U服务器机柜</t>
  </si>
  <si>
    <t>TC.6032</t>
  </si>
  <si>
    <t>ZF91-25110687</t>
  </si>
  <si>
    <t>玖灿服务器</t>
  </si>
  <si>
    <t>ZF91-26010520</t>
  </si>
  <si>
    <t>交换机设备</t>
  </si>
  <si>
    <t>FS124F</t>
  </si>
  <si>
    <t>ZF91-26020220</t>
  </si>
  <si>
    <t>华硕主板</t>
  </si>
  <si>
    <t>PRIME Z790-P D4</t>
  </si>
  <si>
    <t>ZF91-26020221</t>
  </si>
  <si>
    <t>PRIME Z790-P D5</t>
  </si>
  <si>
    <t>CPU</t>
  </si>
  <si>
    <t>INTEL I5 14600K盒包</t>
  </si>
  <si>
    <t>新华三24口交换机</t>
  </si>
  <si>
    <t>分屏器</t>
  </si>
  <si>
    <t>迈拓MT-1601HK-C(HDMI)16路</t>
  </si>
  <si>
    <t>华硕显示器</t>
  </si>
  <si>
    <t>27寸  VY278HGR</t>
  </si>
  <si>
    <t>海光H3350平台</t>
  </si>
  <si>
    <t>Hygon3350</t>
  </si>
  <si>
    <t>ZF91-26030370</t>
  </si>
  <si>
    <t>海光H3350</t>
  </si>
  <si>
    <t>D5 SLT 测试服务器</t>
  </si>
  <si>
    <t>DDR5 SLT 5600服务器</t>
  </si>
  <si>
    <t>ZF91-26040139-1</t>
  </si>
  <si>
    <t>ZF91-26040139-2</t>
  </si>
  <si>
    <t>ZF91-26040139-3</t>
  </si>
  <si>
    <t>ZF91-26040139-4</t>
  </si>
  <si>
    <t>服务器机柜</t>
  </si>
  <si>
    <t>慕腾</t>
  </si>
  <si>
    <t>开水机</t>
  </si>
  <si>
    <t>两人位桌子</t>
  </si>
  <si>
    <t>桌椅一套</t>
  </si>
  <si>
    <t>椅子</t>
  </si>
  <si>
    <t>小柜</t>
  </si>
  <si>
    <t>前台沙发</t>
  </si>
  <si>
    <t>前台茶几</t>
  </si>
  <si>
    <t>晶圆</t>
  </si>
  <si>
    <t>大班台办公桌</t>
  </si>
  <si>
    <t>真皮大班椅</t>
  </si>
  <si>
    <t>办公室带枕椅</t>
  </si>
  <si>
    <t>书柜</t>
  </si>
  <si>
    <t>布沙发</t>
  </si>
  <si>
    <t>会议桌</t>
  </si>
  <si>
    <t>钢架会议桌</t>
  </si>
  <si>
    <t>茶水柜</t>
  </si>
  <si>
    <t>办公桌</t>
  </si>
  <si>
    <t>职员桌</t>
  </si>
  <si>
    <t>定制会议桌</t>
  </si>
  <si>
    <t>优奈定制L型沙发</t>
  </si>
  <si>
    <t>麦格桌子</t>
  </si>
  <si>
    <t>海螺椅子</t>
  </si>
  <si>
    <t>海明斯洽谈桌</t>
  </si>
  <si>
    <t>餐椅</t>
  </si>
  <si>
    <t>海明斯洽谈椅</t>
  </si>
  <si>
    <t>菲林休闲椅</t>
  </si>
  <si>
    <t>海螺椅</t>
  </si>
  <si>
    <t>休闲吧椅</t>
  </si>
  <si>
    <t>哈里斯会议椅</t>
  </si>
  <si>
    <t>罗兰B款行政桌</t>
  </si>
  <si>
    <t>A1819班椅</t>
  </si>
  <si>
    <t>Thinkbook 14</t>
  </si>
  <si>
    <t>ZF91-25110084</t>
  </si>
  <si>
    <t>工控机</t>
  </si>
  <si>
    <t>中科曙光750-1829CN-001-B</t>
  </si>
  <si>
    <t>ZF91-25110091</t>
  </si>
  <si>
    <t>华硕主板套装</t>
  </si>
  <si>
    <t>Z790-P D5 VY279HGR</t>
  </si>
  <si>
    <t>成都办公室</t>
  </si>
  <si>
    <t>ZF91-25110159</t>
  </si>
  <si>
    <t>小天鹅波轮洗衣机</t>
  </si>
  <si>
    <t>TB80V27T</t>
  </si>
  <si>
    <t>ZF91-25110248</t>
  </si>
  <si>
    <t>焊接热风枪</t>
  </si>
  <si>
    <t>QUICK861DW  1000W</t>
  </si>
  <si>
    <t>ZF91-25110293</t>
  </si>
  <si>
    <t>Think book14</t>
  </si>
  <si>
    <t>ZF91-25110580</t>
  </si>
  <si>
    <t>ZF91-26010049</t>
  </si>
  <si>
    <t>ZF91-26010175</t>
  </si>
  <si>
    <t>创维85寸电视机</t>
  </si>
  <si>
    <t>85A4F 144HZ高刷2+64G液晶4K</t>
  </si>
  <si>
    <t>ZF91-26010199</t>
  </si>
  <si>
    <t>Think book X</t>
  </si>
  <si>
    <t>ZF91-26010220</t>
  </si>
  <si>
    <t>联想来酷MINI主机</t>
  </si>
  <si>
    <t>ZF91-26010526</t>
  </si>
  <si>
    <t>ZF91-26020215</t>
  </si>
  <si>
    <t>电脑主机</t>
  </si>
  <si>
    <t>联想来酷MINI</t>
  </si>
  <si>
    <t>ZF91-26030126</t>
  </si>
  <si>
    <t>thinkbook X</t>
  </si>
  <si>
    <t>ZF91-26030242</t>
  </si>
  <si>
    <t>联想来酷套机</t>
  </si>
  <si>
    <t>联想来酷MIN主机+23.8寸</t>
  </si>
  <si>
    <t>ZF91-26030255</t>
  </si>
  <si>
    <t>电脑显示器</t>
  </si>
  <si>
    <t>23.8寸显示器</t>
  </si>
  <si>
    <t>联想显示器</t>
  </si>
  <si>
    <t>ZF91-26040084</t>
  </si>
  <si>
    <t>新华三 24口交换机</t>
  </si>
  <si>
    <t>ZF91-26040092</t>
  </si>
  <si>
    <t>迈拓 MT-1601HK-C(HDMI) 16路</t>
  </si>
  <si>
    <t>ZF91-26040118</t>
  </si>
  <si>
    <t>ZF91-26040157</t>
  </si>
  <si>
    <t>R7-8745H 24G内存 512G SSD</t>
  </si>
  <si>
    <t>8G DDR4 F25光罩</t>
  </si>
  <si>
    <t>8G DDR4 F25</t>
  </si>
  <si>
    <t>本期报废</t>
  </si>
  <si>
    <t>8G DDR4 F25探针卡</t>
  </si>
  <si>
    <t>合计</t>
  </si>
  <si>
    <t>BKD</t>
  </si>
  <si>
    <t>DIFF</t>
  </si>
  <si>
    <r>
      <rPr>
        <b/>
        <sz val="14"/>
        <color rgb="FFFFFFFF"/>
        <rFont val="微软雅黑"/>
        <charset val="134"/>
      </rPr>
      <t>标准工作底稿</t>
    </r>
    <r>
      <rPr>
        <b/>
        <sz val="14"/>
        <color rgb="FFFFFFFF"/>
        <rFont val="Arial"/>
        <charset val="134"/>
      </rPr>
      <t xml:space="preserve">: K1 SWP </t>
    </r>
    <r>
      <rPr>
        <b/>
        <sz val="14"/>
        <color rgb="FFFFFFFF"/>
        <rFont val="微软雅黑"/>
        <charset val="134"/>
      </rPr>
      <t>不动产、厂房和设备及相关账户（</t>
    </r>
    <r>
      <rPr>
        <b/>
        <sz val="14"/>
        <color rgb="FFFFFFFF"/>
        <rFont val="Arial"/>
        <charset val="134"/>
      </rPr>
      <t>PPE</t>
    </r>
    <r>
      <rPr>
        <b/>
        <sz val="14"/>
        <color rgb="FFFFFFFF"/>
        <rFont val="微软雅黑"/>
        <charset val="134"/>
      </rPr>
      <t>）</t>
    </r>
  </si>
  <si>
    <r>
      <rPr>
        <b/>
        <sz val="12"/>
        <color rgb="FF000000"/>
        <rFont val="Arial"/>
        <charset val="134"/>
      </rPr>
      <t>K.02.1</t>
    </r>
    <r>
      <rPr>
        <b/>
        <sz val="12"/>
        <color rgb="FF000000"/>
        <rFont val="微软雅黑"/>
        <charset val="134"/>
      </rPr>
      <t>：详细测试</t>
    </r>
    <r>
      <rPr>
        <b/>
        <sz val="12"/>
        <color rgb="FF000000"/>
        <rFont val="Arial"/>
        <charset val="134"/>
      </rPr>
      <t xml:space="preserve"> (</t>
    </r>
    <r>
      <rPr>
        <b/>
        <sz val="12"/>
        <color rgb="FF000000"/>
        <rFont val="微软雅黑"/>
        <charset val="134"/>
      </rPr>
      <t>新增</t>
    </r>
    <r>
      <rPr>
        <b/>
        <sz val="12"/>
        <color rgb="FF000000"/>
        <rFont val="Arial"/>
        <charset val="134"/>
      </rPr>
      <t>)</t>
    </r>
  </si>
  <si>
    <r>
      <rPr>
        <b/>
        <sz val="10"/>
        <rFont val="微软雅黑"/>
        <charset val="134"/>
      </rPr>
      <t>记录我们的详细测试所涵盖的总体</t>
    </r>
    <r>
      <rPr>
        <b/>
        <i/>
        <sz val="10"/>
        <color rgb="FFFF0000"/>
        <rFont val="微软雅黑"/>
        <charset val="134"/>
      </rPr>
      <t>（指引：纳入充分的描述，以使经验丰富且之前与该项审计无关的审计师能够理解样本是如何选择的，例如，总体的分类或筛选。）</t>
    </r>
  </si>
  <si>
    <t>我们将本年固定资产购置增加的明细作为测试的样本总体。</t>
  </si>
  <si>
    <r>
      <rPr>
        <sz val="10"/>
        <rFont val="微软雅黑"/>
        <charset val="134"/>
      </rPr>
      <t>购置总金额</t>
    </r>
  </si>
  <si>
    <r>
      <rPr>
        <sz val="10"/>
        <color rgb="FF000000"/>
        <rFont val="Arial"/>
        <charset val="134"/>
      </rPr>
      <t>Breakdown</t>
    </r>
    <r>
      <rPr>
        <sz val="10"/>
        <color rgb="FF000000"/>
        <rFont val="微软雅黑"/>
        <charset val="134"/>
      </rPr>
      <t>中购置金额</t>
    </r>
  </si>
  <si>
    <r>
      <rPr>
        <b/>
        <sz val="10"/>
        <rFont val="微软雅黑"/>
        <charset val="134"/>
      </rPr>
      <t>差异是否需要进一步调查？</t>
    </r>
    <r>
      <rPr>
        <b/>
        <sz val="10"/>
        <rFont val="Arial"/>
        <charset val="134"/>
      </rPr>
      <t xml:space="preserve">     </t>
    </r>
  </si>
  <si>
    <r>
      <rPr>
        <sz val="10"/>
        <rFont val="微软雅黑"/>
        <charset val="134"/>
      </rPr>
      <t>减：测试的关键项目</t>
    </r>
  </si>
  <si>
    <r>
      <rPr>
        <sz val="10"/>
        <rFont val="微软雅黑"/>
        <charset val="134"/>
      </rPr>
      <t>进行代表性抽样的剩余总体</t>
    </r>
  </si>
  <si>
    <r>
      <rPr>
        <b/>
        <sz val="10"/>
        <color rgb="FF000000"/>
        <rFont val="微软雅黑"/>
        <charset val="134"/>
      </rPr>
      <t>在下方描述选择关键项目的理由</t>
    </r>
    <r>
      <rPr>
        <b/>
        <i/>
        <sz val="10"/>
        <color rgb="FFFF0000"/>
        <rFont val="微软雅黑"/>
        <charset val="134"/>
      </rPr>
      <t>（请参阅</t>
    </r>
    <r>
      <rPr>
        <b/>
        <i/>
        <sz val="10"/>
        <color rgb="FFFF0000"/>
        <rFont val="Arial"/>
        <charset val="134"/>
      </rPr>
      <t>Canvas</t>
    </r>
    <r>
      <rPr>
        <b/>
        <i/>
        <sz val="10"/>
        <color rgb="FFFF0000"/>
        <rFont val="微软雅黑"/>
        <charset val="134"/>
      </rPr>
      <t>指导工作流程的</t>
    </r>
    <r>
      <rPr>
        <b/>
        <i/>
        <sz val="10"/>
        <color rgb="FFFF0000"/>
        <rFont val="Arial"/>
        <charset val="134"/>
      </rPr>
      <t>“</t>
    </r>
    <r>
      <rPr>
        <b/>
        <i/>
        <sz val="10"/>
        <color rgb="FFFF0000"/>
        <rFont val="微软雅黑"/>
        <charset val="134"/>
      </rPr>
      <t>关键项目</t>
    </r>
    <r>
      <rPr>
        <b/>
        <i/>
        <sz val="10"/>
        <color rgb="FFFF0000"/>
        <rFont val="Arial"/>
        <charset val="134"/>
      </rPr>
      <t>”</t>
    </r>
    <r>
      <rPr>
        <b/>
        <i/>
        <sz val="10"/>
        <color rgb="FFFF0000"/>
        <rFont val="微软雅黑"/>
        <charset val="134"/>
      </rPr>
      <t>部分，包括信息图标）</t>
    </r>
  </si>
  <si>
    <t>1）我们将本年新增样本金额超过固定资产存在认定，计价认定及权利和义务认定的Threshold的样本，设定为关键项；
2）同时，我们将本年新增样本性质异常的单项资产，设定为关键项；
3）如果没有充分的关键项以支持我们得出结论，我们将测试延伸至剩余总体中的代表性抽样，选择随机抽样方法确定代表性样本。
基于对被审计单位和重大交易流程的了解，我们没有确定任何相关的定性标准。我们识别出金额超过TT的2个关键项。我们利用抽样工具评估已获得审计证据的充分性和适当性，按照评估结果，我们计划测试0个代表性样本。</t>
  </si>
  <si>
    <r>
      <rPr>
        <b/>
        <sz val="10"/>
        <rFont val="Arial"/>
        <charset val="134"/>
      </rPr>
      <t xml:space="preserve">EY </t>
    </r>
    <r>
      <rPr>
        <b/>
        <sz val="10"/>
        <rFont val="微软雅黑"/>
        <charset val="134"/>
      </rPr>
      <t>测试属性解释</t>
    </r>
    <r>
      <rPr>
        <b/>
        <sz val="10"/>
        <rFont val="Arial"/>
        <charset val="134"/>
      </rPr>
      <t>:</t>
    </r>
  </si>
  <si>
    <r>
      <rPr>
        <i/>
        <sz val="10"/>
        <rFont val="微软雅黑"/>
        <charset val="134"/>
      </rPr>
      <t>对于每个被选中进行测试的项目，我们检查了相关的第三方证据以及相关的会计分录，并确定：</t>
    </r>
  </si>
  <si>
    <r>
      <rPr>
        <sz val="10"/>
        <rFont val="Arial"/>
        <charset val="134"/>
      </rPr>
      <t xml:space="preserve">1) </t>
    </r>
    <r>
      <rPr>
        <sz val="10"/>
        <rFont val="微软雅黑"/>
        <charset val="134"/>
      </rPr>
      <t>测试样本于恰当的日期被正确资本化为固定资产（即，不应该费用化）。</t>
    </r>
  </si>
  <si>
    <r>
      <rPr>
        <sz val="10"/>
        <rFont val="Arial"/>
        <charset val="134"/>
      </rPr>
      <t xml:space="preserve">2) </t>
    </r>
    <r>
      <rPr>
        <sz val="10"/>
        <rFont val="微软雅黑"/>
        <charset val="134"/>
      </rPr>
      <t>历史成本已根据适用的财务报告框架进行记录。</t>
    </r>
  </si>
  <si>
    <r>
      <rPr>
        <sz val="10"/>
        <color rgb="FF000000"/>
        <rFont val="Arial"/>
        <charset val="134"/>
      </rPr>
      <t xml:space="preserve">3) </t>
    </r>
    <r>
      <rPr>
        <sz val="10"/>
        <color rgb="FF000000"/>
        <rFont val="微软雅黑"/>
        <charset val="134"/>
      </rPr>
      <t>管理层对测试项目采用的使用寿命和折旧方法是适当的（符合实体的会计政策和适用的财务报告框架）。</t>
    </r>
  </si>
  <si>
    <r>
      <rPr>
        <sz val="10"/>
        <rFont val="Arial"/>
        <charset val="134"/>
      </rPr>
      <t xml:space="preserve">4) </t>
    </r>
    <r>
      <rPr>
        <sz val="10"/>
        <rFont val="微软雅黑"/>
        <charset val="134"/>
      </rPr>
      <t>该资产已被归入适当的固定资产类别。</t>
    </r>
  </si>
  <si>
    <t>|------- Rx -------|</t>
  </si>
  <si>
    <t>EY Works</t>
  </si>
  <si>
    <r>
      <rPr>
        <b/>
        <sz val="10"/>
        <rFont val="微软雅黑"/>
        <charset val="134"/>
      </rPr>
      <t>样本类型</t>
    </r>
  </si>
  <si>
    <r>
      <rPr>
        <b/>
        <sz val="10"/>
        <rFont val="微软雅黑"/>
        <charset val="134"/>
      </rPr>
      <t>总账账户代码</t>
    </r>
  </si>
  <si>
    <r>
      <rPr>
        <b/>
        <sz val="10"/>
        <rFont val="微软雅黑"/>
        <charset val="134"/>
      </rPr>
      <t>固定资产编号</t>
    </r>
  </si>
  <si>
    <r>
      <rPr>
        <b/>
        <sz val="10"/>
        <rFont val="微软雅黑"/>
        <charset val="134"/>
      </rPr>
      <t>固定资产名称</t>
    </r>
  </si>
  <si>
    <r>
      <rPr>
        <b/>
        <sz val="10"/>
        <rFont val="微软雅黑"/>
        <charset val="134"/>
      </rPr>
      <t>资产原价</t>
    </r>
  </si>
  <si>
    <r>
      <rPr>
        <b/>
        <sz val="10"/>
        <rFont val="微软雅黑"/>
        <charset val="134"/>
      </rPr>
      <t>资本化日期</t>
    </r>
  </si>
  <si>
    <r>
      <rPr>
        <b/>
        <sz val="10"/>
        <rFont val="Arial"/>
        <charset val="134"/>
      </rPr>
      <t xml:space="preserve"> </t>
    </r>
    <r>
      <rPr>
        <b/>
        <sz val="10"/>
        <rFont val="微软雅黑"/>
        <charset val="134"/>
      </rPr>
      <t>使用寿命</t>
    </r>
    <r>
      <rPr>
        <b/>
        <sz val="10"/>
        <rFont val="Arial"/>
        <charset val="134"/>
      </rPr>
      <t>(</t>
    </r>
    <r>
      <rPr>
        <b/>
        <sz val="10"/>
        <rFont val="微软雅黑"/>
        <charset val="134"/>
      </rPr>
      <t>月</t>
    </r>
    <r>
      <rPr>
        <b/>
        <sz val="10"/>
        <rFont val="Arial"/>
        <charset val="134"/>
      </rPr>
      <t>)</t>
    </r>
  </si>
  <si>
    <r>
      <rPr>
        <b/>
        <sz val="10"/>
        <rFont val="微软雅黑"/>
        <charset val="134"/>
      </rPr>
      <t>残值率</t>
    </r>
  </si>
  <si>
    <r>
      <rPr>
        <b/>
        <sz val="10"/>
        <rFont val="微软雅黑"/>
        <charset val="134"/>
      </rPr>
      <t>折旧方法</t>
    </r>
  </si>
  <si>
    <r>
      <rPr>
        <b/>
        <sz val="10"/>
        <rFont val="微软雅黑"/>
        <charset val="134"/>
      </rPr>
      <t>资产原价（通过审计证据</t>
    </r>
    <r>
      <rPr>
        <b/>
        <sz val="10"/>
        <rFont val="Arial"/>
        <charset val="134"/>
      </rPr>
      <t>/</t>
    </r>
    <r>
      <rPr>
        <b/>
        <sz val="10"/>
        <rFont val="微软雅黑"/>
        <charset val="134"/>
      </rPr>
      <t>支持性文件取得）</t>
    </r>
  </si>
  <si>
    <r>
      <rPr>
        <b/>
        <sz val="10"/>
        <rFont val="微软雅黑"/>
        <charset val="134"/>
      </rPr>
      <t>获得的证据</t>
    </r>
    <r>
      <rPr>
        <b/>
        <sz val="10"/>
        <rFont val="Arial"/>
        <charset val="134"/>
      </rPr>
      <t>/</t>
    </r>
    <r>
      <rPr>
        <b/>
        <sz val="10"/>
        <rFont val="微软雅黑"/>
        <charset val="134"/>
      </rPr>
      <t>支持的描述（例如，我们检查的控制权转移时点的单据</t>
    </r>
    <r>
      <rPr>
        <b/>
        <sz val="10"/>
        <rFont val="Arial"/>
        <charset val="134"/>
      </rPr>
      <t>/</t>
    </r>
    <r>
      <rPr>
        <b/>
        <sz val="10"/>
        <rFont val="微软雅黑"/>
        <charset val="134"/>
      </rPr>
      <t>销售发票</t>
    </r>
    <r>
      <rPr>
        <b/>
        <sz val="10"/>
        <rFont val="Arial"/>
        <charset val="134"/>
      </rPr>
      <t>/</t>
    </r>
    <r>
      <rPr>
        <b/>
        <sz val="10"/>
        <rFont val="微软雅黑"/>
        <charset val="134"/>
      </rPr>
      <t>合同</t>
    </r>
    <r>
      <rPr>
        <b/>
        <sz val="10"/>
        <rFont val="Arial"/>
        <charset val="134"/>
      </rPr>
      <t>/</t>
    </r>
    <r>
      <rPr>
        <b/>
        <sz val="10"/>
        <rFont val="微软雅黑"/>
        <charset val="134"/>
      </rPr>
      <t>订单等）</t>
    </r>
  </si>
  <si>
    <r>
      <rPr>
        <b/>
        <sz val="10"/>
        <rFont val="微软雅黑"/>
        <charset val="134"/>
      </rPr>
      <t>资产原价差异</t>
    </r>
  </si>
  <si>
    <t>关键项</t>
  </si>
  <si>
    <t>400222</t>
  </si>
  <si>
    <t>2026/1/29 0:00:00</t>
  </si>
  <si>
    <t>120</t>
  </si>
  <si>
    <t>直线法</t>
  </si>
  <si>
    <t>采购单、运货签收单、入库单、发票、固定资产事前审批单</t>
  </si>
  <si>
    <t>Y</t>
  </si>
  <si>
    <t>400223</t>
  </si>
  <si>
    <r>
      <rPr>
        <b/>
        <sz val="10"/>
        <color rgb="FF000000"/>
        <rFont val="微软雅黑"/>
        <charset val="134"/>
      </rPr>
      <t>标记图例</t>
    </r>
    <r>
      <rPr>
        <b/>
        <sz val="10"/>
        <color rgb="FF000000"/>
        <rFont val="Arial"/>
        <charset val="134"/>
      </rPr>
      <t xml:space="preserve">: </t>
    </r>
    <r>
      <rPr>
        <sz val="10"/>
        <color rgb="FF000000"/>
        <rFont val="微软雅黑"/>
        <charset val="134"/>
      </rPr>
      <t>记录已识别的异常情况以及如何解决这些异常情况的详细信息，包括执行的其他实质性程序</t>
    </r>
  </si>
  <si>
    <t>我们根据固定资产新增测试属性检查了样本对应的支持性证据，无异常情况。</t>
  </si>
  <si>
    <t>Skywind-TOD</t>
  </si>
  <si>
    <r>
      <rPr>
        <sz val="11"/>
        <color rgb="FFFFFFFF"/>
        <rFont val="微软雅黑"/>
        <charset val="134"/>
      </rPr>
      <t>抽样策略工作底稿</t>
    </r>
  </si>
  <si>
    <r>
      <rPr>
        <sz val="11"/>
        <color rgb="FFFFFFFF"/>
        <rFont val="微软雅黑"/>
        <charset val="134"/>
      </rPr>
      <t>客户名称</t>
    </r>
  </si>
  <si>
    <t>Z****d.</t>
  </si>
  <si>
    <r>
      <rPr>
        <sz val="11"/>
        <color rgb="FFFFFFFF"/>
        <rFont val="微软雅黑"/>
        <charset val="134"/>
      </rPr>
      <t>截止日期</t>
    </r>
  </si>
  <si>
    <t>2026/04/30</t>
  </si>
  <si>
    <r>
      <rPr>
        <sz val="11"/>
        <color rgb="FFFFFFFF"/>
        <rFont val="微软雅黑"/>
        <charset val="134"/>
      </rPr>
      <t xml:space="preserve">Canvas </t>
    </r>
    <r>
      <rPr>
        <sz val="11"/>
        <color rgb="FFFFFFFF"/>
        <rFont val="Arial"/>
        <charset val="134"/>
      </rPr>
      <t>ID</t>
    </r>
  </si>
  <si>
    <t>1800235289</t>
  </si>
  <si>
    <r>
      <rPr>
        <b/>
        <sz val="11"/>
        <color rgb="FFFFFFFF"/>
        <rFont val="微软雅黑"/>
        <charset val="134"/>
      </rPr>
      <t>抽样项目基础信息</t>
    </r>
  </si>
  <si>
    <r>
      <rPr>
        <b/>
        <sz val="11"/>
        <color rgb="FF1A1A24"/>
        <rFont val="微软雅黑"/>
        <charset val="134"/>
      </rPr>
      <t>版本号</t>
    </r>
  </si>
  <si>
    <t>V2.0.0</t>
  </si>
  <si>
    <r>
      <rPr>
        <b/>
        <sz val="11"/>
        <rFont val="Arial"/>
        <charset val="134"/>
      </rPr>
      <t xml:space="preserve">Skywind TOD </t>
    </r>
    <r>
      <rPr>
        <b/>
        <sz val="11"/>
        <rFont val="微软雅黑"/>
        <charset val="134"/>
      </rPr>
      <t>抽样记录</t>
    </r>
  </si>
  <si>
    <t>19C1D96F78DF447F851C5D4AFA1BE10A</t>
  </si>
  <si>
    <r>
      <rPr>
        <b/>
        <sz val="11"/>
        <color rgb="FF1A1A24"/>
        <rFont val="微软雅黑"/>
        <charset val="134"/>
      </rPr>
      <t>测试类型</t>
    </r>
  </si>
  <si>
    <r>
      <rPr>
        <sz val="11"/>
        <color rgb="FF1A1A24"/>
        <rFont val="微软雅黑"/>
        <charset val="134"/>
      </rPr>
      <t>详细测试</t>
    </r>
  </si>
  <si>
    <r>
      <rPr>
        <b/>
        <sz val="11"/>
        <color rgb="FF1A1A24"/>
        <rFont val="微软雅黑"/>
        <charset val="134"/>
      </rPr>
      <t>重大账户类型</t>
    </r>
  </si>
  <si>
    <t>资产</t>
  </si>
  <si>
    <r>
      <rPr>
        <b/>
        <sz val="11"/>
        <color rgb="FF1A1A24"/>
        <rFont val="微软雅黑"/>
        <charset val="134"/>
      </rPr>
      <t>抽样科目</t>
    </r>
  </si>
  <si>
    <t>K.固定资产</t>
  </si>
  <si>
    <r>
      <rPr>
        <b/>
        <sz val="11"/>
        <color rgb="FF1A1A24"/>
        <rFont val="微软雅黑"/>
        <charset val="134"/>
      </rPr>
      <t>审计期间</t>
    </r>
  </si>
  <si>
    <t>期末</t>
  </si>
  <si>
    <t>是否已执行利润表中期抽样</t>
  </si>
  <si>
    <r>
      <rPr>
        <b/>
        <sz val="11"/>
        <color rgb="FF1A1A24"/>
        <rFont val="微软雅黑"/>
        <charset val="134"/>
      </rPr>
      <t>可容忍误差</t>
    </r>
    <r>
      <rPr>
        <b/>
        <sz val="11"/>
        <color rgb="FF1A1A24"/>
        <rFont val="Arial"/>
        <charset val="134"/>
      </rPr>
      <t xml:space="preserve"> </t>
    </r>
    <r>
      <rPr>
        <b/>
        <sz val="11"/>
        <color rgb="FF1A1A24"/>
        <rFont val="微软雅黑"/>
        <charset val="134"/>
      </rPr>
      <t>（</t>
    </r>
    <r>
      <rPr>
        <b/>
        <sz val="11"/>
        <color rgb="FF1A1A24"/>
        <rFont val="Arial"/>
        <charset val="134"/>
      </rPr>
      <t>TE</t>
    </r>
    <r>
      <rPr>
        <b/>
        <sz val="11"/>
        <color rgb="FF1A1A24"/>
        <rFont val="微软雅黑"/>
        <charset val="134"/>
      </rPr>
      <t>）</t>
    </r>
  </si>
  <si>
    <t>1,995,000.00</t>
  </si>
  <si>
    <r>
      <rPr>
        <b/>
        <sz val="11"/>
        <color rgb="FF1A1A24"/>
        <rFont val="微软雅黑"/>
        <charset val="134"/>
      </rPr>
      <t>测试涵盖的认定</t>
    </r>
  </si>
  <si>
    <t>完整性, 存在/发生, 计量/计价, 权利与义务</t>
  </si>
  <si>
    <r>
      <rPr>
        <b/>
        <sz val="11"/>
        <color rgb="FF1A1A24"/>
        <rFont val="微软雅黑"/>
        <charset val="134"/>
      </rPr>
      <t>是否存在与上述认定相关的舞弊或特别风险？</t>
    </r>
  </si>
  <si>
    <r>
      <rPr>
        <b/>
        <sz val="11"/>
        <color rgb="FF1A1A24"/>
        <rFont val="微软雅黑"/>
        <charset val="134"/>
      </rPr>
      <t>综合风险评估</t>
    </r>
  </si>
  <si>
    <t>最低</t>
  </si>
  <si>
    <r>
      <rPr>
        <b/>
        <sz val="11"/>
        <color rgb="FF1A1A24"/>
        <rFont val="微软雅黑"/>
        <charset val="134"/>
      </rPr>
      <t>是否为</t>
    </r>
    <r>
      <rPr>
        <b/>
        <sz val="11"/>
        <color rgb="FF1A1A24"/>
        <rFont val="Arial"/>
        <charset val="134"/>
      </rPr>
      <t>PCAOB</t>
    </r>
    <r>
      <rPr>
        <b/>
        <sz val="11"/>
        <color rgb="FF1A1A24"/>
        <rFont val="微软雅黑"/>
        <charset val="134"/>
      </rPr>
      <t>审计？</t>
    </r>
  </si>
  <si>
    <r>
      <rPr>
        <b/>
        <sz val="11"/>
        <color rgb="FF1A1A24"/>
        <rFont val="微软雅黑"/>
        <charset val="134"/>
      </rPr>
      <t>您是否正在上传数据以进行样本选择？</t>
    </r>
  </si>
  <si>
    <t>是否适用于非复杂方法？（结论）</t>
  </si>
  <si>
    <r>
      <rPr>
        <sz val="11"/>
        <color rgb="FF1A1A24"/>
        <rFont val="宋体"/>
        <charset val="134"/>
      </rPr>
      <t>是否适用于非复杂方法</t>
    </r>
    <r>
      <rPr>
        <sz val="11"/>
        <color rgb="FF1A1A24"/>
        <rFont val="微软雅黑"/>
        <charset val="134"/>
      </rPr>
      <t>？</t>
    </r>
  </si>
  <si>
    <r>
      <rPr>
        <b/>
        <sz val="11"/>
        <color rgb="FFFFFFFF"/>
        <rFont val="微软雅黑"/>
        <charset val="134"/>
      </rPr>
      <t>源数据汇总</t>
    </r>
  </si>
  <si>
    <r>
      <rPr>
        <b/>
        <sz val="11"/>
        <color rgb="FF1A1A24"/>
        <rFont val="微软雅黑"/>
        <charset val="134"/>
      </rPr>
      <t>导入的数据文件</t>
    </r>
  </si>
  <si>
    <r>
      <rPr>
        <b/>
        <sz val="11"/>
        <color rgb="FF000000"/>
        <rFont val="微软雅黑"/>
        <charset val="134"/>
      </rPr>
      <t>文件名</t>
    </r>
  </si>
  <si>
    <r>
      <rPr>
        <b/>
        <sz val="11"/>
        <color rgb="FF000000"/>
        <rFont val="微软雅黑"/>
        <charset val="134"/>
      </rPr>
      <t>文件类型</t>
    </r>
  </si>
  <si>
    <t>sheet</t>
  </si>
  <si>
    <r>
      <rPr>
        <b/>
        <sz val="11"/>
        <color rgb="FF000000"/>
        <rFont val="微软雅黑"/>
        <charset val="134"/>
      </rPr>
      <t>上传日期</t>
    </r>
  </si>
  <si>
    <t>K1 SWP 固定资产 2026430 浙江力积.xlsx</t>
  </si>
  <si>
    <t>xlsx</t>
  </si>
  <si>
    <t>2026/06/09</t>
  </si>
  <si>
    <r>
      <rPr>
        <b/>
        <sz val="11"/>
        <color rgb="FF1A1A24"/>
        <rFont val="微软雅黑"/>
        <charset val="134"/>
      </rPr>
      <t>匹配详细信息</t>
    </r>
  </si>
  <si>
    <r>
      <rPr>
        <sz val="11"/>
        <color theme="1"/>
        <rFont val="微软雅黑"/>
        <charset val="134"/>
      </rPr>
      <t>抽样单位列：</t>
    </r>
  </si>
  <si>
    <t/>
  </si>
  <si>
    <r>
      <rPr>
        <sz val="11"/>
        <color theme="1"/>
        <rFont val="微软雅黑"/>
        <charset val="134"/>
      </rPr>
      <t>抽样单位货币列：</t>
    </r>
  </si>
  <si>
    <t>原值</t>
  </si>
  <si>
    <r>
      <rPr>
        <sz val="11"/>
        <color theme="1"/>
        <rFont val="微软雅黑"/>
        <charset val="134"/>
      </rPr>
      <t>抽样单位详情：</t>
    </r>
  </si>
  <si>
    <r>
      <rPr>
        <b/>
        <sz val="11"/>
        <color rgb="FFFFFFFF"/>
        <rFont val="微软雅黑"/>
        <charset val="134"/>
      </rPr>
      <t>样本池汇总</t>
    </r>
  </si>
  <si>
    <r>
      <rPr>
        <b/>
        <sz val="11"/>
        <color theme="1"/>
        <rFont val="微软雅黑"/>
        <charset val="134"/>
      </rPr>
      <t>数据上传转换步骤</t>
    </r>
  </si>
  <si>
    <r>
      <rPr>
        <sz val="11"/>
        <color theme="1"/>
        <rFont val="微软雅黑"/>
        <charset val="134"/>
      </rPr>
      <t>已上传数据</t>
    </r>
  </si>
  <si>
    <t>10,315,704.16</t>
  </si>
  <si>
    <r>
      <rPr>
        <sz val="11"/>
        <color theme="1"/>
        <rFont val="微软雅黑"/>
        <charset val="134"/>
      </rPr>
      <t>必要的数据排除项</t>
    </r>
  </si>
  <si>
    <t>0.00</t>
  </si>
  <si>
    <r>
      <rPr>
        <sz val="11"/>
        <color theme="1"/>
        <rFont val="微软雅黑"/>
        <charset val="134"/>
      </rPr>
      <t>必要的数据排除项类型</t>
    </r>
  </si>
  <si>
    <r>
      <rPr>
        <sz val="11"/>
        <color theme="1"/>
        <rFont val="微软雅黑"/>
        <charset val="134"/>
      </rPr>
      <t>样本池总体金额</t>
    </r>
  </si>
  <si>
    <r>
      <rPr>
        <b/>
        <sz val="11"/>
        <color theme="1"/>
        <rFont val="微软雅黑"/>
        <charset val="134"/>
      </rPr>
      <t>排除项总量</t>
    </r>
  </si>
  <si>
    <t>0</t>
  </si>
  <si>
    <r>
      <rPr>
        <sz val="11"/>
        <color theme="1"/>
        <rFont val="微软雅黑"/>
        <charset val="134"/>
      </rPr>
      <t>已删除零余额（行数）</t>
    </r>
  </si>
  <si>
    <r>
      <rPr>
        <sz val="11"/>
        <color theme="1"/>
        <rFont val="微软雅黑"/>
        <charset val="134"/>
      </rPr>
      <t>已删除空余额（行数）</t>
    </r>
  </si>
  <si>
    <r>
      <rPr>
        <sz val="11"/>
        <color theme="1"/>
        <rFont val="微软雅黑"/>
        <charset val="134"/>
      </rPr>
      <t>已删除负余额（行数）</t>
    </r>
  </si>
  <si>
    <r>
      <rPr>
        <sz val="11"/>
        <color theme="1"/>
        <rFont val="微软雅黑"/>
        <charset val="134"/>
      </rPr>
      <t>已删除正余额（行数）</t>
    </r>
  </si>
  <si>
    <r>
      <rPr>
        <b/>
        <sz val="11"/>
        <color theme="1"/>
        <rFont val="微软雅黑"/>
        <charset val="134"/>
      </rPr>
      <t>关键项</t>
    </r>
  </si>
  <si>
    <r>
      <rPr>
        <sz val="11"/>
        <color theme="1"/>
        <rFont val="微软雅黑"/>
        <charset val="134"/>
      </rPr>
      <t>关键项数量</t>
    </r>
  </si>
  <si>
    <t>2</t>
  </si>
  <si>
    <t>定量关键项金额（金额大于1,995,000.00 )</t>
  </si>
  <si>
    <t>5,514,796.48</t>
  </si>
  <si>
    <r>
      <rPr>
        <b/>
        <sz val="11"/>
        <color theme="1"/>
        <rFont val="微软雅黑"/>
        <charset val="134"/>
      </rPr>
      <t>代表性总体价值</t>
    </r>
  </si>
  <si>
    <r>
      <rPr>
        <b/>
        <sz val="11"/>
        <color rgb="FFFFFFFF"/>
        <rFont val="微软雅黑"/>
        <charset val="134"/>
      </rPr>
      <t>抽样策略汇总</t>
    </r>
  </si>
  <si>
    <t>1</t>
  </si>
  <si>
    <t>是否为双重目的测试</t>
  </si>
  <si>
    <t>主要审计问题是否为多计</t>
  </si>
  <si>
    <t>3</t>
  </si>
  <si>
    <t>是否执行了其他程序以确定被测试总体是否完整?</t>
  </si>
  <si>
    <t>4</t>
  </si>
  <si>
    <t>选择从对此重大账户和认定执行的其他审计程序包括实质分析性复核程序、通过重新执行和详细测试来测试整个总体中获得的保证水平，包括对相关资产负债表账户执行的相关主要实质性程序 (PSP):</t>
  </si>
  <si>
    <t>几乎没有</t>
  </si>
  <si>
    <t>5</t>
  </si>
  <si>
    <t>总体与会计记录进行核对</t>
  </si>
  <si>
    <t>总金额：</t>
  </si>
  <si>
    <t>剔除项金额：</t>
  </si>
  <si>
    <t>样本池总金额：</t>
  </si>
  <si>
    <t>会计记录的重大账户余额或活动：</t>
  </si>
  <si>
    <t>差额：</t>
  </si>
  <si>
    <t>6</t>
  </si>
  <si>
    <t>确认总体包含具有类似特征的项</t>
  </si>
  <si>
    <t>是，总体包含的项都具有类似特征</t>
  </si>
  <si>
    <t>7</t>
  </si>
  <si>
    <t>请说明是什么构成了错报</t>
  </si>
  <si>
    <t>所选项的已审计价值与账面价值不同，或者客户无法提供审计证据</t>
  </si>
  <si>
    <t>8</t>
  </si>
  <si>
    <t>您预期总体中会有错报吗</t>
  </si>
  <si>
    <t>原因</t>
  </si>
  <si>
    <t>预计不存在错报</t>
  </si>
  <si>
    <t>9</t>
  </si>
  <si>
    <t>请选择一种抽样方法</t>
  </si>
  <si>
    <t>随机抽样 (Random)</t>
  </si>
  <si>
    <t>10</t>
  </si>
  <si>
    <t>这是否是我们为此重大账户执行的唯一的实质性程序？</t>
  </si>
  <si>
    <t>11</t>
  </si>
  <si>
    <t>计算样本量为0，小于5。这表明我们从其他程序获得的证据使我们的审计风险接近5%。由于样本量小于5，请从以下选项中进行选择：</t>
  </si>
  <si>
    <t xml:space="preserve">继续以0为样本量进行测试 </t>
  </si>
  <si>
    <t>随机抽样样本量计算</t>
  </si>
  <si>
    <r>
      <rPr>
        <b/>
        <sz val="11"/>
        <color rgb="FF1A1A24"/>
        <rFont val="微软雅黑"/>
        <charset val="134"/>
      </rPr>
      <t>使用的审计风险表</t>
    </r>
    <r>
      <rPr>
        <b/>
        <sz val="11"/>
        <color rgb="FF1A1A24"/>
        <rFont val="Arial"/>
        <charset val="134"/>
      </rPr>
      <t xml:space="preserve"> </t>
    </r>
    <r>
      <rPr>
        <b/>
        <sz val="11"/>
        <color rgb="FF1A1A24"/>
        <rFont val="微软雅黑"/>
        <charset val="134"/>
      </rPr>
      <t>（</t>
    </r>
    <r>
      <rPr>
        <b/>
        <sz val="11"/>
        <color rgb="FF1A1A24"/>
        <rFont val="Arial"/>
        <charset val="134"/>
      </rPr>
      <t>ART</t>
    </r>
    <r>
      <rPr>
        <b/>
        <sz val="11"/>
        <color rgb="FF1A1A24"/>
        <rFont val="微软雅黑"/>
        <charset val="134"/>
      </rPr>
      <t>）</t>
    </r>
  </si>
  <si>
    <t>审计风险表（复杂方法)</t>
  </si>
  <si>
    <r>
      <rPr>
        <b/>
        <sz val="11"/>
        <color rgb="FF1A1A24"/>
        <rFont val="微软雅黑"/>
        <charset val="134"/>
      </rPr>
      <t>基准样本量</t>
    </r>
  </si>
  <si>
    <t>2.41</t>
  </si>
  <si>
    <r>
      <rPr>
        <b/>
        <sz val="11"/>
        <color rgb="FF1A1A24"/>
        <rFont val="微软雅黑"/>
        <charset val="134"/>
      </rPr>
      <t>代表性样本量（</t>
    </r>
    <r>
      <rPr>
        <b/>
        <sz val="11"/>
        <color rgb="FF1A1A24"/>
        <rFont val="Arial"/>
        <charset val="134"/>
      </rPr>
      <t>ART</t>
    </r>
    <r>
      <rPr>
        <b/>
        <sz val="11"/>
        <color rgb="FF1A1A24"/>
        <rFont val="微软雅黑"/>
        <charset val="134"/>
      </rPr>
      <t>）因子</t>
    </r>
  </si>
  <si>
    <r>
      <rPr>
        <b/>
        <sz val="11"/>
        <color rgb="FF1A1A24"/>
        <rFont val="微软雅黑"/>
        <charset val="134"/>
      </rPr>
      <t>错误导致的样本调整因素</t>
    </r>
  </si>
  <si>
    <r>
      <rPr>
        <b/>
        <sz val="11"/>
        <color rgb="FF1A1A24"/>
        <rFont val="微软雅黑"/>
        <charset val="134"/>
      </rPr>
      <t>代表性样本量</t>
    </r>
  </si>
  <si>
    <r>
      <rPr>
        <b/>
        <sz val="11"/>
        <color rgb="FF1A1A24"/>
        <rFont val="微软雅黑"/>
        <charset val="134"/>
      </rPr>
      <t>代表性样本与关键项数量合计</t>
    </r>
  </si>
  <si>
    <r>
      <rPr>
        <b/>
        <sz val="11"/>
        <color rgb="FF1A1A24"/>
        <rFont val="微软雅黑"/>
        <charset val="134"/>
      </rPr>
      <t>生成下一连续系列的种子</t>
    </r>
  </si>
  <si>
    <r>
      <rPr>
        <b/>
        <sz val="11"/>
        <color rgb="FF1A1A24"/>
        <rFont val="微软雅黑"/>
        <charset val="134"/>
      </rPr>
      <t>系统已从此序列中选择了随机抽样</t>
    </r>
    <r>
      <rPr>
        <b/>
        <sz val="11"/>
        <color rgb="FF1A1A24"/>
        <rFont val="Arial"/>
        <charset val="134"/>
      </rPr>
      <t xml:space="preserve"> ID</t>
    </r>
  </si>
  <si>
    <t>1-46</t>
  </si>
  <si>
    <r>
      <rPr>
        <b/>
        <sz val="11"/>
        <color rgb="FFFFFFFF"/>
        <rFont val="微软雅黑"/>
        <charset val="134"/>
      </rPr>
      <t>抽样结论汇总</t>
    </r>
  </si>
  <si>
    <r>
      <rPr>
        <b/>
        <sz val="11"/>
        <color theme="1"/>
        <rFont val="微软雅黑"/>
        <charset val="134"/>
      </rPr>
      <t>关键项数量</t>
    </r>
  </si>
  <si>
    <t>代表性样本量</t>
  </si>
  <si>
    <r>
      <rPr>
        <b/>
        <sz val="11"/>
        <color theme="1"/>
        <rFont val="微软雅黑"/>
        <charset val="134"/>
      </rPr>
      <t>代表性样本与关键项数量合计</t>
    </r>
  </si>
  <si>
    <r>
      <rPr>
        <b/>
        <sz val="11"/>
        <color theme="1"/>
        <rFont val="微软雅黑"/>
        <charset val="134"/>
      </rPr>
      <t>样本选择方法</t>
    </r>
  </si>
  <si>
    <r>
      <rPr>
        <b/>
        <sz val="11"/>
        <color rgb="FFFFFFFF"/>
        <rFont val="微软雅黑"/>
        <charset val="134"/>
      </rPr>
      <t>已选取样本</t>
    </r>
  </si>
  <si>
    <t>样本</t>
  </si>
  <si>
    <t>源样本#</t>
  </si>
  <si>
    <t>抽样ID</t>
  </si>
  <si>
    <t>样本类型</t>
  </si>
  <si>
    <t>固定资产类别</t>
  </si>
  <si>
    <t>固定资产编号</t>
  </si>
  <si>
    <t>固定资产名称</t>
  </si>
  <si>
    <t>入账开始日期</t>
  </si>
  <si>
    <t>使用寿命(月)</t>
  </si>
  <si>
    <t>残值率</t>
  </si>
  <si>
    <t>新增方式</t>
  </si>
  <si>
    <t>0.05</t>
  </si>
  <si>
    <t>购置</t>
  </si>
  <si>
    <t>固定资产新增明细清单</t>
  </si>
  <si>
    <r>
      <rPr>
        <sz val="10"/>
        <rFont val="微软雅黑"/>
        <charset val="134"/>
      </rPr>
      <t>固定资产类别</t>
    </r>
  </si>
  <si>
    <r>
      <rPr>
        <sz val="10"/>
        <rFont val="微软雅黑"/>
        <charset val="134"/>
      </rPr>
      <t>固定资产编号</t>
    </r>
  </si>
  <si>
    <r>
      <rPr>
        <sz val="10"/>
        <rFont val="微软雅黑"/>
        <charset val="134"/>
      </rPr>
      <t>固定资产名称</t>
    </r>
  </si>
  <si>
    <r>
      <rPr>
        <sz val="10"/>
        <rFont val="微软雅黑"/>
        <charset val="134"/>
      </rPr>
      <t>入账开始日期</t>
    </r>
  </si>
  <si>
    <r>
      <rPr>
        <sz val="10"/>
        <rFont val="Arial"/>
        <charset val="134"/>
      </rPr>
      <t xml:space="preserve"> </t>
    </r>
    <r>
      <rPr>
        <sz val="10"/>
        <rFont val="微软雅黑"/>
        <charset val="134"/>
      </rPr>
      <t>使用寿命</t>
    </r>
    <r>
      <rPr>
        <sz val="10"/>
        <rFont val="Arial"/>
        <charset val="134"/>
      </rPr>
      <t>(</t>
    </r>
    <r>
      <rPr>
        <sz val="10"/>
        <rFont val="微软雅黑"/>
        <charset val="134"/>
      </rPr>
      <t>月</t>
    </r>
    <r>
      <rPr>
        <sz val="10"/>
        <rFont val="Arial"/>
        <charset val="134"/>
      </rPr>
      <t>)</t>
    </r>
  </si>
  <si>
    <r>
      <rPr>
        <sz val="10"/>
        <rFont val="Arial"/>
        <charset val="134"/>
      </rPr>
      <t xml:space="preserve"> </t>
    </r>
    <r>
      <rPr>
        <sz val="10"/>
        <rFont val="微软雅黑"/>
        <charset val="134"/>
      </rPr>
      <t>残值率</t>
    </r>
    <r>
      <rPr>
        <sz val="10"/>
        <rFont val="Arial"/>
        <charset val="134"/>
      </rPr>
      <t xml:space="preserve"> </t>
    </r>
  </si>
  <si>
    <r>
      <rPr>
        <sz val="10"/>
        <rFont val="微软雅黑"/>
        <charset val="134"/>
      </rPr>
      <t>原值</t>
    </r>
  </si>
  <si>
    <r>
      <rPr>
        <sz val="10"/>
        <rFont val="微软雅黑"/>
        <charset val="134"/>
      </rPr>
      <t>新增方式</t>
    </r>
  </si>
  <si>
    <t>在建工程转入</t>
  </si>
  <si>
    <t xml:space="preserve"> </t>
  </si>
  <si>
    <t>db9ce45c-b5c9-4e6d-be28-967b500f20b6</t>
  </si>
  <si>
    <t>{"Id":"2120100351","IsProject":false,"ProjectId":"2006602268","TempProjectName":"云端天风测试","TempType":2,"Upload":"上传","Download":"下载"}</t>
  </si>
  <si>
    <t>ABC7ZjPaxNBFMfvhf4PQ/CYLtndpm28pfmhobGGbECk9LAhk7hkdifszhqCCAEVayRQxVRFkKiBetHqQSyWkD+m7MSe/BfMptk2xCloWdgIc9nDezPvzePD972d+XU02FpcAOCe+wEgdIU0ajB0FYRStwWl2qhrRkm4hc1qTq1BU8gYNZsodyAkYcBaEApPwmRKoxiGjZBnUOxiARMVpQy1iKDrLavIgrPutAaR6wydRSpcn4m0qerjA9Kvj2nzCJyntLJQ/SNwxlo3oVot4box68rjegLbBhnZJckzJjDyjDHPljKIRjRojWxb22e7oY7vwhLTp9i6rpqNglvqhQWfL1FIA8FJWdOVxvO5TUwgM0XOxBVT1dMaQgkTW1Yelm/gEvTSuKvuh/8ebBKWVRvNC9pJcgUSohmV8aF8wbwqMzCvrXDOAXHeECKSIAK698V5/5Z+e/rzoOOPnqNRBmgpwkEHBzoCXJzgAjET0/5HxGKMJWZ5jTMOah6fqvjwkdPu+CLiFRZgMcoBBwTY6T0c9j/7CXiZA54nwKMuLQsyoK1X9OU+fTEYftpzem3aPfSFtiiycMt8KAeFOx0HSLPIEt3ZPXnQd1pvhvsHvpCWYyzQXNdBgV7fSF4e8vSf2bSao6us5i1yOQfYvUUQr5gQAiULCAbXsv707ViEk5430rIgeXN6fG0u3EwuFRtAI1A/NfiDPhJhXaSXJY4+2JntC90YU9gShxvwsydt9Wn3u/OjM/w48EnG/CY9V6ATWNehQazj5q7Tf07ffXCetJ2d7snr3nHzmT/aZgD/79+5Fxe2fwM=</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</si>
  <si>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</si>
  <si>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</si>
  <si>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</si>
  <si>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</si>
  <si>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</si>
  <si>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</si>
  <si>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</si>
  <si>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</si>
  <si>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</si>
  <si>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</si>
  <si>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</si>
  <si>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</si>
  <si>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</si>
  <si>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</si>
  <si>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</si>
  <si>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</si>
  <si>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</si>
  <si>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</si>
  <si>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</si>
  <si>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</si>
  <si>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</si>
  <si>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</si>
  <si>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</si>
  <si>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</si>
  <si>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</si>
  <si>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</si>
  <si>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</si>
  <si>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</si>
  <si>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</si>
  <si>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</si>
  <si>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</si>
  <si>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</si>
  <si>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</si>
  <si>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</si>
  <si>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</si>
  <si>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</si>
  <si>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</si>
  <si>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</si>
  <si>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</si>
  <si>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</si>
  <si>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</si>
  <si>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</si>
  <si>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</si>
  <si>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</si>
  <si>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</si>
  <si>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</si>
  <si>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</si>
  <si>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</si>
  <si>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</si>
  <si>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</si>
  <si>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</si>
  <si>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</si>
  <si>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</si>
  <si>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</si>
  <si>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</si>
  <si>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</si>
  <si>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</si>
  <si>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</si>
  <si>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</si>
  <si>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</si>
  <si>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</si>
  <si>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</si>
  <si>
    <t>{"MD5":"27923415AE0CE62F312F09E44933EC68","FullPath":"C:\\SkyWind\\Files\\Template\\WPT\\EY底稿模板\\S****x","Length":331163,"LastWriteTime":"2021-01-13T09:32:28.8886989+08:00"}</t>
  </si>
  <si>
    <t>db3de137-a293-427d-b80d-49214b5e369c</t>
  </si>
  <si>
    <t>ff8886bb-b7f7-4b80-9da7-330f78d808ae</t>
  </si>
  <si>
    <t>812bc61b-c1a1-45e1-acbf-14fb38652f5c</t>
  </si>
  <si>
    <t>22e1146d-3f08-44ae-9972-a8462b7634ae</t>
  </si>
  <si>
    <t>7d735d6a-b8ae-450d-83bf-85897cebe8f2</t>
  </si>
  <si>
    <t>cef6a48f-aedc-465b-90a1-6ce7e21344ce</t>
  </si>
  <si>
    <t>f307f2fc-7d80-47e9-a69c-a364be7ddce3</t>
  </si>
  <si>
    <t>62f8743e-f475-454c-aa64-7de88f167d36</t>
  </si>
  <si>
    <t>868be28c-4ccb-4d12-88c8-2ac58d4a87e1</t>
  </si>
  <si>
    <t>d870d3ee-974c-4add-8407-382393103c67</t>
  </si>
  <si>
    <t>4c471b99-3c1f-403a-92e9-2aff997562e3</t>
  </si>
  <si>
    <t>f0b24ebf-2605-42bb-9327-43f6f3e4f988</t>
  </si>
  <si>
    <t>5e0d88ff-f81b-4c71-b751-4fe3d67d3638</t>
  </si>
  <si>
    <t>b1c48724-31e4-44ef-bf76-cd7bf9515747</t>
  </si>
  <si>
    <t>aee71fbb-c147-4a47-9044-962071b084ea</t>
  </si>
  <si>
    <t>2bd38cb0-b2bb-4a37-a799-0cd63f7324dc</t>
  </si>
  <si>
    <t>f9c514b2-4170-416d-8c6d-0dda3e1c9010</t>
  </si>
  <si>
    <t>e4b6d84b-77c7-4fca-851d-222df4004de2</t>
  </si>
  <si>
    <t>80024c59-b33c-460d-830b-d926cc375dd1</t>
  </si>
  <si>
    <t>b7ef0efc-233a-4cf9-97fa-c7490e261bdc</t>
  </si>
  <si>
    <t>f3c09d79-bc68-45fb-a3ae-7717eae0e90a</t>
  </si>
  <si>
    <t>fb33c2b6-fdb9-46f1-bf50-723bd609c84b</t>
  </si>
  <si>
    <t>0b451ac0-c548-42ef-af37-e45dfc4fceb7</t>
  </si>
  <si>
    <t>29131286-86dd-4ca5-a3fe-35dbd415046d</t>
  </si>
  <si>
    <t>e3d2862d-8cf4-4f80-b314-3101ce237ec7</t>
  </si>
  <si>
    <t>a20da825-393d-49da-8b9b-f8c9dc7a6480</t>
  </si>
  <si>
    <t>5b87e5f2-ac8d-4069-9f7f-86d9ae7f2a00</t>
  </si>
  <si>
    <t>1fbba1be-cb67-48bc-a389-8d8679cbc22b</t>
  </si>
  <si>
    <t>af0ceacb-7fa9-4a30-844a-745ec76e725d</t>
  </si>
  <si>
    <t>a9ee7fb3-06be-4c49-9b63-fe206915a835</t>
  </si>
  <si>
    <t>7b270d42-6495-4f70-97c3-e5598cc0d713</t>
  </si>
  <si>
    <t>bcb15999-7125-4465-b550-38d64c74b23e</t>
  </si>
  <si>
    <t>b958d805-8684-4932-bba5-5c9b035fba25</t>
  </si>
  <si>
    <t>ee65204e-5251-439a-8864-66df421ce31b</t>
  </si>
  <si>
    <t>53f98fae-c222-4de9-b68c-98b4df1b2678</t>
  </si>
  <si>
    <t>2e195d21-01b6-49d4-bdef-b77e4ccb8b47</t>
  </si>
  <si>
    <t>c41a67ba-f421-45f2-8ab8-60a44d71ab90</t>
  </si>
  <si>
    <t>8cad2c60-27a8-4ead-b032-877b2fc9a3d1</t>
  </si>
  <si>
    <t>3104a45d-ee14-426e-9946-ec2b8ff41e9d</t>
  </si>
  <si>
    <t>eb3b84a3-2aca-456a-bc85-68ef54d39ef0</t>
  </si>
  <si>
    <t>ff7a1917-0999-4705-b34b-876fe45921d0</t>
  </si>
  <si>
    <t>0d33869b-734d-4627-9f23-748495b51f3a</t>
  </si>
  <si>
    <t>973c33d9-9e7c-44a8-b036-34e3ca60e724</t>
  </si>
  <si>
    <t>f6030921-fa70-4ac7-8322-eed82b59c275</t>
  </si>
  <si>
    <t>e5e626f9-1188-4aff-ab97-e58c0ca46d27</t>
  </si>
  <si>
    <t>0d02dc56-bb1d-46fb-93c9-358077888d28</t>
  </si>
  <si>
    <t>32ff551c-42fc-4a5c-b58b-21dfe0600e9e</t>
  </si>
  <si>
    <t>f423256b-65d3-4fa3-b3d7-5f95fa771105</t>
  </si>
  <si>
    <t>929e99f7-4528-4e41-bebc-bb95f7055c5b</t>
  </si>
  <si>
    <t>fde44ffb-5afe-4087-9dda-723f1caabed2</t>
  </si>
  <si>
    <t>5b1483c6-57ef-4c2d-b25b-7d514688f03d</t>
  </si>
  <si>
    <t>9f37ecc4-90b9-42a5-ad90-52b9d91a981f</t>
  </si>
  <si>
    <t>09dc284c-2fee-43c5-81c7-7b56e1255bd8</t>
  </si>
  <si>
    <t>5fcea81a-6b2a-4a2e-9e31-1da685fb0250</t>
  </si>
  <si>
    <t>2ab1e133-5462-4432-b9b2-81a4a94898cd</t>
  </si>
  <si>
    <t>3112b76f-f8be-4a6f-81c8-47469158b2c2</t>
  </si>
  <si>
    <t>ba76fe00-d8a2-4046-a268-1f8098d9287a</t>
  </si>
  <si>
    <t>07aa2aef-af3e-4f17-8258-b574abb247c3</t>
  </si>
  <si>
    <t>报废原值</t>
  </si>
  <si>
    <t>减值</t>
  </si>
  <si>
    <t>报废净值</t>
  </si>
  <si>
    <t>处置日期</t>
  </si>
  <si>
    <t>处置/报废</t>
  </si>
  <si>
    <t>2026.04已报废</t>
  </si>
  <si>
    <t>报废</t>
  </si>
  <si>
    <t>标准工作底稿: K1 SWP 不动产、厂房和设备及相关账户（PPE）</t>
  </si>
  <si>
    <r>
      <rPr>
        <b/>
        <sz val="12"/>
        <color rgb="FF000000"/>
        <rFont val="Arial"/>
        <charset val="134"/>
      </rPr>
      <t>K.03.2</t>
    </r>
    <r>
      <rPr>
        <b/>
        <sz val="12"/>
        <color rgb="FF000000"/>
        <rFont val="微软雅黑"/>
        <charset val="134"/>
      </rPr>
      <t>：折旧测试</t>
    </r>
  </si>
  <si>
    <t>7054f053-bac2-4036-a572-53d350c3c8de</t>
  </si>
  <si>
    <t>按公司的折旧政策重新计算本年应计提的折旧费用并与本年账面折旧金额对比。重新计算折旧出现差异的，我们进行进一步核查得出结论。</t>
  </si>
  <si>
    <t>DD</t>
  </si>
  <si>
    <t>FF</t>
  </si>
  <si>
    <t>GG=EE*(1-BB)/CC*FF</t>
  </si>
  <si>
    <t>HH=GG-DD</t>
  </si>
  <si>
    <t>固定资产明细清单</t>
  </si>
  <si>
    <t>CC</t>
  </si>
  <si>
    <t>BB</t>
  </si>
  <si>
    <t>EE</t>
  </si>
  <si>
    <r>
      <rPr>
        <sz val="10"/>
        <color rgb="FF000000"/>
        <rFont val="Arial"/>
        <charset val="134"/>
      </rPr>
      <t xml:space="preserve">    </t>
    </r>
    <r>
      <rPr>
        <sz val="10"/>
        <color rgb="FF000000"/>
        <rFont val="微软雅黑"/>
        <charset val="134"/>
      </rPr>
      <t>若处置或报废，须填写</t>
    </r>
  </si>
  <si>
    <t>EY-by item折旧测算</t>
  </si>
  <si>
    <r>
      <rPr>
        <sz val="10"/>
        <rFont val="Arail"/>
        <charset val="134"/>
      </rPr>
      <t xml:space="preserve"> </t>
    </r>
    <r>
      <rPr>
        <sz val="10"/>
        <rFont val="微软雅黑"/>
        <charset val="134"/>
      </rPr>
      <t>使用寿命</t>
    </r>
    <r>
      <rPr>
        <sz val="10"/>
        <rFont val="Arail"/>
        <charset val="134"/>
      </rPr>
      <t>(</t>
    </r>
    <r>
      <rPr>
        <sz val="10"/>
        <rFont val="微软雅黑"/>
        <charset val="134"/>
      </rPr>
      <t>月</t>
    </r>
    <r>
      <rPr>
        <sz val="10"/>
        <rFont val="Arail"/>
        <charset val="134"/>
      </rPr>
      <t>)</t>
    </r>
  </si>
  <si>
    <r>
      <rPr>
        <sz val="10"/>
        <rFont val="Arail"/>
        <charset val="134"/>
      </rPr>
      <t xml:space="preserve"> </t>
    </r>
    <r>
      <rPr>
        <sz val="10"/>
        <rFont val="微软雅黑"/>
        <charset val="134"/>
      </rPr>
      <t>残值率</t>
    </r>
    <r>
      <rPr>
        <sz val="10"/>
        <rFont val="Arail"/>
        <charset val="134"/>
      </rPr>
      <t xml:space="preserve"> </t>
    </r>
  </si>
  <si>
    <r>
      <rPr>
        <sz val="10"/>
        <rFont val="微软雅黑"/>
        <charset val="134"/>
      </rPr>
      <t>累计折旧</t>
    </r>
  </si>
  <si>
    <r>
      <rPr>
        <sz val="10"/>
        <rFont val="微软雅黑"/>
        <charset val="134"/>
      </rPr>
      <t>减值准备</t>
    </r>
  </si>
  <si>
    <r>
      <rPr>
        <sz val="10"/>
        <rFont val="微软雅黑"/>
        <charset val="134"/>
      </rPr>
      <t>净值</t>
    </r>
  </si>
  <si>
    <t>本期计提折旧</t>
  </si>
  <si>
    <r>
      <rPr>
        <sz val="10"/>
        <color rgb="FF000000"/>
        <rFont val="微软雅黑"/>
        <charset val="134"/>
      </rPr>
      <t>处置日期</t>
    </r>
  </si>
  <si>
    <r>
      <rPr>
        <sz val="10"/>
        <color rgb="FF000000"/>
        <rFont val="微软雅黑"/>
        <charset val="134"/>
      </rPr>
      <t>原值减少金额</t>
    </r>
  </si>
  <si>
    <t>提足折旧时间</t>
  </si>
  <si>
    <t>本期应折旧月数</t>
  </si>
  <si>
    <t>本期应折旧金额</t>
  </si>
  <si>
    <t>本期差异</t>
  </si>
  <si>
    <t>标记</t>
  </si>
  <si>
    <t>By item折旧测算差异小于SAD，未发现任何重大错报。</t>
  </si>
  <si>
    <r>
      <rPr>
        <b/>
        <sz val="12"/>
        <color rgb="FF000000"/>
        <rFont val="Arial"/>
        <charset val="134"/>
      </rPr>
      <t xml:space="preserve">K.03.3 </t>
    </r>
    <r>
      <rPr>
        <b/>
        <sz val="12"/>
        <color rgb="FF000000"/>
        <rFont val="微软雅黑"/>
        <charset val="134"/>
      </rPr>
      <t>折旧政策复核</t>
    </r>
  </si>
  <si>
    <t>0400001</t>
  </si>
  <si>
    <t>折旧政策复核</t>
  </si>
  <si>
    <t>0400002</t>
  </si>
  <si>
    <t>检查固定资产各项目的折旧政策是否符合有关规定，是否与上期一致，评价其合理性。若改变折旧政策，检查其依据是否充分。</t>
  </si>
  <si>
    <t>0400003</t>
  </si>
  <si>
    <t>0400004</t>
  </si>
  <si>
    <r>
      <rPr>
        <sz val="10"/>
        <rFont val="微软雅黑"/>
        <charset val="134"/>
      </rPr>
      <t>公司折旧政策</t>
    </r>
  </si>
  <si>
    <t>0400005</t>
  </si>
  <si>
    <t>0400006</t>
  </si>
  <si>
    <r>
      <rPr>
        <sz val="10"/>
        <rFont val="微软雅黑"/>
        <charset val="134"/>
      </rPr>
      <t>年限平均法</t>
    </r>
  </si>
  <si>
    <t>0400007</t>
  </si>
  <si>
    <r>
      <rPr>
        <sz val="10"/>
        <rFont val="微软雅黑"/>
        <charset val="134"/>
      </rPr>
      <t>折旧政策</t>
    </r>
  </si>
  <si>
    <r>
      <rPr>
        <sz val="10"/>
        <rFont val="微软雅黑"/>
        <charset val="134"/>
      </rPr>
      <t>使用寿命</t>
    </r>
  </si>
  <si>
    <r>
      <rPr>
        <sz val="10"/>
        <rFont val="微软雅黑"/>
        <charset val="134"/>
      </rPr>
      <t>残值率</t>
    </r>
  </si>
  <si>
    <r>
      <rPr>
        <sz val="10"/>
        <rFont val="微软雅黑"/>
        <charset val="134"/>
      </rPr>
      <t>年折旧率</t>
    </r>
  </si>
  <si>
    <r>
      <rPr>
        <sz val="10"/>
        <rFont val="微软雅黑"/>
        <charset val="134"/>
      </rPr>
      <t>差异说明</t>
    </r>
  </si>
  <si>
    <t>0400008</t>
  </si>
  <si>
    <t>10~20年</t>
  </si>
  <si>
    <t>10%~5%</t>
  </si>
  <si>
    <t>0400009</t>
  </si>
  <si>
    <t>3~10年</t>
  </si>
  <si>
    <t>33.3%~10%</t>
  </si>
  <si>
    <t>0400010</t>
  </si>
  <si>
    <t>3~5年</t>
  </si>
  <si>
    <t>33.3%~20%</t>
  </si>
  <si>
    <t>0400011</t>
  </si>
  <si>
    <t>4~5年</t>
  </si>
  <si>
    <t>25%~20%</t>
  </si>
  <si>
    <t>0400012</t>
  </si>
  <si>
    <t>0400013</t>
  </si>
  <si>
    <t>0400014</t>
  </si>
  <si>
    <t>0400015</t>
  </si>
  <si>
    <t>0400016</t>
  </si>
  <si>
    <t>我们参考了行业的通用标准，考虑半导体行业的技术迭代速度较快及生产工艺持续升级的行业特征，并结合资产的实际使用状况和报废历史，以判断管理层估计的合理性。本年固定资产所处的经济环境、技术环境以及其他环境未发生变化，我们认为固定资产给企业带来经济利益的预期消耗方式未发生改变，固定资产折旧方法、使用寿命、预计净残值均未发生变化，被审计单位的折旧政策合理。
针对房屋建筑物的使用寿命，使用寿命10年的车间为洁净车间，因洁净系统本身不间断高负荷运转且部分核心附件需定期强制更换，因此整体车间使用寿命较短，半导体行业洁净车间通常有效寿命为10-15年；使用寿命20年的厂房为常规厂房，考虑半导体行业技术迭代较快，生产工艺升级时往往需对整体厂房进行大规模改造，因此企业选用税法最低年限作为折旧年限，2025年与申报期内折旧政策保持一致，未做变更。对于存储行业，采用较短的使用年限与实际经济效益更加匹配。</t>
  </si>
  <si>
    <t>0400017</t>
  </si>
  <si>
    <t>0400018</t>
  </si>
  <si>
    <t>0400019</t>
  </si>
  <si>
    <t>0400020</t>
  </si>
  <si>
    <t>0400021</t>
  </si>
  <si>
    <t>0400022</t>
  </si>
  <si>
    <t>0400023</t>
  </si>
  <si>
    <t>0400024</t>
  </si>
  <si>
    <t>0400025</t>
  </si>
  <si>
    <t>0400026</t>
  </si>
  <si>
    <t>0400027</t>
  </si>
  <si>
    <t>0400028</t>
  </si>
  <si>
    <t>0400029</t>
  </si>
  <si>
    <t>0400030</t>
  </si>
  <si>
    <t>0400031</t>
  </si>
  <si>
    <t>0400032</t>
  </si>
  <si>
    <t>0400033</t>
  </si>
  <si>
    <t>0400034</t>
  </si>
  <si>
    <t>0400035</t>
  </si>
  <si>
    <t>0400036</t>
  </si>
  <si>
    <t>0400037</t>
  </si>
  <si>
    <t>0400038</t>
  </si>
  <si>
    <t>0400039</t>
  </si>
  <si>
    <t>0400040</t>
  </si>
  <si>
    <t>0400041</t>
  </si>
  <si>
    <t>0400042</t>
  </si>
  <si>
    <t>0400043</t>
  </si>
  <si>
    <t>0400044</t>
  </si>
  <si>
    <t>0400045</t>
  </si>
  <si>
    <t>0400046</t>
  </si>
  <si>
    <t>0400047</t>
  </si>
  <si>
    <t>0400048</t>
  </si>
  <si>
    <t>0400049</t>
  </si>
  <si>
    <t>0400050</t>
  </si>
  <si>
    <t>0400051</t>
  </si>
  <si>
    <t>0400052</t>
  </si>
  <si>
    <t>0400053</t>
  </si>
  <si>
    <t>0400054</t>
  </si>
  <si>
    <t>0400055</t>
  </si>
  <si>
    <t>0400056</t>
  </si>
  <si>
    <t>0400057</t>
  </si>
  <si>
    <t>0400058</t>
  </si>
  <si>
    <t>0400059</t>
  </si>
  <si>
    <t>0400060</t>
  </si>
  <si>
    <t>0400061</t>
  </si>
  <si>
    <t>0400062</t>
  </si>
  <si>
    <t>0400063</t>
  </si>
  <si>
    <t>0400064</t>
  </si>
  <si>
    <t>0400065</t>
  </si>
  <si>
    <t>0400066</t>
  </si>
  <si>
    <t>0400067</t>
  </si>
  <si>
    <t>0400068</t>
  </si>
  <si>
    <t>0400069</t>
  </si>
  <si>
    <t>0400070</t>
  </si>
  <si>
    <t>0400071</t>
  </si>
  <si>
    <t>0400072</t>
  </si>
  <si>
    <t>0400073</t>
  </si>
  <si>
    <t>0400074</t>
  </si>
  <si>
    <t>0400075</t>
  </si>
  <si>
    <t>0400076</t>
  </si>
  <si>
    <t>0400077</t>
  </si>
  <si>
    <t>0400078</t>
  </si>
  <si>
    <t>0400079</t>
  </si>
  <si>
    <t>0400080</t>
  </si>
  <si>
    <t>0400081</t>
  </si>
  <si>
    <t>0400082</t>
  </si>
  <si>
    <t>0400083</t>
  </si>
  <si>
    <t>0400084</t>
  </si>
  <si>
    <t>0400085</t>
  </si>
  <si>
    <t>0400086</t>
  </si>
  <si>
    <t>0400087</t>
  </si>
  <si>
    <t>0400088</t>
  </si>
  <si>
    <t>0400089</t>
  </si>
  <si>
    <t>0400090</t>
  </si>
  <si>
    <t>0400091</t>
  </si>
  <si>
    <t>0400092</t>
  </si>
  <si>
    <t>0400093</t>
  </si>
  <si>
    <t>0400094</t>
  </si>
  <si>
    <t>0400095</t>
  </si>
  <si>
    <t>0400096</t>
  </si>
  <si>
    <t>0400097</t>
  </si>
  <si>
    <t>0400098</t>
  </si>
  <si>
    <t>0400099</t>
  </si>
  <si>
    <t>0400100</t>
  </si>
  <si>
    <t>0400101</t>
  </si>
  <si>
    <t>0400102</t>
  </si>
  <si>
    <t>0400103</t>
  </si>
  <si>
    <t>0400104</t>
  </si>
  <si>
    <t>0400105</t>
  </si>
  <si>
    <t>0400106</t>
  </si>
  <si>
    <t>0400107</t>
  </si>
  <si>
    <t>0400108</t>
  </si>
  <si>
    <t>0400109</t>
  </si>
  <si>
    <t>0400110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</si>
</sst>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_-* #,##0.0000000000_-;\-* #,##0.0000000000_-;_-* &quot;-&quot;??_-;_-@_-"/>
    <numFmt numFmtId="178" formatCode="0.0%"/>
    <numFmt numFmtId="179" formatCode="\¥#,##0;\-\¥#,##0"/>
    <numFmt numFmtId="180" formatCode="#,##0;\-#,##0;&quot;-&quot;"/>
    <numFmt numFmtId="181" formatCode="_(* #,##0.00_);_(* \(#,##0.00\);_(* &quot;-&quot;??_);_(@_)"/>
    <numFmt numFmtId="182" formatCode="&quot;$&quot;#,##0;[Red]&quot;$&quot;&quot;$&quot;&quot;$&quot;&quot;$&quot;&quot;$&quot;&quot;$&quot;&quot;$&quot;\-#,##0"/>
    <numFmt numFmtId="183" formatCode="_(* #,##0_);_(* \(#,##0\);_(* &quot;-&quot;_);_(@_)"/>
    <numFmt numFmtId="184" formatCode="_-* #,##0.00_-;\-* #,##0.00_-;_-* &quot;-&quot;??_-;_-@_-"/>
    <numFmt numFmtId="185" formatCode="* #,##0.00;[Red]\(#,##0.00\);&quot;-&quot;;\ @"/>
    <numFmt numFmtId="186" formatCode="#,##0;\(#,##0\)"/>
    <numFmt numFmtId="187" formatCode="#,##0.0_);\(#,##0.0\)"/>
    <numFmt numFmtId="188" formatCode="_-&quot;$&quot;* #,##0.00_-;\-&quot;$&quot;* #,##0.00_-;_-&quot;$&quot;* &quot;-&quot;??_-;_-@_-"/>
    <numFmt numFmtId="189" formatCode="_(&quot;$&quot;* #,##0.00_);_(&quot;$&quot;* \(#,##0.00\);_(&quot;$&quot;* &quot;-&quot;??_);_(@_)"/>
    <numFmt numFmtId="190" formatCode="&quot;$&quot;#,##0_);\(&quot;$&quot;#,##0\)"/>
    <numFmt numFmtId="191" formatCode="&quot;$&quot;#,##0.00_);\(&quot;$&quot;#,##0.00\)"/>
    <numFmt numFmtId="192" formatCode="\$#,##0.00;\(\$#,##0.00\)"/>
    <numFmt numFmtId="193" formatCode="\$#,##0;\(\$#,##0\)"/>
    <numFmt numFmtId="194" formatCode="_ [$€-2]* #,##0.00_ ;_ [$€-2]* \-#,##0.00_ ;_ [$€-2]* &quot;-&quot;??_ "/>
    <numFmt numFmtId="195" formatCode="[$-804]aaaa;@"/>
    <numFmt numFmtId="196" formatCode="_-* #,##0\ _k_r_-;\-* #,##0\ _k_r_-;_-* &quot;-&quot;\ _k_r_-;_-@_-"/>
    <numFmt numFmtId="197" formatCode="_-* #,##0.00\ _k_r_-;\-* #,##0.00\ _k_r_-;_-* &quot;-&quot;??\ _k_r_-;_-@_-"/>
    <numFmt numFmtId="198" formatCode="#,##0.00_);#,##0.00\)"/>
    <numFmt numFmtId="199" formatCode="0.00000&quot;  &quot;"/>
    <numFmt numFmtId="200" formatCode="_-* #,##0_-;\-* #,##0_-;_-* &quot;-&quot;_-;_-@_-"/>
    <numFmt numFmtId="201" formatCode="_([$€-2]* #,##0.00000_);_([$€-2]* \(#,##0.00000\);_([$€-2]* &quot;-&quot;??_)"/>
    <numFmt numFmtId="202" formatCode="_(\¥* #,##0.00_);_(\¥* \(#,##0.00\);_(\¥* &quot;-&quot;??_);_(@_)"/>
    <numFmt numFmtId="203" formatCode="_-&quot;$&quot;* #,##0_-;\-&quot;$&quot;* #,##0_-;_-&quot;$&quot;* &quot;-&quot;_-;_-@_-"/>
    <numFmt numFmtId="204" formatCode="&quot;\&quot;#,##0;[Red]&quot;\&quot;&quot;\&quot;\-#,##0"/>
    <numFmt numFmtId="205" formatCode="&quot;\&quot;#,##0.00;[Red]&quot;\&quot;&quot;\&quot;&quot;\&quot;&quot;\&quot;&quot;\&quot;&quot;\&quot;\-#,##0.00"/>
    <numFmt numFmtId="206" formatCode="&quot;\&quot;#,##0.00;[Red]&quot;\&quot;\-#,##0.00"/>
    <numFmt numFmtId="207" formatCode="&quot;\&quot;#,##0;[Red]&quot;\&quot;\-#,##0"/>
    <numFmt numFmtId="208"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9" formatCode="#,##0.00_ ;[Red]\-#,##0.00\ "/>
    <numFmt numFmtId="210" formatCode="yyyy\/mm\/dd"/>
    <numFmt numFmtId="211" formatCode="#,##0;\(#,##0\);\-#,##0"/>
    <numFmt numFmtId="212" formatCode="_(* #,##0.0_);_(* \(#,##0.0\);_(* &quot;-&quot;??_);_(@_)"/>
    <numFmt numFmtId="213" formatCode="_(* #,##0_);_(* \(#,##0\);_(* &quot;-&quot;??_);_(@_)"/>
  </numFmts>
  <fonts count="208">
    <font>
      <sz val="11"/>
      <color theme="1"/>
      <name val="宋体"/>
      <charset val="134"/>
      <scheme val="minor"/>
    </font>
    <font>
      <sz val="12"/>
      <color theme="1"/>
      <name val="Arial"/>
      <charset val="134"/>
    </font>
    <font>
      <sz val="10"/>
      <color theme="1"/>
      <name val="Arial"/>
      <charset val="134"/>
    </font>
    <font>
      <sz val="10"/>
      <name val="Arial"/>
      <charset val="134"/>
    </font>
    <font>
      <sz val="11"/>
      <color theme="1"/>
      <name val="Arial"/>
      <charset val="134"/>
    </font>
    <font>
      <sz val="10"/>
      <color rgb="FF000000"/>
      <name val="Arial"/>
      <charset val="134"/>
    </font>
    <font>
      <b/>
      <sz val="14"/>
      <color theme="0"/>
      <name val="Arial"/>
      <charset val="134"/>
    </font>
    <font>
      <b/>
      <sz val="14"/>
      <color rgb="FFFFFFFF"/>
      <name val="Arial"/>
      <charset val="134"/>
    </font>
    <font>
      <sz val="12"/>
      <color rgb="FF000000"/>
      <name val="Arial"/>
      <charset val="134"/>
    </font>
    <font>
      <b/>
      <sz val="12"/>
      <color rgb="FF000000"/>
      <name val="Arial"/>
      <charset val="134"/>
    </font>
    <font>
      <sz val="10"/>
      <color rgb="FFFFFFFF"/>
      <name val="Arial"/>
      <charset val="134"/>
    </font>
    <font>
      <u/>
      <sz val="10"/>
      <color rgb="FFFF0000"/>
      <name val="Arial"/>
      <charset val="134"/>
    </font>
    <font>
      <b/>
      <sz val="10"/>
      <name val="Arial"/>
      <charset val="134"/>
    </font>
    <font>
      <sz val="10"/>
      <name val="Arail"/>
      <charset val="134"/>
    </font>
    <font>
      <b/>
      <sz val="10"/>
      <color rgb="FF000000"/>
      <name val="Arial"/>
      <charset val="134"/>
    </font>
    <font>
      <sz val="9"/>
      <name val="SimSun"/>
      <charset val="134"/>
    </font>
    <font>
      <b/>
      <sz val="10"/>
      <name val="微软雅黑"/>
      <charset val="134"/>
    </font>
    <font>
      <sz val="10"/>
      <name val="微软雅黑"/>
      <charset val="134"/>
    </font>
    <font>
      <b/>
      <sz val="10"/>
      <color rgb="FFFF0000"/>
      <name val="Arial"/>
      <charset val="134"/>
    </font>
    <font>
      <sz val="10"/>
      <color indexed="0"/>
      <name val="Arial"/>
      <charset val="134"/>
    </font>
    <font>
      <sz val="10"/>
      <color theme="4" tint="-0.249977111117893"/>
      <name val="Arial"/>
      <charset val="134"/>
    </font>
    <font>
      <i/>
      <sz val="10"/>
      <color theme="1"/>
      <name val="微软雅黑"/>
      <charset val="134"/>
    </font>
    <font>
      <sz val="10"/>
      <color indexed="0"/>
      <name val="微软雅黑"/>
      <charset val="134"/>
    </font>
    <font>
      <sz val="11"/>
      <color theme="1"/>
      <name val="宋体"/>
      <charset val="134"/>
    </font>
    <font>
      <b/>
      <sz val="10"/>
      <color theme="1"/>
      <name val="Arial"/>
      <charset val="134"/>
    </font>
    <font>
      <sz val="11"/>
      <color rgb="FF000000"/>
      <name val="Arial"/>
      <charset val="134"/>
    </font>
    <font>
      <b/>
      <sz val="10"/>
      <color theme="0"/>
      <name val="Arial"/>
      <charset val="134"/>
    </font>
    <font>
      <b/>
      <sz val="10"/>
      <color rgb="FF000000"/>
      <name val="微软雅黑"/>
      <charset val="134"/>
    </font>
    <font>
      <b/>
      <sz val="10"/>
      <color theme="1"/>
      <name val="微软雅黑"/>
      <charset val="134"/>
    </font>
    <font>
      <b/>
      <sz val="10"/>
      <color rgb="FFFF0000"/>
      <name val="微软雅黑"/>
      <charset val="134"/>
    </font>
    <font>
      <sz val="10"/>
      <color rgb="FF000000"/>
      <name val="微软雅黑"/>
      <charset val="134"/>
    </font>
    <font>
      <sz val="10"/>
      <name val="Arail"/>
      <charset val="134"/>
    </font>
    <font>
      <sz val="10"/>
      <color theme="1"/>
      <name val="微软雅黑"/>
      <charset val="134"/>
    </font>
    <font>
      <b/>
      <strike/>
      <sz val="8"/>
      <color rgb="FF0000FF"/>
      <name val="Arial"/>
      <charset val="134"/>
    </font>
    <font>
      <b/>
      <sz val="9"/>
      <color rgb="FFFF0000"/>
      <name val="Arial"/>
      <charset val="134"/>
    </font>
    <font>
      <b/>
      <sz val="14"/>
      <name val="Arial"/>
      <charset val="134"/>
    </font>
    <font>
      <sz val="9"/>
      <color indexed="8"/>
      <name val="Arial"/>
      <charset val="134"/>
    </font>
    <font>
      <b/>
      <sz val="11"/>
      <color rgb="FFFFFFFF"/>
      <name val="Arial"/>
      <charset val="134"/>
    </font>
    <font>
      <sz val="11"/>
      <color rgb="FFFFFFFF"/>
      <name val="Arial"/>
      <charset val="134"/>
    </font>
    <font>
      <sz val="11"/>
      <color rgb="FFFF0000"/>
      <name val="Arial"/>
      <charset val="134"/>
    </font>
    <font>
      <b/>
      <sz val="11"/>
      <color rgb="FF1A1A24"/>
      <name val="Arial"/>
      <charset val="134"/>
    </font>
    <font>
      <sz val="11"/>
      <color rgb="FF1A1A24"/>
      <name val="Arial"/>
      <charset val="134"/>
    </font>
    <font>
      <b/>
      <sz val="11"/>
      <name val="Arial"/>
      <charset val="134"/>
    </font>
    <font>
      <b/>
      <sz val="11"/>
      <color rgb="FF1A1A24"/>
      <name val="微软雅黑"/>
      <charset val="134"/>
    </font>
    <font>
      <i/>
      <sz val="11"/>
      <color rgb="FFEBD621"/>
      <name val="Arial"/>
      <charset val="134"/>
    </font>
    <font>
      <i/>
      <sz val="11"/>
      <color rgb="FFF76900"/>
      <name val="Arial"/>
      <charset val="134"/>
    </font>
    <font>
      <b/>
      <sz val="11"/>
      <color rgb="FF000000"/>
      <name val="Arial"/>
      <charset val="134"/>
    </font>
    <font>
      <b/>
      <sz val="11"/>
      <color theme="1"/>
      <name val="Arial"/>
      <charset val="134"/>
    </font>
    <font>
      <b/>
      <i/>
      <sz val="11"/>
      <color rgb="FF1A1A24"/>
      <name val="Arial"/>
      <charset val="134"/>
    </font>
    <font>
      <b/>
      <sz val="11"/>
      <color rgb="FFFFFFFF"/>
      <name val="微软雅黑"/>
      <charset val="134"/>
    </font>
    <font>
      <b/>
      <sz val="11"/>
      <color theme="1"/>
      <name val="微软雅黑"/>
      <charset val="134"/>
    </font>
    <font>
      <sz val="10"/>
      <color indexed="8"/>
      <name val="Arial"/>
      <charset val="134"/>
    </font>
    <font>
      <i/>
      <sz val="10"/>
      <name val="Arial"/>
      <charset val="134"/>
    </font>
    <font>
      <u/>
      <sz val="10"/>
      <color rgb="FF0563C1"/>
      <name val="Arial"/>
      <charset val="134"/>
    </font>
    <font>
      <b/>
      <sz val="10"/>
      <color indexed="8"/>
      <name val="Arial"/>
      <charset val="134"/>
    </font>
    <font>
      <sz val="11"/>
      <color rgb="FFFF0000"/>
      <name val="宋体"/>
      <charset val="134"/>
      <scheme val="minor"/>
    </font>
    <font>
      <b/>
      <sz val="14"/>
      <color rgb="FFFFC000"/>
      <name val="Arial"/>
      <charset val="134"/>
    </font>
    <font>
      <b/>
      <sz val="10"/>
      <color rgb="FFFFC000"/>
      <name val="Arial"/>
      <charset val="134"/>
    </font>
    <font>
      <b/>
      <sz val="10"/>
      <color rgb="FF0000FF"/>
      <name val="Arial"/>
      <charset val="134"/>
    </font>
    <font>
      <sz val="14"/>
      <color rgb="FFFFFFFF"/>
      <name val="Arial"/>
      <charset val="134"/>
    </font>
    <font>
      <b/>
      <sz val="10"/>
      <color indexed="10"/>
      <name val="Arial"/>
      <charset val="134"/>
    </font>
    <font>
      <sz val="12"/>
      <name val="Times New Roman"/>
      <charset val="134"/>
    </font>
    <font>
      <i/>
      <sz val="10"/>
      <name val="微软雅黑"/>
      <charset val="134"/>
    </font>
    <font>
      <sz val="14"/>
      <color theme="1"/>
      <name val="Arial"/>
      <charset val="134"/>
    </font>
    <font>
      <b/>
      <sz val="12"/>
      <name val="Arial"/>
      <charset val="134"/>
    </font>
    <font>
      <b/>
      <strike/>
      <sz val="10"/>
      <color rgb="FF0000FF"/>
      <name val="Arial"/>
      <charset val="134"/>
    </font>
    <font>
      <b/>
      <i/>
      <sz val="9"/>
      <color rgb="FFFF0000"/>
      <name val="Arial"/>
      <charset val="134"/>
    </font>
    <font>
      <i/>
      <sz val="9"/>
      <color theme="4" tint="-0.249977111117893"/>
      <name val="Arial"/>
      <charset val="134"/>
    </font>
    <font>
      <i/>
      <sz val="10"/>
      <color rgb="FF000000"/>
      <name val="Arial"/>
      <charset val="134"/>
    </font>
    <font>
      <b/>
      <i/>
      <sz val="10"/>
      <color theme="1"/>
      <name val="Arial"/>
      <charset val="134"/>
    </font>
    <font>
      <b/>
      <i/>
      <sz val="10"/>
      <color rgb="FFFF0000"/>
      <name val="Arial"/>
      <charset val="134"/>
    </font>
    <font>
      <sz val="10"/>
      <color rgb="FFFF0000"/>
      <name val="Arial"/>
      <charset val="134"/>
    </font>
    <font>
      <sz val="14"/>
      <name val="Arial"/>
      <charset val="134"/>
    </font>
    <font>
      <i/>
      <sz val="10"/>
      <color rgb="FFFF0000"/>
      <name val="Arial"/>
      <charset val="134"/>
    </font>
    <font>
      <sz val="10"/>
      <color rgb="FF242424"/>
      <name val="Arial"/>
      <charset val="134"/>
    </font>
    <font>
      <sz val="10"/>
      <color theme="0"/>
      <name val="Arial"/>
      <charset val="134"/>
    </font>
    <font>
      <b/>
      <sz val="16"/>
      <color rgb="FFFF0000"/>
      <name val="Arial"/>
      <charset val="134"/>
    </font>
    <font>
      <b/>
      <sz val="14"/>
      <color rgb="FF000000"/>
      <name val="Arial"/>
      <charset val="134"/>
    </font>
    <font>
      <u/>
      <sz val="11"/>
      <color theme="4"/>
      <name val="Arial"/>
      <charset val="134"/>
    </font>
    <font>
      <b/>
      <u/>
      <sz val="10"/>
      <color theme="4"/>
      <name val="Arial"/>
      <charset val="134"/>
    </font>
    <font>
      <u/>
      <sz val="11"/>
      <color theme="10"/>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indexed="9"/>
      <name val="宋体"/>
      <charset val="134"/>
    </font>
    <font>
      <sz val="11"/>
      <color theme="1"/>
      <name val="宋体"/>
      <charset val="0"/>
      <scheme val="minor"/>
    </font>
    <font>
      <sz val="11"/>
      <color theme="0"/>
      <name val="宋体"/>
      <charset val="0"/>
      <scheme val="minor"/>
    </font>
    <font>
      <sz val="10"/>
      <name val="Helv"/>
      <charset val="134"/>
    </font>
    <font>
      <sz val="12"/>
      <name val="宋体"/>
      <charset val="134"/>
    </font>
    <font>
      <sz val="13"/>
      <name val="Tms Rmn"/>
      <charset val="134"/>
    </font>
    <font>
      <sz val="12"/>
      <color indexed="9"/>
      <name val="宋体"/>
      <charset val="134"/>
    </font>
    <font>
      <sz val="12"/>
      <color indexed="8"/>
      <name val="宋体"/>
      <charset val="134"/>
    </font>
    <font>
      <sz val="11"/>
      <color theme="0"/>
      <name val="宋体"/>
      <charset val="134"/>
      <scheme val="minor"/>
    </font>
    <font>
      <sz val="11"/>
      <color rgb="FF9C0006"/>
      <name val="宋体"/>
      <charset val="134"/>
      <scheme val="minor"/>
    </font>
    <font>
      <b/>
      <sz val="10"/>
      <name val="Helv"/>
      <charset val="134"/>
    </font>
    <font>
      <sz val="11"/>
      <color theme="1"/>
      <name val="宋体"/>
      <charset val="134"/>
      <scheme val="minor"/>
    </font>
    <font>
      <b/>
      <sz val="11"/>
      <color theme="0"/>
      <name val="宋体"/>
      <charset val="134"/>
    </font>
    <font>
      <b/>
      <sz val="11"/>
      <color theme="0"/>
      <name val="宋体"/>
      <charset val="134"/>
      <scheme val="minor"/>
    </font>
    <font>
      <b/>
      <sz val="13"/>
      <name val="Tms Rmn"/>
      <charset val="134"/>
    </font>
    <font>
      <sz val="11"/>
      <color indexed="8"/>
      <name val="宋体"/>
      <charset val="134"/>
    </font>
    <font>
      <sz val="10"/>
      <color theme="1"/>
      <name val="times new roman"/>
      <charset val="134"/>
    </font>
    <font>
      <sz val="10"/>
      <name val="宋体"/>
      <charset val="134"/>
    </font>
    <font>
      <sz val="11"/>
      <color theme="1"/>
      <name val="SimSun"/>
      <charset val="134"/>
    </font>
    <font>
      <sz val="11"/>
      <color rgb="FF000000"/>
      <name val="Calibri"/>
      <charset val="134"/>
    </font>
    <font>
      <sz val="10"/>
      <color theme="1"/>
      <name val="Tahoma"/>
      <charset val="134"/>
    </font>
    <font>
      <sz val="10"/>
      <name val="Times New Roman"/>
      <charset val="134"/>
    </font>
    <font>
      <b/>
      <sz val="11"/>
      <color rgb="FFFF0000"/>
      <name val="宋体"/>
      <charset val="134"/>
    </font>
    <font>
      <sz val="9"/>
      <name val="Times New Roman"/>
      <charset val="134"/>
    </font>
    <font>
      <sz val="8"/>
      <name val="Arial"/>
      <charset val="134"/>
    </font>
    <font>
      <sz val="11"/>
      <color rgb="FF006100"/>
      <name val="宋体"/>
      <charset val="134"/>
    </font>
    <font>
      <sz val="11"/>
      <color rgb="FF006100"/>
      <name val="宋体"/>
      <charset val="134"/>
      <scheme val="minor"/>
    </font>
    <font>
      <b/>
      <sz val="12"/>
      <name val="Helv"/>
      <charset val="134"/>
    </font>
    <font>
      <b/>
      <sz val="10"/>
      <color theme="1"/>
      <name val="宋体"/>
      <charset val="134"/>
    </font>
    <font>
      <u/>
      <sz val="11"/>
      <color theme="10"/>
      <name val="宋体"/>
      <charset val="134"/>
      <scheme val="minor"/>
    </font>
    <font>
      <u/>
      <sz val="11"/>
      <color theme="10"/>
      <name val="宋体"/>
      <charset val="134"/>
    </font>
    <font>
      <u/>
      <sz val="10"/>
      <color theme="10"/>
      <name val="Arial"/>
      <charset val="134"/>
    </font>
    <font>
      <u/>
      <sz val="12"/>
      <color theme="10"/>
      <name val="Arial"/>
      <charset val="134"/>
    </font>
    <font>
      <u/>
      <sz val="10"/>
      <color indexed="12"/>
      <name val="宋体"/>
      <charset val="134"/>
    </font>
    <font>
      <u/>
      <sz val="10"/>
      <color theme="10"/>
      <name val="等线"/>
      <charset val="134"/>
    </font>
    <font>
      <b/>
      <sz val="11"/>
      <name val="Helv"/>
      <charset val="134"/>
    </font>
    <font>
      <sz val="11"/>
      <color rgb="FF9C5700"/>
      <name val="宋体"/>
      <charset val="134"/>
      <scheme val="minor"/>
    </font>
    <font>
      <sz val="10"/>
      <name val="SimSun"/>
      <charset val="134"/>
    </font>
    <font>
      <sz val="10"/>
      <name val="宋体"/>
      <charset val="134"/>
    </font>
    <font>
      <sz val="9"/>
      <color theme="1"/>
      <name val="Arial"/>
      <charset val="134"/>
    </font>
    <font>
      <sz val="8"/>
      <name val="EYInterstate Light"/>
      <charset val="134"/>
    </font>
    <font>
      <sz val="11"/>
      <color theme="1"/>
      <name val="宋体"/>
      <charset val="134"/>
    </font>
    <font>
      <sz val="11"/>
      <color indexed="8"/>
      <name val="Calibri"/>
      <charset val="134"/>
    </font>
    <font>
      <sz val="8"/>
      <name val="EYInterstate Light"/>
      <charset val="134"/>
    </font>
    <font>
      <sz val="12"/>
      <name val="Arial"/>
      <charset val="134"/>
    </font>
    <font>
      <sz val="10"/>
      <name val="Tahoma"/>
      <charset val="134"/>
    </font>
    <font>
      <sz val="11"/>
      <color indexed="8"/>
      <name val="宋体"/>
      <charset val="134"/>
      <scheme val="minor"/>
    </font>
    <font>
      <sz val="10"/>
      <color theme="1"/>
      <name val="Times New Roman"/>
      <charset val="134"/>
    </font>
    <font>
      <sz val="11"/>
      <color rgb="FF000000"/>
      <name val="宋体"/>
      <charset val="134"/>
      <scheme val="minor"/>
    </font>
    <font>
      <sz val="9"/>
      <color theme="1"/>
      <name val="Arial Unicode MS"/>
      <charset val="134"/>
    </font>
    <font>
      <sz val="12"/>
      <color theme="1"/>
      <name val="宋体"/>
      <charset val="134"/>
    </font>
    <font>
      <sz val="10"/>
      <color theme="1"/>
      <name val="SimSun"/>
      <charset val="134"/>
    </font>
    <font>
      <strike/>
      <sz val="10"/>
      <name val="Arial"/>
      <charset val="134"/>
    </font>
    <font>
      <sz val="10"/>
      <color indexed="8"/>
      <name val="MS Sans Serif"/>
      <charset val="134"/>
    </font>
    <font>
      <sz val="8"/>
      <color indexed="16"/>
      <name val="Century Schoolbook"/>
      <charset val="134"/>
    </font>
    <font>
      <b/>
      <sz val="10"/>
      <color indexed="39"/>
      <name val="Arial"/>
      <charset val="134"/>
    </font>
    <font>
      <b/>
      <sz val="12"/>
      <color indexed="8"/>
      <name val="Arial"/>
      <charset val="134"/>
    </font>
    <font>
      <sz val="10"/>
      <color indexed="39"/>
      <name val="Arial"/>
      <charset val="134"/>
    </font>
    <font>
      <sz val="19"/>
      <color indexed="48"/>
      <name val="Arial"/>
      <charset val="134"/>
    </font>
    <font>
      <sz val="10"/>
      <color indexed="10"/>
      <name val="Arial"/>
      <charset val="134"/>
    </font>
    <font>
      <b/>
      <i/>
      <sz val="10"/>
      <name val="Times New Roman"/>
      <charset val="134"/>
    </font>
    <font>
      <b/>
      <sz val="9"/>
      <name val="Times New Roman"/>
      <charset val="134"/>
    </font>
    <font>
      <sz val="11"/>
      <name val="明朝"/>
      <charset val="134"/>
    </font>
    <font>
      <sz val="10"/>
      <name val="Arial Narrow"/>
      <charset val="134"/>
    </font>
    <font>
      <sz val="14"/>
      <name val="柧挬"/>
      <charset val="134"/>
    </font>
    <font>
      <b/>
      <sz val="18"/>
      <color indexed="35"/>
      <name val="宋体"/>
      <charset val="134"/>
    </font>
    <font>
      <sz val="8"/>
      <name val="Century Schoolbook"/>
      <charset val="134"/>
    </font>
    <font>
      <b/>
      <sz val="18"/>
      <color indexed="62"/>
      <name val="宋体"/>
      <charset val="134"/>
    </font>
    <font>
      <sz val="11"/>
      <color indexed="26"/>
      <name val="宋体"/>
      <charset val="134"/>
    </font>
    <font>
      <sz val="11"/>
      <color indexed="20"/>
      <name val="宋体"/>
      <charset val="134"/>
    </font>
    <font>
      <sz val="12"/>
      <color indexed="16"/>
      <name val="宋体"/>
      <charset val="134"/>
    </font>
    <font>
      <sz val="10"/>
      <name val="宋体"/>
      <charset val="134"/>
      <scheme val="minor"/>
    </font>
    <font>
      <sz val="10"/>
      <color theme="1"/>
      <name val="等线"/>
      <charset val="134"/>
    </font>
    <font>
      <sz val="12"/>
      <color rgb="FF000000"/>
      <name val="Calibri"/>
      <charset val="134"/>
    </font>
    <font>
      <u/>
      <sz val="12"/>
      <color indexed="12"/>
      <name val="宋体"/>
      <charset val="134"/>
    </font>
    <font>
      <u/>
      <sz val="11"/>
      <color theme="10"/>
      <name val="SimSun"/>
      <charset val="134"/>
    </font>
    <font>
      <sz val="11"/>
      <color indexed="38"/>
      <name val="宋体"/>
      <charset val="134"/>
    </font>
    <font>
      <sz val="11"/>
      <color indexed="17"/>
      <name val="宋体"/>
      <charset val="134"/>
    </font>
    <font>
      <sz val="12"/>
      <color indexed="17"/>
      <name val="宋体"/>
      <charset val="134"/>
    </font>
    <font>
      <sz val="11"/>
      <color indexed="21"/>
      <name val="宋体"/>
      <charset val="134"/>
    </font>
    <font>
      <sz val="10"/>
      <name val="Geneva"/>
      <charset val="134"/>
    </font>
    <font>
      <sz val="12"/>
      <name val="新細明體"/>
      <charset val="134"/>
    </font>
    <font>
      <sz val="12"/>
      <name val="官帕眉"/>
      <charset val="134"/>
    </font>
    <font>
      <sz val="10"/>
      <name val="奔覆眉"/>
      <charset val="134"/>
    </font>
    <font>
      <b/>
      <sz val="12"/>
      <color indexed="8"/>
      <name val="宋体"/>
      <charset val="134"/>
    </font>
    <font>
      <sz val="12"/>
      <name val="柧挬"/>
      <charset val="134"/>
    </font>
    <font>
      <sz val="11"/>
      <name val="ＭＳ Ｐゴシック"/>
      <charset val="134"/>
    </font>
    <font>
      <sz val="12"/>
      <name val="바탕체"/>
      <charset val="134"/>
    </font>
    <font>
      <b/>
      <sz val="12"/>
      <color rgb="FF000000"/>
      <name val="微软雅黑"/>
      <charset val="134"/>
    </font>
    <font>
      <b/>
      <i/>
      <sz val="10"/>
      <color theme="1"/>
      <name val="微软雅黑"/>
      <charset val="134"/>
    </font>
    <font>
      <b/>
      <sz val="10"/>
      <color rgb="FFFF0000"/>
      <name val="宋体"/>
      <charset val="134"/>
    </font>
    <font>
      <b/>
      <sz val="12"/>
      <name val="微软雅黑"/>
      <charset val="134"/>
    </font>
    <font>
      <sz val="11"/>
      <color rgb="FFFFFFFF"/>
      <name val="微软雅黑"/>
      <charset val="134"/>
    </font>
    <font>
      <b/>
      <sz val="10"/>
      <color rgb="FF000000"/>
      <name val="Microsoft YaHei"/>
      <charset val="134"/>
    </font>
    <font>
      <b/>
      <i/>
      <sz val="9"/>
      <color rgb="FFFF0000"/>
      <name val="微软雅黑"/>
      <charset val="134"/>
    </font>
    <font>
      <b/>
      <i/>
      <sz val="10"/>
      <color rgb="FFFF0000"/>
      <name val="微软雅黑"/>
      <charset val="134"/>
    </font>
    <font>
      <b/>
      <sz val="11"/>
      <color rgb="FF000000"/>
      <name val="微软雅黑"/>
      <charset val="134"/>
    </font>
    <font>
      <b/>
      <sz val="11"/>
      <name val="微软雅黑"/>
      <charset val="134"/>
    </font>
    <font>
      <b/>
      <u/>
      <sz val="11"/>
      <color theme="4"/>
      <name val="微软雅黑"/>
      <charset val="134"/>
    </font>
    <font>
      <sz val="11"/>
      <color theme="1"/>
      <name val="微软雅黑"/>
      <charset val="134"/>
    </font>
    <font>
      <b/>
      <u/>
      <sz val="10"/>
      <color theme="4"/>
      <name val="微软雅黑"/>
      <charset val="134"/>
    </font>
    <font>
      <b/>
      <vertAlign val="superscript"/>
      <sz val="10"/>
      <color rgb="FFFF0000"/>
      <name val="Arial"/>
      <charset val="134"/>
    </font>
    <font>
      <sz val="11"/>
      <color rgb="FF1A1A24"/>
      <name val="微软雅黑"/>
      <charset val="134"/>
    </font>
    <font>
      <sz val="11"/>
      <color rgb="FF1A1A24"/>
      <name val="宋体"/>
      <charset val="134"/>
    </font>
    <font>
      <b/>
      <sz val="14"/>
      <color theme="0"/>
      <name val="微软雅黑"/>
      <charset val="134"/>
    </font>
    <font>
      <b/>
      <sz val="14"/>
      <color rgb="FFFFFFFF"/>
      <name val="微软雅黑"/>
      <charset val="134"/>
    </font>
    <font>
      <b/>
      <sz val="14"/>
      <color rgb="FF000000"/>
      <name val="微软雅黑"/>
      <charset val="134"/>
    </font>
    <font>
      <sz val="10"/>
      <name val="宋体"/>
      <charset val="134"/>
    </font>
  </fonts>
  <fills count="97">
    <fill>
      <patternFill patternType="none"/>
    </fill>
    <fill>
      <patternFill patternType="gray125"/>
    </fill>
    <fill>
      <patternFill patternType="solid">
        <fgColor theme="1"/>
        <bgColor indexed="64"/>
      </patternFill>
    </fill>
    <fill>
      <patternFill patternType="solid">
        <fgColor rgb="FF000000"/>
        <bgColor rgb="FF000000"/>
      </patternFill>
    </fill>
    <fill>
      <patternFill patternType="solid">
        <fgColor rgb="FF000099"/>
        <bgColor indexed="64"/>
      </patternFill>
    </fill>
    <fill>
      <patternFill patternType="solid">
        <fgColor theme="0" tint="-0.0499893185216834"/>
        <bgColor rgb="FF000000"/>
      </patternFill>
    </fill>
    <fill>
      <patternFill patternType="solid">
        <fgColor theme="0" tint="-0.349986266670736"/>
        <bgColor indexed="64"/>
      </patternFill>
    </fill>
    <fill>
      <patternFill patternType="solid">
        <fgColor theme="0"/>
        <bgColor indexed="64"/>
      </patternFill>
    </fill>
    <fill>
      <patternFill patternType="solid">
        <fgColor rgb="FF333399"/>
        <bgColor indexed="64"/>
      </patternFill>
    </fill>
    <fill>
      <patternFill patternType="solid">
        <fgColor rgb="FFF2F2F2"/>
        <bgColor rgb="FF000000"/>
      </patternFill>
    </fill>
    <fill>
      <patternFill patternType="solid">
        <fgColor rgb="FFA6A6A6"/>
        <bgColor rgb="FF000000"/>
      </patternFill>
    </fill>
    <fill>
      <patternFill patternType="solid">
        <fgColor rgb="FFFFFFFF"/>
        <bgColor rgb="FF000000"/>
      </patternFill>
    </fill>
    <fill>
      <patternFill patternType="solid">
        <fgColor rgb="FF2E2E38"/>
        <bgColor indexed="64"/>
      </patternFill>
    </fill>
    <fill>
      <patternFill patternType="solid">
        <fgColor rgb="FF747480"/>
        <bgColor indexed="64"/>
      </patternFill>
    </fill>
    <fill>
      <patternFill patternType="solid">
        <fgColor rgb="FFF6F6FA"/>
        <bgColor indexed="64"/>
      </patternFill>
    </fill>
    <fill>
      <patternFill patternType="solid">
        <fgColor rgb="FFC4C4CD"/>
        <bgColor indexed="64"/>
      </patternFill>
    </fill>
    <fill>
      <patternFill patternType="solid">
        <fgColor rgb="FF808080"/>
        <bgColor indexed="64"/>
      </patternFill>
    </fill>
    <fill>
      <patternFill patternType="solid">
        <fgColor rgb="FFFFFF00"/>
        <bgColor indexed="64"/>
      </patternFill>
    </fill>
    <fill>
      <patternFill patternType="solid">
        <fgColor rgb="FFA6A6A6"/>
        <bgColor indexed="64"/>
      </patternFill>
    </fill>
    <fill>
      <patternFill patternType="solid">
        <fgColor theme="3" tint="0.799981688894314"/>
        <bgColor indexed="64"/>
      </patternFill>
    </fill>
    <fill>
      <patternFill patternType="solid">
        <fgColor theme="0" tint="-0.0499893185216834"/>
        <bgColor indexed="64"/>
      </patternFill>
    </fill>
    <fill>
      <patternFill patternType="solid">
        <fgColor theme="0" tint="-0.349925229651784"/>
        <bgColor indexed="64"/>
      </patternFill>
    </fill>
    <fill>
      <patternFill patternType="solid">
        <fgColor rgb="FF333399"/>
        <bgColor rgb="FF000000"/>
      </patternFill>
    </fill>
    <fill>
      <patternFill patternType="solid">
        <fgColor theme="0" tint="-0.349986266670736"/>
        <bgColor rgb="FF000000"/>
      </patternFill>
    </fill>
    <fill>
      <patternFill patternType="solid">
        <fgColor theme="4" tint="0.799981688894314"/>
        <bgColor indexed="64"/>
      </patternFill>
    </fill>
    <fill>
      <patternFill patternType="solid">
        <fgColor rgb="FFDCE6F1"/>
        <bgColor rgb="FF000000"/>
      </patternFill>
    </fill>
    <fill>
      <patternFill patternType="solid">
        <fgColor rgb="FFD3D3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indexed="43"/>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indexed="62"/>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indexed="2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indexed="47"/>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310281685843"/>
        <bgColor indexed="64"/>
      </patternFill>
    </fill>
    <fill>
      <patternFill patternType="solid">
        <fgColor theme="9" tint="0.799310281685843"/>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theme="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theme="6"/>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solid">
        <fgColor theme="9"/>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FFEB9C"/>
        <bgColor indexed="64"/>
      </patternFill>
    </fill>
    <fill>
      <patternFill patternType="solid">
        <fgColor indexed="40"/>
        <bgColor indexed="64"/>
      </patternFill>
    </fill>
    <fill>
      <patternFill patternType="solid">
        <fgColor indexed="45"/>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s>
  <borders count="87">
    <border>
      <left/>
      <right/>
      <top/>
      <bottom/>
      <diagonal/>
    </border>
    <border>
      <left style="thin">
        <color auto="1"/>
      </left>
      <right/>
      <top style="thin">
        <color auto="1"/>
      </top>
      <bottom style="thin">
        <color auto="1"/>
      </bottom>
      <diagonal/>
    </border>
    <border>
      <left/>
      <right/>
      <top style="thin">
        <color auto="1"/>
      </top>
      <bottom style="thin">
        <color rgb="FF000000"/>
      </bottom>
      <diagonal/>
    </border>
    <border>
      <left/>
      <right style="thin">
        <color auto="1"/>
      </right>
      <top style="thin">
        <color auto="1"/>
      </top>
      <bottom style="thin">
        <color rgb="FF000000"/>
      </bottom>
      <diagonal/>
    </border>
    <border>
      <left style="thin">
        <color auto="1"/>
      </left>
      <right/>
      <top style="thin">
        <color rgb="FF000000"/>
      </top>
      <bottom style="thin">
        <color auto="1"/>
      </bottom>
      <diagonal/>
    </border>
    <border>
      <left/>
      <right/>
      <top style="thin">
        <color rgb="FF000000"/>
      </top>
      <bottom style="thin">
        <color auto="1"/>
      </bottom>
      <diagonal/>
    </border>
    <border>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rgb="FF000000"/>
      </right>
      <top style="thin">
        <color auto="1"/>
      </top>
      <bottom style="thin">
        <color auto="1"/>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thin">
        <color auto="1"/>
      </right>
      <top/>
      <bottom style="thin">
        <color auto="1"/>
      </bottom>
      <diagonal/>
    </border>
    <border>
      <left/>
      <right style="thin">
        <color rgb="FF2E2E38"/>
      </right>
      <top/>
      <bottom/>
      <diagonal/>
    </border>
    <border>
      <left/>
      <right style="thin">
        <color rgb="FF2E2E38"/>
      </right>
      <top/>
      <bottom style="thin">
        <color auto="1"/>
      </bottom>
      <diagonal/>
    </border>
    <border>
      <left/>
      <right style="thin">
        <color rgb="FFC4C4CD"/>
      </right>
      <top/>
      <bottom/>
      <diagonal/>
    </border>
    <border>
      <left/>
      <right/>
      <top/>
      <bottom style="thin">
        <color rgb="FFC4C4CD"/>
      </bottom>
      <diagonal/>
    </border>
    <border>
      <left/>
      <right style="thin">
        <color rgb="FFC4C4CD"/>
      </right>
      <top style="thin">
        <color rgb="FFC4C4CD"/>
      </top>
      <bottom style="thin">
        <color rgb="FFC4C4CD"/>
      </bottom>
      <diagonal/>
    </border>
    <border>
      <left style="thin">
        <color rgb="FFC4C4CD"/>
      </left>
      <right/>
      <top style="thin">
        <color rgb="FFC4C4CD"/>
      </top>
      <bottom style="thin">
        <color rgb="FFC4C4CD"/>
      </bottom>
      <diagonal/>
    </border>
    <border>
      <left/>
      <right/>
      <top style="thin">
        <color rgb="FFC4C4CD"/>
      </top>
      <bottom style="thin">
        <color rgb="FFC4C4CD"/>
      </bottom>
      <diagonal/>
    </border>
    <border>
      <left/>
      <right style="thin">
        <color rgb="FFC4C4CD"/>
      </right>
      <top/>
      <bottom style="thin">
        <color rgb="FFC4C4CD"/>
      </bottom>
      <diagonal/>
    </border>
    <border>
      <left style="thin">
        <color auto="1"/>
      </left>
      <right style="thin">
        <color auto="1"/>
      </right>
      <top/>
      <bottom/>
      <diagonal/>
    </border>
    <border>
      <left/>
      <right/>
      <top/>
      <bottom style="double">
        <color auto="1"/>
      </bottom>
      <diagonal/>
    </border>
    <border>
      <left style="thin">
        <color rgb="FF000000"/>
      </left>
      <right/>
      <top style="thin">
        <color rgb="FF000000"/>
      </top>
      <bottom/>
      <diagonal/>
    </border>
    <border>
      <left/>
      <right/>
      <top style="thin">
        <color rgb="FF000000"/>
      </top>
      <bottom/>
      <diagonal/>
    </border>
    <border>
      <left style="medium">
        <color auto="1"/>
      </left>
      <right style="medium">
        <color auto="1"/>
      </right>
      <top style="thin">
        <color rgb="FF000000"/>
      </top>
      <bottom/>
      <diagonal/>
    </border>
    <border>
      <left style="medium">
        <color auto="1"/>
      </left>
      <right style="thin">
        <color rgb="FF000000"/>
      </right>
      <top style="thin">
        <color rgb="FF000000"/>
      </top>
      <bottom/>
      <diagonal/>
    </border>
    <border>
      <left style="thin">
        <color rgb="FF000000"/>
      </left>
      <right/>
      <top style="thin">
        <color auto="1"/>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auto="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auto="1"/>
      </top>
      <bottom style="thin">
        <color auto="1"/>
      </bottom>
      <diagonal/>
    </border>
    <border>
      <left/>
      <right style="thin">
        <color rgb="FF000000"/>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auto="1"/>
      </bottom>
      <diagonal/>
    </border>
    <border>
      <left/>
      <right/>
      <top style="thin">
        <color auto="1"/>
      </top>
      <bottom style="double">
        <color auto="1"/>
      </bottom>
      <diagonal/>
    </border>
    <border>
      <left style="thin">
        <color rgb="FF000000"/>
      </left>
      <right/>
      <top/>
      <bottom style="thin">
        <color rgb="FF000000"/>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double">
        <color indexed="8"/>
      </left>
      <right style="double">
        <color indexed="8"/>
      </right>
      <top style="double">
        <color indexed="8"/>
      </top>
      <bottom style="double">
        <color indexed="8"/>
      </bottom>
      <diagonal/>
    </border>
    <border>
      <left/>
      <right/>
      <top style="medium">
        <color auto="1"/>
      </top>
      <bottom style="medium">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s>
  <cellStyleXfs count="11654">
    <xf numFmtId="0" fontId="0" fillId="0" borderId="0"/>
    <xf numFmtId="43" fontId="82" fillId="0" borderId="0" applyFont="0" applyFill="0" applyBorder="0" applyAlignment="0" applyProtection="0">
      <alignment vertical="center"/>
    </xf>
    <xf numFmtId="44" fontId="82" fillId="0" borderId="0" applyFont="0" applyFill="0" applyBorder="0" applyAlignment="0" applyProtection="0">
      <alignment vertical="center"/>
    </xf>
    <xf numFmtId="9" fontId="0" fillId="0" borderId="0" applyFont="0" applyFill="0" applyBorder="0" applyAlignment="0" applyProtection="0"/>
    <xf numFmtId="41" fontId="82" fillId="0" borderId="0" applyFont="0" applyFill="0" applyBorder="0" applyAlignment="0" applyProtection="0">
      <alignment vertical="center"/>
    </xf>
    <xf numFmtId="42" fontId="82" fillId="0" borderId="0" applyFont="0" applyFill="0" applyBorder="0" applyAlignment="0" applyProtection="0">
      <alignment vertical="center"/>
    </xf>
    <xf numFmtId="0" fontId="83"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2" fillId="27" borderId="73" applyNumberFormat="0" applyFont="0" applyAlignment="0" applyProtection="0">
      <alignment vertical="center"/>
    </xf>
    <xf numFmtId="0" fontId="85"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8" fillId="0" borderId="74" applyNumberFormat="0" applyFill="0" applyAlignment="0" applyProtection="0">
      <alignment vertical="center"/>
    </xf>
    <xf numFmtId="0" fontId="89" fillId="0" borderId="74" applyNumberFormat="0" applyFill="0" applyAlignment="0" applyProtection="0">
      <alignment vertical="center"/>
    </xf>
    <xf numFmtId="0" fontId="90" fillId="0" borderId="75" applyNumberFormat="0" applyFill="0" applyAlignment="0" applyProtection="0">
      <alignment vertical="center"/>
    </xf>
    <xf numFmtId="0" fontId="90" fillId="0" borderId="0" applyNumberFormat="0" applyFill="0" applyBorder="0" applyAlignment="0" applyProtection="0">
      <alignment vertical="center"/>
    </xf>
    <xf numFmtId="0" fontId="91" fillId="28" borderId="76" applyNumberFormat="0" applyAlignment="0" applyProtection="0">
      <alignment vertical="center"/>
    </xf>
    <xf numFmtId="0" fontId="92" fillId="29" borderId="77" applyNumberFormat="0" applyAlignment="0" applyProtection="0">
      <alignment vertical="center"/>
    </xf>
    <xf numFmtId="0" fontId="93" fillId="29" borderId="76" applyNumberFormat="0" applyAlignment="0" applyProtection="0">
      <alignment vertical="center"/>
    </xf>
    <xf numFmtId="0" fontId="94" fillId="30" borderId="78" applyNumberFormat="0" applyAlignment="0" applyProtection="0">
      <alignment vertical="center"/>
    </xf>
    <xf numFmtId="0" fontId="95" fillId="0" borderId="79" applyNumberFormat="0" applyFill="0" applyAlignment="0" applyProtection="0">
      <alignment vertical="center"/>
    </xf>
    <xf numFmtId="0" fontId="96" fillId="0" borderId="80" applyNumberFormat="0" applyFill="0" applyAlignment="0" applyProtection="0">
      <alignment vertical="center"/>
    </xf>
    <xf numFmtId="0" fontId="97" fillId="31" borderId="0" applyNumberFormat="0" applyBorder="0" applyAlignment="0" applyProtection="0">
      <alignment vertical="center"/>
    </xf>
    <xf numFmtId="0" fontId="98" fillId="32" borderId="0" applyNumberFormat="0" applyBorder="0" applyAlignment="0" applyProtection="0">
      <alignment vertical="center"/>
    </xf>
    <xf numFmtId="0" fontId="99" fillId="33" borderId="0" applyNumberFormat="0" applyBorder="0" applyAlignment="0" applyProtection="0">
      <alignment vertical="center"/>
    </xf>
    <xf numFmtId="0" fontId="100" fillId="34" borderId="0" applyNumberFormat="0" applyBorder="0" applyProtection="0"/>
    <xf numFmtId="0" fontId="101" fillId="35" borderId="0" applyNumberFormat="0" applyBorder="0" applyAlignment="0" applyProtection="0">
      <alignment vertical="center"/>
    </xf>
    <xf numFmtId="0" fontId="101" fillId="36" borderId="0" applyNumberFormat="0" applyBorder="0" applyAlignment="0" applyProtection="0">
      <alignment vertical="center"/>
    </xf>
    <xf numFmtId="0" fontId="102" fillId="37" borderId="0" applyNumberFormat="0" applyBorder="0" applyAlignment="0" applyProtection="0">
      <alignment vertical="center"/>
    </xf>
    <xf numFmtId="0" fontId="100" fillId="38" borderId="0" applyNumberFormat="0" applyBorder="0" applyProtection="0"/>
    <xf numFmtId="0" fontId="101" fillId="39" borderId="0" applyNumberFormat="0" applyBorder="0" applyAlignment="0" applyProtection="0">
      <alignment vertical="center"/>
    </xf>
    <xf numFmtId="0" fontId="101" fillId="40" borderId="0" applyNumberFormat="0" applyBorder="0" applyAlignment="0" applyProtection="0">
      <alignment vertical="center"/>
    </xf>
    <xf numFmtId="0" fontId="102" fillId="41" borderId="0" applyNumberFormat="0" applyBorder="0" applyAlignment="0" applyProtection="0">
      <alignment vertical="center"/>
    </xf>
    <xf numFmtId="0" fontId="100" fillId="38" borderId="0" applyNumberFormat="0" applyBorder="0" applyProtection="0"/>
    <xf numFmtId="0" fontId="101" fillId="42" borderId="0" applyNumberFormat="0" applyBorder="0" applyAlignment="0" applyProtection="0">
      <alignment vertical="center"/>
    </xf>
    <xf numFmtId="0" fontId="101" fillId="43" borderId="0" applyNumberFormat="0" applyBorder="0" applyAlignment="0" applyProtection="0">
      <alignment vertical="center"/>
    </xf>
    <xf numFmtId="0" fontId="102" fillId="44" borderId="0" applyNumberFormat="0" applyBorder="0" applyAlignment="0" applyProtection="0">
      <alignment vertical="center"/>
    </xf>
    <xf numFmtId="0" fontId="100" fillId="45" borderId="0" applyNumberFormat="0" applyBorder="0" applyProtection="0"/>
    <xf numFmtId="0" fontId="101" fillId="46" borderId="0" applyNumberFormat="0" applyBorder="0" applyAlignment="0" applyProtection="0">
      <alignment vertical="center"/>
    </xf>
    <xf numFmtId="0" fontId="101" fillId="47" borderId="0" applyNumberFormat="0" applyBorder="0" applyAlignment="0" applyProtection="0">
      <alignment vertical="center"/>
    </xf>
    <xf numFmtId="0" fontId="102" fillId="48" borderId="0" applyNumberFormat="0" applyBorder="0" applyAlignment="0" applyProtection="0">
      <alignment vertical="center"/>
    </xf>
    <xf numFmtId="0" fontId="100" fillId="34" borderId="0" applyNumberFormat="0" applyBorder="0" applyProtection="0"/>
    <xf numFmtId="0" fontId="101" fillId="49" borderId="0" applyNumberFormat="0" applyBorder="0" applyAlignment="0" applyProtection="0">
      <alignment vertical="center"/>
    </xf>
    <xf numFmtId="0" fontId="101" fillId="50" borderId="0" applyNumberFormat="0" applyBorder="0" applyAlignment="0" applyProtection="0">
      <alignment vertical="center"/>
    </xf>
    <xf numFmtId="0" fontId="102" fillId="51" borderId="0" applyNumberFormat="0" applyBorder="0" applyAlignment="0" applyProtection="0">
      <alignment vertical="center"/>
    </xf>
    <xf numFmtId="0" fontId="100" fillId="52" borderId="0" applyNumberFormat="0" applyBorder="0" applyProtection="0"/>
    <xf numFmtId="0" fontId="101" fillId="53" borderId="0" applyNumberFormat="0" applyBorder="0" applyAlignment="0" applyProtection="0">
      <alignment vertical="center"/>
    </xf>
    <xf numFmtId="0" fontId="101" fillId="54" borderId="0" applyNumberFormat="0" applyBorder="0" applyAlignment="0" applyProtection="0">
      <alignment vertical="center"/>
    </xf>
    <xf numFmtId="0" fontId="102" fillId="55" borderId="0" applyNumberFormat="0" applyBorder="0" applyAlignment="0" applyProtection="0">
      <alignment vertical="center"/>
    </xf>
    <xf numFmtId="0" fontId="3" fillId="0" borderId="0"/>
    <xf numFmtId="176" fontId="103" fillId="0" borderId="0">
      <protection locked="0"/>
    </xf>
    <xf numFmtId="177" fontId="104" fillId="0" borderId="0" applyFont="0" applyFill="0" applyBorder="0" applyAlignment="0" applyProtection="0"/>
    <xf numFmtId="178" fontId="105" fillId="0" borderId="0" applyFont="0" applyFill="0" applyBorder="0" applyAlignment="0" applyProtection="0"/>
    <xf numFmtId="10" fontId="105" fillId="0" borderId="0" applyFont="0" applyFill="0" applyBorder="0" applyAlignment="0" applyProtection="0"/>
    <xf numFmtId="179" fontId="104" fillId="0" borderId="0" applyFont="0" applyFill="0" applyBorder="0" applyAlignment="0" applyProtection="0"/>
    <xf numFmtId="179" fontId="104" fillId="0" borderId="0" applyFont="0" applyFill="0" applyBorder="0" applyAlignment="0" applyProtection="0"/>
    <xf numFmtId="179" fontId="104" fillId="0" borderId="0" applyFont="0" applyFill="0" applyBorder="0" applyAlignment="0" applyProtection="0"/>
    <xf numFmtId="0" fontId="0" fillId="56" borderId="0" applyNumberFormat="0" applyBorder="0" applyProtection="0"/>
    <xf numFmtId="0" fontId="0" fillId="56" borderId="0" applyNumberFormat="0" applyBorder="0" applyProtection="0"/>
    <xf numFmtId="0" fontId="0" fillId="57" borderId="0" applyNumberFormat="0" applyBorder="0" applyProtection="0"/>
    <xf numFmtId="0" fontId="0" fillId="57" borderId="0" applyNumberFormat="0" applyBorder="0" applyProtection="0"/>
    <xf numFmtId="0" fontId="106" fillId="58"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6" fillId="60" borderId="0" applyNumberFormat="0" applyBorder="0" applyAlignment="0" applyProtection="0"/>
    <xf numFmtId="0" fontId="108" fillId="61" borderId="0" applyNumberFormat="0" applyBorder="0" applyAlignment="0" applyProtection="0">
      <alignment vertical="center"/>
    </xf>
    <xf numFmtId="0" fontId="106" fillId="62"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6" fillId="65" borderId="0" applyNumberFormat="0" applyBorder="0" applyAlignment="0" applyProtection="0"/>
    <xf numFmtId="0" fontId="108" fillId="66" borderId="0" applyNumberFormat="0" applyBorder="0" applyProtection="0"/>
    <xf numFmtId="0" fontId="108" fillId="66" borderId="0" applyNumberFormat="0" applyBorder="0" applyAlignment="0" applyProtection="0">
      <alignment vertical="center"/>
    </xf>
    <xf numFmtId="0" fontId="106" fillId="65" borderId="0" applyNumberFormat="0" applyBorder="0" applyAlignment="0" applyProtection="0"/>
    <xf numFmtId="0" fontId="107" fillId="63" borderId="0" applyNumberFormat="0" applyBorder="0" applyAlignment="0" applyProtection="0"/>
    <xf numFmtId="0" fontId="107" fillId="67" borderId="0" applyNumberFormat="0" applyBorder="0" applyAlignment="0" applyProtection="0"/>
    <xf numFmtId="0" fontId="106" fillId="64" borderId="0" applyNumberFormat="0" applyBorder="0" applyAlignment="0" applyProtection="0"/>
    <xf numFmtId="0" fontId="108" fillId="68" borderId="0" applyNumberFormat="0" applyBorder="0" applyAlignment="0" applyProtection="0">
      <alignment vertical="center"/>
    </xf>
    <xf numFmtId="0" fontId="106" fillId="58" borderId="0" applyNumberFormat="0" applyBorder="0" applyAlignment="0" applyProtection="0"/>
    <xf numFmtId="0" fontId="107" fillId="59" borderId="0" applyNumberFormat="0" applyBorder="0" applyAlignment="0" applyProtection="0"/>
    <xf numFmtId="0" fontId="107" fillId="64" borderId="0" applyNumberFormat="0" applyBorder="0" applyAlignment="0" applyProtection="0"/>
    <xf numFmtId="0" fontId="106" fillId="64" borderId="0" applyNumberFormat="0" applyBorder="0" applyAlignment="0" applyProtection="0"/>
    <xf numFmtId="0" fontId="108" fillId="69" borderId="0" applyNumberFormat="0" applyBorder="0" applyAlignment="0" applyProtection="0">
      <alignment vertical="center"/>
    </xf>
    <xf numFmtId="0" fontId="106" fillId="70" borderId="0" applyNumberFormat="0" applyBorder="0" applyAlignment="0" applyProtection="0"/>
    <xf numFmtId="0" fontId="107" fillId="71" borderId="0" applyNumberFormat="0" applyBorder="0" applyAlignment="0" applyProtection="0"/>
    <xf numFmtId="0" fontId="107" fillId="59" borderId="0" applyNumberFormat="0" applyBorder="0" applyAlignment="0" applyProtection="0"/>
    <xf numFmtId="0" fontId="106" fillId="60" borderId="0" applyNumberFormat="0" applyBorder="0" applyAlignment="0" applyProtection="0"/>
    <xf numFmtId="0" fontId="108" fillId="72" borderId="0" applyNumberFormat="0" applyBorder="0" applyAlignment="0" applyProtection="0">
      <alignment vertical="center"/>
    </xf>
    <xf numFmtId="0" fontId="106" fillId="73" borderId="0" applyNumberFormat="0" applyBorder="0" applyAlignment="0" applyProtection="0"/>
    <xf numFmtId="0" fontId="107" fillId="63" borderId="0" applyNumberFormat="0" applyBorder="0" applyAlignment="0" applyProtection="0"/>
    <xf numFmtId="0" fontId="107" fillId="52" borderId="0" applyNumberFormat="0" applyBorder="0" applyAlignment="0" applyProtection="0"/>
    <xf numFmtId="0" fontId="106" fillId="52" borderId="0" applyNumberFormat="0" applyBorder="0" applyAlignment="0" applyProtection="0"/>
    <xf numFmtId="0" fontId="108" fillId="74" borderId="0" applyNumberFormat="0" applyBorder="0" applyAlignment="0" applyProtection="0">
      <alignment vertical="center"/>
    </xf>
    <xf numFmtId="0" fontId="109" fillId="75" borderId="0" applyNumberFormat="0" applyBorder="0" applyProtection="0"/>
    <xf numFmtId="0" fontId="109" fillId="75" borderId="0" applyNumberFormat="0" applyBorder="0" applyProtection="0"/>
    <xf numFmtId="180" fontId="51" fillId="0" borderId="0" applyFill="0" applyBorder="0" applyAlignment="0"/>
    <xf numFmtId="0" fontId="110" fillId="0" borderId="0"/>
    <xf numFmtId="4" fontId="0" fillId="0" borderId="7">
      <alignment horizontal="right"/>
    </xf>
    <xf numFmtId="4" fontId="0" fillId="0" borderId="7">
      <alignment horizontal="right"/>
    </xf>
    <xf numFmtId="4" fontId="111" fillId="0" borderId="7">
      <alignment horizontal="right"/>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111" fillId="0" borderId="7">
      <alignment horizontal="right"/>
    </xf>
    <xf numFmtId="4" fontId="111" fillId="0" borderId="7">
      <alignment horizontal="right"/>
    </xf>
    <xf numFmtId="4" fontId="111" fillId="0" borderId="7">
      <alignment horizontal="right"/>
    </xf>
    <xf numFmtId="4" fontId="111" fillId="0" borderId="7">
      <alignment horizontal="right"/>
    </xf>
    <xf numFmtId="4" fontId="111" fillId="0" borderId="7">
      <alignment horizontal="right"/>
    </xf>
    <xf numFmtId="4" fontId="111" fillId="0" borderId="7">
      <alignment horizontal="right"/>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32" fillId="0" borderId="7">
      <alignment horizontal="right" vertical="center"/>
    </xf>
    <xf numFmtId="4" fontId="111" fillId="0" borderId="7">
      <alignment horizontal="right"/>
    </xf>
    <xf numFmtId="4" fontId="111" fillId="0" borderId="7">
      <alignment horizontal="right"/>
    </xf>
    <xf numFmtId="4" fontId="111" fillId="0" borderId="7">
      <alignment horizontal="right"/>
    </xf>
    <xf numFmtId="4" fontId="111" fillId="0" borderId="7">
      <alignment horizontal="right"/>
    </xf>
    <xf numFmtId="4" fontId="111" fillId="0" borderId="7">
      <alignment horizontal="right"/>
    </xf>
    <xf numFmtId="4" fontId="111" fillId="0" borderId="7">
      <alignment horizontal="right"/>
    </xf>
    <xf numFmtId="4" fontId="111"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111" fillId="0" borderId="7">
      <alignment horizontal="right"/>
    </xf>
    <xf numFmtId="4" fontId="111" fillId="0" borderId="7">
      <alignment horizontal="right"/>
    </xf>
    <xf numFmtId="4" fontId="111" fillId="0" borderId="7">
      <alignment horizontal="right"/>
    </xf>
    <xf numFmtId="4" fontId="111" fillId="0" borderId="7">
      <alignment horizontal="right"/>
    </xf>
    <xf numFmtId="4" fontId="111" fillId="0" borderId="7">
      <alignment horizontal="right"/>
    </xf>
    <xf numFmtId="4" fontId="111"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111" fillId="0" borderId="7">
      <alignment horizontal="right"/>
    </xf>
    <xf numFmtId="4" fontId="111" fillId="0" borderId="7">
      <alignment horizontal="right"/>
    </xf>
    <xf numFmtId="4" fontId="111" fillId="0" borderId="7">
      <alignment horizontal="right"/>
    </xf>
    <xf numFmtId="4" fontId="111" fillId="0" borderId="7">
      <alignment horizontal="right"/>
    </xf>
    <xf numFmtId="4" fontId="111" fillId="0" borderId="7">
      <alignment horizontal="right"/>
    </xf>
    <xf numFmtId="4" fontId="111"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4" fontId="0" fillId="0" borderId="7">
      <alignment horizontal="right"/>
    </xf>
    <xf numFmtId="10" fontId="0" fillId="0" borderId="7" applyAlignment="0"/>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0" fontId="32" fillId="0" borderId="7">
      <alignment horizontal="right" vertical="center"/>
    </xf>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10" fontId="0" fillId="0" borderId="7" applyAlignment="0"/>
    <xf numFmtId="0" fontId="112" fillId="76" borderId="81" applyNumberFormat="0" applyAlignment="0" applyProtection="0"/>
    <xf numFmtId="0" fontId="113" fillId="77" borderId="78" applyNumberFormat="0" applyAlignment="0" applyProtection="0"/>
    <xf numFmtId="0" fontId="113" fillId="77" borderId="78" applyNumberFormat="0" applyAlignment="0" applyProtection="0"/>
    <xf numFmtId="0" fontId="112" fillId="76" borderId="81" applyNumberFormat="0" applyAlignment="0" applyProtection="0"/>
    <xf numFmtId="0" fontId="113" fillId="77" borderId="78" applyNumberFormat="0" applyAlignment="0" applyProtection="0"/>
    <xf numFmtId="0" fontId="114" fillId="0" borderId="24" applyNumberFormat="0" applyFill="0" applyProtection="0">
      <alignment horizontal="center"/>
    </xf>
    <xf numFmtId="181" fontId="0" fillId="0" borderId="0" applyFont="0" applyFill="0" applyBorder="0" applyAlignment="0" applyProtection="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0"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Protection="0"/>
    <xf numFmtId="181" fontId="111"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Protection="0"/>
    <xf numFmtId="181" fontId="111"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4" fontId="3" fillId="0" borderId="0" applyFont="0" applyFill="0" applyBorder="0" applyAlignment="0" applyProtection="0"/>
    <xf numFmtId="181" fontId="111" fillId="0" borderId="0" applyFont="0" applyFill="0" applyBorder="0" applyProtection="0"/>
    <xf numFmtId="181" fontId="111" fillId="0" borderId="0" applyFont="0" applyFill="0" applyBorder="0" applyProtection="0"/>
    <xf numFmtId="181" fontId="111" fillId="0" borderId="0" applyFont="0" applyFill="0" applyBorder="0" applyProtection="0"/>
    <xf numFmtId="181" fontId="111" fillId="0" borderId="0" applyFont="0" applyFill="0" applyBorder="0" applyProtection="0"/>
    <xf numFmtId="184" fontId="3" fillId="0" borderId="0" applyFont="0" applyFill="0" applyBorder="0" applyAlignment="0" applyProtection="0"/>
    <xf numFmtId="181" fontId="111" fillId="0" borderId="0" applyFont="0" applyFill="0" applyBorder="0" applyProtection="0"/>
    <xf numFmtId="181" fontId="111"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6"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6" fillId="0" borderId="0" applyFont="0" applyFill="0" applyBorder="0" applyAlignment="0" applyProtection="0"/>
    <xf numFmtId="181" fontId="116" fillId="0" borderId="0" applyFont="0" applyFill="0" applyBorder="0" applyAlignment="0" applyProtection="0"/>
    <xf numFmtId="181" fontId="116" fillId="0" borderId="0" applyFont="0" applyFill="0" applyBorder="0" applyAlignment="0" applyProtection="0"/>
    <xf numFmtId="181" fontId="111" fillId="0" borderId="0" applyFont="0" applyFill="0" applyBorder="0" applyProtection="0"/>
    <xf numFmtId="181" fontId="111"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5" fontId="117"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7" fillId="0" borderId="0" applyFont="0" applyFill="0" applyBorder="0" applyProtection="0"/>
    <xf numFmtId="181" fontId="117"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3"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117" fillId="0" borderId="0" applyFont="0" applyFill="0" applyBorder="0" applyProtection="0"/>
    <xf numFmtId="181" fontId="117"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3"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118" fillId="0" borderId="0" applyFont="0" applyFill="0" applyBorder="0" applyAlignment="0" applyProtection="0"/>
    <xf numFmtId="181" fontId="118" fillId="0" borderId="0" applyFont="0" applyFill="0" applyBorder="0" applyAlignment="0" applyProtection="0"/>
    <xf numFmtId="181" fontId="3" fillId="0" borderId="0" applyFont="0" applyFill="0" applyBorder="0" applyAlignment="0" applyProtection="0"/>
    <xf numFmtId="183" fontId="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3" fontId="115" fillId="0" borderId="0" applyFont="0" applyFill="0" applyBorder="0" applyAlignment="0" applyProtection="0"/>
    <xf numFmtId="183" fontId="115" fillId="0" borderId="0" applyFont="0" applyFill="0" applyBorder="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1" fontId="119"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3" fontId="115" fillId="0" borderId="0" applyFont="0" applyFill="0" applyBorder="0" applyAlignment="0" applyProtection="0"/>
    <xf numFmtId="183" fontId="115" fillId="0" borderId="0" applyFont="0" applyFill="0" applyBorder="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3" fontId="111" fillId="0" borderId="0" applyFont="0" applyFill="0" applyBorder="0" applyAlignment="0" applyProtection="0"/>
    <xf numFmtId="183" fontId="111" fillId="0" borderId="0" applyFont="0" applyFill="0" applyBorder="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1" fontId="119" fillId="0" borderId="0" applyFont="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1" fontId="0" fillId="0" borderId="0" applyFont="0" applyAlignment="0" applyProtection="0"/>
    <xf numFmtId="183" fontId="115" fillId="0" borderId="0" applyFont="0" applyFill="0" applyBorder="0" applyAlignment="0" applyProtection="0"/>
    <xf numFmtId="183" fontId="115" fillId="0" borderId="0" applyFont="0" applyFill="0" applyBorder="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119"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1" fontId="0" fillId="0" borderId="0" applyFont="0" applyAlignment="0" applyProtection="0"/>
    <xf numFmtId="181" fontId="0" fillId="0" borderId="0" applyFont="0" applyAlignment="0" applyProtection="0"/>
    <xf numFmtId="183" fontId="115" fillId="0" borderId="0" applyFont="0" applyFill="0" applyBorder="0" applyAlignment="0" applyProtection="0"/>
    <xf numFmtId="183" fontId="115" fillId="0" borderId="0" applyFont="0" applyFill="0" applyBorder="0" applyAlignment="0" applyProtection="0"/>
    <xf numFmtId="181" fontId="119"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3" fontId="111" fillId="0" borderId="0" applyFont="0" applyFill="0" applyBorder="0" applyAlignment="0" applyProtection="0"/>
    <xf numFmtId="183" fontId="111" fillId="0" borderId="0" applyFont="0" applyFill="0" applyBorder="0" applyAlignment="0" applyProtection="0"/>
    <xf numFmtId="181" fontId="0" fillId="0" borderId="0" applyFont="0" applyAlignment="0" applyProtection="0"/>
    <xf numFmtId="181" fontId="0" fillId="0" borderId="0" applyFont="0" applyAlignment="0" applyProtection="0"/>
    <xf numFmtId="181" fontId="119"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119" fillId="0" borderId="0" applyFont="0" applyAlignment="0" applyProtection="0"/>
    <xf numFmtId="181" fontId="3" fillId="0" borderId="0" applyFont="0" applyFill="0" applyBorder="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3" fillId="0" borderId="0" applyFont="0" applyFill="0" applyBorder="0" applyAlignment="0" applyProtection="0"/>
    <xf numFmtId="181" fontId="3" fillId="0" borderId="0" applyFont="0" applyFill="0" applyBorder="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3" fontId="111" fillId="0" borderId="0" applyFont="0" applyFill="0" applyBorder="0" applyAlignment="0" applyProtection="0"/>
    <xf numFmtId="183" fontId="111" fillId="0" borderId="0" applyFont="0" applyFill="0" applyBorder="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119"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1" fontId="0" fillId="0" borderId="0" applyFont="0" applyAlignment="0" applyProtection="0"/>
    <xf numFmtId="183" fontId="115" fillId="0" borderId="0" applyFont="0" applyFill="0" applyBorder="0" applyAlignment="0" applyProtection="0"/>
    <xf numFmtId="183" fontId="115" fillId="0" borderId="0" applyFont="0" applyFill="0" applyBorder="0" applyAlignment="0" applyProtection="0"/>
    <xf numFmtId="181" fontId="0" fillId="0" borderId="0" applyFont="0" applyAlignment="0" applyProtection="0"/>
    <xf numFmtId="181" fontId="0" fillId="0" borderId="0" applyFont="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119" fillId="0" borderId="0" applyFont="0" applyAlignment="0" applyProtection="0"/>
    <xf numFmtId="181" fontId="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9" fillId="0" borderId="0" applyAlignment="0"/>
    <xf numFmtId="181" fontId="0" fillId="0" borderId="0" applyFont="0" applyFill="0" applyBorder="0" applyAlignment="0" applyProtection="0"/>
    <xf numFmtId="181" fontId="0" fillId="0" borderId="0" applyFont="0" applyFill="0" applyBorder="0" applyAlignment="0" applyProtection="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9" fillId="0" borderId="0" applyAlignment="0"/>
    <xf numFmtId="183" fontId="0" fillId="0" borderId="0" applyFont="0" applyFill="0" applyBorder="0" applyAlignment="0" applyProtection="0"/>
    <xf numFmtId="181" fontId="118" fillId="0" borderId="0" applyFont="0" applyFill="0" applyBorder="0" applyAlignment="0" applyProtection="0"/>
    <xf numFmtId="181" fontId="118" fillId="0" borderId="0" applyFont="0" applyFill="0" applyBorder="0" applyAlignment="0" applyProtection="0"/>
    <xf numFmtId="183" fontId="0" fillId="0" borderId="0" applyFont="0" applyFill="0" applyBorder="0" applyAlignment="0" applyProtection="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3" fillId="0" borderId="0" applyFont="0" applyFill="0" applyBorder="0" applyAlignment="0" applyProtection="0"/>
    <xf numFmtId="181" fontId="3" fillId="0" borderId="0" applyFont="0" applyFill="0" applyBorder="0" applyAlignment="0" applyProtection="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3" fontId="111" fillId="0" borderId="0" applyFont="0" applyFill="0" applyBorder="0" applyAlignment="0" applyProtection="0"/>
    <xf numFmtId="183" fontId="111" fillId="0" borderId="0" applyFont="0" applyFill="0" applyBorder="0" applyAlignment="0" applyProtection="0"/>
    <xf numFmtId="181" fontId="0" fillId="0" borderId="0" applyAlignment="0"/>
    <xf numFmtId="181" fontId="0" fillId="0" borderId="0" applyAlignment="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1" fontId="119" fillId="0" borderId="0" applyAlignment="0"/>
    <xf numFmtId="183" fontId="115" fillId="0" borderId="0" applyFont="0" applyFill="0" applyBorder="0" applyAlignment="0" applyProtection="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Alignment="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5" fillId="0" borderId="0" applyFont="0" applyFill="0" applyBorder="0" applyAlignment="0" applyProtection="0"/>
    <xf numFmtId="183" fontId="111" fillId="0" borderId="0" applyFont="0" applyFill="0" applyBorder="0" applyAlignment="0" applyProtection="0"/>
    <xf numFmtId="183" fontId="111"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5" fontId="104"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1" fontId="119" fillId="0" borderId="0" applyAlignment="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Protection="0"/>
    <xf numFmtId="181" fontId="0" fillId="0" borderId="0" applyFont="0" applyFill="0" applyBorder="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1" fontId="117" fillId="0" borderId="0" applyFont="0" applyFill="0" applyBorder="0" applyProtection="0"/>
    <xf numFmtId="181" fontId="117"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5" fontId="104"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81" fontId="111" fillId="0" borderId="0" applyFont="0" applyFill="0" applyBorder="0" applyProtection="0"/>
    <xf numFmtId="181" fontId="111"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3"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111" fillId="0" borderId="0" applyFont="0" applyFill="0" applyBorder="0" applyProtection="0"/>
    <xf numFmtId="181" fontId="111"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alignment vertical="center"/>
    </xf>
    <xf numFmtId="181" fontId="0" fillId="0" borderId="0" applyFont="0" applyFill="0" applyBorder="0" applyAlignment="0" applyProtection="0">
      <alignment vertical="center"/>
    </xf>
    <xf numFmtId="181" fontId="0" fillId="0" borderId="0" applyFont="0" applyFill="0" applyBorder="0" applyAlignment="0" applyProtection="0"/>
    <xf numFmtId="181" fontId="0"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61" fillId="0" borderId="0" applyFont="0" applyFill="0" applyBorder="0" applyProtection="0"/>
    <xf numFmtId="181" fontId="61"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2"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2" fillId="0" borderId="0" applyFont="0" applyFill="0" applyBorder="0" applyAlignment="0" applyProtection="0"/>
    <xf numFmtId="181" fontId="2" fillId="0" borderId="0" applyFont="0" applyFill="0" applyBorder="0" applyAlignment="0" applyProtection="0"/>
    <xf numFmtId="181" fontId="2"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61" fillId="0" borderId="0" applyFont="0" applyFill="0" applyBorder="0" applyAlignment="0" applyProtection="0"/>
    <xf numFmtId="181" fontId="61" fillId="0" borderId="0" applyFont="0" applyFill="0" applyBorder="0" applyAlignment="0" applyProtection="0"/>
    <xf numFmtId="181" fontId="61" fillId="0" borderId="0" applyFont="0" applyFill="0" applyBorder="0" applyAlignment="0" applyProtection="0"/>
    <xf numFmtId="181" fontId="6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111" fillId="0" borderId="0" applyFont="0" applyFill="0" applyBorder="0" applyProtection="0"/>
    <xf numFmtId="181" fontId="111"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2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20" fillId="0" borderId="0" applyFont="0" applyFill="0" applyBorder="0" applyAlignment="0" applyProtection="0"/>
    <xf numFmtId="181" fontId="120" fillId="0" borderId="0" applyFont="0" applyFill="0" applyBorder="0" applyAlignment="0" applyProtection="0"/>
    <xf numFmtId="181" fontId="120" fillId="0" borderId="0" applyFont="0" applyFill="0" applyBorder="0" applyAlignment="0" applyProtection="0"/>
    <xf numFmtId="181" fontId="120" fillId="0" borderId="0" applyFont="0" applyFill="0" applyBorder="0" applyAlignment="0" applyProtection="0"/>
    <xf numFmtId="181" fontId="120" fillId="0" borderId="0" applyFont="0" applyFill="0" applyBorder="0" applyAlignment="0" applyProtection="0"/>
    <xf numFmtId="181" fontId="120" fillId="0" borderId="0" applyFont="0" applyFill="0" applyBorder="0" applyAlignment="0" applyProtection="0"/>
    <xf numFmtId="181" fontId="12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111" fillId="0" borderId="0" applyFont="0" applyFill="0" applyBorder="0" applyProtection="0"/>
    <xf numFmtId="181" fontId="111"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3"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Protection="0"/>
    <xf numFmtId="181" fontId="111"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Protection="0"/>
    <xf numFmtId="181" fontId="111" fillId="0" borderId="0" applyFont="0" applyFill="0" applyBorder="0" applyProtection="0"/>
    <xf numFmtId="181" fontId="0" fillId="0" borderId="0" applyFont="0" applyFill="0" applyBorder="0" applyAlignment="0" applyProtection="0"/>
    <xf numFmtId="181" fontId="0" fillId="0" borderId="0" applyFont="0" applyFill="0" applyBorder="0" applyAlignment="0" applyProtection="0"/>
    <xf numFmtId="186" fontId="121" fillId="0" borderId="0"/>
    <xf numFmtId="37" fontId="105" fillId="0" borderId="0" applyFont="0" applyFill="0" applyBorder="0" applyAlignment="0" applyProtection="0"/>
    <xf numFmtId="187" fontId="105" fillId="0" borderId="0" applyFont="0" applyFill="0" applyBorder="0" applyAlignment="0" applyProtection="0"/>
    <xf numFmtId="39" fontId="105" fillId="0" borderId="0" applyFont="0" applyFill="0" applyBorder="0" applyAlignment="0" applyProtection="0"/>
    <xf numFmtId="0" fontId="122" fillId="0" borderId="0" applyAlignment="0"/>
    <xf numFmtId="188" fontId="121" fillId="0" borderId="0" applyFont="0" applyFill="0" applyBorder="0" applyAlignment="0" applyProtection="0"/>
    <xf numFmtId="189" fontId="3" fillId="0" borderId="0" applyFont="0" applyFill="0" applyBorder="0" applyAlignment="0" applyProtection="0"/>
    <xf numFmtId="188" fontId="121" fillId="0" borderId="0" applyFont="0" applyFill="0" applyBorder="0" applyAlignment="0" applyProtection="0"/>
    <xf numFmtId="189" fontId="0"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120" fillId="0" borderId="0" applyFont="0" applyFill="0" applyBorder="0" applyAlignment="0" applyProtection="0"/>
    <xf numFmtId="189" fontId="51" fillId="0" borderId="0" applyFont="0" applyFill="0" applyBorder="0" applyAlignment="0" applyProtection="0">
      <alignment vertical="top"/>
    </xf>
    <xf numFmtId="190" fontId="105" fillId="0" borderId="0" applyFont="0" applyFill="0" applyBorder="0" applyAlignment="0" applyProtection="0"/>
    <xf numFmtId="191" fontId="105" fillId="0" borderId="0" applyFont="0" applyFill="0" applyBorder="0" applyAlignment="0" applyProtection="0"/>
    <xf numFmtId="192" fontId="121" fillId="0" borderId="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111"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0" fontId="0" fillId="0" borderId="7" applyAlignment="0"/>
    <xf numFmtId="193" fontId="121" fillId="0" borderId="0"/>
    <xf numFmtId="0" fontId="123" fillId="0" borderId="0">
      <alignment horizontal="left"/>
    </xf>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0" fontId="124" fillId="78" borderId="7"/>
    <xf numFmtId="194" fontId="117" fillId="0" borderId="0" applyFont="0" applyFill="0" applyBorder="0" applyAlignment="0" applyProtection="0"/>
    <xf numFmtId="194" fontId="117" fillId="0" borderId="0" applyFont="0" applyFill="0" applyBorder="0" applyAlignment="0" applyProtection="0"/>
    <xf numFmtId="194" fontId="117" fillId="0" borderId="0" applyFont="0" applyFill="0" applyBorder="0" applyAlignment="0" applyProtection="0"/>
    <xf numFmtId="194" fontId="117" fillId="0" borderId="0" applyFont="0" applyFill="0" applyBorder="0" applyAlignment="0" applyProtection="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32" fillId="0" borderId="7" applyAlignment="0"/>
    <xf numFmtId="0" fontId="125" fillId="79" borderId="0" applyNumberFormat="0" applyBorder="0" applyAlignment="0" applyProtection="0"/>
    <xf numFmtId="0" fontId="126" fillId="80" borderId="0" applyNumberFormat="0" applyBorder="0" applyAlignment="0" applyProtection="0"/>
    <xf numFmtId="0" fontId="126" fillId="80" borderId="0" applyNumberFormat="0" applyBorder="0" applyAlignment="0" applyProtection="0"/>
    <xf numFmtId="0" fontId="125" fillId="79" borderId="0" applyNumberFormat="0" applyBorder="0" applyAlignment="0" applyProtection="0"/>
    <xf numFmtId="0" fontId="126" fillId="80" borderId="0" applyNumberFormat="0" applyBorder="0" applyAlignment="0" applyProtection="0"/>
    <xf numFmtId="0" fontId="126" fillId="80" borderId="0" applyNumberFormat="0" applyBorder="0" applyProtection="0"/>
    <xf numFmtId="0" fontId="126" fillId="80" borderId="0" applyNumberFormat="0" applyBorder="0" applyProtection="0"/>
    <xf numFmtId="0" fontId="124" fillId="64" borderId="0" applyNumberFormat="0" applyBorder="0" applyAlignment="0" applyProtection="0"/>
    <xf numFmtId="0" fontId="127" fillId="0" borderId="0">
      <alignment horizontal="left"/>
    </xf>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2" applyNumberFormat="0" applyProtection="0"/>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64" fillId="0" borderId="8">
      <alignment horizontal="left"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128" fillId="16" borderId="7">
      <alignment horizontal="center" vertical="center"/>
    </xf>
    <xf numFmtId="0" fontId="80" fillId="0" borderId="0" applyNumberFormat="0" applyFill="0" applyBorder="0" applyAlignment="0" applyProtection="0"/>
    <xf numFmtId="0" fontId="129" fillId="0" borderId="0" applyNumberFormat="0" applyFill="0" applyBorder="0" applyAlignment="0" applyProtection="0"/>
    <xf numFmtId="0" fontId="130" fillId="0" borderId="0" applyNumberFormat="0" applyFill="0" applyBorder="0" applyAlignment="0" applyProtection="0"/>
    <xf numFmtId="0" fontId="129" fillId="0" borderId="0" applyNumberFormat="0" applyFill="0" applyBorder="0" applyAlignment="0" applyProtection="0"/>
    <xf numFmtId="0" fontId="129" fillId="0" borderId="0" applyNumberFormat="0" applyFill="0" applyBorder="0" applyProtection="0"/>
    <xf numFmtId="0" fontId="131" fillId="0" borderId="0" applyNumberFormat="0" applyFill="0" applyBorder="0" applyAlignment="0" applyProtection="0"/>
    <xf numFmtId="0" fontId="131" fillId="0" borderId="0" applyNumberFormat="0" applyFill="0" applyBorder="0" applyAlignment="0" applyProtection="0">
      <alignment vertical="top"/>
      <protection locked="0"/>
    </xf>
    <xf numFmtId="0" fontId="130" fillId="0" borderId="0" applyNumberFormat="0" applyFill="0" applyBorder="0" applyAlignment="0" applyProtection="0"/>
    <xf numFmtId="0" fontId="131" fillId="0" borderId="0" applyNumberFormat="0" applyFill="0" applyBorder="0" applyAlignment="0" applyProtection="0">
      <alignment vertical="top"/>
      <protection locked="0"/>
    </xf>
    <xf numFmtId="0" fontId="129" fillId="0" borderId="0" applyNumberFormat="0" applyFill="0" applyBorder="0" applyAlignment="0" applyProtection="0"/>
    <xf numFmtId="0" fontId="129" fillId="0" borderId="0" applyNumberFormat="0" applyFill="0" applyBorder="0" applyAlignment="0" applyProtection="0"/>
    <xf numFmtId="0" fontId="130" fillId="0" borderId="0" applyNumberFormat="0" applyFill="0" applyBorder="0" applyAlignment="0" applyProtection="0"/>
    <xf numFmtId="0" fontId="132" fillId="0" borderId="0" applyNumberFormat="0" applyFill="0" applyBorder="0" applyAlignment="0" applyProtection="0"/>
    <xf numFmtId="0" fontId="131" fillId="0" borderId="0" applyNumberFormat="0" applyFill="0" applyBorder="0" applyAlignment="0" applyProtection="0"/>
    <xf numFmtId="0" fontId="132" fillId="0" borderId="0" applyNumberFormat="0" applyFill="0" applyBorder="0" applyAlignment="0" applyProtection="0"/>
    <xf numFmtId="0" fontId="131" fillId="0" borderId="0" applyNumberFormat="0" applyFill="0" applyBorder="0" applyAlignment="0" applyProtection="0"/>
    <xf numFmtId="0" fontId="80" fillId="0" borderId="0" applyNumberFormat="0" applyFill="0" applyBorder="0" applyAlignment="0" applyProtection="0"/>
    <xf numFmtId="0" fontId="133" fillId="0" borderId="0" applyNumberFormat="0" applyFill="0" applyBorder="0">
      <protection locked="0"/>
    </xf>
    <xf numFmtId="0" fontId="80" fillId="0" borderId="0" applyNumberFormat="0" applyFill="0" applyBorder="0" applyAlignment="0" applyProtection="0"/>
    <xf numFmtId="0" fontId="131" fillId="0" borderId="0" applyNumberFormat="0" applyFill="0" applyBorder="0" applyAlignment="0" applyProtection="0"/>
    <xf numFmtId="0" fontId="133" fillId="0" borderId="0" applyNumberFormat="0" applyFill="0" applyBorder="0">
      <protection locked="0"/>
    </xf>
    <xf numFmtId="0" fontId="129" fillId="0" borderId="0" applyNumberFormat="0" applyFill="0" applyBorder="0" applyAlignment="0" applyProtection="0"/>
    <xf numFmtId="0" fontId="130" fillId="0" borderId="0" applyNumberFormat="0" applyFill="0" applyBorder="0" applyAlignment="0" applyProtection="0"/>
    <xf numFmtId="0" fontId="129" fillId="0" borderId="0" applyNumberFormat="0" applyFill="0" applyBorder="0" applyAlignment="0" applyProtection="0"/>
    <xf numFmtId="0" fontId="130" fillId="0" borderId="0" applyNumberFormat="0" applyFill="0" applyBorder="0" applyAlignment="0" applyProtection="0"/>
    <xf numFmtId="0" fontId="130" fillId="0" borderId="0" applyNumberFormat="0" applyFill="0" applyBorder="0" applyAlignment="0" applyProtection="0"/>
    <xf numFmtId="0" fontId="129" fillId="0" borderId="0" applyNumberFormat="0" applyFill="0" applyBorder="0" applyAlignment="0" applyProtection="0"/>
    <xf numFmtId="0" fontId="134" fillId="0" borderId="0" applyNumberFormat="0" applyFill="0" applyBorder="0" applyProtection="0"/>
    <xf numFmtId="0" fontId="129" fillId="0" borderId="0" applyNumberFormat="0" applyFill="0" applyBorder="0" applyAlignment="0" applyProtection="0"/>
    <xf numFmtId="0" fontId="134" fillId="0" borderId="0" applyNumberFormat="0" applyFill="0" applyBorder="0" applyProtection="0"/>
    <xf numFmtId="0" fontId="129" fillId="0" borderId="0" applyNumberFormat="0" applyFill="0" applyBorder="0" applyProtection="0"/>
    <xf numFmtId="0" fontId="129" fillId="0" borderId="0" applyNumberFormat="0" applyFill="0" applyBorder="0" applyProtection="0"/>
    <xf numFmtId="0" fontId="133" fillId="0" borderId="0" applyNumberFormat="0" applyFill="0" applyBorder="0">
      <protection locked="0"/>
    </xf>
    <xf numFmtId="0" fontId="80" fillId="0" borderId="0" applyNumberFormat="0" applyFill="0" applyBorder="0" applyAlignment="0" applyProtection="0"/>
    <xf numFmtId="0" fontId="80" fillId="0" borderId="0" applyNumberFormat="0" applyFill="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24" fillId="63" borderId="7" applyNumberFormat="0" applyBorder="0" applyAlignment="0" applyProtection="0"/>
    <xf numFmtId="0" fontId="135" fillId="0" borderId="83"/>
    <xf numFmtId="0" fontId="135" fillId="0" borderId="83"/>
    <xf numFmtId="0" fontId="135" fillId="0" borderId="83"/>
    <xf numFmtId="0" fontId="136" fillId="81" borderId="0" applyNumberFormat="0" applyBorder="0" applyProtection="0"/>
    <xf numFmtId="178" fontId="104" fillId="0" borderId="0"/>
    <xf numFmtId="0" fontId="0" fillId="0" borderId="0" applyAlignment="0"/>
    <xf numFmtId="0" fontId="3" fillId="0" borderId="0"/>
    <xf numFmtId="0" fontId="3" fillId="0" borderId="0"/>
    <xf numFmtId="0" fontId="0" fillId="0" borderId="0"/>
    <xf numFmtId="0" fontId="0" fillId="0" borderId="0"/>
    <xf numFmtId="0" fontId="3" fillId="0" borderId="0"/>
    <xf numFmtId="0" fontId="137" fillId="0" borderId="0"/>
    <xf numFmtId="0" fontId="0" fillId="0" borderId="0"/>
    <xf numFmtId="0" fontId="0" fillId="0" borderId="0"/>
    <xf numFmtId="0" fontId="0" fillId="0" borderId="0" applyAlignment="0"/>
    <xf numFmtId="0" fontId="0" fillId="0" borderId="0"/>
    <xf numFmtId="0" fontId="111" fillId="0" borderId="0" applyAlignment="0"/>
    <xf numFmtId="0" fontId="0" fillId="0" borderId="0"/>
    <xf numFmtId="0" fontId="0" fillId="0" borderId="0"/>
    <xf numFmtId="0" fontId="0" fillId="0" borderId="0" applyAlignment="0"/>
    <xf numFmtId="0" fontId="0" fillId="0" borderId="0" applyAlignment="0"/>
    <xf numFmtId="0" fontId="0" fillId="0" borderId="0" applyAlignment="0"/>
    <xf numFmtId="0" fontId="0" fillId="0" borderId="0"/>
    <xf numFmtId="0" fontId="111" fillId="0" borderId="0"/>
    <xf numFmtId="0" fontId="111" fillId="0" borderId="0" applyAlignment="0"/>
    <xf numFmtId="0" fontId="111" fillId="0" borderId="0"/>
    <xf numFmtId="0" fontId="0" fillId="0" borderId="0" applyAlignment="0"/>
    <xf numFmtId="0" fontId="0" fillId="0" borderId="0"/>
    <xf numFmtId="0" fontId="0" fillId="0" borderId="0"/>
    <xf numFmtId="0" fontId="111" fillId="0" borderId="0"/>
    <xf numFmtId="0" fontId="0" fillId="0" borderId="0"/>
    <xf numFmtId="0" fontId="0" fillId="0" borderId="0"/>
    <xf numFmtId="0" fontId="111" fillId="0" borderId="0"/>
    <xf numFmtId="0" fontId="0" fillId="0" borderId="0"/>
    <xf numFmtId="0" fontId="0" fillId="0" borderId="0"/>
    <xf numFmtId="0" fontId="0" fillId="0" borderId="0"/>
    <xf numFmtId="0" fontId="111" fillId="0" borderId="0"/>
    <xf numFmtId="0" fontId="0" fillId="0" borderId="0"/>
    <xf numFmtId="0" fontId="111" fillId="0" borderId="0"/>
    <xf numFmtId="0" fontId="0" fillId="0" borderId="0"/>
    <xf numFmtId="0" fontId="111" fillId="0" borderId="0"/>
    <xf numFmtId="0" fontId="0" fillId="0" borderId="0"/>
    <xf numFmtId="0" fontId="118" fillId="0" borderId="0"/>
    <xf numFmtId="0" fontId="0" fillId="0" borderId="0"/>
    <xf numFmtId="0" fontId="0" fillId="0" borderId="0"/>
    <xf numFmtId="0" fontId="0" fillId="0" borderId="0" applyAlignment="0"/>
    <xf numFmtId="0" fontId="111" fillId="0" borderId="0" applyAlignment="0"/>
    <xf numFmtId="0" fontId="0" fillId="0" borderId="0" applyAlignment="0"/>
    <xf numFmtId="0" fontId="0" fillId="0" borderId="0" applyAlignment="0"/>
    <xf numFmtId="0" fontId="111" fillId="0" borderId="0" applyAlignment="0"/>
    <xf numFmtId="0" fontId="0" fillId="0" borderId="0" applyAlignment="0"/>
    <xf numFmtId="0" fontId="0"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111" fillId="0" borderId="0"/>
    <xf numFmtId="0" fontId="111" fillId="0" borderId="0"/>
    <xf numFmtId="0" fontId="0" fillId="0" borderId="0"/>
    <xf numFmtId="0" fontId="0" fillId="0" borderId="0">
      <alignment vertical="center"/>
    </xf>
    <xf numFmtId="0" fontId="0" fillId="0" borderId="0">
      <alignment vertical="center"/>
    </xf>
    <xf numFmtId="0" fontId="111"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xf numFmtId="0" fontId="0" fillId="0" borderId="0"/>
    <xf numFmtId="0" fontId="0" fillId="0" borderId="0"/>
    <xf numFmtId="0" fontId="118" fillId="0" borderId="0"/>
    <xf numFmtId="0" fontId="0" fillId="0" borderId="0"/>
    <xf numFmtId="0" fontId="0" fillId="0" borderId="0"/>
    <xf numFmtId="0" fontId="111" fillId="0" borderId="0"/>
    <xf numFmtId="0" fontId="0" fillId="0" borderId="0"/>
    <xf numFmtId="0" fontId="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xf numFmtId="0" fontId="0" fillId="0" borderId="0"/>
    <xf numFmtId="0" fontId="0" fillId="0" borderId="0"/>
    <xf numFmtId="0" fontId="138" fillId="0" borderId="0"/>
    <xf numFmtId="0" fontId="0" fillId="0" borderId="0"/>
    <xf numFmtId="0" fontId="0" fillId="0" borderId="0"/>
    <xf numFmtId="0" fontId="0" fillId="0" borderId="0"/>
    <xf numFmtId="0" fontId="111" fillId="0" borderId="0"/>
    <xf numFmtId="0" fontId="0" fillId="0" borderId="0"/>
    <xf numFmtId="0" fontId="117" fillId="0" borderId="0"/>
    <xf numFmtId="0" fontId="138" fillId="0" borderId="0"/>
    <xf numFmtId="0" fontId="111" fillId="0" borderId="0"/>
    <xf numFmtId="0" fontId="0" fillId="0" borderId="0"/>
    <xf numFmtId="0" fontId="111" fillId="0" borderId="0">
      <alignment vertical="center"/>
    </xf>
    <xf numFmtId="0" fontId="117" fillId="0" borderId="0"/>
    <xf numFmtId="0" fontId="0" fillId="0" borderId="0"/>
    <xf numFmtId="0" fontId="0" fillId="0" borderId="0"/>
    <xf numFmtId="0" fontId="117"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39"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xf numFmtId="0" fontId="111" fillId="0" borderId="0"/>
    <xf numFmtId="0" fontId="0" fillId="0" borderId="0"/>
    <xf numFmtId="0" fontId="0" fillId="0" borderId="0"/>
    <xf numFmtId="0" fontId="140" fillId="0" borderId="0">
      <alignment vertical="center"/>
    </xf>
    <xf numFmtId="0" fontId="117" fillId="0" borderId="0"/>
    <xf numFmtId="0" fontId="3" fillId="0" borderId="0"/>
    <xf numFmtId="0" fontId="3" fillId="0" borderId="0"/>
    <xf numFmtId="0" fontId="117" fillId="0" borderId="0"/>
    <xf numFmtId="0" fontId="111" fillId="0" borderId="0"/>
    <xf numFmtId="0" fontId="4" fillId="0" borderId="0"/>
    <xf numFmtId="0" fontId="141" fillId="0" borderId="0"/>
    <xf numFmtId="0" fontId="142" fillId="0" borderId="0"/>
    <xf numFmtId="0" fontId="3" fillId="0" borderId="0"/>
    <xf numFmtId="0" fontId="3" fillId="0" borderId="0"/>
    <xf numFmtId="0" fontId="140" fillId="0" borderId="0">
      <alignment vertical="center"/>
    </xf>
    <xf numFmtId="0" fontId="0" fillId="0" borderId="0" applyAlignment="0"/>
    <xf numFmtId="0" fontId="4" fillId="0" borderId="0"/>
    <xf numFmtId="0" fontId="140" fillId="0" borderId="0">
      <alignment vertical="center"/>
    </xf>
    <xf numFmtId="0" fontId="4" fillId="0" borderId="0"/>
    <xf numFmtId="0" fontId="0" fillId="0" borderId="0" applyAlignment="0"/>
    <xf numFmtId="0" fontId="0" fillId="0" borderId="0" applyAlignment="0"/>
    <xf numFmtId="0" fontId="143" fillId="0" borderId="0">
      <alignment vertical="center"/>
    </xf>
    <xf numFmtId="0" fontId="0" fillId="0" borderId="0" applyAlignment="0"/>
    <xf numFmtId="0" fontId="144" fillId="0" borderId="0"/>
    <xf numFmtId="0" fontId="3" fillId="0" borderId="0"/>
    <xf numFmtId="0" fontId="144" fillId="0" borderId="0"/>
    <xf numFmtId="0" fontId="143" fillId="0" borderId="0">
      <alignment vertical="center"/>
    </xf>
    <xf numFmtId="0" fontId="3" fillId="0" borderId="0"/>
    <xf numFmtId="0" fontId="140" fillId="0" borderId="0">
      <alignment vertical="center"/>
    </xf>
    <xf numFmtId="0" fontId="140" fillId="0" borderId="0">
      <alignment vertical="center"/>
    </xf>
    <xf numFmtId="0" fontId="143" fillId="0" borderId="0">
      <alignment vertical="center"/>
    </xf>
    <xf numFmtId="0" fontId="2" fillId="0" borderId="0"/>
    <xf numFmtId="0" fontId="143" fillId="0" borderId="0">
      <alignment vertical="center"/>
    </xf>
    <xf numFmtId="0" fontId="137" fillId="0" borderId="0"/>
    <xf numFmtId="0" fontId="120" fillId="0" borderId="0"/>
    <xf numFmtId="0" fontId="119" fillId="0" borderId="0" applyAlignment="0"/>
    <xf numFmtId="0" fontId="145" fillId="0" borderId="0"/>
    <xf numFmtId="0" fontId="137" fillId="0" borderId="0"/>
    <xf numFmtId="0" fontId="0" fillId="0" borderId="0"/>
    <xf numFmtId="0" fontId="0" fillId="0" borderId="0"/>
    <xf numFmtId="0" fontId="0"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xf numFmtId="0" fontId="111" fillId="0" borderId="0"/>
    <xf numFmtId="0" fontId="0" fillId="0" borderId="0"/>
    <xf numFmtId="0" fontId="0" fillId="0" borderId="0"/>
    <xf numFmtId="0" fontId="61" fillId="0" borderId="0"/>
    <xf numFmtId="0" fontId="111" fillId="0" borderId="0"/>
    <xf numFmtId="0" fontId="61" fillId="0" borderId="0"/>
    <xf numFmtId="0" fontId="111" fillId="0" borderId="0"/>
    <xf numFmtId="0" fontId="0" fillId="0" borderId="0"/>
    <xf numFmtId="0" fontId="0" fillId="0" borderId="0"/>
    <xf numFmtId="0" fontId="111" fillId="0" borderId="0"/>
    <xf numFmtId="0" fontId="0" fillId="0" borderId="0"/>
    <xf numFmtId="0" fontId="0" fillId="0" borderId="0"/>
    <xf numFmtId="0" fontId="111" fillId="0" borderId="0"/>
    <xf numFmtId="0" fontId="0" fillId="0" borderId="0"/>
    <xf numFmtId="0" fontId="0" fillId="0" borderId="0"/>
    <xf numFmtId="0" fontId="111" fillId="0" borderId="0"/>
    <xf numFmtId="0" fontId="0" fillId="0" borderId="0"/>
    <xf numFmtId="0" fontId="146" fillId="0" borderId="0"/>
    <xf numFmtId="0" fontId="0" fillId="0" borderId="0"/>
    <xf numFmtId="0" fontId="146" fillId="0" borderId="0"/>
    <xf numFmtId="0" fontId="146" fillId="0" borderId="0"/>
    <xf numFmtId="0" fontId="111" fillId="0" borderId="0"/>
    <xf numFmtId="0" fontId="0" fillId="0" borderId="0"/>
    <xf numFmtId="0" fontId="2" fillId="0" borderId="0"/>
    <xf numFmtId="0" fontId="0" fillId="0" borderId="0"/>
    <xf numFmtId="0" fontId="0" fillId="0" borderId="0"/>
    <xf numFmtId="0" fontId="0" fillId="0" borderId="0"/>
    <xf numFmtId="0" fontId="0" fillId="0" borderId="0"/>
    <xf numFmtId="0" fontId="0" fillId="0" borderId="0"/>
    <xf numFmtId="0" fontId="2" fillId="0" borderId="0"/>
    <xf numFmtId="0" fontId="0" fillId="0" borderId="0"/>
    <xf numFmtId="195" fontId="147" fillId="0" borderId="0" applyAlignment="0">
      <protection locked="0"/>
    </xf>
    <xf numFmtId="195" fontId="147" fillId="0" borderId="0" applyAlignment="0">
      <protection locked="0"/>
    </xf>
    <xf numFmtId="0" fontId="111" fillId="0" borderId="0"/>
    <xf numFmtId="0" fontId="0" fillId="0" borderId="0"/>
    <xf numFmtId="0" fontId="0" fillId="0" borderId="0"/>
    <xf numFmtId="0" fontId="3" fillId="0" borderId="0"/>
    <xf numFmtId="0" fontId="141" fillId="0" borderId="0"/>
    <xf numFmtId="0" fontId="0" fillId="0" borderId="0" applyAlignment="0"/>
    <xf numFmtId="0" fontId="0" fillId="0" borderId="0" applyAlignment="0"/>
    <xf numFmtId="0" fontId="0" fillId="0" borderId="0" applyAlignment="0"/>
    <xf numFmtId="0" fontId="140" fillId="0" borderId="0">
      <alignment vertical="center"/>
    </xf>
    <xf numFmtId="0" fontId="0" fillId="0" borderId="0" applyAlignment="0"/>
    <xf numFmtId="0" fontId="117" fillId="0" borderId="0"/>
    <xf numFmtId="0" fontId="141" fillId="0" borderId="0"/>
    <xf numFmtId="0" fontId="140" fillId="0" borderId="0">
      <alignment vertical="center"/>
    </xf>
    <xf numFmtId="0" fontId="117" fillId="0" borderId="0"/>
    <xf numFmtId="0" fontId="117" fillId="0" borderId="0"/>
    <xf numFmtId="0" fontId="141" fillId="0" borderId="0"/>
    <xf numFmtId="0" fontId="117" fillId="0" borderId="0"/>
    <xf numFmtId="0" fontId="117" fillId="0" borderId="0"/>
    <xf numFmtId="0" fontId="0" fillId="0" borderId="0"/>
    <xf numFmtId="0" fontId="0" fillId="0" borderId="0"/>
    <xf numFmtId="0" fontId="0" fillId="0" borderId="0"/>
    <xf numFmtId="0" fontId="0" fillId="0" borderId="0"/>
    <xf numFmtId="0" fontId="119" fillId="0" borderId="0" applyAlignment="0"/>
    <xf numFmtId="0" fontId="0" fillId="0" borderId="0"/>
    <xf numFmtId="0" fontId="0" fillId="0" borderId="0"/>
    <xf numFmtId="0" fontId="111" fillId="0" borderId="0"/>
    <xf numFmtId="0" fontId="0" fillId="0" borderId="0"/>
    <xf numFmtId="0" fontId="2" fillId="0" borderId="0"/>
    <xf numFmtId="0" fontId="0" fillId="0" borderId="0" applyAlignment="0"/>
    <xf numFmtId="0" fontId="0" fillId="0" borderId="0" applyAlignment="0"/>
    <xf numFmtId="0" fontId="142" fillId="0" borderId="0"/>
    <xf numFmtId="0" fontId="0" fillId="0" borderId="0" applyAlignment="0"/>
    <xf numFmtId="176" fontId="103" fillId="0" borderId="0">
      <protection locked="0"/>
    </xf>
    <xf numFmtId="0" fontId="0" fillId="0" borderId="0" applyAlignment="0"/>
    <xf numFmtId="0" fontId="0" fillId="0" borderId="0" applyAlignment="0"/>
    <xf numFmtId="0" fontId="0" fillId="0" borderId="0" applyAlignment="0"/>
    <xf numFmtId="0" fontId="0" fillId="0" borderId="0" applyAlignment="0"/>
    <xf numFmtId="0" fontId="0" fillId="0" borderId="0" applyAlignment="0"/>
    <xf numFmtId="0" fontId="0" fillId="0" borderId="0" applyAlignment="0"/>
    <xf numFmtId="0" fontId="111" fillId="0" borderId="0" applyAlignment="0"/>
    <xf numFmtId="0" fontId="0" fillId="0" borderId="0" applyAlignment="0"/>
    <xf numFmtId="0" fontId="0" fillId="0" borderId="0"/>
    <xf numFmtId="0" fontId="0" fillId="0" borderId="0"/>
    <xf numFmtId="0" fontId="0" fillId="0" borderId="0"/>
    <xf numFmtId="0" fontId="117" fillId="0" borderId="0"/>
    <xf numFmtId="0" fontId="0" fillId="0" borderId="0"/>
    <xf numFmtId="0" fontId="0" fillId="0" borderId="0" applyAlignment="0"/>
    <xf numFmtId="0" fontId="0" fillId="0" borderId="0" applyAlignment="0"/>
    <xf numFmtId="0" fontId="0" fillId="0" borderId="0" applyAlignment="0"/>
    <xf numFmtId="0" fontId="117" fillId="0" borderId="0"/>
    <xf numFmtId="0" fontId="0" fillId="0" borderId="0" applyAlignment="0"/>
    <xf numFmtId="0" fontId="3" fillId="0" borderId="0">
      <alignment vertical="top"/>
    </xf>
    <xf numFmtId="0" fontId="117" fillId="0" borderId="0"/>
    <xf numFmtId="0" fontId="3" fillId="0" borderId="0">
      <alignment vertical="top"/>
    </xf>
    <xf numFmtId="0" fontId="2" fillId="0" borderId="0"/>
    <xf numFmtId="0" fontId="111" fillId="0" borderId="0" applyAlignment="0"/>
    <xf numFmtId="0" fontId="119" fillId="0" borderId="0" applyAlignment="0"/>
    <xf numFmtId="0" fontId="0" fillId="0" borderId="0" applyAlignment="0"/>
    <xf numFmtId="0" fontId="2" fillId="0" borderId="0" applyAlignment="0"/>
    <xf numFmtId="0" fontId="2" fillId="0" borderId="0" applyAlignment="0"/>
    <xf numFmtId="0" fontId="111" fillId="0" borderId="0" applyAlignment="0"/>
    <xf numFmtId="0" fontId="146" fillId="0" borderId="0"/>
    <xf numFmtId="0" fontId="0" fillId="0" borderId="0" applyAlignment="0"/>
    <xf numFmtId="0" fontId="146" fillId="0" borderId="0"/>
    <xf numFmtId="0" fontId="111" fillId="0" borderId="0" applyAlignment="0"/>
    <xf numFmtId="0" fontId="0" fillId="0" borderId="0" applyAlignment="0"/>
    <xf numFmtId="0" fontId="0" fillId="0" borderId="0">
      <alignment vertical="center"/>
    </xf>
    <xf numFmtId="0" fontId="148" fillId="0" borderId="0"/>
    <xf numFmtId="0" fontId="0" fillId="0" borderId="0">
      <alignment vertical="center"/>
    </xf>
    <xf numFmtId="0" fontId="148" fillId="0" borderId="0"/>
    <xf numFmtId="0" fontId="111" fillId="0" borderId="0"/>
    <xf numFmtId="0" fontId="0" fillId="0" borderId="0">
      <alignment vertical="center"/>
    </xf>
    <xf numFmtId="0" fontId="0" fillId="0" borderId="0" applyAlignment="0"/>
    <xf numFmtId="0" fontId="4" fillId="0" borderId="0"/>
    <xf numFmtId="0" fontId="0" fillId="0" borderId="0" applyAlignment="0"/>
    <xf numFmtId="0" fontId="4" fillId="0" borderId="0"/>
    <xf numFmtId="0" fontId="111" fillId="0" borderId="0" applyAlignment="0"/>
    <xf numFmtId="0" fontId="0" fillId="0" borderId="0" applyAlignment="0"/>
    <xf numFmtId="0" fontId="0" fillId="0" borderId="0"/>
    <xf numFmtId="0" fontId="117" fillId="0" borderId="0"/>
    <xf numFmtId="0" fontId="117" fillId="0" borderId="0"/>
    <xf numFmtId="0" fontId="0" fillId="0" borderId="0"/>
    <xf numFmtId="0" fontId="0" fillId="0" borderId="0"/>
    <xf numFmtId="0" fontId="0" fillId="0" borderId="0"/>
    <xf numFmtId="0" fontId="0" fillId="0" borderId="0"/>
    <xf numFmtId="0" fontId="0" fillId="0" borderId="0"/>
    <xf numFmtId="0" fontId="0" fillId="0" borderId="0"/>
    <xf numFmtId="0" fontId="119" fillId="0" borderId="0" applyAlignment="0"/>
    <xf numFmtId="0" fontId="149" fillId="0" borderId="0"/>
    <xf numFmtId="0" fontId="0" fillId="0" borderId="0"/>
    <xf numFmtId="0" fontId="0" fillId="0" borderId="0"/>
    <xf numFmtId="0" fontId="0" fillId="0" borderId="0"/>
    <xf numFmtId="0" fontId="0" fillId="0" borderId="0"/>
    <xf numFmtId="0" fontId="2" fillId="0" borderId="0"/>
    <xf numFmtId="176" fontId="103" fillId="0" borderId="0">
      <protection locked="0"/>
    </xf>
    <xf numFmtId="0" fontId="150" fillId="0" borderId="0" applyAlignment="0"/>
    <xf numFmtId="0" fontId="150" fillId="0" borderId="0" applyAlignment="0"/>
    <xf numFmtId="0" fontId="111" fillId="0" borderId="0"/>
    <xf numFmtId="0" fontId="137" fillId="0" borderId="0"/>
    <xf numFmtId="0" fontId="0" fillId="0" borderId="0"/>
    <xf numFmtId="0" fontId="0" fillId="0" borderId="0"/>
    <xf numFmtId="0" fontId="0" fillId="0" borderId="0"/>
    <xf numFmtId="176" fontId="103" fillId="0" borderId="0">
      <protection locked="0"/>
    </xf>
    <xf numFmtId="0" fontId="0" fillId="0" borderId="0"/>
    <xf numFmtId="0" fontId="0" fillId="0" borderId="0"/>
    <xf numFmtId="0" fontId="117" fillId="0" borderId="0"/>
    <xf numFmtId="0" fontId="0" fillId="0" borderId="0"/>
    <xf numFmtId="0" fontId="117" fillId="0" borderId="0"/>
    <xf numFmtId="0" fontId="0" fillId="0" borderId="0"/>
    <xf numFmtId="0" fontId="0" fillId="0" borderId="0"/>
    <xf numFmtId="0" fontId="0" fillId="0" borderId="0"/>
    <xf numFmtId="0" fontId="117" fillId="0" borderId="0"/>
    <xf numFmtId="0" fontId="0" fillId="0" borderId="0"/>
    <xf numFmtId="0" fontId="0" fillId="0" borderId="0"/>
    <xf numFmtId="0" fontId="0" fillId="0" borderId="0"/>
    <xf numFmtId="0" fontId="0" fillId="0" borderId="0"/>
    <xf numFmtId="0" fontId="117" fillId="0" borderId="0"/>
    <xf numFmtId="0" fontId="0" fillId="0" borderId="0"/>
    <xf numFmtId="0" fontId="119" fillId="0" borderId="0"/>
    <xf numFmtId="0" fontId="117" fillId="0" borderId="0"/>
    <xf numFmtId="0" fontId="119" fillId="0" borderId="0"/>
    <xf numFmtId="0" fontId="111" fillId="0" borderId="0">
      <alignment vertical="center"/>
    </xf>
    <xf numFmtId="0" fontId="0" fillId="0" borderId="0"/>
    <xf numFmtId="0" fontId="0" fillId="0" borderId="0"/>
    <xf numFmtId="0" fontId="0" fillId="0" borderId="0"/>
    <xf numFmtId="0" fontId="111" fillId="0" borderId="0"/>
    <xf numFmtId="0" fontId="0" fillId="0" borderId="0"/>
    <xf numFmtId="0" fontId="151" fillId="0" borderId="0"/>
    <xf numFmtId="0" fontId="0" fillId="0" borderId="0"/>
    <xf numFmtId="0" fontId="0" fillId="0" borderId="0"/>
    <xf numFmtId="0" fontId="0" fillId="0" borderId="0"/>
    <xf numFmtId="0" fontId="117" fillId="0" borderId="0"/>
    <xf numFmtId="0" fontId="0" fillId="0" borderId="0"/>
    <xf numFmtId="0" fontId="0" fillId="0" borderId="0"/>
    <xf numFmtId="0" fontId="2" fillId="0" borderId="0"/>
    <xf numFmtId="0" fontId="0" fillId="0" borderId="0"/>
    <xf numFmtId="0" fontId="3" fillId="0" borderId="0"/>
    <xf numFmtId="0" fontId="141" fillId="0" borderId="0"/>
    <xf numFmtId="195" fontId="0" fillId="0" borderId="0">
      <protection locked="0"/>
    </xf>
    <xf numFmtId="195" fontId="0" fillId="0" borderId="0">
      <protection locked="0"/>
    </xf>
    <xf numFmtId="0" fontId="120" fillId="0" borderId="0"/>
    <xf numFmtId="0" fontId="115" fillId="0" borderId="0" applyAlignment="0">
      <protection locked="0"/>
    </xf>
    <xf numFmtId="0" fontId="117" fillId="0" borderId="0"/>
    <xf numFmtId="0" fontId="115" fillId="0" borderId="0" applyAlignment="0">
      <protection locked="0"/>
    </xf>
    <xf numFmtId="0" fontId="117" fillId="0" borderId="0"/>
    <xf numFmtId="0" fontId="104" fillId="0" borderId="0"/>
    <xf numFmtId="0" fontId="104" fillId="0" borderId="0"/>
    <xf numFmtId="0" fontId="3" fillId="0" borderId="0"/>
    <xf numFmtId="0" fontId="0" fillId="0" borderId="0"/>
    <xf numFmtId="0" fontId="104" fillId="0" borderId="0"/>
    <xf numFmtId="0" fontId="0" fillId="0" borderId="0"/>
    <xf numFmtId="0" fontId="0" fillId="0" borderId="0"/>
    <xf numFmtId="0" fontId="116" fillId="0" borderId="0"/>
    <xf numFmtId="176" fontId="121" fillId="0" borderId="0">
      <protection locked="0"/>
    </xf>
    <xf numFmtId="0" fontId="3" fillId="0" borderId="0"/>
    <xf numFmtId="0" fontId="141" fillId="0" borderId="0"/>
    <xf numFmtId="9" fontId="0" fillId="0" borderId="0" applyAlignment="0"/>
    <xf numFmtId="9" fontId="0" fillId="0" borderId="0" applyAlignment="0"/>
    <xf numFmtId="9" fontId="0" fillId="0" borderId="0" applyAlignment="0"/>
    <xf numFmtId="0" fontId="141" fillId="0" borderId="0"/>
    <xf numFmtId="9" fontId="0" fillId="0" borderId="0" applyAlignment="0"/>
    <xf numFmtId="0" fontId="111" fillId="0" borderId="0"/>
    <xf numFmtId="0" fontId="115" fillId="0" borderId="0" applyAlignment="0">
      <protection locked="0"/>
    </xf>
    <xf numFmtId="0" fontId="115" fillId="0" borderId="0" applyAlignment="0">
      <protection locked="0"/>
    </xf>
    <xf numFmtId="0" fontId="3" fillId="0" borderId="0"/>
    <xf numFmtId="0" fontId="0" fillId="0" borderId="0"/>
    <xf numFmtId="0" fontId="0" fillId="0" borderId="0"/>
    <xf numFmtId="0" fontId="0" fillId="0" borderId="0"/>
    <xf numFmtId="0" fontId="111" fillId="0" borderId="0"/>
    <xf numFmtId="0" fontId="0" fillId="0" borderId="0"/>
    <xf numFmtId="0" fontId="146" fillId="0" borderId="0"/>
    <xf numFmtId="9" fontId="119" fillId="0" borderId="0" applyAlignment="0"/>
    <xf numFmtId="0" fontId="0" fillId="0" borderId="0"/>
    <xf numFmtId="0" fontId="2" fillId="0" borderId="0"/>
    <xf numFmtId="0" fontId="117" fillId="0" borderId="0"/>
    <xf numFmtId="0" fontId="0" fillId="0" borderId="0"/>
    <xf numFmtId="0" fontId="0" fillId="0" borderId="0"/>
    <xf numFmtId="0" fontId="111" fillId="0" borderId="0"/>
    <xf numFmtId="0" fontId="0" fillId="0" borderId="0"/>
    <xf numFmtId="0" fontId="0" fillId="0" borderId="0"/>
    <xf numFmtId="0" fontId="0" fillId="0" borderId="0"/>
    <xf numFmtId="0" fontId="0" fillId="0" borderId="0"/>
    <xf numFmtId="0" fontId="119" fillId="0" borderId="0"/>
    <xf numFmtId="0" fontId="0" fillId="0" borderId="0"/>
    <xf numFmtId="0" fontId="0" fillId="0" borderId="0"/>
    <xf numFmtId="0" fontId="0" fillId="0" borderId="0"/>
    <xf numFmtId="0" fontId="0" fillId="0" borderId="0"/>
    <xf numFmtId="0" fontId="111" fillId="0" borderId="0"/>
    <xf numFmtId="0" fontId="111" fillId="0" borderId="0"/>
    <xf numFmtId="0" fontId="111" fillId="0" borderId="0"/>
    <xf numFmtId="0" fontId="0" fillId="0" borderId="0"/>
    <xf numFmtId="0" fontId="111" fillId="0" borderId="0"/>
    <xf numFmtId="0" fontId="119" fillId="0" borderId="0"/>
    <xf numFmtId="0" fontId="0" fillId="0" borderId="0"/>
    <xf numFmtId="0" fontId="117" fillId="0" borderId="0"/>
    <xf numFmtId="0" fontId="0" fillId="0" borderId="0"/>
    <xf numFmtId="0" fontId="0" fillId="0" borderId="0"/>
    <xf numFmtId="0" fontId="0" fillId="0" borderId="0"/>
    <xf numFmtId="0" fontId="0" fillId="0" borderId="0"/>
    <xf numFmtId="0" fontId="0" fillId="0" borderId="0"/>
    <xf numFmtId="0" fontId="0" fillId="0" borderId="0"/>
    <xf numFmtId="0" fontId="119" fillId="0" borderId="0"/>
    <xf numFmtId="0" fontId="0" fillId="0" borderId="0"/>
    <xf numFmtId="0" fontId="0" fillId="0" borderId="0"/>
    <xf numFmtId="0" fontId="0" fillId="0" borderId="0"/>
    <xf numFmtId="0" fontId="0" fillId="0" borderId="0"/>
    <xf numFmtId="0" fontId="117" fillId="0" borderId="0"/>
    <xf numFmtId="0" fontId="117" fillId="0" borderId="0"/>
    <xf numFmtId="0" fontId="117" fillId="0" borderId="0"/>
    <xf numFmtId="0" fontId="0" fillId="0" borderId="0"/>
    <xf numFmtId="0" fontId="119" fillId="0" borderId="0"/>
    <xf numFmtId="0" fontId="0" fillId="0" borderId="0"/>
    <xf numFmtId="0" fontId="0" fillId="0" borderId="0"/>
    <xf numFmtId="0" fontId="0" fillId="0" borderId="0"/>
    <xf numFmtId="0" fontId="111" fillId="0" borderId="0"/>
    <xf numFmtId="0" fontId="0" fillId="0" borderId="0"/>
    <xf numFmtId="0" fontId="0" fillId="0" borderId="0"/>
    <xf numFmtId="0" fontId="0" fillId="0" borderId="0"/>
    <xf numFmtId="181" fontId="142" fillId="0" borderId="0" applyAlignment="0"/>
    <xf numFmtId="181" fontId="142" fillId="0" borderId="0" applyAlignment="0"/>
    <xf numFmtId="181" fontId="142" fillId="0" borderId="0" applyAlignment="0"/>
    <xf numFmtId="181" fontId="142" fillId="0" borderId="0" applyAlignment="0"/>
    <xf numFmtId="181" fontId="142" fillId="0" borderId="0" applyAlignment="0"/>
    <xf numFmtId="181" fontId="142" fillId="0" borderId="0" applyAlignment="0"/>
    <xf numFmtId="0" fontId="2" fillId="0" borderId="0"/>
    <xf numFmtId="0" fontId="0" fillId="0" borderId="0"/>
    <xf numFmtId="0" fontId="2" fillId="0" borderId="0"/>
    <xf numFmtId="0" fontId="2" fillId="0" borderId="0"/>
    <xf numFmtId="0" fontId="119" fillId="0" borderId="0"/>
    <xf numFmtId="0" fontId="117" fillId="0" borderId="0"/>
    <xf numFmtId="0" fontId="0" fillId="0" borderId="0"/>
    <xf numFmtId="0" fontId="117" fillId="0" borderId="0"/>
    <xf numFmtId="0" fontId="0" fillId="0" borderId="0"/>
    <xf numFmtId="0" fontId="0" fillId="0" borderId="0"/>
    <xf numFmtId="0" fontId="117" fillId="0" borderId="0"/>
    <xf numFmtId="0" fontId="0" fillId="0" borderId="0"/>
    <xf numFmtId="0" fontId="0" fillId="0" borderId="0"/>
    <xf numFmtId="0" fontId="0" fillId="0" borderId="0"/>
    <xf numFmtId="0" fontId="0" fillId="0" borderId="0"/>
    <xf numFmtId="0" fontId="117" fillId="0" borderId="0"/>
    <xf numFmtId="0" fontId="0" fillId="0" borderId="0"/>
    <xf numFmtId="0" fontId="120" fillId="0" borderId="0"/>
    <xf numFmtId="0" fontId="111" fillId="0" borderId="0">
      <alignment vertical="center"/>
    </xf>
    <xf numFmtId="0" fontId="120" fillId="0" borderId="0"/>
    <xf numFmtId="0" fontId="120" fillId="0" borderId="0"/>
    <xf numFmtId="0" fontId="141" fillId="0" borderId="0"/>
    <xf numFmtId="0" fontId="0" fillId="0" borderId="0">
      <alignment vertical="center"/>
    </xf>
    <xf numFmtId="0" fontId="111" fillId="0" borderId="0">
      <alignment vertical="center"/>
    </xf>
    <xf numFmtId="0" fontId="0" fillId="0" borderId="0">
      <alignment vertical="center"/>
    </xf>
    <xf numFmtId="0" fontId="0" fillId="0" borderId="0">
      <alignment vertical="center"/>
    </xf>
    <xf numFmtId="0" fontId="141" fillId="0" borderId="0"/>
    <xf numFmtId="0" fontId="0" fillId="0" borderId="0">
      <alignment vertical="center"/>
    </xf>
    <xf numFmtId="0" fontId="152" fillId="0" borderId="0"/>
    <xf numFmtId="0" fontId="153" fillId="0" borderId="0"/>
    <xf numFmtId="10" fontId="3"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9" fontId="0" fillId="0" borderId="0" applyAlignment="0"/>
    <xf numFmtId="9" fontId="0" fillId="0" borderId="0" applyAlignment="0"/>
    <xf numFmtId="178" fontId="0" fillId="0" borderId="0" applyFont="0" applyFill="0" applyBorder="0" applyAlignment="0" applyProtection="0"/>
    <xf numFmtId="178"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9" fontId="0" fillId="0" borderId="0" applyFont="0" applyFill="0" applyBorder="0" applyAlignment="0" applyProtection="0"/>
    <xf numFmtId="178" fontId="111" fillId="0" borderId="0" applyFont="0" applyFill="0" applyBorder="0" applyAlignment="0" applyProtection="0"/>
    <xf numFmtId="178" fontId="0" fillId="0" borderId="0" applyFont="0" applyFill="0" applyBorder="0" applyAlignment="0" applyProtection="0"/>
    <xf numFmtId="9" fontId="3"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9" fontId="104" fillId="0" borderId="0" applyFont="0" applyFill="0" applyBorder="0" applyAlignment="0" applyProtection="0"/>
    <xf numFmtId="9" fontId="3" fillId="0" borderId="0" applyFont="0" applyFill="0" applyBorder="0" applyAlignment="0" applyProtection="0"/>
    <xf numFmtId="9" fontId="111" fillId="0" borderId="0" applyFont="0" applyFill="0" applyBorder="0" applyAlignment="0" applyProtection="0"/>
    <xf numFmtId="9" fontId="0" fillId="0" borderId="0" applyFont="0" applyFill="0" applyBorder="0" applyProtection="0"/>
    <xf numFmtId="9" fontId="0" fillId="0" borderId="0" applyFont="0" applyFill="0" applyBorder="0" applyProtection="0"/>
    <xf numFmtId="9" fontId="0" fillId="0" borderId="0" applyFont="0" applyFill="0" applyBorder="0" applyProtection="0"/>
    <xf numFmtId="178" fontId="111" fillId="0" borderId="0" applyFont="0" applyFill="0" applyBorder="0" applyAlignment="0" applyProtection="0"/>
    <xf numFmtId="9" fontId="0" fillId="0" borderId="0" applyFont="0" applyFill="0" applyBorder="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111" fillId="0" borderId="0" applyFont="0" applyFill="0" applyBorder="0" applyAlignment="0" applyProtection="0"/>
    <xf numFmtId="9" fontId="0" fillId="0" borderId="0" applyFont="0" applyFill="0" applyBorder="0" applyAlignment="0" applyProtection="0"/>
    <xf numFmtId="9" fontId="119" fillId="0" borderId="0" applyAlignment="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111" fillId="0" borderId="0" applyFont="0" applyFill="0" applyBorder="0" applyAlignment="0" applyProtection="0"/>
    <xf numFmtId="9" fontId="0" fillId="0" borderId="0" applyFont="0" applyFill="0" applyBorder="0" applyAlignment="0" applyProtection="0"/>
    <xf numFmtId="9" fontId="2" fillId="0" borderId="0" applyFont="0" applyFill="0" applyBorder="0" applyAlignment="0" applyProtection="0"/>
    <xf numFmtId="9" fontId="111" fillId="0" borderId="0" applyFont="0" applyFill="0" applyBorder="0" applyAlignment="0" applyProtection="0"/>
    <xf numFmtId="9" fontId="2"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3" fillId="0" borderId="0" applyFont="0" applyFill="0" applyBorder="0" applyAlignment="0" applyProtection="0"/>
    <xf numFmtId="9" fontId="0" fillId="0" borderId="0" applyFont="0" applyFill="0" applyBorder="0" applyAlignment="0" applyProtection="0"/>
    <xf numFmtId="9" fontId="0" fillId="0" borderId="0" applyFont="0" applyFill="0" applyBorder="0" applyProtection="0"/>
    <xf numFmtId="9" fontId="0" fillId="0" borderId="0" applyFont="0" applyFill="0" applyBorder="0" applyProtection="0"/>
    <xf numFmtId="9" fontId="0" fillId="0" borderId="0" applyFont="0" applyFill="0" applyBorder="0" applyAlignment="0" applyProtection="0"/>
    <xf numFmtId="9" fontId="0" fillId="0" borderId="0" applyFont="0" applyFill="0" applyBorder="0" applyProtection="0"/>
    <xf numFmtId="178" fontId="0" fillId="0" borderId="0" applyFont="0" applyFill="0" applyBorder="0" applyAlignment="0" applyProtection="0"/>
    <xf numFmtId="9" fontId="0" fillId="0" borderId="0" applyFont="0" applyFill="0" applyBorder="0" applyProtection="0"/>
    <xf numFmtId="178" fontId="0" fillId="0" borderId="0" applyFont="0" applyFill="0" applyBorder="0" applyAlignment="0" applyProtection="0"/>
    <xf numFmtId="9" fontId="111" fillId="0" borderId="0" applyFont="0" applyFill="0" applyBorder="0" applyProtection="0"/>
    <xf numFmtId="9" fontId="0" fillId="0" borderId="0" applyFont="0" applyFill="0" applyBorder="0" applyProtection="0"/>
    <xf numFmtId="9" fontId="0" fillId="0" borderId="0" applyFont="0" applyFill="0" applyBorder="0" applyProtection="0"/>
    <xf numFmtId="9" fontId="111" fillId="0" borderId="0" applyFont="0" applyFill="0" applyBorder="0" applyProtection="0"/>
    <xf numFmtId="9" fontId="0" fillId="0" borderId="0" applyFont="0" applyFill="0" applyBorder="0" applyProtection="0"/>
    <xf numFmtId="9" fontId="0" fillId="0" borderId="0" applyFont="0" applyFill="0" applyBorder="0" applyProtection="0"/>
    <xf numFmtId="9" fontId="111" fillId="0" borderId="0" applyFont="0" applyFill="0" applyBorder="0" applyProtection="0"/>
    <xf numFmtId="9" fontId="0" fillId="0" borderId="0" applyFont="0" applyFill="0" applyBorder="0" applyProtection="0"/>
    <xf numFmtId="9" fontId="0" fillId="0" borderId="0" applyFont="0" applyFill="0" applyBorder="0" applyProtection="0"/>
    <xf numFmtId="9" fontId="111" fillId="0" borderId="0" applyFont="0" applyFill="0" applyBorder="0" applyProtection="0"/>
    <xf numFmtId="9" fontId="0" fillId="0" borderId="0" applyFont="0" applyFill="0" applyBorder="0" applyProtection="0"/>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0" fontId="124" fillId="64" borderId="7"/>
    <xf numFmtId="4" fontId="123" fillId="0" borderId="0">
      <alignment horizontal="right"/>
    </xf>
    <xf numFmtId="4" fontId="154" fillId="0" borderId="0">
      <alignment horizontal="right"/>
    </xf>
    <xf numFmtId="183" fontId="121" fillId="0" borderId="0" applyFont="0" applyFill="0" applyBorder="0" applyAlignment="0" applyProtection="0"/>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54"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155" fillId="34" borderId="84" applyNumberFormat="0" applyProtection="0">
      <alignment vertical="center"/>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center"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34" borderId="84" applyNumberFormat="0" applyProtection="0">
      <alignment horizontal="left" vertical="top" indent="1"/>
    </xf>
    <xf numFmtId="0" fontId="54" fillId="82" borderId="0" applyNumberFormat="0" applyProtection="0">
      <alignment horizontal="left" vertical="center" indent="1"/>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83"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45"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4"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85"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73"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6"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7"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8"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1" fillId="89" borderId="84" applyNumberFormat="0" applyProtection="0">
      <alignment horizontal="right" vertical="center"/>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4" fillId="90" borderId="85" applyNumberFormat="0" applyProtection="0">
      <alignment horizontal="left" vertical="center" indent="1"/>
    </xf>
    <xf numFmtId="0" fontId="51" fillId="91" borderId="0" applyNumberFormat="0" applyProtection="0">
      <alignment horizontal="left" vertical="center" indent="1"/>
    </xf>
    <xf numFmtId="0" fontId="156" fillId="58" borderId="0" applyNumberFormat="0" applyProtection="0">
      <alignment horizontal="left" vertical="center" indent="1"/>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82" borderId="84" applyNumberFormat="0" applyProtection="0">
      <alignment horizontal="right" vertical="center"/>
    </xf>
    <xf numFmtId="0" fontId="51" fillId="91" borderId="0" applyNumberFormat="0" applyProtection="0">
      <alignment horizontal="left" vertical="center" indent="1"/>
    </xf>
    <xf numFmtId="0" fontId="51" fillId="82" borderId="0"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center"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58" borderId="84" applyNumberFormat="0" applyProtection="0">
      <alignment horizontal="left" vertical="top"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center"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82" borderId="84" applyNumberFormat="0" applyProtection="0">
      <alignment horizontal="left" vertical="top"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center"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60" borderId="84" applyNumberFormat="0" applyProtection="0">
      <alignment horizontal="left" vertical="top"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center"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3" fillId="91" borderId="84" applyNumberFormat="0" applyProtection="0">
      <alignment horizontal="left" vertical="top" indent="1"/>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51"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157" fillId="63" borderId="84" applyNumberFormat="0" applyProtection="0">
      <alignment vertical="center"/>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center"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63" borderId="84" applyNumberFormat="0" applyProtection="0">
      <alignment horizontal="left" vertical="top" indent="1"/>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51"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157" fillId="91" borderId="84" applyNumberFormat="0" applyProtection="0">
      <alignment horizontal="right" vertical="center"/>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center"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51" fillId="82" borderId="84" applyNumberFormat="0" applyProtection="0">
      <alignment horizontal="left" vertical="top" indent="1"/>
    </xf>
    <xf numFmtId="0" fontId="158" fillId="92" borderId="0" applyNumberFormat="0" applyProtection="0">
      <alignment horizontal="left" vertical="center" indent="1"/>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59" fillId="91" borderId="84" applyNumberFormat="0" applyProtection="0">
      <alignment horizontal="right" vertical="center"/>
    </xf>
    <xf numFmtId="0" fontId="160" fillId="0" borderId="0">
      <alignment horizontal="left"/>
    </xf>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181" fontId="124" fillId="0" borderId="86"/>
    <xf numFmtId="0" fontId="51" fillId="0" borderId="0">
      <alignment vertical="top"/>
    </xf>
    <xf numFmtId="0" fontId="135" fillId="0" borderId="0"/>
    <xf numFmtId="0" fontId="161" fillId="0" borderId="0">
      <alignment horizontal="center"/>
    </xf>
    <xf numFmtId="196" fontId="3" fillId="0" borderId="0" applyFont="0" applyFill="0" applyBorder="0" applyAlignment="0" applyProtection="0"/>
    <xf numFmtId="197" fontId="3" fillId="0" borderId="0" applyFont="0" applyFill="0" applyBorder="0" applyAlignment="0" applyProtection="0"/>
    <xf numFmtId="198" fontId="104" fillId="0" borderId="0" applyFont="0" applyFill="0" applyBorder="0" applyAlignment="0" applyProtection="0"/>
    <xf numFmtId="199" fontId="104" fillId="0" borderId="0" applyFont="0" applyFill="0" applyBorder="0" applyAlignment="0" applyProtection="0"/>
    <xf numFmtId="9" fontId="162" fillId="0" borderId="0" applyFont="0" applyFill="0" applyBorder="0" applyAlignment="0" applyProtection="0"/>
    <xf numFmtId="0" fontId="61" fillId="0" borderId="0"/>
    <xf numFmtId="0" fontId="163" fillId="0" borderId="0"/>
    <xf numFmtId="200" fontId="61" fillId="0" borderId="0" applyFont="0" applyFill="0" applyBorder="0" applyAlignment="0" applyProtection="0"/>
    <xf numFmtId="184" fontId="61" fillId="0" borderId="0" applyFont="0" applyFill="0" applyBorder="0" applyAlignment="0" applyProtection="0"/>
    <xf numFmtId="183" fontId="3" fillId="0" borderId="0" applyFont="0" applyFill="0" applyBorder="0" applyAlignment="0" applyProtection="0"/>
    <xf numFmtId="9" fontId="61" fillId="0" borderId="0" applyFont="0" applyFill="0" applyBorder="0" applyAlignment="0" applyProtection="0"/>
    <xf numFmtId="9" fontId="104" fillId="0" borderId="0" applyFont="0" applyFill="0" applyBorder="0" applyAlignment="0" applyProtection="0"/>
    <xf numFmtId="9" fontId="142" fillId="0" borderId="0" applyAlignment="0"/>
    <xf numFmtId="9" fontId="142" fillId="0" borderId="0" applyAlignment="0"/>
    <xf numFmtId="9" fontId="104" fillId="0" borderId="0" applyFont="0" applyFill="0" applyBorder="0" applyAlignment="0" applyProtection="0"/>
    <xf numFmtId="9" fontId="3" fillId="0" borderId="0" applyFont="0" applyFill="0" applyBorder="0" applyAlignment="0" applyProtection="0"/>
    <xf numFmtId="9" fontId="104" fillId="0" borderId="0" applyFont="0" applyFill="0" applyBorder="0" applyAlignment="0" applyProtection="0"/>
    <xf numFmtId="9" fontId="0" fillId="0" borderId="0" applyFont="0" applyFill="0" applyBorder="0" applyAlignment="0" applyProtection="0"/>
    <xf numFmtId="9" fontId="117" fillId="0" borderId="0" applyFont="0" applyFill="0" applyBorder="0" applyProtection="0"/>
    <xf numFmtId="9" fontId="0" fillId="0" borderId="0" applyFont="0" applyFill="0" applyBorder="0" applyAlignment="0" applyProtection="0"/>
    <xf numFmtId="9" fontId="0" fillId="0" borderId="0" applyFont="0" applyFill="0" applyBorder="0" applyAlignment="0" applyProtection="0"/>
    <xf numFmtId="9" fontId="117" fillId="0" borderId="0" applyFont="0" applyFill="0" applyBorder="0" applyProtection="0"/>
    <xf numFmtId="9" fontId="0" fillId="0" borderId="0" applyFont="0" applyFill="0" applyBorder="0" applyAlignment="0" applyProtection="0"/>
    <xf numFmtId="9" fontId="117" fillId="0" borderId="0" applyFont="0" applyFill="0" applyBorder="0" applyProtection="0"/>
    <xf numFmtId="9" fontId="104" fillId="0" borderId="0" applyFont="0" applyFill="0" applyBorder="0" applyAlignment="0" applyProtection="0"/>
    <xf numFmtId="9" fontId="117" fillId="0" borderId="0" applyFont="0" applyFill="0" applyBorder="0" applyProtection="0"/>
    <xf numFmtId="9" fontId="117" fillId="0" borderId="0" applyFont="0" applyFill="0" applyBorder="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111" fillId="0" borderId="0" applyFont="0" applyFill="0" applyBorder="0" applyAlignment="0" applyProtection="0"/>
    <xf numFmtId="9" fontId="0" fillId="0" borderId="0" applyFont="0" applyFill="0" applyBorder="0" applyAlignment="0" applyProtection="0"/>
    <xf numFmtId="9" fontId="111" fillId="0" borderId="0" applyFont="0" applyFill="0" applyBorder="0" applyAlignment="0" applyProtection="0"/>
    <xf numFmtId="9" fontId="111" fillId="0" borderId="0" applyFont="0" applyFill="0" applyBorder="0" applyProtection="0"/>
    <xf numFmtId="9" fontId="117" fillId="0" borderId="0" applyFont="0" applyFill="0" applyBorder="0" applyProtection="0"/>
    <xf numFmtId="9" fontId="111"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117" fillId="0" borderId="0" applyFont="0" applyFill="0" applyBorder="0" applyProtection="0"/>
    <xf numFmtId="9" fontId="111" fillId="0" borderId="0" applyFont="0" applyFill="0" applyBorder="0" applyAlignment="0" applyProtection="0"/>
    <xf numFmtId="9" fontId="0"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0" fontId="165" fillId="0" borderId="0" applyNumberFormat="0" applyFill="0" applyBorder="0" applyProtection="0"/>
    <xf numFmtId="4" fontId="166" fillId="0" borderId="0">
      <alignment horizontal="right"/>
    </xf>
    <xf numFmtId="0" fontId="167" fillId="0" borderId="0" applyNumberFormat="0" applyFill="0" applyBorder="0" applyAlignment="0" applyProtection="0"/>
    <xf numFmtId="0" fontId="168" fillId="85" borderId="0" applyNumberFormat="0" applyBorder="0" applyProtection="0"/>
    <xf numFmtId="0" fontId="169" fillId="83" borderId="0" applyNumberFormat="0" applyBorder="0" applyProtection="0"/>
    <xf numFmtId="0" fontId="169" fillId="83" borderId="0" applyNumberFormat="0" applyBorder="0" applyProtection="0"/>
    <xf numFmtId="0" fontId="170" fillId="83" borderId="0" applyNumberFormat="0" applyBorder="0" applyAlignment="0" applyProtection="0"/>
    <xf numFmtId="0" fontId="169" fillId="83" borderId="0" applyNumberFormat="0" applyBorder="0" applyProtection="0"/>
    <xf numFmtId="0" fontId="169" fillId="83" borderId="0" applyNumberFormat="0" applyBorder="0" applyProtection="0"/>
    <xf numFmtId="0" fontId="169" fillId="83" borderId="0" applyNumberFormat="0" applyBorder="0" applyProtection="0"/>
    <xf numFmtId="0" fontId="169" fillId="83" borderId="0" applyNumberFormat="0" applyBorder="0" applyProtection="0"/>
    <xf numFmtId="0" fontId="169" fillId="83" borderId="0" applyNumberFormat="0" applyBorder="0" applyProtection="0"/>
    <xf numFmtId="0" fontId="169" fillId="83" borderId="0" applyNumberFormat="0" applyBorder="0" applyProtection="0"/>
    <xf numFmtId="0" fontId="169" fillId="83" borderId="0" applyNumberFormat="0" applyBorder="0" applyProtection="0"/>
    <xf numFmtId="0" fontId="168" fillId="85" borderId="0" applyNumberFormat="0" applyBorder="0" applyProtection="0"/>
    <xf numFmtId="0" fontId="168" fillId="85" borderId="0" applyNumberFormat="0" applyBorder="0" applyProtection="0"/>
    <xf numFmtId="0" fontId="100" fillId="78" borderId="0" applyNumberFormat="0" applyBorder="0" applyProtection="0"/>
    <xf numFmtId="0" fontId="169" fillId="83" borderId="0" applyNumberFormat="0" applyBorder="0" applyProtection="0"/>
    <xf numFmtId="0" fontId="168" fillId="85" borderId="0" applyNumberFormat="0" applyBorder="0" applyProtection="0"/>
    <xf numFmtId="0" fontId="168" fillId="85" borderId="0" applyNumberFormat="0" applyBorder="0" applyProtection="0"/>
    <xf numFmtId="0" fontId="100" fillId="78" borderId="0" applyNumberFormat="0" applyBorder="0" applyProtection="0"/>
    <xf numFmtId="0" fontId="168" fillId="85" borderId="0" applyNumberFormat="0" applyBorder="0" applyProtection="0"/>
    <xf numFmtId="0" fontId="168" fillId="85" borderId="0" applyNumberFormat="0" applyBorder="0" applyProtection="0"/>
    <xf numFmtId="0" fontId="168" fillId="85" borderId="0" applyNumberFormat="0" applyBorder="0" applyProtection="0"/>
    <xf numFmtId="0" fontId="169" fillId="83" borderId="0" applyNumberFormat="0" applyBorder="0" applyProtection="0"/>
    <xf numFmtId="0" fontId="168" fillId="85" borderId="0" applyNumberFormat="0" applyBorder="0" applyProtection="0"/>
    <xf numFmtId="0" fontId="168" fillId="85" borderId="0" applyNumberFormat="0" applyBorder="0" applyProtection="0"/>
    <xf numFmtId="0" fontId="168" fillId="85" borderId="0" applyNumberFormat="0" applyBorder="0" applyProtection="0"/>
    <xf numFmtId="0" fontId="168" fillId="85" borderId="0" applyNumberFormat="0" applyBorder="0" applyProtection="0"/>
    <xf numFmtId="0" fontId="0" fillId="0" borderId="0"/>
    <xf numFmtId="0" fontId="0" fillId="0" borderId="0"/>
    <xf numFmtId="0" fontId="0" fillId="0" borderId="0"/>
    <xf numFmtId="0" fontId="0" fillId="0" borderId="0"/>
    <xf numFmtId="0" fontId="0" fillId="0" borderId="0"/>
    <xf numFmtId="0" fontId="111" fillId="0" borderId="0"/>
    <xf numFmtId="0" fontId="0" fillId="0" borderId="0"/>
    <xf numFmtId="0" fontId="111" fillId="0" borderId="0">
      <alignment vertical="center"/>
    </xf>
    <xf numFmtId="0" fontId="0" fillId="0" borderId="0"/>
    <xf numFmtId="0" fontId="0" fillId="0" borderId="0"/>
    <xf numFmtId="0" fontId="0" fillId="0" borderId="0"/>
    <xf numFmtId="0" fontId="117" fillId="0" borderId="0"/>
    <xf numFmtId="0" fontId="111" fillId="0" borderId="0"/>
    <xf numFmtId="0" fontId="111" fillId="0" borderId="0"/>
    <xf numFmtId="0" fontId="111" fillId="0" borderId="0"/>
    <xf numFmtId="0" fontId="111" fillId="0" borderId="0"/>
    <xf numFmtId="0" fontId="0" fillId="0" borderId="0"/>
    <xf numFmtId="0" fontId="0" fillId="0" borderId="0">
      <protection locked="0"/>
    </xf>
    <xf numFmtId="0" fontId="104" fillId="0" borderId="0"/>
    <xf numFmtId="201" fontId="171" fillId="0" borderId="0"/>
    <xf numFmtId="0" fontId="104" fillId="0" borderId="0"/>
    <xf numFmtId="0" fontId="117" fillId="0" borderId="0"/>
    <xf numFmtId="0" fontId="0" fillId="0" borderId="0"/>
    <xf numFmtId="0" fontId="0" fillId="0" borderId="0"/>
    <xf numFmtId="0" fontId="0" fillId="0" borderId="0"/>
    <xf numFmtId="0" fontId="0" fillId="0" borderId="0"/>
    <xf numFmtId="0" fontId="0" fillId="0" borderId="0"/>
    <xf numFmtId="0" fontId="142" fillId="0" borderId="0">
      <protection locked="0"/>
    </xf>
    <xf numFmtId="0" fontId="0" fillId="0" borderId="0"/>
    <xf numFmtId="0" fontId="142" fillId="0" borderId="0">
      <protection locked="0"/>
    </xf>
    <xf numFmtId="0" fontId="142" fillId="0" borderId="0">
      <protection locked="0"/>
    </xf>
    <xf numFmtId="0" fontId="117" fillId="0" borderId="0"/>
    <xf numFmtId="0" fontId="104" fillId="0" borderId="0"/>
    <xf numFmtId="0" fontId="3" fillId="0" borderId="0">
      <protection locked="0"/>
    </xf>
    <xf numFmtId="0" fontId="0" fillId="0" borderId="0"/>
    <xf numFmtId="0" fontId="0" fillId="0" borderId="0"/>
    <xf numFmtId="0" fontId="0" fillId="0" borderId="0"/>
    <xf numFmtId="0" fontId="104" fillId="0" borderId="0"/>
    <xf numFmtId="0" fontId="0" fillId="0" borderId="0"/>
    <xf numFmtId="0" fontId="104" fillId="0" borderId="0"/>
    <xf numFmtId="0" fontId="104" fillId="0" borderId="0"/>
    <xf numFmtId="0" fontId="3" fillId="0" borderId="0">
      <protection locked="0"/>
    </xf>
    <xf numFmtId="0" fontId="0" fillId="0" borderId="0">
      <alignment vertical="center"/>
    </xf>
    <xf numFmtId="0" fontId="0" fillId="0" borderId="0">
      <alignment vertical="center"/>
    </xf>
    <xf numFmtId="0" fontId="0" fillId="0" borderId="0">
      <alignment vertical="center"/>
    </xf>
    <xf numFmtId="0" fontId="117"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17" fillId="0" borderId="0"/>
    <xf numFmtId="0" fontId="142" fillId="0" borderId="0">
      <protection locked="0"/>
    </xf>
    <xf numFmtId="0" fontId="104" fillId="0" borderId="0">
      <alignment vertical="top"/>
    </xf>
    <xf numFmtId="0" fontId="142" fillId="0" borderId="0">
      <protection locked="0"/>
    </xf>
    <xf numFmtId="176" fontId="3" fillId="0" borderId="0"/>
    <xf numFmtId="0" fontId="172" fillId="0" borderId="0">
      <alignment vertical="center"/>
    </xf>
    <xf numFmtId="0" fontId="172" fillId="0" borderId="0">
      <alignment vertical="center"/>
    </xf>
    <xf numFmtId="201" fontId="117" fillId="0" borderId="0"/>
    <xf numFmtId="0" fontId="172" fillId="0" borderId="0">
      <alignment vertical="center"/>
    </xf>
    <xf numFmtId="0" fontId="172" fillId="0" borderId="0">
      <alignment vertical="center"/>
    </xf>
    <xf numFmtId="0" fontId="104" fillId="0" borderId="0"/>
    <xf numFmtId="0" fontId="150" fillId="0" borderId="0"/>
    <xf numFmtId="0" fontId="150" fillId="0" borderId="0"/>
    <xf numFmtId="0" fontId="104" fillId="0" borderId="0"/>
    <xf numFmtId="201" fontId="117" fillId="0" borderId="0"/>
    <xf numFmtId="201" fontId="117" fillId="0" borderId="0"/>
    <xf numFmtId="0" fontId="118" fillId="0" borderId="0"/>
    <xf numFmtId="0" fontId="104" fillId="0" borderId="0"/>
    <xf numFmtId="0" fontId="0" fillId="0" borderId="0">
      <alignment vertical="center"/>
      <protection locked="0"/>
    </xf>
    <xf numFmtId="0" fontId="117" fillId="0" borderId="0"/>
    <xf numFmtId="0" fontId="0" fillId="0" borderId="0"/>
    <xf numFmtId="0" fontId="0" fillId="0" borderId="0"/>
    <xf numFmtId="0" fontId="0" fillId="0" borderId="0"/>
    <xf numFmtId="0" fontId="0" fillId="0" borderId="0"/>
    <xf numFmtId="0" fontId="117" fillId="0" borderId="0"/>
    <xf numFmtId="0" fontId="0" fillId="0" borderId="0"/>
    <xf numFmtId="0" fontId="111" fillId="0" borderId="0">
      <alignment vertical="center"/>
      <protection locked="0"/>
    </xf>
    <xf numFmtId="0" fontId="0" fillId="0" borderId="0"/>
    <xf numFmtId="0" fontId="0" fillId="0" borderId="0"/>
    <xf numFmtId="0" fontId="117" fillId="0" borderId="0"/>
    <xf numFmtId="0" fontId="0" fillId="0" borderId="0"/>
    <xf numFmtId="0" fontId="117" fillId="0" borderId="0"/>
    <xf numFmtId="0" fontId="117" fillId="0" borderId="0"/>
    <xf numFmtId="0" fontId="117" fillId="0" borderId="0"/>
    <xf numFmtId="0" fontId="119" fillId="0" borderId="0"/>
    <xf numFmtId="0" fontId="0" fillId="0" borderId="0"/>
    <xf numFmtId="0" fontId="150" fillId="0" borderId="0"/>
    <xf numFmtId="0" fontId="150" fillId="0" borderId="0"/>
    <xf numFmtId="0" fontId="117" fillId="0" borderId="0"/>
    <xf numFmtId="0" fontId="3" fillId="0" borderId="0">
      <protection locked="0"/>
    </xf>
    <xf numFmtId="0" fontId="0" fillId="0" borderId="0"/>
    <xf numFmtId="0" fontId="0" fillId="0" borderId="0"/>
    <xf numFmtId="0" fontId="117" fillId="0" borderId="0"/>
    <xf numFmtId="0" fontId="0" fillId="0" borderId="0"/>
    <xf numFmtId="0" fontId="0" fillId="0" borderId="0" applyAlignment="0"/>
    <xf numFmtId="0" fontId="0" fillId="0" borderId="0" applyAlignment="0"/>
    <xf numFmtId="0" fontId="0" fillId="0" borderId="0" applyAlignment="0"/>
    <xf numFmtId="0" fontId="3" fillId="0" borderId="0">
      <protection locked="0"/>
    </xf>
    <xf numFmtId="0" fontId="0" fillId="0" borderId="0" applyAlignment="0"/>
    <xf numFmtId="0" fontId="3" fillId="0" borderId="0">
      <protection locked="0"/>
    </xf>
    <xf numFmtId="0" fontId="0" fillId="0" borderId="0">
      <alignment vertical="center"/>
      <protection locked="0"/>
    </xf>
    <xf numFmtId="0" fontId="0" fillId="0" borderId="0">
      <alignment vertical="center"/>
      <protection locked="0"/>
    </xf>
    <xf numFmtId="0" fontId="0" fillId="0" borderId="0">
      <alignment vertical="center"/>
      <protection locked="0"/>
    </xf>
    <xf numFmtId="0" fontId="0" fillId="0" borderId="0">
      <alignment vertical="center"/>
      <protection locked="0"/>
    </xf>
    <xf numFmtId="0" fontId="0" fillId="0" borderId="0">
      <alignment vertical="center"/>
      <protection locked="0"/>
    </xf>
    <xf numFmtId="0" fontId="173" fillId="0" borderId="0"/>
    <xf numFmtId="0" fontId="117" fillId="0" borderId="0"/>
    <xf numFmtId="0" fontId="0" fillId="0" borderId="0"/>
    <xf numFmtId="0" fontId="117" fillId="0" borderId="0"/>
    <xf numFmtId="0" fontId="104" fillId="0" borderId="0"/>
    <xf numFmtId="0" fontId="0" fillId="0" borderId="0"/>
    <xf numFmtId="0" fontId="0" fillId="0" borderId="0"/>
    <xf numFmtId="0" fontId="117"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111" fillId="0" borderId="0">
      <alignment vertical="center"/>
    </xf>
    <xf numFmtId="0" fontId="0" fillId="0" borderId="0"/>
    <xf numFmtId="0" fontId="117" fillId="0" borderId="0"/>
    <xf numFmtId="0" fontId="111" fillId="0" borderId="0"/>
    <xf numFmtId="0" fontId="104" fillId="0" borderId="0"/>
    <xf numFmtId="0" fontId="0" fillId="0" borderId="0"/>
    <xf numFmtId="0" fontId="0" fillId="0" borderId="0"/>
    <xf numFmtId="0" fontId="0" fillId="0" borderId="0"/>
    <xf numFmtId="0" fontId="104" fillId="0" borderId="0"/>
    <xf numFmtId="0" fontId="0" fillId="0" borderId="0"/>
    <xf numFmtId="0" fontId="117" fillId="0" borderId="0"/>
    <xf numFmtId="0" fontId="104" fillId="0" borderId="0">
      <alignment vertical="center"/>
    </xf>
    <xf numFmtId="0" fontId="0" fillId="0" borderId="0"/>
    <xf numFmtId="0" fontId="0" fillId="0" borderId="0"/>
    <xf numFmtId="0" fontId="117" fillId="0" borderId="0"/>
    <xf numFmtId="0" fontId="0" fillId="0" borderId="0"/>
    <xf numFmtId="0" fontId="0" fillId="0" borderId="0"/>
    <xf numFmtId="0" fontId="0" fillId="0" borderId="0"/>
    <xf numFmtId="0" fontId="117" fillId="0" borderId="0"/>
    <xf numFmtId="0" fontId="0" fillId="0" borderId="0"/>
    <xf numFmtId="0" fontId="111" fillId="0" borderId="0">
      <alignment vertical="center"/>
    </xf>
    <xf numFmtId="0" fontId="117" fillId="0" borderId="0"/>
    <xf numFmtId="0" fontId="0" fillId="0" borderId="0"/>
    <xf numFmtId="0" fontId="0" fillId="0" borderId="0"/>
    <xf numFmtId="0" fontId="0" fillId="0" borderId="0"/>
    <xf numFmtId="0" fontId="117" fillId="0" borderId="0"/>
    <xf numFmtId="0" fontId="0" fillId="0" borderId="0"/>
    <xf numFmtId="0" fontId="11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11" fillId="0" borderId="0"/>
    <xf numFmtId="0" fontId="0" fillId="0" borderId="0"/>
    <xf numFmtId="0" fontId="117" fillId="0" borderId="0"/>
    <xf numFmtId="0" fontId="104" fillId="0" borderId="0">
      <alignment vertical="center"/>
    </xf>
    <xf numFmtId="0" fontId="174" fillId="0" borderId="0" applyNumberFormat="0" applyFill="0" applyBorder="0">
      <protection locked="0"/>
    </xf>
    <xf numFmtId="0" fontId="80" fillId="0" borderId="0" applyNumberFormat="0" applyFill="0" applyBorder="0" applyAlignment="0" applyProtection="0"/>
    <xf numFmtId="0" fontId="174" fillId="0" borderId="0" applyNumberFormat="0" applyFill="0" applyBorder="0">
      <protection locked="0"/>
    </xf>
    <xf numFmtId="0" fontId="129" fillId="0" borderId="0" applyNumberFormat="0" applyFill="0" applyBorder="0" applyAlignment="0" applyProtection="0"/>
    <xf numFmtId="0" fontId="131" fillId="0" borderId="0" applyNumberFormat="0" applyFill="0" applyBorder="0" applyAlignment="0" applyProtection="0"/>
    <xf numFmtId="0" fontId="129" fillId="0" borderId="0" applyNumberFormat="0" applyFill="0" applyBorder="0" applyAlignment="0" applyProtection="0"/>
    <xf numFmtId="0" fontId="174" fillId="0" borderId="0" applyNumberFormat="0" applyFill="0" applyBorder="0">
      <protection locked="0"/>
    </xf>
    <xf numFmtId="0" fontId="131" fillId="0" borderId="0" applyNumberFormat="0" applyFill="0" applyBorder="0" applyAlignment="0" applyProtection="0"/>
    <xf numFmtId="0" fontId="131" fillId="0" borderId="0" applyNumberFormat="0" applyFill="0" applyBorder="0" applyAlignment="0" applyProtection="0"/>
    <xf numFmtId="0" fontId="129" fillId="0" borderId="0" applyNumberFormat="0" applyFill="0" applyBorder="0" applyProtection="0"/>
    <xf numFmtId="0" fontId="175" fillId="0" borderId="0" applyNumberFormat="0" applyFill="0" applyBorder="0" applyAlignment="0" applyProtection="0"/>
    <xf numFmtId="0" fontId="174" fillId="0" borderId="0" applyNumberFormat="0" applyFill="0" applyBorder="0">
      <protection locked="0"/>
    </xf>
    <xf numFmtId="0" fontId="174" fillId="0" borderId="0" applyNumberFormat="0" applyFill="0" applyBorder="0">
      <protection locked="0"/>
    </xf>
    <xf numFmtId="0" fontId="80" fillId="0" borderId="0" applyNumberFormat="0" applyFill="0" applyBorder="0" applyAlignment="0" applyProtection="0">
      <alignment vertical="center"/>
    </xf>
    <xf numFmtId="0" fontId="133" fillId="0" borderId="0" applyNumberFormat="0" applyFill="0" applyBorder="0">
      <protection locked="0"/>
    </xf>
    <xf numFmtId="0" fontId="80" fillId="0" borderId="0" applyNumberFormat="0" applyFill="0" applyBorder="0" applyAlignment="0" applyProtection="0"/>
    <xf numFmtId="0" fontId="129"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176" fillId="79" borderId="0" applyNumberFormat="0" applyBorder="0" applyProtection="0"/>
    <xf numFmtId="0" fontId="177" fillId="67" borderId="0" applyNumberFormat="0" applyBorder="0" applyProtection="0"/>
    <xf numFmtId="0" fontId="177" fillId="79" borderId="0" applyNumberFormat="0" applyBorder="0" applyProtection="0"/>
    <xf numFmtId="0" fontId="177" fillId="79" borderId="0" applyNumberFormat="0" applyBorder="0" applyProtection="0"/>
    <xf numFmtId="0" fontId="177" fillId="79" borderId="0" applyNumberFormat="0" applyBorder="0" applyProtection="0"/>
    <xf numFmtId="0" fontId="177" fillId="67" borderId="0" applyNumberFormat="0" applyBorder="0" applyProtection="0"/>
    <xf numFmtId="0" fontId="178" fillId="67" borderId="0" applyNumberFormat="0" applyBorder="0" applyAlignment="0" applyProtection="0"/>
    <xf numFmtId="0" fontId="177" fillId="67" borderId="0" applyNumberFormat="0" applyBorder="0" applyProtection="0"/>
    <xf numFmtId="0" fontId="177" fillId="67" borderId="0" applyNumberFormat="0" applyBorder="0" applyProtection="0"/>
    <xf numFmtId="0" fontId="177" fillId="67" borderId="0" applyNumberFormat="0" applyBorder="0" applyProtection="0"/>
    <xf numFmtId="0" fontId="177" fillId="67" borderId="0" applyNumberFormat="0" applyBorder="0" applyProtection="0"/>
    <xf numFmtId="0" fontId="177" fillId="67" borderId="0" applyNumberFormat="0" applyBorder="0" applyProtection="0"/>
    <xf numFmtId="0" fontId="177" fillId="67" borderId="0" applyNumberFormat="0" applyBorder="0" applyProtection="0"/>
    <xf numFmtId="0" fontId="177" fillId="67" borderId="0" applyNumberFormat="0" applyBorder="0" applyProtection="0"/>
    <xf numFmtId="0" fontId="177" fillId="79" borderId="0" applyNumberFormat="0" applyBorder="0" applyProtection="0"/>
    <xf numFmtId="0" fontId="176" fillId="79" borderId="0" applyNumberFormat="0" applyBorder="0" applyProtection="0"/>
    <xf numFmtId="0" fontId="177" fillId="67" borderId="0" applyNumberFormat="0" applyBorder="0" applyProtection="0"/>
    <xf numFmtId="0" fontId="176" fillId="79" borderId="0" applyNumberFormat="0" applyBorder="0" applyProtection="0"/>
    <xf numFmtId="0" fontId="177" fillId="79" borderId="0" applyNumberFormat="0" applyBorder="0" applyProtection="0"/>
    <xf numFmtId="0" fontId="176" fillId="79" borderId="0" applyNumberFormat="0" applyBorder="0" applyProtection="0"/>
    <xf numFmtId="0" fontId="176" fillId="79" borderId="0" applyNumberFormat="0" applyBorder="0" applyProtection="0"/>
    <xf numFmtId="0" fontId="179" fillId="93" borderId="0" applyNumberFormat="0" applyBorder="0" applyProtection="0"/>
    <xf numFmtId="0" fontId="176" fillId="79" borderId="0" applyNumberFormat="0" applyBorder="0" applyProtection="0"/>
    <xf numFmtId="0" fontId="179" fillId="93" borderId="0" applyNumberFormat="0" applyBorder="0" applyProtection="0"/>
    <xf numFmtId="0" fontId="176" fillId="79" borderId="0" applyNumberFormat="0" applyBorder="0" applyProtection="0"/>
    <xf numFmtId="0" fontId="176" fillId="79" borderId="0" applyNumberFormat="0" applyBorder="0" applyProtection="0"/>
    <xf numFmtId="0" fontId="177" fillId="67" borderId="0" applyNumberFormat="0" applyBorder="0" applyProtection="0"/>
    <xf numFmtId="0" fontId="177" fillId="79" borderId="0" applyNumberFormat="0" applyBorder="0" applyProtection="0"/>
    <xf numFmtId="0" fontId="177" fillId="79" borderId="0" applyNumberFormat="0" applyBorder="0" applyProtection="0"/>
    <xf numFmtId="0" fontId="176" fillId="79" borderId="0" applyNumberFormat="0" applyBorder="0" applyProtection="0"/>
    <xf numFmtId="0" fontId="176" fillId="79" borderId="0" applyNumberFormat="0" applyBorder="0" applyProtection="0"/>
    <xf numFmtId="0" fontId="177" fillId="79" borderId="0" applyNumberFormat="0" applyBorder="0" applyProtection="0"/>
    <xf numFmtId="0" fontId="176" fillId="79" borderId="0" applyNumberFormat="0" applyBorder="0" applyProtection="0"/>
    <xf numFmtId="0" fontId="177" fillId="79" borderId="0" applyNumberFormat="0" applyBorder="0" applyProtection="0"/>
    <xf numFmtId="0" fontId="176" fillId="79" borderId="0" applyNumberFormat="0" applyBorder="0" applyProtection="0"/>
    <xf numFmtId="0" fontId="176" fillId="79" borderId="0" applyNumberFormat="0" applyBorder="0" applyProtection="0"/>
    <xf numFmtId="0" fontId="179" fillId="93" borderId="0" applyNumberFormat="0" applyBorder="0" applyProtection="0"/>
    <xf numFmtId="0" fontId="176" fillId="79" borderId="0" applyNumberFormat="0" applyBorder="0" applyProtection="0"/>
    <xf numFmtId="0" fontId="179" fillId="93" borderId="0" applyNumberFormat="0" applyBorder="0" applyProtection="0"/>
    <xf numFmtId="0" fontId="177" fillId="79" borderId="0" applyNumberFormat="0" applyBorder="0" applyProtection="0"/>
    <xf numFmtId="4" fontId="180" fillId="0" borderId="0" applyFont="0" applyFill="0" applyBorder="0" applyAlignment="0" applyProtection="0"/>
    <xf numFmtId="183" fontId="3" fillId="0" borderId="0" applyFont="0" applyFill="0" applyBorder="0" applyAlignment="0" applyProtection="0"/>
    <xf numFmtId="202" fontId="111" fillId="0" borderId="0" applyFont="0" applyFill="0" applyBorder="0" applyProtection="0"/>
    <xf numFmtId="202" fontId="111" fillId="0" borderId="0" applyFont="0" applyFill="0" applyBorder="0" applyProtection="0"/>
    <xf numFmtId="203" fontId="181" fillId="0" borderId="0" applyFont="0" applyFill="0" applyBorder="0" applyAlignment="0" applyProtection="0"/>
    <xf numFmtId="188" fontId="181" fillId="0" borderId="0" applyFont="0" applyFill="0" applyBorder="0" applyAlignment="0" applyProtection="0"/>
    <xf numFmtId="204" fontId="3" fillId="0" borderId="0" applyFont="0" applyFill="0" applyBorder="0" applyAlignment="0" applyProtection="0"/>
    <xf numFmtId="205" fontId="3" fillId="0" borderId="0" applyFont="0" applyFill="0" applyBorder="0" applyAlignment="0" applyProtection="0"/>
    <xf numFmtId="206" fontId="182" fillId="0" borderId="0" applyFont="0" applyFill="0" applyBorder="0" applyAlignment="0" applyProtection="0"/>
    <xf numFmtId="207" fontId="182" fillId="0" borderId="0" applyFont="0" applyFill="0" applyBorder="0" applyAlignment="0" applyProtection="0"/>
    <xf numFmtId="203" fontId="61" fillId="0" borderId="0" applyFont="0" applyFill="0" applyBorder="0" applyAlignment="0" applyProtection="0"/>
    <xf numFmtId="188" fontId="61" fillId="0" borderId="0" applyFont="0" applyFill="0" applyBorder="0" applyAlignment="0" applyProtection="0"/>
    <xf numFmtId="0" fontId="121" fillId="0" borderId="0"/>
    <xf numFmtId="183" fontId="121" fillId="0" borderId="0" applyFont="0" applyFill="0" applyBorder="0" applyAlignment="0" applyProtection="0"/>
    <xf numFmtId="181" fontId="121" fillId="0" borderId="0" applyFont="0" applyFill="0" applyBorder="0" applyAlignment="0" applyProtection="0"/>
    <xf numFmtId="183" fontId="104" fillId="0" borderId="0" applyFont="0" applyFill="0" applyBorder="0" applyAlignment="0" applyProtection="0"/>
    <xf numFmtId="181" fontId="104"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7" fillId="0" borderId="0" applyFont="0" applyFill="0" applyBorder="0" applyProtection="0"/>
    <xf numFmtId="181" fontId="117" fillId="0" borderId="0" applyFont="0" applyFill="0" applyBorder="0" applyProtection="0"/>
    <xf numFmtId="181" fontId="117" fillId="0" borderId="0" applyFont="0" applyFill="0" applyBorder="0" applyProtection="0"/>
    <xf numFmtId="181" fontId="117" fillId="0" borderId="0" applyFont="0" applyFill="0" applyBorder="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8" fillId="0" borderId="0" applyFont="0" applyFill="0" applyBorder="0" applyAlignment="0" applyProtection="0"/>
    <xf numFmtId="181" fontId="118" fillId="0" borderId="0" applyFont="0" applyFill="0" applyBorder="0" applyAlignment="0" applyProtection="0"/>
    <xf numFmtId="181" fontId="0" fillId="0" borderId="0" applyFont="0" applyFill="0" applyBorder="0" applyAlignment="0" applyProtection="0"/>
    <xf numFmtId="181" fontId="104" fillId="0" borderId="0" applyFont="0" applyFill="0" applyBorder="0" applyAlignment="0" applyProtection="0"/>
    <xf numFmtId="0" fontId="0" fillId="0" borderId="0" applyFont="0" applyFill="0" applyBorder="0" applyProtection="0"/>
    <xf numFmtId="181" fontId="142" fillId="0" borderId="0" applyFont="0" applyAlignme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142" fillId="0" borderId="0" applyFont="0" applyAlignment="0" applyProtection="0"/>
    <xf numFmtId="181" fontId="142" fillId="0" borderId="0" applyFont="0" applyAlignment="0" applyProtection="0"/>
    <xf numFmtId="181" fontId="0" fillId="0" borderId="0" applyFont="0" applyProtection="0"/>
    <xf numFmtId="181" fontId="0" fillId="0" borderId="0" applyFo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42" fillId="0" borderId="0" applyFont="0" applyAlignment="0" applyProtection="0"/>
    <xf numFmtId="181" fontId="142" fillId="0" borderId="0" applyFont="0" applyAlignment="0" applyProtection="0"/>
    <xf numFmtId="181" fontId="142" fillId="0" borderId="0" applyFont="0" applyAlignment="0" applyProtection="0"/>
    <xf numFmtId="181" fontId="142" fillId="0" borderId="0" applyFont="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3" fillId="0" borderId="0" applyFont="0" applyFill="0" applyBorder="0" applyAlignment="0" applyProtection="0"/>
    <xf numFmtId="181" fontId="3" fillId="0" borderId="0" applyFont="0" applyFill="0" applyBorder="0" applyAlignment="0" applyProtection="0"/>
    <xf numFmtId="181" fontId="0" fillId="0" borderId="0" applyFont="0" applyFill="0" applyBorder="0" applyProtection="0"/>
    <xf numFmtId="181" fontId="0" fillId="0" borderId="0" applyFont="0" applyFill="0" applyBorder="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Protection="0"/>
    <xf numFmtId="181" fontId="0" fillId="0" borderId="0" applyFo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0" fontId="111" fillId="0" borderId="0" applyFont="0" applyFill="0" applyBorder="0" applyProtection="0"/>
    <xf numFmtId="0" fontId="0" fillId="0" borderId="0" applyFont="0" applyFill="0" applyBorder="0" applyProtection="0"/>
    <xf numFmtId="0" fontId="0" fillId="0" borderId="0" applyFont="0" applyFill="0" applyBorder="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0" fontId="0" fillId="0" borderId="0" applyFont="0" applyFill="0" applyBorder="0" applyProtection="0"/>
    <xf numFmtId="181" fontId="0" fillId="0" borderId="0" applyFont="0" applyFill="0" applyBorder="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3" fillId="0" borderId="0" applyFont="0" applyFill="0" applyBorder="0" applyAlignment="0" applyProtection="0"/>
    <xf numFmtId="181" fontId="3" fillId="0" borderId="0" applyFont="0" applyFill="0" applyBorder="0" applyAlignment="0" applyProtection="0"/>
    <xf numFmtId="181" fontId="0" fillId="0" borderId="0" applyFont="0" applyProtection="0"/>
    <xf numFmtId="181" fontId="0" fillId="0" borderId="0" applyFont="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Fill="0" applyBorder="0" applyProtection="0"/>
    <xf numFmtId="181" fontId="0" fillId="0" borderId="0" applyFont="0" applyFill="0" applyBorder="0" applyProtection="0"/>
    <xf numFmtId="181" fontId="142" fillId="0" borderId="0" applyAlignment="0"/>
    <xf numFmtId="181" fontId="142" fillId="0" borderId="0" applyAlignment="0"/>
    <xf numFmtId="181" fontId="142" fillId="0" borderId="0" applyAlignment="0"/>
    <xf numFmtId="181" fontId="142" fillId="0" borderId="0" applyAlignment="0"/>
    <xf numFmtId="181" fontId="142" fillId="0" borderId="0" applyAlignment="0"/>
    <xf numFmtId="181" fontId="104" fillId="0" borderId="0" applyFont="0" applyFill="0" applyBorder="0" applyAlignment="0" applyProtection="0"/>
    <xf numFmtId="181" fontId="104" fillId="0" borderId="0" applyFont="0" applyFill="0" applyBorder="0" applyAlignment="0" applyProtection="0"/>
    <xf numFmtId="181" fontId="142" fillId="0" borderId="0" applyAlignment="0"/>
    <xf numFmtId="181" fontId="142" fillId="0" borderId="0" applyAlignment="0"/>
    <xf numFmtId="181" fontId="142" fillId="0" borderId="0" applyAlignment="0"/>
    <xf numFmtId="181" fontId="142" fillId="0" borderId="0" applyAlignment="0"/>
    <xf numFmtId="181" fontId="142" fillId="0" borderId="0" applyAlignment="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3"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19" fillId="0" borderId="0" applyFont="0" applyProtection="0"/>
    <xf numFmtId="181" fontId="117" fillId="0" borderId="0" applyFont="0" applyFill="0" applyBorder="0" applyAlignment="0" applyProtection="0"/>
    <xf numFmtId="181" fontId="117" fillId="0" borderId="0" applyFont="0" applyFill="0" applyBorder="0" applyAlignment="0" applyProtection="0"/>
    <xf numFmtId="181" fontId="0" fillId="0" borderId="0" applyFo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0" fillId="0" borderId="0" applyFont="0" applyProtection="0"/>
    <xf numFmtId="181" fontId="0" fillId="0" borderId="0" applyFo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0" fillId="0" borderId="0" applyFo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0" fillId="0" borderId="0" applyFont="0" applyProtection="0"/>
    <xf numFmtId="181" fontId="0" fillId="0" borderId="0" applyFont="0" applyProtection="0"/>
    <xf numFmtId="181" fontId="0" fillId="0" borderId="0" applyFont="0" applyFill="0" applyBorder="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1" fillId="0" borderId="0" applyFont="0" applyFill="0" applyBorder="0" applyProtection="0"/>
    <xf numFmtId="181" fontId="111" fillId="0" borderId="0" applyFont="0" applyFill="0" applyBorder="0" applyProtection="0"/>
    <xf numFmtId="181" fontId="111" fillId="0" borderId="0" applyFont="0" applyFill="0" applyBorder="0" applyProtection="0"/>
    <xf numFmtId="181" fontId="111" fillId="0" borderId="0" applyFont="0" applyFill="0" applyBorder="0" applyProtection="0"/>
    <xf numFmtId="181" fontId="111" fillId="0" borderId="0" applyFont="0" applyFill="0" applyBorder="0" applyProtection="0"/>
    <xf numFmtId="181" fontId="111" fillId="0" borderId="0" applyFont="0" applyFill="0" applyBorder="0" applyProtection="0"/>
    <xf numFmtId="181" fontId="111" fillId="0" borderId="0" applyFont="0" applyFill="0" applyBorder="0" applyProtection="0"/>
    <xf numFmtId="181" fontId="111"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0" fillId="0" borderId="0" applyFont="0" applyFill="0" applyBorder="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0" fillId="0" borderId="0" applyFont="0" applyFill="0" applyBorder="0" applyProtection="0"/>
    <xf numFmtId="181" fontId="0" fillId="0" borderId="0" applyFont="0" applyFill="0" applyBorder="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17"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111" fillId="0" borderId="0" applyFont="0" applyFill="0" applyBorder="0" applyProtection="0"/>
    <xf numFmtId="181" fontId="111" fillId="0" borderId="0" applyFont="0" applyFill="0" applyBorder="0" applyProtection="0"/>
    <xf numFmtId="181" fontId="0" fillId="0" borderId="0" applyFont="0" applyProtection="0"/>
    <xf numFmtId="181" fontId="0" fillId="0" borderId="0" applyFo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19"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111" fillId="0" borderId="0" applyFont="0" applyFill="0" applyBorder="0" applyProtection="0"/>
    <xf numFmtId="181" fontId="111" fillId="0" borderId="0" applyFont="0" applyFill="0" applyBorder="0" applyProtection="0"/>
    <xf numFmtId="181" fontId="0" fillId="0" borderId="0" applyFont="0" applyProtection="0"/>
    <xf numFmtId="181" fontId="0" fillId="0" borderId="0" applyFo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19" fillId="0" borderId="0" applyFont="0" applyProtection="0"/>
    <xf numFmtId="181" fontId="104" fillId="0" borderId="0" applyFont="0" applyFill="0" applyBorder="0" applyAlignment="0" applyProtection="0"/>
    <xf numFmtId="181" fontId="0" fillId="0" borderId="0" applyFo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Protection="0"/>
    <xf numFmtId="181" fontId="0" fillId="0" borderId="0" applyFont="0" applyProtection="0"/>
    <xf numFmtId="181" fontId="0" fillId="0" borderId="0" applyFo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Protection="0"/>
    <xf numFmtId="181" fontId="0" fillId="0" borderId="0" applyFont="0" applyProtection="0"/>
    <xf numFmtId="181" fontId="0" fillId="0" borderId="0" applyFont="0" applyProtection="0"/>
    <xf numFmtId="181" fontId="0" fillId="0" borderId="0" applyFo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Protection="0"/>
    <xf numFmtId="181" fontId="0" fillId="0" borderId="0" applyFo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17" fillId="0" borderId="0" applyFont="0" applyFill="0" applyBorder="0" applyProtection="0"/>
    <xf numFmtId="181" fontId="117" fillId="0" borderId="0" applyFont="0" applyFill="0" applyBorder="0" applyProtection="0"/>
    <xf numFmtId="181" fontId="117" fillId="0" borderId="0" applyFont="0" applyFill="0" applyBorder="0" applyProtection="0"/>
    <xf numFmtId="181" fontId="117" fillId="0" borderId="0" applyFont="0" applyFill="0" applyBorder="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104"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111" fillId="0" borderId="0" applyFont="0" applyFill="0" applyBorder="0" applyAlignment="0" applyProtection="0"/>
    <xf numFmtId="181" fontId="0" fillId="0" borderId="0" applyFont="0" applyFill="0" applyBorder="0" applyAlignment="0" applyProtection="0"/>
    <xf numFmtId="181" fontId="0"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183" fontId="104" fillId="0" borderId="0" applyFont="0" applyFill="0" applyBorder="0" applyAlignment="0" applyProtection="0"/>
    <xf numFmtId="0" fontId="183" fillId="0" borderId="0"/>
    <xf numFmtId="0" fontId="184" fillId="94" borderId="0" applyNumberFormat="0" applyBorder="0" applyAlignment="0" applyProtection="0"/>
    <xf numFmtId="0" fontId="184" fillId="95" borderId="0" applyNumberFormat="0" applyBorder="0" applyAlignment="0" applyProtection="0"/>
    <xf numFmtId="0" fontId="184" fillId="96" borderId="0" applyNumberFormat="0" applyBorder="0" applyAlignment="0" applyProtection="0"/>
    <xf numFmtId="189" fontId="3" fillId="0" borderId="0" applyFont="0" applyFill="0" applyBorder="0" applyAlignment="0" applyProtection="0"/>
    <xf numFmtId="208" fontId="180" fillId="0" borderId="0" applyFont="0" applyFill="0" applyBorder="0" applyAlignment="0" applyProtection="0"/>
    <xf numFmtId="0" fontId="6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4" fillId="0" borderId="0"/>
    <xf numFmtId="0" fontId="185" fillId="0" borderId="0"/>
    <xf numFmtId="40" fontId="164" fillId="0" borderId="0" applyFont="0" applyFill="0" applyBorder="0" applyAlignment="0" applyProtection="0"/>
    <xf numFmtId="38" fontId="164" fillId="0" borderId="0" applyFont="0" applyFill="0" applyBorder="0" applyAlignment="0" applyProtection="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0" fontId="3" fillId="0" borderId="7" applyNumberFormat="0"/>
    <xf numFmtId="38" fontId="186" fillId="0" borderId="0" applyFont="0" applyFill="0" applyBorder="0" applyAlignment="0" applyProtection="0"/>
    <xf numFmtId="40" fontId="186" fillId="0" borderId="0" applyFont="0" applyFill="0" applyBorder="0" applyAlignment="0" applyProtection="0"/>
    <xf numFmtId="0" fontId="186" fillId="0" borderId="0" applyFont="0" applyFill="0" applyBorder="0" applyAlignment="0" applyProtection="0"/>
    <xf numFmtId="0" fontId="186" fillId="0" borderId="0" applyFont="0" applyFill="0" applyBorder="0" applyAlignment="0" applyProtection="0"/>
    <xf numFmtId="0" fontId="187" fillId="0" borderId="0"/>
  </cellStyleXfs>
  <cellXfs count="751">
    <xf numFmtId="0" fontId="0" fillId="0" borderId="0" xfId="0"/>
    <xf numFmtId="0" fontId="1" fillId="0" borderId="0" xfId="0" applyFont="1"/>
    <xf numFmtId="0" fontId="2" fillId="0" borderId="0" xfId="10849" applyFont="1" applyProtection="1">
      <protection locked="0"/>
    </xf>
    <xf numFmtId="0" fontId="3" fillId="0" borderId="0" xfId="0" applyFont="1" applyAlignment="1" applyProtection="1">
      <alignment vertical="center"/>
      <protection locked="0"/>
    </xf>
    <xf numFmtId="0" fontId="4" fillId="0" borderId="0" xfId="0" applyFont="1"/>
    <xf numFmtId="0" fontId="5" fillId="0" borderId="0" xfId="10784" applyFont="1"/>
    <xf numFmtId="0" fontId="6" fillId="2" borderId="1" xfId="10784" applyFont="1" applyFill="1" applyBorder="1" applyAlignment="1" applyProtection="1">
      <alignment horizontal="centerContinuous" vertical="center"/>
      <protection locked="0"/>
    </xf>
    <xf numFmtId="0" fontId="7" fillId="3" borderId="2" xfId="10784" applyFont="1" applyFill="1" applyBorder="1" applyAlignment="1">
      <alignment horizontal="centerContinuous" vertical="center"/>
    </xf>
    <xf numFmtId="0" fontId="7" fillId="3" borderId="3" xfId="10784" applyFont="1" applyFill="1" applyBorder="1" applyAlignment="1">
      <alignment horizontal="centerContinuous" vertical="center"/>
    </xf>
    <xf numFmtId="0" fontId="4" fillId="4" borderId="0" xfId="10784" applyFont="1" applyFill="1"/>
    <xf numFmtId="0" fontId="8" fillId="0" borderId="0" xfId="10784" applyFont="1" applyAlignment="1">
      <alignment vertical="center"/>
    </xf>
    <xf numFmtId="0" fontId="9" fillId="5" borderId="4" xfId="10784" applyFont="1" applyFill="1" applyBorder="1" applyAlignment="1">
      <alignment vertical="center"/>
    </xf>
    <xf numFmtId="0" fontId="9" fillId="5" borderId="5" xfId="10784" applyFont="1" applyFill="1" applyBorder="1" applyAlignment="1">
      <alignment vertical="center"/>
    </xf>
    <xf numFmtId="0" fontId="9" fillId="5" borderId="6" xfId="10784" applyFont="1" applyFill="1" applyBorder="1" applyAlignment="1">
      <alignment vertical="center"/>
    </xf>
    <xf numFmtId="0" fontId="1" fillId="4" borderId="0" xfId="10784" applyFont="1" applyFill="1" applyAlignment="1">
      <alignment vertical="center"/>
    </xf>
    <xf numFmtId="0" fontId="10" fillId="0" borderId="0" xfId="10784" applyFont="1"/>
    <xf numFmtId="0" fontId="3" fillId="0" borderId="0" xfId="10784" applyFont="1"/>
    <xf numFmtId="0" fontId="4" fillId="0" borderId="0" xfId="10784" applyFont="1"/>
    <xf numFmtId="0" fontId="11" fillId="6" borderId="0" xfId="3480" applyFont="1" applyFill="1" applyAlignment="1">
      <alignment vertical="center"/>
    </xf>
    <xf numFmtId="0" fontId="12" fillId="0" borderId="0" xfId="10784" applyFont="1" applyAlignment="1" applyProtection="1">
      <alignment vertical="center" wrapText="1"/>
      <protection locked="0"/>
    </xf>
    <xf numFmtId="0" fontId="13" fillId="0" borderId="7" xfId="0" applyFont="1" applyBorder="1" applyAlignment="1" applyProtection="1">
      <alignment horizontal="center" vertical="center"/>
      <protection locked="0"/>
    </xf>
    <xf numFmtId="0" fontId="14" fillId="0" borderId="0" xfId="10784" applyFont="1" applyAlignment="1">
      <alignment vertical="center"/>
    </xf>
    <xf numFmtId="0" fontId="15" fillId="0" borderId="0" xfId="0" applyFont="1" applyAlignment="1">
      <alignment horizontal="left" vertical="center" wrapText="1"/>
    </xf>
    <xf numFmtId="0" fontId="16" fillId="0" borderId="0" xfId="10849" applyFont="1" applyAlignment="1" applyProtection="1">
      <alignment vertical="top"/>
      <protection locked="0"/>
    </xf>
    <xf numFmtId="0" fontId="12" fillId="0" borderId="0" xfId="3582" applyFont="1" applyAlignment="1" applyProtection="1">
      <alignment horizontal="center" vertical="center"/>
      <protection locked="0"/>
    </xf>
    <xf numFmtId="0" fontId="17" fillId="0" borderId="0" xfId="10849" applyFont="1" applyAlignment="1" applyProtection="1">
      <alignment vertical="top"/>
      <protection locked="0"/>
    </xf>
    <xf numFmtId="10" fontId="3" fillId="0" borderId="0" xfId="0" applyNumberFormat="1" applyFont="1" applyAlignment="1" applyProtection="1">
      <alignment vertical="center"/>
      <protection locked="0"/>
    </xf>
    <xf numFmtId="181" fontId="3" fillId="0" borderId="0" xfId="11049" applyFont="1" applyFill="1" applyAlignment="1" applyProtection="1">
      <alignment vertical="center"/>
      <protection locked="0"/>
    </xf>
    <xf numFmtId="181" fontId="12" fillId="0" borderId="0" xfId="11049" applyFont="1" applyFill="1" applyAlignment="1" applyProtection="1">
      <alignment vertical="center"/>
      <protection locked="0"/>
    </xf>
    <xf numFmtId="181" fontId="18" fillId="0" borderId="0" xfId="11049" applyFont="1" applyFill="1" applyAlignment="1" applyProtection="1">
      <alignment horizontal="center" vertical="center"/>
      <protection locked="0"/>
    </xf>
    <xf numFmtId="0" fontId="18" fillId="0" borderId="0" xfId="0" applyFont="1" applyAlignment="1" applyProtection="1">
      <alignment vertical="center"/>
      <protection locked="0"/>
    </xf>
    <xf numFmtId="0" fontId="3" fillId="0" borderId="1"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9" xfId="0" applyFont="1" applyBorder="1" applyAlignment="1" applyProtection="1">
      <alignment horizontal="center" vertical="center"/>
      <protection locked="0"/>
    </xf>
    <xf numFmtId="0" fontId="12" fillId="0" borderId="7" xfId="0" applyFont="1" applyBorder="1" applyAlignment="1" applyProtection="1">
      <alignment vertical="center"/>
      <protection locked="0"/>
    </xf>
    <xf numFmtId="14" fontId="3" fillId="0" borderId="7" xfId="0" applyNumberFormat="1" applyFont="1" applyBorder="1" applyAlignment="1" applyProtection="1">
      <alignment horizontal="center" vertical="center"/>
      <protection locked="0"/>
    </xf>
    <xf numFmtId="0" fontId="12" fillId="0" borderId="7"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6" borderId="7" xfId="0" applyFont="1" applyFill="1" applyBorder="1" applyAlignment="1" applyProtection="1">
      <alignment horizontal="center" vertical="center"/>
      <protection locked="0"/>
    </xf>
    <xf numFmtId="0" fontId="3" fillId="0" borderId="7" xfId="3803" applyFont="1" applyBorder="1" applyAlignment="1" applyProtection="1">
      <alignment horizontal="center" vertical="center"/>
      <protection locked="0"/>
    </xf>
    <xf numFmtId="0" fontId="3" fillId="0" borderId="7" xfId="0" applyFont="1" applyBorder="1" applyAlignment="1" applyProtection="1">
      <alignment horizontal="left" vertical="center"/>
      <protection locked="0"/>
    </xf>
    <xf numFmtId="10" fontId="3" fillId="0" borderId="7" xfId="0" applyNumberFormat="1" applyFont="1" applyBorder="1" applyAlignment="1" applyProtection="1">
      <alignment horizontal="center" vertical="center" shrinkToFit="1"/>
      <protection locked="0"/>
    </xf>
    <xf numFmtId="9" fontId="3" fillId="0" borderId="7" xfId="3" applyFont="1" applyBorder="1" applyAlignment="1" applyProtection="1">
      <alignment horizontal="center" vertical="center"/>
      <protection locked="0"/>
    </xf>
    <xf numFmtId="181" fontId="19" fillId="0" borderId="7" xfId="3803" applyNumberFormat="1" applyFont="1" applyBorder="1" applyAlignment="1" applyProtection="1">
      <alignment vertical="center"/>
      <protection locked="0"/>
    </xf>
    <xf numFmtId="181" fontId="19" fillId="0" borderId="7" xfId="330" applyFont="1" applyBorder="1" applyAlignment="1" applyProtection="1">
      <alignment vertical="center"/>
      <protection locked="0"/>
    </xf>
    <xf numFmtId="0" fontId="19" fillId="7" borderId="7" xfId="3803" applyFont="1" applyFill="1" applyBorder="1" applyAlignment="1" applyProtection="1">
      <alignment horizontal="center" vertical="center"/>
      <protection locked="0"/>
    </xf>
    <xf numFmtId="0" fontId="17" fillId="0" borderId="0" xfId="3802" applyFont="1" applyAlignment="1" applyProtection="1">
      <alignment vertical="center"/>
      <protection locked="0"/>
    </xf>
    <xf numFmtId="0" fontId="18" fillId="0" borderId="0" xfId="0" applyFont="1" applyProtection="1">
      <protection locked="0"/>
    </xf>
    <xf numFmtId="0" fontId="20" fillId="0" borderId="0" xfId="10849" applyFont="1" applyAlignment="1" applyProtection="1">
      <alignment vertical="top"/>
      <protection locked="0"/>
    </xf>
    <xf numFmtId="0" fontId="21" fillId="0" borderId="1" xfId="10849" applyFont="1" applyBorder="1" applyAlignment="1" applyProtection="1">
      <alignment horizontal="left" vertical="center" wrapText="1"/>
      <protection locked="0"/>
    </xf>
    <xf numFmtId="0" fontId="21" fillId="0" borderId="8" xfId="10849" applyFont="1" applyBorder="1" applyAlignment="1" applyProtection="1">
      <alignment horizontal="left" vertical="center" wrapText="1"/>
      <protection locked="0"/>
    </xf>
    <xf numFmtId="0" fontId="21" fillId="0" borderId="9" xfId="10849" applyFont="1" applyBorder="1" applyAlignment="1" applyProtection="1">
      <alignment horizontal="left" vertical="center" wrapText="1"/>
      <protection locked="0"/>
    </xf>
    <xf numFmtId="0" fontId="22" fillId="0" borderId="0" xfId="3802" applyFont="1" applyAlignment="1" applyProtection="1">
      <alignment vertical="center"/>
      <protection locked="0"/>
    </xf>
    <xf numFmtId="0" fontId="16" fillId="0" borderId="0" xfId="3582" applyFont="1" applyAlignment="1" applyProtection="1">
      <alignment horizontal="center" vertical="center"/>
      <protection locked="0"/>
    </xf>
    <xf numFmtId="0" fontId="23" fillId="0" borderId="0" xfId="0" applyFont="1"/>
    <xf numFmtId="0" fontId="2" fillId="0" borderId="0" xfId="0" applyFont="1"/>
    <xf numFmtId="0" fontId="2" fillId="0" borderId="0" xfId="3599" applyFont="1" applyAlignment="1">
      <alignment vertical="center"/>
    </xf>
    <xf numFmtId="0" fontId="24" fillId="0" borderId="0" xfId="3599" applyFont="1" applyAlignment="1">
      <alignment vertical="center"/>
    </xf>
    <xf numFmtId="0" fontId="24" fillId="7" borderId="0" xfId="3599" applyFont="1" applyFill="1" applyAlignment="1">
      <alignment vertical="center"/>
    </xf>
    <xf numFmtId="0" fontId="2" fillId="7" borderId="0" xfId="3599" applyFont="1" applyFill="1" applyAlignment="1">
      <alignment vertical="center"/>
    </xf>
    <xf numFmtId="0" fontId="2" fillId="0" borderId="0" xfId="3599" applyFont="1" applyAlignment="1">
      <alignment horizontal="center" vertical="center"/>
    </xf>
    <xf numFmtId="0" fontId="18" fillId="0" borderId="0" xfId="0" applyFont="1" applyAlignment="1">
      <alignment vertical="center"/>
    </xf>
    <xf numFmtId="0" fontId="3" fillId="0" borderId="0" xfId="0" applyFont="1" applyAlignment="1">
      <alignment vertical="center"/>
    </xf>
    <xf numFmtId="0" fontId="3" fillId="0" borderId="0" xfId="10777" applyFont="1" applyAlignment="1">
      <alignment vertical="center"/>
    </xf>
    <xf numFmtId="0" fontId="25" fillId="0" borderId="0" xfId="0" applyFont="1" applyAlignment="1">
      <alignment vertical="center"/>
    </xf>
    <xf numFmtId="0" fontId="7" fillId="3" borderId="1" xfId="0" applyFont="1" applyFill="1" applyBorder="1" applyAlignment="1">
      <alignment vertical="center"/>
    </xf>
    <xf numFmtId="0" fontId="7" fillId="3" borderId="8" xfId="0" applyFont="1" applyFill="1" applyBorder="1" applyAlignment="1">
      <alignment vertical="center"/>
    </xf>
    <xf numFmtId="0" fontId="2" fillId="8" borderId="0" xfId="10784" applyFont="1" applyFill="1" applyAlignment="1" applyProtection="1">
      <alignment vertical="center"/>
      <protection locked="0"/>
    </xf>
    <xf numFmtId="0" fontId="5" fillId="0" borderId="0" xfId="0" applyFont="1" applyAlignment="1">
      <alignment vertical="center"/>
    </xf>
    <xf numFmtId="0" fontId="9" fillId="9" borderId="1" xfId="0" applyFont="1" applyFill="1" applyBorder="1" applyAlignment="1">
      <alignment vertical="center"/>
    </xf>
    <xf numFmtId="0" fontId="9" fillId="9" borderId="8" xfId="0" applyFont="1" applyFill="1" applyBorder="1" applyAlignment="1">
      <alignment vertical="center" wrapText="1"/>
    </xf>
    <xf numFmtId="0" fontId="26" fillId="0" borderId="0" xfId="3599" applyFont="1" applyAlignment="1">
      <alignment vertical="center"/>
    </xf>
    <xf numFmtId="0" fontId="3" fillId="0" borderId="0" xfId="3769" applyFont="1" applyAlignment="1">
      <alignment horizontal="left" vertical="center"/>
    </xf>
    <xf numFmtId="0" fontId="12" fillId="0" borderId="0" xfId="3769" applyFont="1" applyAlignment="1">
      <alignment horizontal="right" vertical="center"/>
    </xf>
    <xf numFmtId="181" fontId="12" fillId="0" borderId="0" xfId="2619" applyFont="1" applyFill="1" applyBorder="1" applyAlignment="1">
      <alignment vertical="center" wrapText="1"/>
    </xf>
    <xf numFmtId="0" fontId="12" fillId="0" borderId="0" xfId="3769" applyFont="1" applyAlignment="1">
      <alignment vertical="center" wrapText="1"/>
    </xf>
    <xf numFmtId="49" fontId="2" fillId="0" borderId="0" xfId="3599" applyNumberFormat="1" applyFont="1" applyAlignment="1">
      <alignment vertical="center"/>
    </xf>
    <xf numFmtId="0" fontId="27" fillId="0" borderId="0" xfId="0" applyFont="1" applyAlignment="1">
      <alignment vertical="center"/>
    </xf>
    <xf numFmtId="0" fontId="28" fillId="0" borderId="0" xfId="0" applyFont="1" applyAlignment="1">
      <alignment horizontal="left" vertical="top" wrapText="1"/>
    </xf>
    <xf numFmtId="0" fontId="18" fillId="7" borderId="0" xfId="3599" applyFont="1" applyFill="1" applyAlignment="1">
      <alignment vertical="center"/>
    </xf>
    <xf numFmtId="0" fontId="29" fillId="0" borderId="0" xfId="0" applyFont="1"/>
    <xf numFmtId="0" fontId="12" fillId="0" borderId="0" xfId="10942" applyFont="1" applyAlignment="1"/>
    <xf numFmtId="0" fontId="29" fillId="7" borderId="0" xfId="3600" applyFont="1" applyFill="1" applyAlignment="1">
      <alignment horizontal="center" vertical="center"/>
    </xf>
    <xf numFmtId="0" fontId="2" fillId="0" borderId="0" xfId="3600" applyFont="1" applyAlignment="1">
      <alignment horizontal="center" vertical="center"/>
    </xf>
    <xf numFmtId="0" fontId="29" fillId="0" borderId="0" xfId="3600" applyFont="1" applyAlignment="1">
      <alignment horizontal="center" vertical="center"/>
    </xf>
    <xf numFmtId="0" fontId="29" fillId="0" borderId="0" xfId="3600" applyFont="1" applyAlignment="1">
      <alignment horizontal="left" vertical="center"/>
    </xf>
    <xf numFmtId="0" fontId="16" fillId="0" borderId="0" xfId="10942" applyFont="1" applyAlignment="1"/>
    <xf numFmtId="0" fontId="14" fillId="0" borderId="0" xfId="0" applyFont="1" applyAlignment="1" applyProtection="1">
      <alignment horizontal="center" vertical="center"/>
      <protection locked="0"/>
    </xf>
    <xf numFmtId="14" fontId="14" fillId="0" borderId="0" xfId="0" applyNumberFormat="1" applyFont="1" applyAlignment="1" applyProtection="1">
      <alignment horizontal="center" vertical="center"/>
      <protection locked="0"/>
    </xf>
    <xf numFmtId="0" fontId="18" fillId="0" borderId="0" xfId="3600" applyFont="1" applyAlignment="1">
      <alignment horizontal="center" vertical="center"/>
    </xf>
    <xf numFmtId="0" fontId="14" fillId="7" borderId="0" xfId="3599" applyFont="1" applyFill="1" applyAlignment="1">
      <alignment horizontal="center" vertical="center"/>
    </xf>
    <xf numFmtId="14" fontId="30" fillId="6" borderId="7" xfId="0" applyNumberFormat="1" applyFont="1" applyFill="1" applyBorder="1" applyAlignment="1">
      <alignment vertical="center"/>
    </xf>
    <xf numFmtId="0" fontId="5" fillId="6" borderId="1" xfId="0" applyFont="1" applyFill="1" applyBorder="1" applyAlignment="1">
      <alignment horizontal="center" vertical="center"/>
    </xf>
    <xf numFmtId="0" fontId="5" fillId="6" borderId="9" xfId="0" applyFont="1" applyFill="1" applyBorder="1" applyAlignment="1">
      <alignment horizontal="center" vertical="center"/>
    </xf>
    <xf numFmtId="0" fontId="27" fillId="6" borderId="10" xfId="0" applyFont="1" applyFill="1" applyBorder="1" applyAlignment="1">
      <alignment horizontal="center" vertical="center"/>
    </xf>
    <xf numFmtId="0" fontId="27" fillId="6" borderId="11" xfId="0" applyFont="1" applyFill="1" applyBorder="1" applyAlignment="1">
      <alignment horizontal="center" vertical="center"/>
    </xf>
    <xf numFmtId="0" fontId="27" fillId="6" borderId="12" xfId="0" applyFont="1" applyFill="1" applyBorder="1" applyAlignment="1">
      <alignment horizontal="center" vertical="center"/>
    </xf>
    <xf numFmtId="0" fontId="18" fillId="0" borderId="0" xfId="3599" applyFont="1" applyAlignment="1">
      <alignment horizontal="center" vertical="center"/>
    </xf>
    <xf numFmtId="0" fontId="31" fillId="0" borderId="7" xfId="0" applyFont="1" applyBorder="1" applyAlignment="1" applyProtection="1">
      <alignment horizontal="center" vertical="center"/>
      <protection locked="0"/>
    </xf>
    <xf numFmtId="0" fontId="13" fillId="0" borderId="7" xfId="0" applyFont="1" applyBorder="1" applyAlignment="1" applyProtection="1">
      <alignment horizontal="center" vertical="center" wrapText="1"/>
      <protection locked="0"/>
    </xf>
    <xf numFmtId="0" fontId="3" fillId="0" borderId="7" xfId="0" applyFont="1" applyBorder="1" applyAlignment="1" applyProtection="1">
      <alignment horizontal="center" vertical="center" wrapText="1"/>
      <protection locked="0"/>
    </xf>
    <xf numFmtId="0" fontId="17" fillId="0" borderId="7" xfId="0" applyFont="1" applyBorder="1" applyAlignment="1" applyProtection="1">
      <alignment horizontal="center" vertical="center" wrapText="1"/>
      <protection locked="0"/>
    </xf>
    <xf numFmtId="0" fontId="5" fillId="0" borderId="7" xfId="0" applyFont="1" applyBorder="1" applyAlignment="1">
      <alignment horizontal="center" vertical="center"/>
    </xf>
    <xf numFmtId="0" fontId="5" fillId="0" borderId="1" xfId="0" applyFont="1" applyBorder="1" applyAlignment="1">
      <alignment horizontal="center" vertical="center"/>
    </xf>
    <xf numFmtId="0" fontId="30" fillId="0" borderId="13" xfId="0" applyFont="1" applyBorder="1" applyAlignment="1">
      <alignment horizontal="center" vertical="center"/>
    </xf>
    <xf numFmtId="181" fontId="17" fillId="0" borderId="13" xfId="11020" applyFont="1" applyBorder="1" applyAlignment="1" applyProtection="1">
      <alignment horizontal="left" vertical="center"/>
      <protection locked="0"/>
    </xf>
    <xf numFmtId="0" fontId="17" fillId="0" borderId="14" xfId="0" applyFont="1" applyBorder="1" applyAlignment="1">
      <alignment horizontal="center" vertical="center" wrapText="1"/>
    </xf>
    <xf numFmtId="49" fontId="3" fillId="0" borderId="7" xfId="0" applyNumberFormat="1" applyFont="1" applyBorder="1" applyAlignment="1" applyProtection="1">
      <alignment horizontal="left" vertical="center" wrapText="1"/>
      <protection locked="0"/>
    </xf>
    <xf numFmtId="49" fontId="3" fillId="0" borderId="7" xfId="0" applyNumberFormat="1" applyFont="1" applyBorder="1" applyAlignment="1" applyProtection="1">
      <alignment horizontal="left" vertical="center"/>
      <protection locked="0"/>
    </xf>
    <xf numFmtId="49" fontId="3" fillId="0" borderId="7" xfId="0" applyNumberFormat="1" applyFont="1" applyBorder="1" applyAlignment="1" applyProtection="1">
      <alignment horizontal="left" vertical="center" shrinkToFit="1"/>
      <protection locked="0"/>
    </xf>
    <xf numFmtId="14" fontId="3" fillId="0" borderId="7" xfId="0" applyNumberFormat="1" applyFont="1" applyBorder="1" applyAlignment="1" applyProtection="1">
      <alignment horizontal="left" vertical="center" shrinkToFit="1"/>
      <protection locked="0"/>
    </xf>
    <xf numFmtId="0" fontId="3" fillId="0" borderId="7" xfId="0" applyFont="1" applyBorder="1" applyAlignment="1" applyProtection="1">
      <alignment horizontal="left" vertical="center" shrinkToFit="1"/>
      <protection locked="0"/>
    </xf>
    <xf numFmtId="9" fontId="3" fillId="0" borderId="7" xfId="3" applyFont="1" applyBorder="1" applyAlignment="1" applyProtection="1">
      <alignment horizontal="left" vertical="center"/>
      <protection locked="0"/>
    </xf>
    <xf numFmtId="181" fontId="3" fillId="0" borderId="7" xfId="2619" applyFont="1" applyBorder="1" applyAlignment="1" applyProtection="1">
      <alignment horizontal="left" vertical="center"/>
      <protection locked="0"/>
    </xf>
    <xf numFmtId="181" fontId="3" fillId="0" borderId="7" xfId="2619" applyFont="1" applyFill="1" applyBorder="1" applyAlignment="1" applyProtection="1">
      <alignment horizontal="left" vertical="center"/>
      <protection locked="0"/>
    </xf>
    <xf numFmtId="14" fontId="2" fillId="0" borderId="15" xfId="0" applyNumberFormat="1" applyFont="1" applyBorder="1" applyAlignment="1">
      <alignment horizontal="center" vertical="center"/>
    </xf>
    <xf numFmtId="181" fontId="2" fillId="0" borderId="16" xfId="831" applyFont="1" applyFill="1" applyBorder="1" applyAlignment="1">
      <alignment horizontal="center" vertical="center" wrapText="1"/>
    </xf>
    <xf numFmtId="14" fontId="32" fillId="0" borderId="17" xfId="2728" applyNumberFormat="1" applyFont="1" applyFill="1" applyBorder="1" applyAlignment="1">
      <alignment horizontal="right" vertical="center" shrinkToFit="1"/>
    </xf>
    <xf numFmtId="181" fontId="2" fillId="0" borderId="1" xfId="831" applyFont="1" applyFill="1" applyBorder="1" applyAlignment="1">
      <alignment horizontal="right" vertical="center" shrinkToFit="1"/>
    </xf>
    <xf numFmtId="181" fontId="32" fillId="0" borderId="17" xfId="2619" applyFont="1" applyFill="1" applyBorder="1" applyAlignment="1">
      <alignment horizontal="right" vertical="center" shrinkToFit="1"/>
    </xf>
    <xf numFmtId="0" fontId="33" fillId="0" borderId="18" xfId="3599" applyFont="1" applyBorder="1" applyAlignment="1">
      <alignment horizontal="right" shrinkToFit="1"/>
    </xf>
    <xf numFmtId="202" fontId="2" fillId="7" borderId="0" xfId="3599" applyNumberFormat="1" applyFont="1" applyFill="1" applyAlignment="1">
      <alignment vertical="center"/>
    </xf>
    <xf numFmtId="181" fontId="24" fillId="0" borderId="0" xfId="3599" applyNumberFormat="1" applyFont="1" applyAlignment="1">
      <alignment vertical="center"/>
    </xf>
    <xf numFmtId="0" fontId="3" fillId="7" borderId="7" xfId="0" applyFont="1" applyFill="1" applyBorder="1" applyAlignment="1" applyProtection="1">
      <alignment horizontal="left" vertical="center" wrapText="1"/>
      <protection locked="0"/>
    </xf>
    <xf numFmtId="49" fontId="3" fillId="7" borderId="7" xfId="0" applyNumberFormat="1" applyFont="1" applyFill="1" applyBorder="1" applyAlignment="1" applyProtection="1">
      <alignment horizontal="left" vertical="center"/>
      <protection locked="0"/>
    </xf>
    <xf numFmtId="0" fontId="3" fillId="7" borderId="7" xfId="0" applyFont="1" applyFill="1" applyBorder="1" applyAlignment="1" applyProtection="1">
      <alignment horizontal="left" vertical="center" shrinkToFit="1"/>
      <protection locked="0"/>
    </xf>
    <xf numFmtId="14" fontId="3" fillId="7" borderId="7" xfId="0" applyNumberFormat="1" applyFont="1" applyFill="1" applyBorder="1" applyAlignment="1" applyProtection="1">
      <alignment horizontal="left" vertical="center" shrinkToFit="1"/>
      <protection locked="0"/>
    </xf>
    <xf numFmtId="9" fontId="3" fillId="7" borderId="7" xfId="3" applyFont="1" applyFill="1" applyBorder="1" applyAlignment="1" applyProtection="1">
      <alignment horizontal="left" vertical="center"/>
      <protection locked="0"/>
    </xf>
    <xf numFmtId="181" fontId="3" fillId="7" borderId="7" xfId="2619" applyFont="1" applyFill="1" applyBorder="1" applyAlignment="1" applyProtection="1">
      <alignment horizontal="left" vertical="center"/>
      <protection locked="0"/>
    </xf>
    <xf numFmtId="0" fontId="12" fillId="0" borderId="7" xfId="0" applyFont="1" applyBorder="1" applyAlignment="1" applyProtection="1">
      <alignment horizontal="justify" vertical="center"/>
      <protection locked="0"/>
    </xf>
    <xf numFmtId="0" fontId="24" fillId="0" borderId="7" xfId="2619" applyNumberFormat="1" applyFont="1" applyFill="1" applyBorder="1" applyAlignment="1">
      <alignment vertical="center"/>
    </xf>
    <xf numFmtId="0" fontId="12" fillId="0" borderId="7" xfId="0" applyFont="1" applyBorder="1" applyAlignment="1" applyProtection="1">
      <alignment horizontal="left" vertical="center"/>
      <protection locked="0"/>
    </xf>
    <xf numFmtId="181" fontId="12" fillId="0" borderId="7" xfId="2619" applyFont="1" applyBorder="1" applyAlignment="1" applyProtection="1">
      <alignment horizontal="left" vertical="center"/>
      <protection locked="0"/>
    </xf>
    <xf numFmtId="181" fontId="28" fillId="0" borderId="7" xfId="3599" applyNumberFormat="1" applyFont="1" applyBorder="1" applyAlignment="1">
      <alignment horizontal="center" vertical="center"/>
    </xf>
    <xf numFmtId="0" fontId="3" fillId="0" borderId="0" xfId="0" applyFont="1" applyAlignment="1" applyProtection="1">
      <alignment horizontal="left" vertical="center"/>
      <protection locked="0"/>
    </xf>
    <xf numFmtId="0" fontId="3" fillId="0" borderId="0" xfId="0" applyFont="1" applyAlignment="1" applyProtection="1">
      <alignment horizontal="center" vertical="center"/>
      <protection locked="0"/>
    </xf>
    <xf numFmtId="181" fontId="3" fillId="0" borderId="0" xfId="0" applyNumberFormat="1" applyFont="1" applyAlignment="1" applyProtection="1">
      <alignment horizontal="justify" vertical="center"/>
      <protection locked="0"/>
    </xf>
    <xf numFmtId="0" fontId="18" fillId="0" borderId="0" xfId="3804" applyFont="1" applyAlignment="1" applyProtection="1">
      <alignment horizontal="center" vertical="center"/>
      <protection locked="0"/>
    </xf>
    <xf numFmtId="181" fontId="3" fillId="0" borderId="0" xfId="330" applyFont="1" applyAlignment="1">
      <alignment vertical="center"/>
    </xf>
    <xf numFmtId="14" fontId="3" fillId="0" borderId="0" xfId="0" applyNumberFormat="1" applyFont="1" applyAlignment="1">
      <alignment vertical="center"/>
    </xf>
    <xf numFmtId="181" fontId="3" fillId="0" borderId="0" xfId="2619" applyFont="1" applyAlignment="1">
      <alignment vertical="center"/>
    </xf>
    <xf numFmtId="0" fontId="18" fillId="0" borderId="0" xfId="0" applyFont="1" applyAlignment="1">
      <alignment horizontal="left" vertical="center"/>
    </xf>
    <xf numFmtId="0" fontId="12" fillId="0" borderId="0" xfId="3802" applyFont="1" applyAlignment="1">
      <alignment vertical="center"/>
    </xf>
    <xf numFmtId="181" fontId="3" fillId="0" borderId="0" xfId="2619" applyFont="1" applyAlignment="1">
      <alignment horizontal="right" vertical="center" shrinkToFit="1"/>
    </xf>
    <xf numFmtId="0" fontId="34" fillId="0" borderId="0" xfId="0" applyFont="1" applyAlignment="1">
      <alignment horizontal="center" vertical="center"/>
    </xf>
    <xf numFmtId="0" fontId="12" fillId="0" borderId="0" xfId="3582" applyFont="1" applyAlignment="1">
      <alignment horizontal="center" vertical="center"/>
    </xf>
    <xf numFmtId="0" fontId="17" fillId="0" borderId="19" xfId="0" applyFont="1" applyBorder="1" applyAlignment="1">
      <alignment horizontal="left" vertical="center" wrapText="1"/>
    </xf>
    <xf numFmtId="0" fontId="17" fillId="0" borderId="20" xfId="0" applyFont="1" applyBorder="1" applyAlignment="1">
      <alignment horizontal="left" vertical="center" wrapText="1"/>
    </xf>
    <xf numFmtId="0" fontId="17" fillId="0" borderId="21" xfId="0" applyFont="1" applyBorder="1" applyAlignment="1">
      <alignment horizontal="left" vertical="center" wrapText="1"/>
    </xf>
    <xf numFmtId="202" fontId="3" fillId="0" borderId="0" xfId="0" applyNumberFormat="1" applyFont="1" applyAlignment="1">
      <alignment vertical="center"/>
    </xf>
    <xf numFmtId="0" fontId="17" fillId="0" borderId="22" xfId="0" applyFont="1" applyBorder="1" applyAlignment="1">
      <alignment horizontal="left" vertical="center" wrapText="1"/>
    </xf>
    <xf numFmtId="0" fontId="17" fillId="0" borderId="0" xfId="0" applyFont="1" applyAlignment="1">
      <alignment horizontal="left" vertical="center" wrapText="1"/>
    </xf>
    <xf numFmtId="0" fontId="17" fillId="0" borderId="23" xfId="0" applyFont="1" applyBorder="1" applyAlignment="1">
      <alignment horizontal="left" vertical="center" wrapText="1"/>
    </xf>
    <xf numFmtId="0" fontId="17" fillId="0" borderId="16" xfId="0" applyFont="1" applyBorder="1" applyAlignment="1">
      <alignment horizontal="left" vertical="center" wrapText="1"/>
    </xf>
    <xf numFmtId="0" fontId="17" fillId="0" borderId="24" xfId="0" applyFont="1" applyBorder="1" applyAlignment="1">
      <alignment horizontal="left" vertical="center" wrapText="1"/>
    </xf>
    <xf numFmtId="0" fontId="17" fillId="0" borderId="25" xfId="0" applyFont="1" applyBorder="1" applyAlignment="1">
      <alignment horizontal="left" vertical="center" wrapText="1"/>
    </xf>
    <xf numFmtId="10" fontId="3" fillId="0" borderId="0" xfId="0" applyNumberFormat="1" applyFont="1" applyAlignment="1">
      <alignment vertical="center"/>
    </xf>
    <xf numFmtId="0" fontId="3" fillId="0" borderId="0" xfId="3599" applyFont="1" applyAlignment="1">
      <alignment vertical="center"/>
    </xf>
    <xf numFmtId="0" fontId="25" fillId="0" borderId="0" xfId="0" applyFont="1"/>
    <xf numFmtId="0" fontId="5" fillId="0" borderId="0" xfId="0" applyFont="1"/>
    <xf numFmtId="0" fontId="35" fillId="0" borderId="0" xfId="3599" applyFont="1" applyAlignment="1">
      <alignment vertical="center"/>
    </xf>
    <xf numFmtId="0" fontId="17" fillId="10" borderId="26" xfId="0" applyFont="1" applyFill="1" applyBorder="1" applyAlignment="1">
      <alignment horizontal="center" vertical="center"/>
    </xf>
    <xf numFmtId="0" fontId="17" fillId="10" borderId="27" xfId="0" applyFont="1" applyFill="1" applyBorder="1" applyAlignment="1">
      <alignment horizontal="center" vertical="center"/>
    </xf>
    <xf numFmtId="0" fontId="17" fillId="10" borderId="27" xfId="0" applyFont="1" applyFill="1" applyBorder="1" applyAlignment="1">
      <alignment horizontal="center" vertical="center" wrapText="1"/>
    </xf>
    <xf numFmtId="0" fontId="17" fillId="10" borderId="28" xfId="0" applyFont="1" applyFill="1" applyBorder="1" applyAlignment="1">
      <alignment horizontal="center" vertical="center"/>
    </xf>
    <xf numFmtId="0" fontId="17" fillId="11" borderId="29" xfId="0" applyFont="1" applyFill="1" applyBorder="1" applyAlignment="1">
      <alignment horizontal="left" vertical="center" wrapText="1"/>
    </xf>
    <xf numFmtId="0" fontId="17" fillId="0" borderId="7" xfId="0" applyFont="1" applyBorder="1" applyAlignment="1">
      <alignment horizontal="left" vertical="center"/>
    </xf>
    <xf numFmtId="181" fontId="17" fillId="0" borderId="7" xfId="330" applyFont="1" applyBorder="1" applyAlignment="1">
      <alignment horizontal="left" vertical="center"/>
    </xf>
    <xf numFmtId="14" fontId="17" fillId="11" borderId="7" xfId="0" applyNumberFormat="1" applyFont="1" applyFill="1" applyBorder="1" applyAlignment="1">
      <alignment horizontal="left" vertical="center"/>
    </xf>
    <xf numFmtId="0" fontId="17" fillId="0" borderId="30" xfId="0" applyFont="1" applyBorder="1" applyAlignment="1">
      <alignment horizontal="left" vertical="center" wrapText="1"/>
    </xf>
    <xf numFmtId="4" fontId="35" fillId="0" borderId="0" xfId="3599" applyNumberFormat="1" applyFont="1" applyAlignment="1">
      <alignment vertical="center"/>
    </xf>
    <xf numFmtId="181" fontId="35" fillId="0" borderId="0" xfId="3599" applyNumberFormat="1" applyFont="1" applyAlignment="1">
      <alignment vertical="center"/>
    </xf>
    <xf numFmtId="0" fontId="17" fillId="11" borderId="7" xfId="0" applyFont="1" applyFill="1" applyBorder="1" applyAlignment="1">
      <alignment horizontal="left" vertical="center"/>
    </xf>
    <xf numFmtId="181" fontId="17" fillId="11" borderId="7" xfId="330" applyFont="1" applyFill="1" applyBorder="1" applyAlignment="1">
      <alignment horizontal="left" vertical="center"/>
    </xf>
    <xf numFmtId="0" fontId="17" fillId="11" borderId="31" xfId="0" applyFont="1" applyFill="1" applyBorder="1" applyAlignment="1">
      <alignment horizontal="left" vertical="center" wrapText="1"/>
    </xf>
    <xf numFmtId="0" fontId="17" fillId="11" borderId="32" xfId="0" applyFont="1" applyFill="1" applyBorder="1" applyAlignment="1">
      <alignment horizontal="left" vertical="center"/>
    </xf>
    <xf numFmtId="181" fontId="17" fillId="11" borderId="32" xfId="330" applyFont="1" applyFill="1" applyBorder="1" applyAlignment="1">
      <alignment horizontal="left" vertical="center"/>
    </xf>
    <xf numFmtId="14" fontId="17" fillId="11" borderId="32" xfId="0" applyNumberFormat="1" applyFont="1" applyFill="1" applyBorder="1" applyAlignment="1">
      <alignment horizontal="left" vertical="center"/>
    </xf>
    <xf numFmtId="0" fontId="17" fillId="11" borderId="33" xfId="0" applyFont="1" applyFill="1" applyBorder="1" applyAlignment="1">
      <alignment horizontal="left" vertical="center" wrapText="1"/>
    </xf>
    <xf numFmtId="0" fontId="17" fillId="11" borderId="34" xfId="0" applyFont="1" applyFill="1" applyBorder="1" applyAlignment="1">
      <alignment horizontal="left" vertical="center"/>
    </xf>
    <xf numFmtId="181" fontId="17" fillId="11" borderId="34" xfId="330" applyFont="1" applyFill="1" applyBorder="1" applyAlignment="1">
      <alignment horizontal="left" vertical="center"/>
    </xf>
    <xf numFmtId="0" fontId="30" fillId="0" borderId="35" xfId="0" applyFont="1" applyBorder="1"/>
    <xf numFmtId="0" fontId="18" fillId="0" borderId="36" xfId="3804" applyFont="1" applyBorder="1" applyAlignment="1" applyProtection="1">
      <alignment horizontal="center" vertical="center"/>
      <protection locked="0"/>
    </xf>
    <xf numFmtId="181" fontId="18" fillId="0" borderId="36" xfId="3804" applyNumberFormat="1" applyFont="1" applyBorder="1" applyAlignment="1" applyProtection="1">
      <alignment horizontal="center" vertical="center"/>
      <protection locked="0"/>
    </xf>
    <xf numFmtId="49" fontId="0" fillId="0" borderId="0" xfId="0" applyNumberFormat="1"/>
    <xf numFmtId="0" fontId="36" fillId="0" borderId="0" xfId="3901" applyFont="1" applyAlignment="1">
      <alignment vertical="center"/>
    </xf>
    <xf numFmtId="0" fontId="16" fillId="0" borderId="37" xfId="10942" applyFont="1" applyBorder="1" applyAlignment="1"/>
    <xf numFmtId="0" fontId="14" fillId="0" borderId="36" xfId="10942" applyFont="1" applyBorder="1" applyAlignment="1">
      <alignment horizontal="center"/>
    </xf>
    <xf numFmtId="181" fontId="14" fillId="0" borderId="36" xfId="11404" applyFont="1" applyBorder="1" applyAlignment="1">
      <alignment horizontal="center"/>
    </xf>
    <xf numFmtId="0" fontId="14" fillId="0" borderId="38" xfId="10942" applyFont="1" applyBorder="1" applyAlignment="1">
      <alignment horizontal="center"/>
    </xf>
    <xf numFmtId="0" fontId="3" fillId="6" borderId="29" xfId="0" applyFont="1" applyFill="1" applyBorder="1" applyAlignment="1" applyProtection="1">
      <alignment horizontal="center" vertical="center"/>
      <protection locked="0"/>
    </xf>
    <xf numFmtId="0" fontId="3" fillId="6" borderId="7" xfId="0" applyFont="1" applyFill="1" applyBorder="1" applyAlignment="1" applyProtection="1">
      <alignment horizontal="center" vertical="center" wrapText="1"/>
      <protection locked="0"/>
    </xf>
    <xf numFmtId="181" fontId="3" fillId="6" borderId="7" xfId="11404" applyFont="1" applyFill="1" applyBorder="1" applyAlignment="1" applyProtection="1">
      <alignment horizontal="center" vertical="center"/>
      <protection locked="0"/>
    </xf>
    <xf numFmtId="0" fontId="3" fillId="6" borderId="30" xfId="0" applyFont="1" applyFill="1" applyBorder="1" applyAlignment="1" applyProtection="1">
      <alignment horizontal="center" vertical="center"/>
      <protection locked="0"/>
    </xf>
    <xf numFmtId="49" fontId="3" fillId="0" borderId="39" xfId="0" applyNumberFormat="1" applyFont="1" applyBorder="1" applyAlignment="1" applyProtection="1">
      <alignment horizontal="left" vertical="center" wrapText="1"/>
      <protection locked="0"/>
    </xf>
    <xf numFmtId="49" fontId="3" fillId="0" borderId="15" xfId="0" applyNumberFormat="1" applyFont="1" applyBorder="1" applyAlignment="1" applyProtection="1">
      <alignment horizontal="left" vertical="center"/>
      <protection locked="0"/>
    </xf>
    <xf numFmtId="49" fontId="3" fillId="0" borderId="15" xfId="0" applyNumberFormat="1" applyFont="1" applyBorder="1" applyAlignment="1" applyProtection="1">
      <alignment horizontal="left" vertical="center" shrinkToFit="1"/>
      <protection locked="0"/>
    </xf>
    <xf numFmtId="14" fontId="3" fillId="0" borderId="15" xfId="0" applyNumberFormat="1" applyFont="1" applyBorder="1" applyAlignment="1" applyProtection="1">
      <alignment horizontal="left" vertical="center" shrinkToFit="1"/>
      <protection locked="0"/>
    </xf>
    <xf numFmtId="181" fontId="3" fillId="0" borderId="7" xfId="11404" applyFont="1" applyBorder="1" applyAlignment="1" applyProtection="1">
      <alignment horizontal="left" vertical="center"/>
      <protection locked="0"/>
    </xf>
    <xf numFmtId="0" fontId="3" fillId="0" borderId="30" xfId="0" applyFont="1" applyBorder="1" applyAlignment="1">
      <alignment horizontal="center" vertical="center"/>
    </xf>
    <xf numFmtId="0" fontId="3" fillId="7" borderId="29" xfId="0" applyFont="1" applyFill="1" applyBorder="1" applyAlignment="1" applyProtection="1">
      <alignment horizontal="left" vertical="center" wrapText="1"/>
      <protection locked="0"/>
    </xf>
    <xf numFmtId="181" fontId="3" fillId="7" borderId="7" xfId="11404" applyFont="1" applyFill="1" applyBorder="1" applyAlignment="1" applyProtection="1">
      <alignment horizontal="left" vertical="center" shrinkToFit="1"/>
      <protection locked="0"/>
    </xf>
    <xf numFmtId="0" fontId="3" fillId="0" borderId="33" xfId="0" applyFont="1" applyBorder="1" applyAlignment="1" applyProtection="1">
      <alignment horizontal="justify" vertical="center"/>
      <protection locked="0"/>
    </xf>
    <xf numFmtId="0" fontId="2" fillId="0" borderId="34" xfId="11404" applyNumberFormat="1" applyFont="1" applyFill="1" applyBorder="1" applyAlignment="1">
      <alignment vertical="center"/>
    </xf>
    <xf numFmtId="0" fontId="3" fillId="0" borderId="34" xfId="0" applyFont="1" applyBorder="1" applyAlignment="1" applyProtection="1">
      <alignment horizontal="center" vertical="center"/>
      <protection locked="0"/>
    </xf>
    <xf numFmtId="0" fontId="3" fillId="0" borderId="34" xfId="0" applyFont="1" applyBorder="1" applyAlignment="1" applyProtection="1">
      <alignment horizontal="left" vertical="center"/>
      <protection locked="0"/>
    </xf>
    <xf numFmtId="181" fontId="3" fillId="0" borderId="34" xfId="11404" applyFont="1" applyBorder="1" applyAlignment="1" applyProtection="1">
      <alignment horizontal="left" vertical="center"/>
      <protection locked="0"/>
    </xf>
    <xf numFmtId="0" fontId="3" fillId="0" borderId="35" xfId="0" applyFont="1" applyBorder="1" applyAlignment="1" applyProtection="1">
      <alignment horizontal="center" vertical="center"/>
      <protection locked="0"/>
    </xf>
    <xf numFmtId="181" fontId="18" fillId="0" borderId="0" xfId="11404" applyFont="1" applyAlignment="1" applyProtection="1">
      <alignment horizontal="center" vertical="center"/>
      <protection locked="0"/>
    </xf>
    <xf numFmtId="181" fontId="4" fillId="0" borderId="0" xfId="0" applyNumberFormat="1" applyFont="1"/>
    <xf numFmtId="0" fontId="4" fillId="0" borderId="0" xfId="10818" applyFont="1" applyAlignment="1"/>
    <xf numFmtId="0" fontId="4" fillId="12" borderId="0" xfId="10818" applyFont="1" applyFill="1" applyAlignment="1"/>
    <xf numFmtId="0" fontId="37" fillId="12" borderId="0" xfId="10818" applyFont="1" applyFill="1" applyAlignment="1">
      <alignment horizontal="left" vertical="center"/>
    </xf>
    <xf numFmtId="0" fontId="38" fillId="12" borderId="0" xfId="10818" applyFont="1" applyFill="1" applyAlignment="1">
      <alignment horizontal="right" vertical="center" indent="2"/>
    </xf>
    <xf numFmtId="0" fontId="38" fillId="12" borderId="40" xfId="10818" applyFont="1" applyFill="1" applyBorder="1" applyAlignment="1">
      <alignment horizontal="right" vertical="center" indent="2"/>
    </xf>
    <xf numFmtId="0" fontId="39" fillId="0" borderId="0" xfId="10818" applyFont="1" applyAlignment="1"/>
    <xf numFmtId="0" fontId="38" fillId="13" borderId="0" xfId="10818" applyFont="1" applyFill="1" applyAlignment="1">
      <alignment horizontal="left" indent="1"/>
    </xf>
    <xf numFmtId="0" fontId="25" fillId="14" borderId="0" xfId="10818" applyFont="1" applyFill="1" applyAlignment="1">
      <alignment horizontal="left" indent="1"/>
    </xf>
    <xf numFmtId="0" fontId="25" fillId="14" borderId="40" xfId="10818" applyFont="1" applyFill="1" applyBorder="1" applyAlignment="1">
      <alignment horizontal="left" indent="1"/>
    </xf>
    <xf numFmtId="0" fontId="25" fillId="14" borderId="24" xfId="10818" applyFont="1" applyFill="1" applyBorder="1" applyAlignment="1">
      <alignment horizontal="left" indent="1"/>
    </xf>
    <xf numFmtId="0" fontId="25" fillId="14" borderId="41" xfId="10818" applyFont="1" applyFill="1" applyBorder="1" applyAlignment="1">
      <alignment horizontal="left" indent="1"/>
    </xf>
    <xf numFmtId="0" fontId="37" fillId="13" borderId="0" xfId="10818" applyFont="1" applyFill="1" applyAlignment="1">
      <alignment horizontal="center" vertical="center"/>
    </xf>
    <xf numFmtId="0" fontId="4" fillId="0" borderId="42" xfId="10818" applyFont="1" applyBorder="1" applyAlignment="1"/>
    <xf numFmtId="0" fontId="40" fillId="0" borderId="0" xfId="10818" applyFont="1" applyAlignment="1">
      <alignment horizontal="left" vertical="top"/>
    </xf>
    <xf numFmtId="0" fontId="41" fillId="0" borderId="0" xfId="10818" applyFont="1" applyAlignment="1">
      <alignment horizontal="left" vertical="top"/>
    </xf>
    <xf numFmtId="0" fontId="41" fillId="0" borderId="42" xfId="10818" applyFont="1" applyBorder="1" applyAlignment="1">
      <alignment horizontal="left" vertical="top"/>
    </xf>
    <xf numFmtId="0" fontId="42" fillId="0" borderId="0" xfId="10818" applyFont="1" applyAlignment="1">
      <alignment horizontal="left" vertical="top"/>
    </xf>
    <xf numFmtId="0" fontId="43" fillId="0" borderId="0" xfId="10818" applyFont="1" applyAlignment="1">
      <alignment horizontal="left" vertical="top"/>
    </xf>
    <xf numFmtId="0" fontId="44" fillId="0" borderId="0" xfId="10818" applyFont="1" applyAlignment="1">
      <alignment horizontal="left" vertical="top" indent="1"/>
    </xf>
    <xf numFmtId="0" fontId="45" fillId="0" borderId="0" xfId="10818" applyFont="1" applyAlignment="1">
      <alignment horizontal="left" vertical="top" indent="1"/>
    </xf>
    <xf numFmtId="0" fontId="40" fillId="0" borderId="0" xfId="10818" applyFont="1" applyAlignment="1"/>
    <xf numFmtId="0" fontId="46" fillId="15" borderId="0" xfId="10818" applyFont="1" applyFill="1" applyAlignment="1"/>
    <xf numFmtId="0" fontId="46" fillId="15" borderId="43" xfId="10818" applyFont="1" applyFill="1" applyBorder="1" applyAlignment="1">
      <alignment horizontal="left"/>
    </xf>
    <xf numFmtId="0" fontId="25" fillId="0" borderId="44" xfId="10818" applyFont="1" applyBorder="1" applyAlignment="1"/>
    <xf numFmtId="0" fontId="25" fillId="0" borderId="45" xfId="10818" applyFont="1" applyBorder="1" applyAlignment="1">
      <alignment horizontal="center"/>
    </xf>
    <xf numFmtId="0" fontId="25" fillId="0" borderId="44" xfId="10818" applyFont="1" applyBorder="1" applyAlignment="1">
      <alignment horizontal="center"/>
    </xf>
    <xf numFmtId="0" fontId="4" fillId="0" borderId="0" xfId="10818" applyFont="1" applyAlignment="1">
      <alignment horizontal="left"/>
    </xf>
    <xf numFmtId="0" fontId="25" fillId="0" borderId="45" xfId="10818" applyFont="1" applyBorder="1" applyAlignment="1">
      <alignment horizontal="left"/>
    </xf>
    <xf numFmtId="0" fontId="25" fillId="0" borderId="46" xfId="10818" applyFont="1" applyBorder="1" applyAlignment="1">
      <alignment horizontal="left"/>
    </xf>
    <xf numFmtId="0" fontId="25" fillId="0" borderId="44" xfId="10818" applyFont="1" applyBorder="1" applyAlignment="1">
      <alignment horizontal="left"/>
    </xf>
    <xf numFmtId="0" fontId="4" fillId="0" borderId="0" xfId="10818" applyFont="1">
      <alignment vertical="center"/>
    </xf>
    <xf numFmtId="0" fontId="47" fillId="0" borderId="0" xfId="10818" applyFont="1" applyAlignment="1"/>
    <xf numFmtId="0" fontId="47" fillId="0" borderId="0" xfId="10818" applyFont="1" applyAlignment="1">
      <alignment horizontal="left"/>
    </xf>
    <xf numFmtId="0" fontId="4" fillId="0" borderId="0" xfId="10818" applyFont="1" applyAlignment="1">
      <alignment horizontal="right"/>
    </xf>
    <xf numFmtId="0" fontId="48" fillId="0" borderId="0" xfId="10818" applyFont="1" applyAlignment="1">
      <alignment horizontal="left" vertical="top" indent="1"/>
    </xf>
    <xf numFmtId="0" fontId="41" fillId="0" borderId="0" xfId="10818" applyFont="1" applyAlignment="1">
      <alignment horizontal="left" vertical="top" wrapText="1"/>
    </xf>
    <xf numFmtId="0" fontId="4" fillId="0" borderId="0" xfId="10818" applyFont="1" applyAlignment="1">
      <alignment horizontal="left" vertical="top" wrapText="1"/>
    </xf>
    <xf numFmtId="0" fontId="41" fillId="0" borderId="0" xfId="10818" applyFont="1" applyAlignment="1">
      <alignment horizontal="right" vertical="top" wrapText="1"/>
    </xf>
    <xf numFmtId="0" fontId="49" fillId="13" borderId="0" xfId="10818" applyFont="1" applyFill="1" applyAlignment="1">
      <alignment horizontal="center" vertical="center"/>
    </xf>
    <xf numFmtId="0" fontId="25" fillId="0" borderId="0" xfId="10818" applyFont="1" applyAlignment="1"/>
    <xf numFmtId="0" fontId="4" fillId="0" borderId="0" xfId="10818" applyFont="1" applyAlignment="1">
      <alignment wrapText="1"/>
    </xf>
    <xf numFmtId="0" fontId="4" fillId="0" borderId="43" xfId="10818" applyFont="1" applyBorder="1" applyAlignment="1"/>
    <xf numFmtId="0" fontId="4" fillId="0" borderId="47" xfId="10818" applyFont="1" applyBorder="1" applyAlignment="1"/>
    <xf numFmtId="0" fontId="50" fillId="0" borderId="0" xfId="10818" applyFont="1" applyAlignment="1">
      <alignment horizontal="left"/>
    </xf>
    <xf numFmtId="0" fontId="41" fillId="0" borderId="0" xfId="10818" applyFont="1" applyAlignment="1">
      <alignment horizontal="left" vertical="top" indent="1"/>
    </xf>
    <xf numFmtId="0" fontId="4" fillId="16" borderId="0" xfId="10818" applyFont="1" applyFill="1" applyAlignment="1"/>
    <xf numFmtId="0" fontId="4" fillId="17" borderId="0" xfId="10818" applyFont="1" applyFill="1" applyAlignment="1"/>
    <xf numFmtId="4" fontId="4" fillId="0" borderId="0" xfId="10818" applyNumberFormat="1" applyFont="1" applyAlignment="1"/>
    <xf numFmtId="0" fontId="3" fillId="7" borderId="0" xfId="3901" applyFont="1" applyFill="1" applyAlignment="1">
      <alignment vertical="center"/>
    </xf>
    <xf numFmtId="0" fontId="51" fillId="0" borderId="0" xfId="3901" applyFont="1" applyAlignment="1">
      <alignment vertical="center"/>
    </xf>
    <xf numFmtId="209" fontId="51" fillId="0" borderId="0" xfId="3901" applyNumberFormat="1" applyFont="1" applyAlignment="1">
      <alignment vertical="center"/>
    </xf>
    <xf numFmtId="0" fontId="2" fillId="0" borderId="0" xfId="3768" applyFont="1" applyAlignment="1" applyProtection="1">
      <alignment vertical="center"/>
      <protection locked="0"/>
    </xf>
    <xf numFmtId="0" fontId="3" fillId="7" borderId="0" xfId="0" applyFont="1" applyFill="1" applyAlignment="1">
      <alignment vertical="center"/>
    </xf>
    <xf numFmtId="0" fontId="7" fillId="3" borderId="1" xfId="0" applyFont="1" applyFill="1" applyBorder="1" applyAlignment="1">
      <alignment horizontal="center" vertical="center"/>
    </xf>
    <xf numFmtId="0" fontId="7" fillId="3" borderId="8" xfId="0" applyFont="1" applyFill="1" applyBorder="1" applyAlignment="1">
      <alignment horizontal="center" vertical="center"/>
    </xf>
    <xf numFmtId="0" fontId="7" fillId="3" borderId="9" xfId="0" applyFont="1" applyFill="1" applyBorder="1" applyAlignment="1">
      <alignment horizontal="center" vertical="center"/>
    </xf>
    <xf numFmtId="0" fontId="2" fillId="8" borderId="0" xfId="3768" applyFont="1" applyFill="1" applyAlignment="1" applyProtection="1">
      <alignment vertical="center"/>
      <protection locked="0"/>
    </xf>
    <xf numFmtId="0" fontId="14" fillId="9" borderId="8" xfId="0" applyFont="1" applyFill="1" applyBorder="1" applyAlignment="1">
      <alignment vertical="center"/>
    </xf>
    <xf numFmtId="0" fontId="14" fillId="9" borderId="9" xfId="0" applyFont="1" applyFill="1" applyBorder="1" applyAlignment="1">
      <alignment vertical="center"/>
    </xf>
    <xf numFmtId="0" fontId="14" fillId="0" borderId="0" xfId="0" applyFont="1" applyAlignment="1">
      <alignment vertical="center" wrapText="1"/>
    </xf>
    <xf numFmtId="0" fontId="12" fillId="0" borderId="0" xfId="0" applyFont="1" applyAlignment="1">
      <alignment horizontal="left" vertical="center" wrapText="1"/>
    </xf>
    <xf numFmtId="0" fontId="52" fillId="0" borderId="19" xfId="4123" applyFont="1" applyBorder="1" applyAlignment="1" applyProtection="1">
      <alignment horizontal="left" vertical="center" wrapText="1"/>
      <protection locked="0"/>
    </xf>
    <xf numFmtId="0" fontId="52" fillId="0" borderId="20" xfId="4123" applyFont="1" applyBorder="1" applyAlignment="1" applyProtection="1">
      <alignment horizontal="left" vertical="center" wrapText="1"/>
      <protection locked="0"/>
    </xf>
    <xf numFmtId="0" fontId="52" fillId="0" borderId="21" xfId="4123" applyFont="1" applyBorder="1" applyAlignment="1" applyProtection="1">
      <alignment horizontal="left" vertical="center" wrapText="1"/>
      <protection locked="0"/>
    </xf>
    <xf numFmtId="0" fontId="3" fillId="0" borderId="0" xfId="3635" applyFont="1" applyAlignment="1" applyProtection="1">
      <alignment horizontal="left" vertical="center" wrapText="1"/>
      <protection locked="0"/>
    </xf>
    <xf numFmtId="0" fontId="52" fillId="0" borderId="22" xfId="4123" applyFont="1" applyBorder="1" applyAlignment="1" applyProtection="1">
      <alignment horizontal="left" vertical="center" wrapText="1"/>
      <protection locked="0"/>
    </xf>
    <xf numFmtId="0" fontId="52" fillId="0" borderId="0" xfId="4123" applyFont="1" applyAlignment="1" applyProtection="1">
      <alignment horizontal="left" vertical="center" wrapText="1"/>
      <protection locked="0"/>
    </xf>
    <xf numFmtId="0" fontId="52" fillId="0" borderId="23" xfId="4123" applyFont="1" applyBorder="1" applyAlignment="1" applyProtection="1">
      <alignment horizontal="left" vertical="center" wrapText="1"/>
      <protection locked="0"/>
    </xf>
    <xf numFmtId="0" fontId="52" fillId="0" borderId="16" xfId="4123" applyFont="1" applyBorder="1" applyAlignment="1" applyProtection="1">
      <alignment horizontal="left" vertical="center" wrapText="1"/>
      <protection locked="0"/>
    </xf>
    <xf numFmtId="0" fontId="52" fillId="0" borderId="24" xfId="4123" applyFont="1" applyBorder="1" applyAlignment="1" applyProtection="1">
      <alignment horizontal="left" vertical="center" wrapText="1"/>
      <protection locked="0"/>
    </xf>
    <xf numFmtId="0" fontId="52" fillId="0" borderId="25" xfId="4123" applyFont="1" applyBorder="1" applyAlignment="1" applyProtection="1">
      <alignment horizontal="left" vertical="center" wrapText="1"/>
      <protection locked="0"/>
    </xf>
    <xf numFmtId="0" fontId="53" fillId="0" borderId="0" xfId="0" applyFont="1" applyAlignment="1">
      <alignment horizontal="left" vertical="center"/>
    </xf>
    <xf numFmtId="0" fontId="3" fillId="0" borderId="0" xfId="0" applyFont="1" applyAlignment="1">
      <alignment horizontal="left" vertical="center"/>
    </xf>
    <xf numFmtId="181" fontId="2" fillId="0" borderId="0" xfId="330" applyFont="1" applyFill="1" applyAlignment="1" applyProtection="1">
      <alignment horizontal="right" vertical="center" shrinkToFit="1"/>
      <protection locked="0"/>
    </xf>
    <xf numFmtId="0" fontId="5" fillId="0" borderId="0" xfId="0" applyFont="1" applyAlignment="1">
      <alignment horizontal="left" vertical="center"/>
    </xf>
    <xf numFmtId="181" fontId="5" fillId="11" borderId="0" xfId="330" applyFont="1" applyFill="1" applyAlignment="1">
      <alignment horizontal="right" vertical="center" shrinkToFit="1"/>
    </xf>
    <xf numFmtId="0" fontId="3" fillId="0" borderId="20" xfId="0" applyFont="1" applyBorder="1" applyAlignment="1">
      <alignment horizontal="left" vertical="center"/>
    </xf>
    <xf numFmtId="0" fontId="5" fillId="0" borderId="20" xfId="0" applyFont="1" applyBorder="1" applyAlignment="1">
      <alignment vertical="center"/>
    </xf>
    <xf numFmtId="181" fontId="5" fillId="0" borderId="20" xfId="330" applyFont="1" applyBorder="1" applyAlignment="1">
      <alignment horizontal="right" vertical="center" shrinkToFit="1"/>
    </xf>
    <xf numFmtId="0" fontId="12" fillId="0" borderId="0" xfId="3495" applyFont="1" applyAlignment="1" applyProtection="1">
      <alignment horizontal="left" vertical="center"/>
      <protection locked="0"/>
    </xf>
    <xf numFmtId="0" fontId="3" fillId="0" borderId="7" xfId="0" applyFont="1" applyBorder="1" applyAlignment="1">
      <alignment horizontal="center" vertical="center"/>
    </xf>
    <xf numFmtId="0" fontId="12" fillId="0" borderId="0" xfId="0" applyFont="1" applyAlignment="1">
      <alignment vertical="center" wrapText="1"/>
    </xf>
    <xf numFmtId="0" fontId="18" fillId="0" borderId="20" xfId="0" applyFont="1" applyBorder="1" applyAlignment="1">
      <alignment horizontal="left" vertical="center"/>
    </xf>
    <xf numFmtId="181" fontId="3" fillId="0" borderId="20" xfId="0" applyNumberFormat="1" applyFont="1" applyBorder="1" applyAlignment="1">
      <alignment horizontal="right" vertical="center" shrinkToFit="1"/>
    </xf>
    <xf numFmtId="0" fontId="10" fillId="0" borderId="0" xfId="0" applyFont="1" applyAlignment="1">
      <alignment horizontal="center" vertical="center"/>
    </xf>
    <xf numFmtId="0" fontId="18" fillId="0" borderId="0" xfId="0" applyFont="1" applyAlignment="1">
      <alignment horizontal="center" vertical="center"/>
    </xf>
    <xf numFmtId="0" fontId="14" fillId="0" borderId="0" xfId="0" applyFont="1" applyAlignment="1">
      <alignment vertical="center"/>
    </xf>
    <xf numFmtId="0" fontId="12" fillId="7" borderId="0" xfId="0" applyFont="1" applyFill="1" applyAlignment="1">
      <alignment horizontal="center" vertical="center"/>
    </xf>
    <xf numFmtId="0" fontId="54" fillId="0" borderId="0" xfId="3901" applyFont="1" applyAlignment="1">
      <alignment vertical="center"/>
    </xf>
    <xf numFmtId="0" fontId="12" fillId="7" borderId="0" xfId="0" applyFont="1" applyFill="1" applyAlignment="1">
      <alignment horizontal="center"/>
    </xf>
    <xf numFmtId="0" fontId="12" fillId="6" borderId="19" xfId="0" applyFont="1" applyFill="1" applyBorder="1" applyAlignment="1" applyProtection="1">
      <alignment horizontal="left" vertical="center"/>
      <protection locked="0"/>
    </xf>
    <xf numFmtId="0" fontId="12" fillId="6" borderId="20" xfId="0" applyFont="1" applyFill="1" applyBorder="1" applyAlignment="1" applyProtection="1">
      <alignment horizontal="left" vertical="center"/>
      <protection locked="0"/>
    </xf>
    <xf numFmtId="0" fontId="12" fillId="6" borderId="21" xfId="0" applyFont="1" applyFill="1" applyBorder="1" applyAlignment="1" applyProtection="1">
      <alignment horizontal="left" vertical="center"/>
      <protection locked="0"/>
    </xf>
    <xf numFmtId="0" fontId="52" fillId="0" borderId="22" xfId="0" applyFont="1" applyBorder="1" applyAlignment="1">
      <alignment vertical="center"/>
    </xf>
    <xf numFmtId="0" fontId="52" fillId="0" borderId="0" xfId="0" applyFont="1" applyAlignment="1">
      <alignment vertical="center"/>
    </xf>
    <xf numFmtId="0" fontId="52" fillId="0" borderId="23" xfId="0" applyFont="1" applyBorder="1" applyAlignment="1">
      <alignment vertical="center"/>
    </xf>
    <xf numFmtId="0" fontId="3" fillId="0" borderId="22" xfId="0" applyFont="1" applyBorder="1" applyAlignment="1" applyProtection="1">
      <alignment vertical="center"/>
      <protection locked="0"/>
    </xf>
    <xf numFmtId="0" fontId="3" fillId="0" borderId="23" xfId="0" applyFont="1" applyBorder="1" applyAlignment="1" applyProtection="1">
      <alignment vertical="center"/>
      <protection locked="0"/>
    </xf>
    <xf numFmtId="0" fontId="3" fillId="0" borderId="0" xfId="0" applyFont="1" applyAlignment="1" applyProtection="1">
      <alignment vertical="center" wrapText="1"/>
      <protection locked="0"/>
    </xf>
    <xf numFmtId="0" fontId="3" fillId="0" borderId="23" xfId="0" applyFont="1" applyBorder="1" applyAlignment="1" applyProtection="1">
      <alignment vertical="center" wrapText="1"/>
      <protection locked="0"/>
    </xf>
    <xf numFmtId="0" fontId="5" fillId="0" borderId="22"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23" xfId="0" applyFont="1" applyBorder="1" applyAlignment="1" applyProtection="1">
      <alignment horizontal="left" vertical="center" wrapText="1"/>
      <protection locked="0"/>
    </xf>
    <xf numFmtId="0" fontId="3" fillId="0" borderId="16" xfId="0" applyFont="1" applyBorder="1" applyAlignment="1" applyProtection="1">
      <alignment vertical="center"/>
      <protection locked="0"/>
    </xf>
    <xf numFmtId="0" fontId="3" fillId="0" borderId="24" xfId="0" applyFont="1" applyBorder="1" applyAlignment="1" applyProtection="1">
      <alignment vertical="center"/>
      <protection locked="0"/>
    </xf>
    <xf numFmtId="0" fontId="3" fillId="0" borderId="25" xfId="0" applyFont="1" applyBorder="1" applyAlignment="1" applyProtection="1">
      <alignment vertical="center"/>
      <protection locked="0"/>
    </xf>
    <xf numFmtId="0" fontId="3" fillId="0" borderId="0" xfId="3779" applyAlignment="1">
      <alignment vertical="center"/>
    </xf>
    <xf numFmtId="0" fontId="18" fillId="0" borderId="0" xfId="3768" applyFont="1" applyAlignment="1" applyProtection="1">
      <alignment horizontal="center" vertical="center"/>
      <protection locked="0"/>
    </xf>
    <xf numFmtId="0" fontId="18" fillId="6" borderId="1" xfId="0" applyFont="1" applyFill="1" applyBorder="1" applyAlignment="1">
      <alignment horizontal="center" vertical="center"/>
    </xf>
    <xf numFmtId="0" fontId="18" fillId="6" borderId="8" xfId="0" applyFont="1" applyFill="1" applyBorder="1" applyAlignment="1">
      <alignment horizontal="center" vertical="center"/>
    </xf>
    <xf numFmtId="0" fontId="18" fillId="6" borderId="9" xfId="0" applyFont="1" applyFill="1" applyBorder="1" applyAlignment="1">
      <alignment horizontal="center" vertical="center"/>
    </xf>
    <xf numFmtId="0" fontId="12" fillId="18" borderId="7" xfId="0" applyFont="1" applyFill="1" applyBorder="1" applyAlignment="1">
      <alignment horizontal="center" vertical="center" wrapText="1"/>
    </xf>
    <xf numFmtId="0" fontId="12" fillId="6" borderId="7" xfId="0" applyFont="1" applyFill="1" applyBorder="1" applyAlignment="1">
      <alignment horizontal="center" vertical="center" wrapText="1"/>
    </xf>
    <xf numFmtId="0" fontId="3" fillId="0" borderId="7" xfId="0" applyFont="1" applyBorder="1" applyAlignment="1">
      <alignment horizontal="left" vertical="center" shrinkToFit="1"/>
    </xf>
    <xf numFmtId="181" fontId="3" fillId="0" borderId="7" xfId="330" applyFont="1" applyFill="1" applyBorder="1" applyAlignment="1">
      <alignment horizontal="right" vertical="center" shrinkToFit="1"/>
    </xf>
    <xf numFmtId="14" fontId="3" fillId="0" borderId="7" xfId="0" applyNumberFormat="1" applyFont="1" applyBorder="1" applyAlignment="1">
      <alignment horizontal="left" vertical="center" shrinkToFit="1"/>
    </xf>
    <xf numFmtId="10" fontId="3" fillId="0" borderId="7" xfId="0" applyNumberFormat="1" applyFont="1" applyBorder="1" applyAlignment="1">
      <alignment horizontal="right" vertical="center" shrinkToFit="1"/>
    </xf>
    <xf numFmtId="181" fontId="3" fillId="0" borderId="7" xfId="0" applyNumberFormat="1" applyFont="1" applyBorder="1" applyAlignment="1">
      <alignment horizontal="right" vertical="center" shrinkToFit="1"/>
    </xf>
    <xf numFmtId="0" fontId="5" fillId="0" borderId="7" xfId="0" applyFont="1" applyBorder="1" applyAlignment="1">
      <alignment horizontal="left" vertical="center" wrapText="1" shrinkToFit="1"/>
    </xf>
    <xf numFmtId="181" fontId="3" fillId="0" borderId="7" xfId="2728" applyFont="1" applyFill="1" applyBorder="1" applyAlignment="1" applyProtection="1">
      <alignment horizontal="right" vertical="center" shrinkToFit="1"/>
      <protection locked="0"/>
    </xf>
    <xf numFmtId="181" fontId="3" fillId="0" borderId="7" xfId="330" applyFont="1" applyBorder="1" applyAlignment="1">
      <alignment horizontal="left" vertical="center" shrinkToFit="1"/>
    </xf>
    <xf numFmtId="0" fontId="10" fillId="0" borderId="0" xfId="3901" applyFont="1" applyAlignment="1">
      <alignment vertical="center"/>
    </xf>
    <xf numFmtId="49" fontId="3" fillId="0" borderId="0" xfId="0" applyNumberFormat="1" applyFont="1" applyAlignment="1">
      <alignment horizontal="left" vertical="center" shrinkToFit="1"/>
    </xf>
    <xf numFmtId="14" fontId="3" fillId="0" borderId="0" xfId="0" applyNumberFormat="1" applyFont="1" applyAlignment="1">
      <alignment horizontal="left" vertical="center" shrinkToFit="1"/>
    </xf>
    <xf numFmtId="0" fontId="3" fillId="0" borderId="0" xfId="0" applyFont="1" applyAlignment="1">
      <alignment vertical="center" shrinkToFit="1"/>
    </xf>
    <xf numFmtId="10" fontId="3" fillId="0" borderId="0" xfId="0" applyNumberFormat="1" applyFont="1" applyAlignment="1">
      <alignment horizontal="right" vertical="center" shrinkToFit="1"/>
    </xf>
    <xf numFmtId="181" fontId="3" fillId="0" borderId="0" xfId="0" applyNumberFormat="1" applyFont="1" applyAlignment="1">
      <alignment horizontal="right" vertical="center" shrinkToFit="1"/>
    </xf>
    <xf numFmtId="0" fontId="12" fillId="7" borderId="0" xfId="3901" applyFont="1" applyFill="1" applyAlignment="1">
      <alignment horizontal="right" vertical="center"/>
    </xf>
    <xf numFmtId="0" fontId="3" fillId="0" borderId="0" xfId="3599" applyFont="1" applyAlignment="1" applyProtection="1">
      <alignment vertical="center" wrapText="1"/>
      <protection locked="0"/>
    </xf>
    <xf numFmtId="0" fontId="3" fillId="0" borderId="0" xfId="3901" applyFont="1" applyAlignment="1">
      <alignment vertical="center"/>
    </xf>
    <xf numFmtId="0" fontId="0" fillId="19" borderId="0" xfId="0" applyFill="1"/>
    <xf numFmtId="0" fontId="3" fillId="0" borderId="7" xfId="0" applyFont="1" applyBorder="1" applyAlignment="1">
      <alignment horizontal="center" vertical="center" wrapText="1"/>
    </xf>
    <xf numFmtId="0" fontId="3" fillId="0" borderId="7" xfId="0" applyFont="1" applyBorder="1" applyAlignment="1">
      <alignment vertical="center" wrapText="1"/>
    </xf>
    <xf numFmtId="0" fontId="3" fillId="0" borderId="7" xfId="0" applyFont="1" applyBorder="1" applyAlignment="1">
      <alignment horizontal="left" vertical="center" wrapText="1"/>
    </xf>
    <xf numFmtId="0" fontId="3" fillId="0" borderId="7" xfId="0" applyFont="1" applyBorder="1" applyAlignment="1">
      <alignment horizontal="right" vertical="center" wrapText="1"/>
    </xf>
    <xf numFmtId="14" fontId="3" fillId="0" borderId="7" xfId="0" applyNumberFormat="1" applyFont="1" applyBorder="1" applyAlignment="1">
      <alignment vertical="center" wrapText="1"/>
    </xf>
    <xf numFmtId="181" fontId="3" fillId="0" borderId="7" xfId="330" applyFont="1" applyFill="1" applyBorder="1" applyAlignment="1">
      <alignment vertical="center" wrapText="1"/>
    </xf>
    <xf numFmtId="4" fontId="3" fillId="0" borderId="7" xfId="0" applyNumberFormat="1" applyFont="1" applyBorder="1" applyAlignment="1">
      <alignment vertical="center" wrapText="1"/>
    </xf>
    <xf numFmtId="11" fontId="3" fillId="0" borderId="7" xfId="0" applyNumberFormat="1" applyFont="1" applyBorder="1" applyAlignment="1">
      <alignment horizontal="left" vertical="center" wrapText="1"/>
    </xf>
    <xf numFmtId="14" fontId="2" fillId="0" borderId="7" xfId="0" applyNumberFormat="1" applyFont="1" applyBorder="1"/>
    <xf numFmtId="0" fontId="2" fillId="0" borderId="7" xfId="0" applyFont="1" applyBorder="1"/>
    <xf numFmtId="4" fontId="2" fillId="0" borderId="7" xfId="0" applyNumberFormat="1" applyFont="1" applyBorder="1"/>
    <xf numFmtId="181" fontId="2" fillId="0" borderId="7" xfId="0" applyNumberFormat="1" applyFont="1" applyBorder="1"/>
    <xf numFmtId="181" fontId="2" fillId="0" borderId="7" xfId="330" applyFont="1" applyFill="1" applyBorder="1"/>
    <xf numFmtId="181" fontId="0" fillId="0" borderId="0" xfId="330" applyFont="1"/>
    <xf numFmtId="0" fontId="55" fillId="0" borderId="0" xfId="0" applyFont="1"/>
    <xf numFmtId="181" fontId="0" fillId="0" borderId="0" xfId="0" applyNumberFormat="1"/>
    <xf numFmtId="0" fontId="2" fillId="0" borderId="0" xfId="0" applyFont="1" applyAlignment="1" applyProtection="1">
      <alignment vertical="center"/>
      <protection locked="0"/>
    </xf>
    <xf numFmtId="0" fontId="4" fillId="0" borderId="0" xfId="0" applyFont="1" applyAlignment="1" applyProtection="1">
      <alignment vertical="center"/>
      <protection locked="0"/>
    </xf>
    <xf numFmtId="0" fontId="12" fillId="0" borderId="0" xfId="0" applyFont="1" applyAlignment="1">
      <alignment vertical="center"/>
    </xf>
    <xf numFmtId="0" fontId="3" fillId="0" borderId="0" xfId="0" applyFont="1" applyAlignment="1">
      <alignment horizontal="center" vertical="center"/>
    </xf>
    <xf numFmtId="181" fontId="2" fillId="0" borderId="0" xfId="330" applyFont="1" applyFill="1" applyBorder="1" applyAlignment="1">
      <alignment vertical="center"/>
    </xf>
    <xf numFmtId="0" fontId="18" fillId="0" borderId="0" xfId="3599" applyFont="1" applyAlignment="1" applyProtection="1">
      <alignment vertical="center"/>
      <protection locked="0"/>
    </xf>
    <xf numFmtId="0" fontId="2" fillId="0" borderId="0" xfId="3599" applyFont="1" applyAlignment="1" applyProtection="1">
      <alignment vertical="center"/>
      <protection locked="0"/>
    </xf>
    <xf numFmtId="181" fontId="2" fillId="0" borderId="0" xfId="330" applyFont="1" applyAlignment="1" applyProtection="1">
      <alignment vertical="center"/>
      <protection locked="0"/>
    </xf>
    <xf numFmtId="181" fontId="2" fillId="0" borderId="0" xfId="3599" applyNumberFormat="1" applyFont="1" applyAlignment="1" applyProtection="1">
      <alignment vertical="center"/>
      <protection locked="0"/>
    </xf>
    <xf numFmtId="0" fontId="6" fillId="2" borderId="1" xfId="0" applyFont="1" applyFill="1" applyBorder="1" applyAlignment="1" applyProtection="1">
      <alignment horizontal="centerContinuous" vertical="center"/>
      <protection locked="0"/>
    </xf>
    <xf numFmtId="0" fontId="6" fillId="2" borderId="8" xfId="0" applyFont="1" applyFill="1" applyBorder="1" applyAlignment="1" applyProtection="1">
      <alignment horizontal="centerContinuous" vertical="center"/>
      <protection locked="0"/>
    </xf>
    <xf numFmtId="0" fontId="56" fillId="2" borderId="8" xfId="0" applyFont="1" applyFill="1" applyBorder="1" applyAlignment="1" applyProtection="1">
      <alignment horizontal="centerContinuous" vertical="center"/>
      <protection locked="0"/>
    </xf>
    <xf numFmtId="0" fontId="57" fillId="2" borderId="8" xfId="0" applyFont="1" applyFill="1" applyBorder="1" applyAlignment="1" applyProtection="1">
      <alignment horizontal="centerContinuous" vertical="center"/>
      <protection locked="0"/>
    </xf>
    <xf numFmtId="0" fontId="2" fillId="2" borderId="8" xfId="0" applyFont="1" applyFill="1" applyBorder="1" applyAlignment="1" applyProtection="1">
      <alignment horizontal="centerContinuous" vertical="center"/>
      <protection locked="0"/>
    </xf>
    <xf numFmtId="0" fontId="3" fillId="2" borderId="8" xfId="0" applyFont="1" applyFill="1" applyBorder="1" applyAlignment="1" applyProtection="1">
      <alignment horizontal="centerContinuous" vertical="center"/>
      <protection locked="0"/>
    </xf>
    <xf numFmtId="0" fontId="3" fillId="2" borderId="9" xfId="0" applyFont="1" applyFill="1" applyBorder="1" applyAlignment="1" applyProtection="1">
      <alignment horizontal="centerContinuous" vertical="center"/>
      <protection locked="0"/>
    </xf>
    <xf numFmtId="0" fontId="2" fillId="8" borderId="0" xfId="0" applyFont="1" applyFill="1" applyAlignment="1" applyProtection="1">
      <alignment vertical="center"/>
      <protection locked="0"/>
    </xf>
    <xf numFmtId="0" fontId="9" fillId="20" borderId="16" xfId="0" applyFont="1" applyFill="1" applyBorder="1" applyAlignment="1" applyProtection="1">
      <alignment vertical="center"/>
      <protection locked="0"/>
    </xf>
    <xf numFmtId="0" fontId="9" fillId="20" borderId="24" xfId="0" applyFont="1" applyFill="1" applyBorder="1" applyAlignment="1" applyProtection="1">
      <alignment vertical="center"/>
      <protection locked="0"/>
    </xf>
    <xf numFmtId="0" fontId="9" fillId="20" borderId="24" xfId="0" applyFont="1" applyFill="1" applyBorder="1" applyAlignment="1" applyProtection="1">
      <alignment vertical="center" wrapText="1"/>
      <protection locked="0"/>
    </xf>
    <xf numFmtId="0" fontId="9" fillId="20" borderId="24" xfId="0" applyFont="1" applyFill="1" applyBorder="1" applyAlignment="1" applyProtection="1">
      <alignment horizontal="left" vertical="center" wrapText="1"/>
      <protection locked="0"/>
    </xf>
    <xf numFmtId="0" fontId="14" fillId="20" borderId="24" xfId="0" applyFont="1" applyFill="1" applyBorder="1" applyAlignment="1" applyProtection="1">
      <alignment vertical="center" wrapText="1"/>
      <protection locked="0"/>
    </xf>
    <xf numFmtId="0" fontId="9" fillId="20" borderId="25" xfId="0" applyFont="1" applyFill="1" applyBorder="1" applyAlignment="1" applyProtection="1">
      <alignment vertical="center" wrapText="1"/>
      <protection locked="0"/>
    </xf>
    <xf numFmtId="0" fontId="9" fillId="0" borderId="0" xfId="0" applyFont="1" applyAlignment="1" applyProtection="1">
      <alignment horizontal="left" vertical="center" wrapText="1"/>
      <protection locked="0"/>
    </xf>
    <xf numFmtId="0" fontId="4" fillId="8" borderId="0" xfId="0" applyFont="1" applyFill="1" applyAlignment="1" applyProtection="1">
      <alignment vertical="center"/>
      <protection locked="0"/>
    </xf>
    <xf numFmtId="0" fontId="18" fillId="0" borderId="0" xfId="3599" applyFont="1" applyAlignment="1">
      <alignment vertical="center"/>
    </xf>
    <xf numFmtId="0" fontId="2" fillId="0" borderId="0" xfId="3599" applyFont="1" applyAlignment="1">
      <alignment vertical="center" wrapText="1"/>
    </xf>
    <xf numFmtId="0" fontId="2" fillId="0" borderId="0" xfId="0" applyFont="1" applyAlignment="1">
      <alignment vertical="center"/>
    </xf>
    <xf numFmtId="181" fontId="2" fillId="0" borderId="0" xfId="0" applyNumberFormat="1" applyFont="1" applyAlignment="1">
      <alignment vertical="center"/>
    </xf>
    <xf numFmtId="0" fontId="2" fillId="0" borderId="0" xfId="0" applyFont="1" applyAlignment="1">
      <alignment horizontal="left" vertical="center"/>
    </xf>
    <xf numFmtId="0" fontId="12" fillId="0" borderId="0" xfId="3599" applyFont="1" applyAlignment="1">
      <alignment vertical="center"/>
    </xf>
    <xf numFmtId="4" fontId="2" fillId="0" borderId="0" xfId="3599" applyNumberFormat="1" applyFont="1" applyAlignment="1">
      <alignment vertical="center"/>
    </xf>
    <xf numFmtId="181" fontId="2" fillId="0" borderId="0" xfId="3599" applyNumberFormat="1" applyFont="1" applyAlignment="1">
      <alignment vertical="center"/>
    </xf>
    <xf numFmtId="0" fontId="12" fillId="0" borderId="0" xfId="0" applyFont="1" applyAlignment="1">
      <alignment horizontal="center" vertical="center"/>
    </xf>
    <xf numFmtId="0" fontId="12" fillId="0" borderId="19" xfId="0" applyFont="1" applyBorder="1" applyAlignment="1">
      <alignment vertical="center"/>
    </xf>
    <xf numFmtId="0" fontId="12" fillId="0" borderId="21" xfId="0" applyFont="1" applyBorder="1" applyAlignment="1">
      <alignment horizontal="left" vertical="center"/>
    </xf>
    <xf numFmtId="0" fontId="12" fillId="0" borderId="7" xfId="0" applyFont="1" applyBorder="1" applyAlignment="1">
      <alignment horizontal="center" vertical="center"/>
    </xf>
    <xf numFmtId="0" fontId="12" fillId="0" borderId="1" xfId="0"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32" xfId="0" applyFont="1" applyBorder="1" applyAlignment="1">
      <alignment vertical="center"/>
    </xf>
    <xf numFmtId="0" fontId="47" fillId="8" borderId="0" xfId="0" applyFont="1" applyFill="1" applyAlignment="1" applyProtection="1">
      <alignment vertical="center"/>
      <protection locked="0"/>
    </xf>
    <xf numFmtId="0" fontId="3" fillId="0" borderId="16" xfId="0" applyFont="1" applyBorder="1" applyAlignment="1">
      <alignment vertical="center"/>
    </xf>
    <xf numFmtId="0" fontId="3" fillId="0" borderId="25" xfId="0" applyFont="1" applyBorder="1" applyAlignment="1">
      <alignment horizontal="left"/>
    </xf>
    <xf numFmtId="0" fontId="3" fillId="21" borderId="7" xfId="0" applyFont="1" applyFill="1" applyBorder="1" applyAlignment="1">
      <alignment horizontal="center" vertical="center"/>
    </xf>
    <xf numFmtId="0" fontId="18" fillId="0" borderId="15" xfId="0" applyFont="1" applyBorder="1" applyAlignment="1">
      <alignment horizontal="center" vertical="top"/>
    </xf>
    <xf numFmtId="0" fontId="3" fillId="0" borderId="32" xfId="0" applyFont="1" applyBorder="1" applyAlignment="1">
      <alignment vertical="center" wrapText="1"/>
    </xf>
    <xf numFmtId="210" fontId="12" fillId="0" borderId="7" xfId="0" applyNumberFormat="1" applyFont="1" applyBorder="1" applyAlignment="1">
      <alignment horizontal="left" vertical="center" wrapText="1"/>
    </xf>
    <xf numFmtId="0" fontId="58" fillId="0" borderId="7" xfId="0" applyFont="1" applyBorder="1" applyAlignment="1">
      <alignment horizontal="center" vertical="center" wrapText="1"/>
    </xf>
    <xf numFmtId="181" fontId="18" fillId="0" borderId="7" xfId="330" applyFont="1" applyFill="1" applyBorder="1" applyAlignment="1">
      <alignment horizontal="right" vertical="center"/>
    </xf>
    <xf numFmtId="181" fontId="3" fillId="0" borderId="0" xfId="0" applyNumberFormat="1" applyFont="1" applyAlignment="1">
      <alignment vertical="center"/>
    </xf>
    <xf numFmtId="0" fontId="12" fillId="0" borderId="48" xfId="0" applyFont="1" applyBorder="1" applyAlignment="1">
      <alignment vertical="center" wrapText="1"/>
    </xf>
    <xf numFmtId="0" fontId="3" fillId="0" borderId="7" xfId="0" applyFont="1" applyBorder="1" applyAlignment="1">
      <alignment horizontal="left" vertical="center"/>
    </xf>
    <xf numFmtId="0" fontId="18" fillId="0" borderId="7" xfId="0" applyFont="1" applyBorder="1" applyAlignment="1">
      <alignment horizontal="center" vertical="center" wrapText="1"/>
    </xf>
    <xf numFmtId="181" fontId="18" fillId="0" borderId="7" xfId="0" applyNumberFormat="1" applyFont="1" applyBorder="1" applyAlignment="1">
      <alignment horizontal="right" vertical="center"/>
    </xf>
    <xf numFmtId="0" fontId="18" fillId="0" borderId="7" xfId="0" applyFont="1" applyBorder="1" applyAlignment="1">
      <alignment horizontal="center" vertical="center"/>
    </xf>
    <xf numFmtId="0" fontId="12" fillId="0" borderId="48" xfId="0" applyFont="1" applyBorder="1" applyAlignment="1">
      <alignment horizontal="center" vertical="center" wrapText="1"/>
    </xf>
    <xf numFmtId="0" fontId="12" fillId="0" borderId="15" xfId="0" applyFont="1" applyBorder="1" applyAlignment="1">
      <alignment vertical="center" wrapText="1"/>
    </xf>
    <xf numFmtId="0" fontId="12" fillId="0" borderId="7" xfId="0" applyFont="1" applyBorder="1" applyAlignment="1">
      <alignment horizontal="left" vertical="center" wrapText="1"/>
    </xf>
    <xf numFmtId="0" fontId="18" fillId="0" borderId="7" xfId="3804" applyFont="1" applyBorder="1" applyAlignment="1" applyProtection="1">
      <alignment horizontal="center" vertical="center"/>
      <protection locked="0"/>
    </xf>
    <xf numFmtId="181" fontId="12" fillId="0" borderId="7" xfId="330" applyFont="1" applyFill="1" applyBorder="1" applyAlignment="1">
      <alignment horizontal="right" vertical="center" shrinkToFit="1"/>
    </xf>
    <xf numFmtId="0" fontId="12" fillId="0" borderId="32" xfId="0" applyFont="1" applyBorder="1" applyAlignment="1">
      <alignment vertical="center" wrapText="1"/>
    </xf>
    <xf numFmtId="0" fontId="3" fillId="0" borderId="9" xfId="0" applyFont="1" applyBorder="1" applyAlignment="1">
      <alignment horizontal="left" vertical="center"/>
    </xf>
    <xf numFmtId="0" fontId="12" fillId="0" borderId="32" xfId="0" applyFont="1" applyBorder="1" applyAlignment="1">
      <alignment horizontal="center" vertical="center" wrapText="1"/>
    </xf>
    <xf numFmtId="181" fontId="3" fillId="0" borderId="32" xfId="330" applyFont="1" applyFill="1" applyBorder="1" applyAlignment="1">
      <alignment horizontal="right" vertical="center" shrinkToFit="1"/>
    </xf>
    <xf numFmtId="0" fontId="12" fillId="0" borderId="9" xfId="0" applyFont="1" applyBorder="1" applyAlignment="1">
      <alignment horizontal="left" vertical="center" wrapText="1"/>
    </xf>
    <xf numFmtId="181" fontId="12" fillId="0" borderId="1" xfId="330" applyFont="1" applyFill="1" applyBorder="1" applyAlignment="1" applyProtection="1">
      <alignment horizontal="right" vertical="center" shrinkToFit="1"/>
    </xf>
    <xf numFmtId="181" fontId="12" fillId="0" borderId="7" xfId="330" applyFont="1" applyFill="1" applyBorder="1" applyAlignment="1" applyProtection="1">
      <alignment horizontal="right" vertical="center" shrinkToFit="1"/>
    </xf>
    <xf numFmtId="181" fontId="12" fillId="0" borderId="9" xfId="330" applyFont="1" applyFill="1" applyBorder="1" applyAlignment="1" applyProtection="1">
      <alignment horizontal="right" vertical="center" shrinkToFit="1"/>
    </xf>
    <xf numFmtId="0" fontId="3" fillId="0" borderId="7" xfId="0" applyFont="1" applyBorder="1" applyAlignment="1">
      <alignment horizontal="center" vertical="center" shrinkToFit="1"/>
    </xf>
    <xf numFmtId="10" fontId="3" fillId="0" borderId="7" xfId="3" applyNumberFormat="1" applyFont="1" applyFill="1" applyBorder="1" applyAlignment="1">
      <alignment vertical="center" shrinkToFit="1"/>
    </xf>
    <xf numFmtId="181" fontId="3" fillId="0" borderId="7" xfId="330" applyFont="1" applyFill="1" applyBorder="1" applyAlignment="1">
      <alignment vertical="center" shrinkToFit="1"/>
    </xf>
    <xf numFmtId="0" fontId="12" fillId="0" borderId="15"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shrinkToFit="1"/>
    </xf>
    <xf numFmtId="0" fontId="3" fillId="0" borderId="0" xfId="0" applyFont="1" applyAlignment="1">
      <alignment horizontal="center" vertical="center" shrinkToFit="1"/>
    </xf>
    <xf numFmtId="10" fontId="3" fillId="0" borderId="0" xfId="3" applyNumberFormat="1" applyFont="1" applyFill="1" applyBorder="1" applyAlignment="1">
      <alignment vertical="center" shrinkToFit="1"/>
    </xf>
    <xf numFmtId="181" fontId="3" fillId="0" borderId="0" xfId="330" applyFont="1" applyFill="1" applyBorder="1" applyAlignment="1">
      <alignment vertical="center" shrinkToFit="1"/>
    </xf>
    <xf numFmtId="0" fontId="18" fillId="0" borderId="0" xfId="3600" applyFont="1" applyAlignment="1">
      <alignment vertical="center"/>
    </xf>
    <xf numFmtId="181" fontId="18" fillId="0" borderId="0" xfId="11043" applyFont="1" applyFill="1" applyBorder="1" applyAlignment="1" applyProtection="1">
      <alignment horizontal="left" vertical="center"/>
      <protection locked="0"/>
    </xf>
    <xf numFmtId="181" fontId="18" fillId="0" borderId="0" xfId="2316" applyNumberFormat="1" applyFont="1" applyFill="1" applyBorder="1" applyAlignment="1" applyProtection="1">
      <alignment horizontal="right" vertical="center" shrinkToFit="1"/>
      <protection locked="0"/>
    </xf>
    <xf numFmtId="181" fontId="3" fillId="0" borderId="0" xfId="330" applyFont="1" applyFill="1" applyBorder="1" applyAlignment="1">
      <alignment horizontal="right" vertical="center" shrinkToFit="1"/>
    </xf>
    <xf numFmtId="181" fontId="3" fillId="0" borderId="0" xfId="2316" applyNumberFormat="1" applyFont="1" applyFill="1" applyBorder="1" applyAlignment="1" applyProtection="1">
      <alignment horizontal="right" vertical="center" shrinkToFit="1"/>
      <protection locked="0"/>
    </xf>
    <xf numFmtId="181" fontId="2" fillId="0" borderId="0" xfId="3600" applyNumberFormat="1" applyFont="1" applyAlignment="1">
      <alignment horizontal="right" vertical="center"/>
    </xf>
    <xf numFmtId="0" fontId="2" fillId="0" borderId="0" xfId="3600" applyFont="1" applyAlignment="1">
      <alignment vertical="center"/>
    </xf>
    <xf numFmtId="181" fontId="18" fillId="0" borderId="0" xfId="11024" applyFont="1" applyFill="1" applyBorder="1" applyAlignment="1">
      <alignment vertical="center"/>
    </xf>
    <xf numFmtId="181" fontId="2" fillId="0" borderId="0" xfId="2579" applyFont="1" applyFill="1" applyBorder="1" applyAlignment="1" applyProtection="1">
      <alignment horizontal="right" vertical="center" shrinkToFit="1"/>
      <protection locked="0"/>
    </xf>
    <xf numFmtId="181" fontId="18" fillId="0" borderId="0" xfId="11024" applyFont="1" applyFill="1" applyBorder="1" applyAlignment="1" applyProtection="1">
      <alignment horizontal="right" vertical="center" shrinkToFit="1"/>
      <protection locked="0"/>
    </xf>
    <xf numFmtId="181" fontId="3" fillId="0" borderId="0" xfId="11024" applyFont="1" applyFill="1" applyBorder="1" applyAlignment="1" applyProtection="1">
      <alignment horizontal="right" vertical="center" shrinkToFit="1"/>
      <protection locked="0"/>
    </xf>
    <xf numFmtId="181" fontId="3" fillId="0" borderId="0" xfId="11024" applyFont="1" applyFill="1" applyBorder="1" applyAlignment="1">
      <alignment horizontal="right" vertical="center"/>
    </xf>
    <xf numFmtId="181" fontId="3" fillId="0" borderId="0" xfId="11024" applyFont="1" applyFill="1" applyBorder="1" applyAlignment="1">
      <alignment vertical="center"/>
    </xf>
    <xf numFmtId="181" fontId="2" fillId="0" borderId="0" xfId="11024" applyFont="1" applyFill="1" applyBorder="1" applyAlignment="1">
      <alignment vertical="center"/>
    </xf>
    <xf numFmtId="181" fontId="18" fillId="0" borderId="0" xfId="330" applyFont="1" applyFill="1" applyBorder="1" applyAlignment="1">
      <alignment vertical="center"/>
    </xf>
    <xf numFmtId="181" fontId="18" fillId="0" borderId="0" xfId="330" applyFont="1" applyFill="1" applyBorder="1" applyAlignment="1" applyProtection="1">
      <alignment horizontal="left" vertical="center"/>
      <protection locked="0"/>
    </xf>
    <xf numFmtId="181" fontId="2" fillId="0" borderId="0" xfId="2570" applyFont="1" applyFill="1" applyBorder="1" applyAlignment="1" applyProtection="1">
      <alignment horizontal="right" vertical="center" shrinkToFit="1"/>
      <protection locked="0"/>
    </xf>
    <xf numFmtId="181" fontId="18" fillId="0" borderId="0" xfId="330" applyFont="1" applyFill="1" applyBorder="1" applyAlignment="1" applyProtection="1">
      <alignment horizontal="right" vertical="center" shrinkToFit="1"/>
      <protection locked="0"/>
    </xf>
    <xf numFmtId="181" fontId="3" fillId="0" borderId="0" xfId="330" applyFont="1" applyFill="1" applyBorder="1" applyAlignment="1" applyProtection="1">
      <alignment horizontal="right" vertical="center" shrinkToFit="1"/>
      <protection locked="0"/>
    </xf>
    <xf numFmtId="181" fontId="3" fillId="0" borderId="0" xfId="330" applyFont="1" applyFill="1" applyBorder="1" applyAlignment="1">
      <alignment vertical="center"/>
    </xf>
    <xf numFmtId="0" fontId="18" fillId="0" borderId="0" xfId="3599" applyFont="1" applyAlignment="1">
      <alignment horizontal="left" vertical="center"/>
    </xf>
    <xf numFmtId="0" fontId="24" fillId="0" borderId="19" xfId="3599" applyFont="1" applyBorder="1" applyAlignment="1">
      <alignment vertical="center"/>
    </xf>
    <xf numFmtId="0" fontId="24" fillId="0" borderId="20" xfId="3599" applyFont="1" applyBorder="1" applyAlignment="1">
      <alignment vertical="center"/>
    </xf>
    <xf numFmtId="0" fontId="24" fillId="0" borderId="20" xfId="3599" applyFont="1" applyBorder="1" applyAlignment="1">
      <alignment horizontal="center" vertical="center"/>
    </xf>
    <xf numFmtId="0" fontId="24" fillId="0" borderId="21" xfId="3599" applyFont="1" applyBorder="1" applyAlignment="1">
      <alignment vertical="center"/>
    </xf>
    <xf numFmtId="0" fontId="18" fillId="0" borderId="1" xfId="0" applyFont="1" applyBorder="1" applyAlignment="1" applyProtection="1">
      <alignment horizontal="center" vertical="center"/>
      <protection locked="0"/>
    </xf>
    <xf numFmtId="0" fontId="18" fillId="0" borderId="8" xfId="0" applyFont="1" applyBorder="1" applyAlignment="1" applyProtection="1">
      <alignment horizontal="center" vertical="center"/>
      <protection locked="0"/>
    </xf>
    <xf numFmtId="0" fontId="18" fillId="0" borderId="9" xfId="0" applyFont="1" applyBorder="1" applyAlignment="1" applyProtection="1">
      <alignment horizontal="center" vertical="center"/>
      <protection locked="0"/>
    </xf>
    <xf numFmtId="0" fontId="10" fillId="0" borderId="0" xfId="3599" applyFont="1" applyAlignment="1">
      <alignment vertical="center"/>
    </xf>
    <xf numFmtId="0" fontId="24" fillId="0" borderId="7" xfId="3599" applyFont="1" applyBorder="1" applyAlignment="1">
      <alignment horizontal="center" vertical="center"/>
    </xf>
    <xf numFmtId="0" fontId="24" fillId="0" borderId="7" xfId="0" applyFont="1" applyBorder="1" applyAlignment="1">
      <alignment horizontal="center" vertical="center"/>
    </xf>
    <xf numFmtId="0" fontId="2" fillId="0" borderId="0" xfId="0" applyFont="1" applyAlignment="1">
      <alignment horizontal="center" vertical="center"/>
    </xf>
    <xf numFmtId="0" fontId="5" fillId="0" borderId="7" xfId="330" applyNumberFormat="1" applyFont="1" applyFill="1" applyBorder="1" applyAlignment="1" applyProtection="1">
      <alignment vertical="center"/>
      <protection locked="0"/>
    </xf>
    <xf numFmtId="181" fontId="5" fillId="0" borderId="7" xfId="330" applyFont="1" applyFill="1" applyBorder="1" applyAlignment="1" applyProtection="1">
      <alignment horizontal="right" vertical="center" shrinkToFit="1"/>
      <protection locked="0"/>
    </xf>
    <xf numFmtId="181" fontId="2" fillId="0" borderId="7" xfId="330" applyFont="1" applyBorder="1" applyAlignment="1">
      <alignment horizontal="right" vertical="center" shrinkToFit="1"/>
    </xf>
    <xf numFmtId="181" fontId="2" fillId="0" borderId="7" xfId="330" applyFont="1" applyFill="1" applyBorder="1" applyAlignment="1">
      <alignment horizontal="right" vertical="center" shrinkToFit="1"/>
    </xf>
    <xf numFmtId="181" fontId="2" fillId="7" borderId="7" xfId="330" applyFont="1" applyFill="1" applyBorder="1" applyAlignment="1">
      <alignment horizontal="right" vertical="center" shrinkToFit="1"/>
    </xf>
    <xf numFmtId="0" fontId="59" fillId="0" borderId="0" xfId="3599" applyFont="1" applyAlignment="1">
      <alignment vertical="center"/>
    </xf>
    <xf numFmtId="0" fontId="18" fillId="0" borderId="0" xfId="3599" applyFont="1" applyAlignment="1">
      <alignment horizontal="left" shrinkToFit="1"/>
    </xf>
    <xf numFmtId="0" fontId="24" fillId="0" borderId="7" xfId="3599" applyFont="1" applyBorder="1" applyAlignment="1">
      <alignment vertical="center"/>
    </xf>
    <xf numFmtId="181" fontId="24" fillId="0" borderId="7" xfId="330" applyFont="1" applyBorder="1" applyAlignment="1">
      <alignment horizontal="right" vertical="center" shrinkToFit="1"/>
    </xf>
    <xf numFmtId="0" fontId="24" fillId="0" borderId="0" xfId="0" applyFont="1" applyAlignment="1">
      <alignment vertical="center"/>
    </xf>
    <xf numFmtId="0" fontId="18" fillId="0" borderId="0" xfId="3804" applyFont="1" applyAlignment="1" applyProtection="1">
      <alignment horizontal="center" vertical="top"/>
      <protection locked="0"/>
    </xf>
    <xf numFmtId="0" fontId="60" fillId="0" borderId="0" xfId="10942" applyFont="1" applyAlignment="1"/>
    <xf numFmtId="0" fontId="3" fillId="0" borderId="0" xfId="330" applyNumberFormat="1" applyFont="1" applyFill="1" applyBorder="1" applyAlignment="1" applyProtection="1">
      <alignment horizontal="left" vertical="center"/>
      <protection locked="0"/>
    </xf>
    <xf numFmtId="181" fontId="3" fillId="0" borderId="0" xfId="330" applyFont="1" applyFill="1" applyBorder="1" applyAlignment="1" applyProtection="1">
      <alignment horizontal="right" vertical="center"/>
      <protection locked="0"/>
    </xf>
    <xf numFmtId="181" fontId="18" fillId="0" borderId="0" xfId="330" applyFont="1" applyFill="1" applyBorder="1" applyAlignment="1" applyProtection="1">
      <alignment horizontal="right" vertical="center"/>
      <protection locked="0"/>
    </xf>
    <xf numFmtId="181" fontId="3" fillId="0" borderId="0" xfId="330" applyFont="1" applyBorder="1" applyAlignment="1">
      <alignment horizontal="right" vertical="center"/>
    </xf>
    <xf numFmtId="181" fontId="18" fillId="0" borderId="0" xfId="330" applyFont="1" applyFill="1" applyAlignment="1" applyProtection="1">
      <alignment horizontal="right" vertical="center"/>
      <protection locked="0"/>
    </xf>
    <xf numFmtId="0" fontId="12" fillId="0" borderId="0" xfId="3582" applyFont="1" applyAlignment="1">
      <alignment horizontal="left" vertical="center"/>
    </xf>
    <xf numFmtId="14" fontId="12" fillId="0" borderId="0" xfId="3582" applyNumberFormat="1" applyFont="1" applyAlignment="1">
      <alignment horizontal="center" vertical="center"/>
    </xf>
    <xf numFmtId="211" fontId="52" fillId="0" borderId="0" xfId="4123" applyNumberFormat="1" applyFont="1" applyAlignment="1" applyProtection="1">
      <alignment horizontal="left" vertical="center" wrapText="1"/>
      <protection locked="0"/>
    </xf>
    <xf numFmtId="0" fontId="16" fillId="0" borderId="0" xfId="0" applyFont="1" applyAlignment="1">
      <alignment horizontal="left" vertical="top"/>
    </xf>
    <xf numFmtId="0" fontId="30" fillId="0" borderId="0" xfId="0" applyFont="1" applyAlignment="1">
      <alignment vertical="center"/>
    </xf>
    <xf numFmtId="181" fontId="3" fillId="0" borderId="0" xfId="11404" applyFont="1" applyAlignment="1">
      <alignment vertical="center"/>
    </xf>
    <xf numFmtId="181" fontId="3" fillId="0" borderId="0" xfId="11404" applyFont="1" applyFill="1" applyAlignment="1">
      <alignment vertical="center"/>
    </xf>
    <xf numFmtId="0" fontId="29" fillId="0" borderId="0" xfId="3599" applyFont="1" applyAlignment="1">
      <alignment horizontal="left" vertical="center"/>
    </xf>
    <xf numFmtId="0" fontId="12" fillId="0" borderId="20" xfId="0" applyFont="1" applyBorder="1" applyAlignment="1">
      <alignment vertical="center"/>
    </xf>
    <xf numFmtId="0" fontId="18" fillId="0" borderId="20" xfId="0" applyFont="1" applyBorder="1" applyAlignment="1">
      <alignment vertical="center"/>
    </xf>
    <xf numFmtId="0" fontId="3" fillId="0" borderId="20" xfId="0" applyFont="1" applyBorder="1" applyAlignment="1">
      <alignment vertical="center"/>
    </xf>
    <xf numFmtId="0" fontId="3" fillId="0" borderId="21" xfId="0" applyFont="1" applyBorder="1" applyAlignment="1">
      <alignment vertical="center"/>
    </xf>
    <xf numFmtId="0" fontId="12" fillId="0" borderId="22" xfId="0" applyFont="1" applyBorder="1" applyAlignment="1">
      <alignment vertical="center"/>
    </xf>
    <xf numFmtId="0" fontId="3" fillId="0" borderId="23" xfId="0" applyFont="1" applyBorder="1" applyAlignment="1">
      <alignment vertical="center"/>
    </xf>
    <xf numFmtId="0" fontId="3" fillId="0" borderId="22" xfId="0" applyFont="1" applyBorder="1" applyAlignment="1">
      <alignment horizontal="left" vertical="center"/>
    </xf>
    <xf numFmtId="181" fontId="61" fillId="0" borderId="0" xfId="330" applyFont="1" applyAlignment="1">
      <alignment vertical="center"/>
    </xf>
    <xf numFmtId="0" fontId="18" fillId="0" borderId="0" xfId="0" applyFont="1" applyAlignment="1">
      <alignment horizontal="left" vertical="top"/>
    </xf>
    <xf numFmtId="0" fontId="3" fillId="0" borderId="22" xfId="0" applyFont="1" applyBorder="1" applyAlignment="1">
      <alignment vertical="center"/>
    </xf>
    <xf numFmtId="181" fontId="3" fillId="0" borderId="24" xfId="11404" applyFont="1" applyBorder="1" applyAlignment="1">
      <alignment horizontal="right" vertical="center" shrinkToFit="1"/>
    </xf>
    <xf numFmtId="0" fontId="18" fillId="0" borderId="22" xfId="0" applyFont="1" applyBorder="1" applyAlignment="1">
      <alignment vertical="center"/>
    </xf>
    <xf numFmtId="181" fontId="3" fillId="0" borderId="0" xfId="11404" applyFont="1" applyBorder="1" applyAlignment="1">
      <alignment horizontal="right" vertical="center" shrinkToFit="1"/>
    </xf>
    <xf numFmtId="212" fontId="3" fillId="0" borderId="49" xfId="11404" applyNumberFormat="1" applyFont="1" applyBorder="1" applyAlignment="1">
      <alignment horizontal="right" vertical="center" shrinkToFit="1"/>
    </xf>
    <xf numFmtId="0" fontId="3" fillId="0" borderId="24" xfId="0" applyFont="1" applyBorder="1" applyAlignment="1">
      <alignment vertical="center"/>
    </xf>
    <xf numFmtId="14" fontId="3" fillId="0" borderId="25" xfId="0" applyNumberFormat="1" applyFont="1" applyBorder="1" applyAlignment="1">
      <alignment vertical="center"/>
    </xf>
    <xf numFmtId="181" fontId="3" fillId="0" borderId="0" xfId="11404" applyFont="1" applyAlignment="1">
      <alignment horizontal="right" vertical="center" shrinkToFit="1"/>
    </xf>
    <xf numFmtId="0" fontId="62" fillId="0" borderId="19" xfId="0" applyFont="1" applyBorder="1" applyAlignment="1">
      <alignment horizontal="left" vertical="center" wrapText="1"/>
    </xf>
    <xf numFmtId="0" fontId="62" fillId="0" borderId="20" xfId="0" applyFont="1" applyBorder="1" applyAlignment="1">
      <alignment horizontal="left" vertical="center" wrapText="1"/>
    </xf>
    <xf numFmtId="0" fontId="62" fillId="0" borderId="21" xfId="0" applyFont="1" applyBorder="1" applyAlignment="1">
      <alignment horizontal="left" vertical="center" wrapText="1"/>
    </xf>
    <xf numFmtId="0" fontId="62" fillId="0" borderId="22" xfId="0" applyFont="1" applyBorder="1" applyAlignment="1">
      <alignment horizontal="left" vertical="center" wrapText="1"/>
    </xf>
    <xf numFmtId="0" fontId="62" fillId="0" borderId="0" xfId="0" applyFont="1" applyAlignment="1">
      <alignment horizontal="left" vertical="center" wrapText="1"/>
    </xf>
    <xf numFmtId="0" fontId="62" fillId="0" borderId="23" xfId="0" applyFont="1" applyBorder="1" applyAlignment="1">
      <alignment horizontal="left" vertical="center" wrapText="1"/>
    </xf>
    <xf numFmtId="0" fontId="62" fillId="0" borderId="16" xfId="0" applyFont="1" applyBorder="1" applyAlignment="1">
      <alignment horizontal="left" vertical="center" wrapText="1"/>
    </xf>
    <xf numFmtId="0" fontId="62" fillId="0" borderId="24" xfId="0" applyFont="1" applyBorder="1" applyAlignment="1">
      <alignment horizontal="left" vertical="center" wrapText="1"/>
    </xf>
    <xf numFmtId="0" fontId="62" fillId="0" borderId="25" xfId="0" applyFont="1" applyBorder="1" applyAlignment="1">
      <alignment horizontal="left" vertical="center" wrapText="1"/>
    </xf>
    <xf numFmtId="0" fontId="2" fillId="0" borderId="0" xfId="3599" applyFont="1" applyAlignment="1" applyProtection="1">
      <alignment horizontal="left" vertical="center"/>
      <protection locked="0"/>
    </xf>
    <xf numFmtId="0" fontId="2" fillId="7" borderId="0" xfId="0" applyFont="1" applyFill="1" applyAlignment="1">
      <alignment vertical="center"/>
    </xf>
    <xf numFmtId="0" fontId="2" fillId="7" borderId="0" xfId="0" applyFont="1" applyFill="1" applyAlignment="1">
      <alignment horizontal="left" vertical="center"/>
    </xf>
    <xf numFmtId="10" fontId="2" fillId="7" borderId="0" xfId="0" applyNumberFormat="1" applyFont="1" applyFill="1" applyAlignment="1">
      <alignment vertical="center"/>
    </xf>
    <xf numFmtId="49" fontId="10" fillId="7" borderId="0" xfId="0" applyNumberFormat="1" applyFont="1" applyFill="1" applyAlignment="1">
      <alignment vertical="center"/>
    </xf>
    <xf numFmtId="0" fontId="2" fillId="0" borderId="0" xfId="3769" applyFont="1" applyProtection="1">
      <alignment vertical="center"/>
      <protection locked="0"/>
    </xf>
    <xf numFmtId="0" fontId="2" fillId="0" borderId="0" xfId="0" applyFont="1" applyAlignment="1" applyProtection="1">
      <alignment horizontal="left" vertical="center"/>
      <protection locked="0"/>
    </xf>
    <xf numFmtId="0" fontId="2" fillId="0" borderId="0" xfId="3768" applyFont="1" applyAlignment="1" applyProtection="1">
      <alignment horizontal="left" vertical="center"/>
      <protection locked="0"/>
    </xf>
    <xf numFmtId="0" fontId="7" fillId="2" borderId="50" xfId="0" applyFont="1" applyFill="1" applyBorder="1" applyAlignment="1" applyProtection="1">
      <alignment horizontal="left" vertical="center"/>
      <protection locked="0"/>
    </xf>
    <xf numFmtId="0" fontId="63" fillId="2" borderId="51" xfId="0" applyFont="1" applyFill="1" applyBorder="1" applyAlignment="1" applyProtection="1">
      <alignment horizontal="centerContinuous" vertical="center"/>
      <protection locked="0"/>
    </xf>
    <xf numFmtId="0" fontId="56" fillId="3" borderId="52" xfId="0" applyFont="1" applyFill="1" applyBorder="1" applyAlignment="1" applyProtection="1">
      <alignment horizontal="centerContinuous" vertical="center"/>
      <protection locked="0"/>
    </xf>
    <xf numFmtId="0" fontId="57" fillId="3" borderId="52" xfId="0" applyFont="1" applyFill="1" applyBorder="1" applyAlignment="1" applyProtection="1">
      <alignment horizontal="centerContinuous" vertical="center"/>
      <protection locked="0"/>
    </xf>
    <xf numFmtId="0" fontId="56" fillId="3" borderId="53" xfId="0" applyFont="1" applyFill="1" applyBorder="1" applyAlignment="1" applyProtection="1">
      <alignment horizontal="centerContinuous" vertical="center"/>
      <protection locked="0"/>
    </xf>
    <xf numFmtId="0" fontId="5" fillId="22" borderId="0" xfId="0" applyFont="1" applyFill="1" applyAlignment="1">
      <alignment vertical="center"/>
    </xf>
    <xf numFmtId="0" fontId="64" fillId="20" borderId="54" xfId="0" applyFont="1" applyFill="1" applyBorder="1" applyAlignment="1">
      <alignment horizontal="left" vertical="center"/>
    </xf>
    <xf numFmtId="0" fontId="64" fillId="20" borderId="32" xfId="3793" applyFont="1" applyFill="1" applyBorder="1" applyAlignment="1" applyProtection="1">
      <alignment horizontal="right" vertical="center"/>
      <protection locked="0"/>
    </xf>
    <xf numFmtId="0" fontId="9" fillId="20" borderId="50" xfId="0" applyFont="1" applyFill="1" applyBorder="1" applyAlignment="1">
      <alignment horizontal="left" vertical="center" wrapText="1" indent="16"/>
    </xf>
    <xf numFmtId="0" fontId="9" fillId="20" borderId="51" xfId="0" applyFont="1" applyFill="1" applyBorder="1" applyAlignment="1">
      <alignment horizontal="left" vertical="center" wrapText="1" indent="16"/>
    </xf>
    <xf numFmtId="0" fontId="9" fillId="20" borderId="55" xfId="0" applyFont="1" applyFill="1" applyBorder="1" applyAlignment="1">
      <alignment horizontal="left" vertical="center" wrapText="1" indent="16"/>
    </xf>
    <xf numFmtId="0" fontId="64" fillId="20" borderId="56" xfId="0" applyFont="1" applyFill="1" applyBorder="1" applyAlignment="1">
      <alignment horizontal="left" vertical="center"/>
    </xf>
    <xf numFmtId="14" fontId="64" fillId="20" borderId="48" xfId="3793" applyNumberFormat="1" applyFont="1" applyFill="1" applyBorder="1" applyAlignment="1" applyProtection="1">
      <alignment horizontal="right" vertical="center"/>
      <protection locked="0"/>
    </xf>
    <xf numFmtId="0" fontId="9" fillId="20" borderId="56" xfId="0" applyFont="1" applyFill="1" applyBorder="1" applyAlignment="1">
      <alignment horizontal="left" vertical="center" wrapText="1" indent="16"/>
    </xf>
    <xf numFmtId="0" fontId="9" fillId="20" borderId="0" xfId="0" applyFont="1" applyFill="1" applyAlignment="1">
      <alignment horizontal="left" vertical="center" wrapText="1" indent="16"/>
    </xf>
    <xf numFmtId="0" fontId="9" fillId="20" borderId="57" xfId="0" applyFont="1" applyFill="1" applyBorder="1" applyAlignment="1">
      <alignment horizontal="left" vertical="center" wrapText="1" indent="16"/>
    </xf>
    <xf numFmtId="181" fontId="64" fillId="20" borderId="48" xfId="330" applyFont="1" applyFill="1" applyBorder="1" applyAlignment="1" applyProtection="1">
      <alignment horizontal="right" vertical="center" shrinkToFit="1"/>
      <protection locked="0"/>
    </xf>
    <xf numFmtId="0" fontId="64" fillId="20" borderId="58" xfId="0" applyFont="1" applyFill="1" applyBorder="1" applyAlignment="1">
      <alignment horizontal="left" vertical="center"/>
    </xf>
    <xf numFmtId="0" fontId="64" fillId="20" borderId="48" xfId="1327" applyNumberFormat="1" applyFont="1" applyFill="1" applyBorder="1" applyAlignment="1" applyProtection="1">
      <alignment horizontal="right" vertical="center"/>
      <protection locked="0"/>
    </xf>
    <xf numFmtId="0" fontId="64" fillId="20" borderId="48" xfId="3793" applyFont="1" applyFill="1" applyBorder="1" applyAlignment="1" applyProtection="1">
      <alignment horizontal="right" vertical="center"/>
      <protection locked="0"/>
    </xf>
    <xf numFmtId="0" fontId="9" fillId="20" borderId="59" xfId="0" applyFont="1" applyFill="1" applyBorder="1" applyAlignment="1" applyProtection="1">
      <alignment vertical="center"/>
      <protection locked="0"/>
    </xf>
    <xf numFmtId="0" fontId="9" fillId="20" borderId="60" xfId="0" applyFont="1" applyFill="1" applyBorder="1" applyAlignment="1" applyProtection="1">
      <alignment vertical="center" wrapText="1"/>
      <protection locked="0"/>
    </xf>
    <xf numFmtId="0" fontId="14" fillId="20" borderId="60" xfId="0" applyFont="1" applyFill="1" applyBorder="1" applyAlignment="1" applyProtection="1">
      <alignment vertical="center" wrapText="1"/>
      <protection locked="0"/>
    </xf>
    <xf numFmtId="0" fontId="9" fillId="20" borderId="61" xfId="0" applyFont="1" applyFill="1" applyBorder="1" applyAlignment="1" applyProtection="1">
      <alignment vertical="center" wrapText="1"/>
      <protection locked="0"/>
    </xf>
    <xf numFmtId="0" fontId="12" fillId="6" borderId="1" xfId="0" applyFont="1" applyFill="1" applyBorder="1" applyAlignment="1">
      <alignment horizontal="center" vertical="center"/>
    </xf>
    <xf numFmtId="0" fontId="12" fillId="6" borderId="9" xfId="0" applyFont="1" applyFill="1" applyBorder="1" applyAlignment="1">
      <alignment horizontal="centerContinuous" vertical="center"/>
    </xf>
    <xf numFmtId="0" fontId="12" fillId="23" borderId="1" xfId="0" applyFont="1" applyFill="1" applyBorder="1" applyAlignment="1">
      <alignment horizontal="center" vertical="center"/>
    </xf>
    <xf numFmtId="0" fontId="12" fillId="23" borderId="8" xfId="0" applyFont="1" applyFill="1" applyBorder="1" applyAlignment="1">
      <alignment horizontal="center" vertical="center"/>
    </xf>
    <xf numFmtId="0" fontId="12" fillId="23" borderId="60" xfId="0" applyFont="1" applyFill="1" applyBorder="1" applyAlignment="1">
      <alignment horizontal="center" vertical="center"/>
    </xf>
    <xf numFmtId="0" fontId="12" fillId="23" borderId="9" xfId="0" applyFont="1" applyFill="1" applyBorder="1" applyAlignment="1">
      <alignment horizontal="center" vertical="center"/>
    </xf>
    <xf numFmtId="0" fontId="12" fillId="6" borderId="7" xfId="0" applyFont="1" applyFill="1" applyBorder="1" applyAlignment="1">
      <alignment horizontal="center" vertical="center"/>
    </xf>
    <xf numFmtId="0" fontId="5" fillId="0" borderId="1" xfId="0" applyFont="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0" fontId="5" fillId="7" borderId="7" xfId="0" applyFont="1" applyFill="1" applyBorder="1" applyAlignment="1" applyProtection="1">
      <alignment horizontal="center" vertical="center"/>
      <protection locked="0"/>
    </xf>
    <xf numFmtId="181" fontId="5" fillId="7" borderId="15" xfId="330" applyFont="1" applyFill="1" applyBorder="1" applyAlignment="1" applyProtection="1">
      <alignment horizontal="right" vertical="center" shrinkToFit="1"/>
      <protection locked="0"/>
    </xf>
    <xf numFmtId="181" fontId="2" fillId="7" borderId="48" xfId="330" applyFont="1" applyFill="1" applyBorder="1" applyAlignment="1" applyProtection="1">
      <alignment horizontal="right" vertical="center" shrinkToFit="1"/>
      <protection locked="0"/>
    </xf>
    <xf numFmtId="0" fontId="58" fillId="0" borderId="7" xfId="0" applyFont="1" applyBorder="1" applyAlignment="1">
      <alignment horizontal="center" vertical="center"/>
    </xf>
    <xf numFmtId="0" fontId="5" fillId="0" borderId="8" xfId="0" applyFont="1" applyBorder="1" applyAlignment="1">
      <alignment vertical="center"/>
    </xf>
    <xf numFmtId="0" fontId="5" fillId="0" borderId="9" xfId="0" applyFont="1" applyBorder="1" applyAlignment="1">
      <alignment vertical="center"/>
    </xf>
    <xf numFmtId="0" fontId="5" fillId="11" borderId="1" xfId="0" applyFont="1" applyFill="1" applyBorder="1" applyAlignment="1" applyProtection="1">
      <alignment horizontal="center" vertical="center"/>
      <protection locked="0"/>
    </xf>
    <xf numFmtId="181" fontId="5" fillId="7" borderId="7" xfId="330" applyFont="1" applyFill="1" applyBorder="1" applyAlignment="1" applyProtection="1">
      <alignment horizontal="right" vertical="center" shrinkToFit="1"/>
      <protection locked="0"/>
    </xf>
    <xf numFmtId="213" fontId="2" fillId="7" borderId="48" xfId="330" applyNumberFormat="1" applyFont="1" applyFill="1" applyBorder="1" applyAlignment="1" applyProtection="1">
      <alignment vertical="top"/>
      <protection locked="0"/>
    </xf>
    <xf numFmtId="0" fontId="3" fillId="0" borderId="1" xfId="0" applyFont="1" applyBorder="1" applyAlignment="1">
      <alignment vertical="center"/>
    </xf>
    <xf numFmtId="0" fontId="5" fillId="0" borderId="51" xfId="0" applyFont="1" applyBorder="1" applyAlignment="1">
      <alignment vertical="center"/>
    </xf>
    <xf numFmtId="0" fontId="5" fillId="0" borderId="60" xfId="0" applyFont="1" applyBorder="1" applyAlignment="1">
      <alignment vertical="center"/>
    </xf>
    <xf numFmtId="0" fontId="5" fillId="0" borderId="7" xfId="0" applyFont="1" applyBorder="1" applyAlignment="1">
      <alignment horizontal="center" vertical="center" wrapText="1"/>
    </xf>
    <xf numFmtId="213" fontId="2" fillId="7" borderId="15" xfId="330" applyNumberFormat="1" applyFont="1" applyFill="1" applyBorder="1" applyAlignment="1" applyProtection="1">
      <alignment vertical="top"/>
      <protection locked="0"/>
    </xf>
    <xf numFmtId="0" fontId="65" fillId="0" borderId="7" xfId="0" applyFont="1" applyBorder="1" applyAlignment="1">
      <alignment horizontal="center" vertical="center"/>
    </xf>
    <xf numFmtId="0" fontId="66" fillId="0" borderId="20" xfId="0" applyFont="1" applyBorder="1" applyAlignment="1">
      <alignment horizontal="left" vertical="center" wrapText="1"/>
    </xf>
    <xf numFmtId="0" fontId="66" fillId="0" borderId="0" xfId="0" applyFont="1" applyAlignment="1">
      <alignment horizontal="left" vertical="center"/>
    </xf>
    <xf numFmtId="0" fontId="66" fillId="0" borderId="0" xfId="0" applyFont="1" applyAlignment="1">
      <alignment horizontal="left" vertical="center" wrapText="1"/>
    </xf>
    <xf numFmtId="0" fontId="67" fillId="0" borderId="0" xfId="0" applyFont="1" applyAlignment="1">
      <alignment horizontal="left" vertical="center" wrapText="1"/>
    </xf>
    <xf numFmtId="0" fontId="67" fillId="0" borderId="0" xfId="0" applyFont="1" applyAlignment="1">
      <alignment horizontal="left" vertical="center"/>
    </xf>
    <xf numFmtId="0" fontId="18" fillId="0" borderId="17" xfId="0" applyFont="1" applyBorder="1" applyAlignment="1">
      <alignment horizontal="center" vertical="center"/>
    </xf>
    <xf numFmtId="0" fontId="5" fillId="0" borderId="62" xfId="0" applyFont="1" applyBorder="1" applyAlignment="1">
      <alignment vertical="center"/>
    </xf>
    <xf numFmtId="0" fontId="5" fillId="0" borderId="63" xfId="0" applyFont="1" applyBorder="1" applyAlignment="1">
      <alignment vertical="center"/>
    </xf>
    <xf numFmtId="0" fontId="67" fillId="0" borderId="0" xfId="0" applyFont="1" applyAlignment="1">
      <alignment vertical="center" wrapText="1"/>
    </xf>
    <xf numFmtId="0" fontId="68" fillId="0" borderId="0" xfId="0" applyFont="1" applyAlignment="1" applyProtection="1">
      <alignment horizontal="left" vertical="center" wrapText="1"/>
      <protection locked="0"/>
    </xf>
    <xf numFmtId="0" fontId="2" fillId="0" borderId="0" xfId="0" applyFont="1" applyAlignment="1" applyProtection="1">
      <alignment horizontal="center" vertical="center" wrapText="1"/>
      <protection locked="0"/>
    </xf>
    <xf numFmtId="0" fontId="12" fillId="6" borderId="7" xfId="0" applyFont="1" applyFill="1" applyBorder="1" applyAlignment="1">
      <alignment horizontal="left" vertical="center"/>
    </xf>
    <xf numFmtId="0" fontId="24" fillId="6" borderId="7" xfId="0" applyFont="1" applyFill="1" applyBorder="1" applyAlignment="1" applyProtection="1">
      <alignment horizontal="center" vertical="center"/>
      <protection locked="0"/>
    </xf>
    <xf numFmtId="0" fontId="69" fillId="0" borderId="7" xfId="0" applyFont="1" applyBorder="1" applyAlignment="1" applyProtection="1">
      <alignment horizontal="left" vertical="center"/>
      <protection locked="0"/>
    </xf>
    <xf numFmtId="0" fontId="3" fillId="0" borderId="7" xfId="0" applyFont="1" applyBorder="1" applyAlignment="1" applyProtection="1">
      <alignment horizontal="left" vertical="center" wrapText="1"/>
      <protection locked="0"/>
    </xf>
    <xf numFmtId="0" fontId="69" fillId="0" borderId="7" xfId="0" applyFont="1" applyBorder="1" applyAlignment="1" applyProtection="1">
      <alignment horizontal="left" vertical="center" wrapText="1"/>
      <protection locked="0"/>
    </xf>
    <xf numFmtId="0" fontId="5" fillId="0" borderId="0" xfId="0" applyFont="1" applyAlignment="1" applyProtection="1">
      <alignment horizontal="left" vertical="center"/>
      <protection locked="0"/>
    </xf>
    <xf numFmtId="0" fontId="70" fillId="0" borderId="0" xfId="0" applyFont="1" applyAlignment="1" applyProtection="1">
      <alignment vertical="center" wrapText="1"/>
      <protection locked="0"/>
    </xf>
    <xf numFmtId="0" fontId="18" fillId="0" borderId="0" xfId="0" applyFont="1" applyAlignment="1" applyProtection="1">
      <alignment horizontal="left" vertical="center" wrapText="1"/>
      <protection locked="0"/>
    </xf>
    <xf numFmtId="0" fontId="3" fillId="0" borderId="0" xfId="3578" applyAlignment="1" applyProtection="1">
      <alignment vertical="center"/>
      <protection locked="0"/>
    </xf>
    <xf numFmtId="0" fontId="2" fillId="7" borderId="0" xfId="0" applyFont="1" applyFill="1" applyAlignment="1" applyProtection="1">
      <alignment vertical="center"/>
      <protection locked="0"/>
    </xf>
    <xf numFmtId="0" fontId="71" fillId="0" borderId="0" xfId="0" applyFont="1" applyAlignment="1" applyProtection="1">
      <alignment vertical="center"/>
      <protection locked="0"/>
    </xf>
    <xf numFmtId="0" fontId="12" fillId="6" borderId="1" xfId="0" applyFont="1" applyFill="1" applyBorder="1" applyAlignment="1">
      <alignment horizontal="centerContinuous" vertical="center"/>
    </xf>
    <xf numFmtId="213" fontId="3" fillId="0" borderId="0" xfId="330" applyNumberFormat="1" applyFont="1" applyFill="1" applyBorder="1" applyAlignment="1" applyProtection="1">
      <alignment vertical="center" wrapText="1"/>
      <protection locked="0"/>
    </xf>
    <xf numFmtId="0" fontId="3" fillId="0" borderId="0" xfId="3798" applyFont="1" applyAlignment="1" applyProtection="1">
      <alignment horizontal="center" vertical="center" wrapText="1"/>
      <protection locked="0"/>
    </xf>
    <xf numFmtId="0" fontId="12" fillId="6" borderId="7" xfId="3793" applyFont="1" applyFill="1" applyBorder="1" applyAlignment="1">
      <alignment horizontal="left" vertical="center"/>
    </xf>
    <xf numFmtId="213" fontId="3" fillId="0" borderId="7" xfId="330" applyNumberFormat="1" applyFont="1" applyFill="1" applyBorder="1" applyAlignment="1" applyProtection="1">
      <alignment horizontal="center" vertical="center" wrapText="1"/>
      <protection locked="0"/>
    </xf>
    <xf numFmtId="9" fontId="3" fillId="0" borderId="0" xfId="3798" applyNumberFormat="1" applyFont="1" applyAlignment="1" applyProtection="1">
      <alignment vertical="center" wrapText="1"/>
      <protection locked="0"/>
    </xf>
    <xf numFmtId="9" fontId="3" fillId="0" borderId="7" xfId="3793" applyNumberFormat="1" applyBorder="1" applyAlignment="1" applyProtection="1">
      <alignment horizontal="right" vertical="center" wrapText="1"/>
      <protection locked="0"/>
    </xf>
    <xf numFmtId="9" fontId="3" fillId="0" borderId="0" xfId="3798" applyNumberFormat="1" applyFont="1" applyAlignment="1" applyProtection="1">
      <alignment horizontal="left" vertical="center" wrapText="1"/>
      <protection locked="0"/>
    </xf>
    <xf numFmtId="0" fontId="71" fillId="0" borderId="0" xfId="0" applyFont="1" applyAlignment="1" applyProtection="1">
      <alignment horizontal="left" vertical="center"/>
      <protection locked="0"/>
    </xf>
    <xf numFmtId="17" fontId="72" fillId="0" borderId="0" xfId="0" applyNumberFormat="1" applyFont="1" applyAlignment="1">
      <alignment horizontal="center" vertical="center"/>
    </xf>
    <xf numFmtId="0" fontId="35" fillId="0" borderId="0" xfId="0" applyFont="1" applyAlignment="1">
      <alignment vertical="center"/>
    </xf>
    <xf numFmtId="0" fontId="35" fillId="0" borderId="0" xfId="3780" applyFont="1" applyAlignment="1">
      <alignment vertical="center" wrapText="1"/>
    </xf>
    <xf numFmtId="0" fontId="63" fillId="0" borderId="0" xfId="0" applyFont="1" applyAlignment="1">
      <alignment vertical="center"/>
    </xf>
    <xf numFmtId="0" fontId="18" fillId="7" borderId="0" xfId="0" applyFont="1" applyFill="1" applyAlignment="1">
      <alignment horizontal="center" vertical="center"/>
    </xf>
    <xf numFmtId="0" fontId="2" fillId="7" borderId="0" xfId="0" applyFont="1" applyFill="1" applyAlignment="1">
      <alignment horizontal="center" vertical="center"/>
    </xf>
    <xf numFmtId="0" fontId="16" fillId="0" borderId="0" xfId="3768" applyFont="1" applyAlignment="1">
      <alignment vertical="center"/>
    </xf>
    <xf numFmtId="0" fontId="4" fillId="0" borderId="0" xfId="3768" applyFont="1" applyAlignment="1" applyProtection="1">
      <alignment vertical="center"/>
      <protection locked="0"/>
    </xf>
    <xf numFmtId="0" fontId="2" fillId="8" borderId="0" xfId="3768" applyFont="1" applyFill="1" applyAlignment="1" applyProtection="1">
      <alignment horizontal="left" vertical="center"/>
      <protection locked="0"/>
    </xf>
    <xf numFmtId="0" fontId="71" fillId="0" borderId="0" xfId="3768" applyFont="1" applyAlignment="1" applyProtection="1">
      <alignment horizontal="left" vertical="center"/>
      <protection locked="0"/>
    </xf>
    <xf numFmtId="0" fontId="12" fillId="0" borderId="0" xfId="3768" applyFont="1" applyAlignment="1">
      <alignment vertical="center"/>
    </xf>
    <xf numFmtId="0" fontId="73" fillId="0" borderId="0" xfId="0" applyFont="1" applyAlignment="1" applyProtection="1">
      <alignment vertical="center"/>
      <protection locked="0"/>
    </xf>
    <xf numFmtId="0" fontId="12" fillId="0" borderId="0" xfId="3654" applyFont="1" applyAlignment="1">
      <alignment vertical="center"/>
    </xf>
    <xf numFmtId="0" fontId="58" fillId="0" borderId="0" xfId="0" applyFont="1" applyAlignment="1">
      <alignment horizontal="center" vertical="center"/>
    </xf>
    <xf numFmtId="0" fontId="46" fillId="0" borderId="0" xfId="0" applyFont="1" applyAlignment="1">
      <alignment vertical="center"/>
    </xf>
    <xf numFmtId="0" fontId="46" fillId="11" borderId="0" xfId="0" applyFont="1" applyFill="1" applyAlignment="1">
      <alignment vertical="center"/>
    </xf>
    <xf numFmtId="0" fontId="14" fillId="10" borderId="1" xfId="0" applyFont="1" applyFill="1" applyBorder="1" applyAlignment="1">
      <alignment horizontal="center" vertical="center"/>
    </xf>
    <xf numFmtId="0" fontId="14" fillId="10" borderId="8" xfId="0" applyFont="1" applyFill="1" applyBorder="1" applyAlignment="1">
      <alignment horizontal="center" vertical="center"/>
    </xf>
    <xf numFmtId="0" fontId="14" fillId="10" borderId="9" xfId="0" applyFont="1" applyFill="1" applyBorder="1" applyAlignment="1">
      <alignment horizontal="center" vertical="center"/>
    </xf>
    <xf numFmtId="0" fontId="25" fillId="11" borderId="0" xfId="0" applyFont="1" applyFill="1" applyAlignment="1">
      <alignment vertical="center"/>
    </xf>
    <xf numFmtId="0" fontId="12" fillId="10" borderId="64" xfId="0" applyFont="1" applyFill="1" applyBorder="1" applyAlignment="1">
      <alignment horizontal="center" vertical="center" wrapText="1"/>
    </xf>
    <xf numFmtId="14" fontId="12" fillId="10" borderId="65" xfId="0" applyNumberFormat="1" applyFont="1" applyFill="1" applyBorder="1" applyAlignment="1">
      <alignment horizontal="center" vertical="center"/>
    </xf>
    <xf numFmtId="14" fontId="12" fillId="10" borderId="8" xfId="0" applyNumberFormat="1" applyFont="1" applyFill="1" applyBorder="1" applyAlignment="1">
      <alignment horizontal="center" vertical="center"/>
    </xf>
    <xf numFmtId="14" fontId="12" fillId="10" borderId="9" xfId="0" applyNumberFormat="1" applyFont="1" applyFill="1" applyBorder="1" applyAlignment="1">
      <alignment horizontal="center" vertical="center"/>
    </xf>
    <xf numFmtId="14" fontId="12" fillId="10" borderId="7" xfId="0" applyNumberFormat="1" applyFont="1" applyFill="1" applyBorder="1" applyAlignment="1">
      <alignment horizontal="center" vertical="center"/>
    </xf>
    <xf numFmtId="0" fontId="16" fillId="10" borderId="1" xfId="0" applyFont="1" applyFill="1" applyBorder="1" applyAlignment="1">
      <alignment horizontal="center" vertical="center"/>
    </xf>
    <xf numFmtId="0" fontId="16" fillId="10" borderId="66" xfId="0" applyFont="1" applyFill="1" applyBorder="1" applyAlignment="1">
      <alignment horizontal="center" vertical="center"/>
    </xf>
    <xf numFmtId="0" fontId="18" fillId="10" borderId="64" xfId="0" applyFont="1" applyFill="1" applyBorder="1" applyAlignment="1">
      <alignment vertical="center"/>
    </xf>
    <xf numFmtId="0" fontId="27" fillId="10" borderId="64" xfId="0" applyFont="1" applyFill="1" applyBorder="1" applyAlignment="1">
      <alignment horizontal="center" vertical="center" wrapText="1"/>
    </xf>
    <xf numFmtId="0" fontId="16" fillId="10" borderId="67" xfId="0" applyFont="1" applyFill="1" applyBorder="1" applyAlignment="1">
      <alignment horizontal="center" vertical="center" wrapText="1"/>
    </xf>
    <xf numFmtId="0" fontId="14" fillId="10" borderId="7" xfId="0" applyFont="1" applyFill="1" applyBorder="1" applyAlignment="1">
      <alignment horizontal="center" vertical="center" wrapText="1"/>
    </xf>
    <xf numFmtId="0" fontId="12" fillId="10" borderId="7" xfId="0" applyFont="1" applyFill="1" applyBorder="1" applyAlignment="1">
      <alignment horizontal="center" vertical="center"/>
    </xf>
    <xf numFmtId="0" fontId="16" fillId="10" borderId="7" xfId="0" applyFont="1" applyFill="1" applyBorder="1" applyAlignment="1">
      <alignment horizontal="center" vertical="center"/>
    </xf>
    <xf numFmtId="0" fontId="18" fillId="10" borderId="67" xfId="0" applyFont="1" applyFill="1" applyBorder="1" applyAlignment="1">
      <alignment horizontal="center" vertical="center" wrapText="1"/>
    </xf>
    <xf numFmtId="0" fontId="27" fillId="10" borderId="68" xfId="0" applyFont="1" applyFill="1" applyBorder="1" applyAlignment="1">
      <alignment horizontal="center" vertical="center" wrapText="1"/>
    </xf>
    <xf numFmtId="0" fontId="3" fillId="7" borderId="0" xfId="0" applyFont="1" applyFill="1" applyAlignment="1" applyProtection="1">
      <alignment horizontal="left" vertical="center"/>
      <protection locked="0"/>
    </xf>
    <xf numFmtId="0" fontId="12" fillId="0" borderId="0" xfId="0" applyFont="1" applyAlignment="1">
      <alignment horizontal="left" vertical="center"/>
    </xf>
    <xf numFmtId="181" fontId="5" fillId="0" borderId="0" xfId="0" applyNumberFormat="1" applyFont="1" applyAlignment="1">
      <alignment horizontal="right" vertical="center" shrinkToFit="1"/>
    </xf>
    <xf numFmtId="181" fontId="5" fillId="0" borderId="0" xfId="330" applyFont="1" applyAlignment="1">
      <alignment horizontal="right" vertical="center" shrinkToFit="1"/>
    </xf>
    <xf numFmtId="181" fontId="3" fillId="0" borderId="0" xfId="2615" applyFont="1" applyFill="1" applyAlignment="1" applyProtection="1">
      <alignment horizontal="right" vertical="center" shrinkToFit="1"/>
      <protection locked="0"/>
    </xf>
    <xf numFmtId="10" fontId="5" fillId="0" borderId="0" xfId="3" applyNumberFormat="1" applyFont="1" applyAlignment="1">
      <alignment horizontal="center" vertical="center" wrapText="1"/>
    </xf>
    <xf numFmtId="0" fontId="18" fillId="0" borderId="0" xfId="10784" applyFont="1" applyAlignment="1" applyProtection="1">
      <alignment horizontal="left" vertical="center"/>
      <protection locked="0"/>
    </xf>
    <xf numFmtId="0" fontId="3" fillId="0" borderId="0" xfId="10784" applyFont="1" applyAlignment="1" applyProtection="1">
      <alignment horizontal="left" vertical="center"/>
      <protection locked="0"/>
    </xf>
    <xf numFmtId="0" fontId="3" fillId="0" borderId="0" xfId="3768" applyFont="1" applyAlignment="1" applyProtection="1">
      <alignment horizontal="left" vertical="center"/>
      <protection locked="0"/>
    </xf>
    <xf numFmtId="0" fontId="5" fillId="22" borderId="0" xfId="0" applyFont="1" applyFill="1" applyAlignment="1">
      <alignment horizontal="left" vertical="center"/>
    </xf>
    <xf numFmtId="0" fontId="18" fillId="0" borderId="0" xfId="0" applyFont="1" applyAlignment="1">
      <alignment horizontal="left" vertical="center" wrapText="1"/>
    </xf>
    <xf numFmtId="0" fontId="5" fillId="7" borderId="0" xfId="0" applyFont="1" applyFill="1" applyAlignment="1" applyProtection="1">
      <alignment horizontal="left" vertical="center"/>
      <protection locked="0"/>
    </xf>
    <xf numFmtId="0" fontId="14" fillId="0" borderId="0" xfId="0" applyFont="1" applyAlignment="1">
      <alignment horizontal="left" vertical="center"/>
    </xf>
    <xf numFmtId="0" fontId="18" fillId="0" borderId="0" xfId="0" applyFont="1" applyAlignment="1">
      <alignment horizontal="right" vertical="center"/>
    </xf>
    <xf numFmtId="181" fontId="5" fillId="0" borderId="0" xfId="0" applyNumberFormat="1" applyFont="1" applyAlignment="1">
      <alignment horizontal="right" vertical="center"/>
    </xf>
    <xf numFmtId="181" fontId="5" fillId="0" borderId="0" xfId="330" applyFont="1" applyAlignment="1">
      <alignment horizontal="right" vertical="center"/>
    </xf>
    <xf numFmtId="181" fontId="3" fillId="0" borderId="0" xfId="2615" applyFont="1" applyFill="1" applyAlignment="1" applyProtection="1">
      <alignment horizontal="right" vertical="center"/>
      <protection locked="0"/>
    </xf>
    <xf numFmtId="181" fontId="14" fillId="0" borderId="0" xfId="330" applyFont="1" applyAlignment="1">
      <alignment horizontal="right" vertical="center" wrapText="1"/>
    </xf>
    <xf numFmtId="0" fontId="14" fillId="0" borderId="0" xfId="0" applyFont="1" applyAlignment="1">
      <alignment horizontal="left" vertical="center" wrapText="1"/>
    </xf>
    <xf numFmtId="0" fontId="74" fillId="0" borderId="0" xfId="10784" applyFont="1" applyAlignment="1" applyProtection="1">
      <alignment horizontal="center" vertical="center"/>
      <protection locked="0"/>
    </xf>
    <xf numFmtId="0" fontId="74" fillId="0" borderId="0" xfId="3768" applyFont="1" applyAlignment="1" applyProtection="1">
      <alignment horizontal="left" vertical="center"/>
      <protection locked="0"/>
    </xf>
    <xf numFmtId="181" fontId="14" fillId="0" borderId="69" xfId="0" applyNumberFormat="1" applyFont="1" applyBorder="1" applyAlignment="1">
      <alignment horizontal="right" vertical="center" shrinkToFit="1"/>
    </xf>
    <xf numFmtId="10" fontId="14" fillId="0" borderId="69" xfId="3" applyNumberFormat="1" applyFont="1" applyFill="1" applyBorder="1" applyAlignment="1">
      <alignment horizontal="center" vertical="center"/>
    </xf>
    <xf numFmtId="181" fontId="14" fillId="0" borderId="0" xfId="0" applyNumberFormat="1" applyFont="1" applyAlignment="1">
      <alignment horizontal="right" vertical="center"/>
    </xf>
    <xf numFmtId="10" fontId="5" fillId="0" borderId="0" xfId="3" applyNumberFormat="1" applyFont="1" applyFill="1" applyBorder="1" applyAlignment="1">
      <alignment horizontal="center" vertical="center"/>
    </xf>
    <xf numFmtId="0" fontId="14" fillId="0" borderId="0" xfId="0" applyFont="1" applyAlignment="1">
      <alignment horizontal="right" vertical="center"/>
    </xf>
    <xf numFmtId="0" fontId="3" fillId="0" borderId="0" xfId="0" applyFont="1" applyAlignment="1">
      <alignment horizontal="right" vertical="center"/>
    </xf>
    <xf numFmtId="181" fontId="5" fillId="0" borderId="0" xfId="330" applyFont="1" applyAlignment="1">
      <alignment horizontal="right"/>
    </xf>
    <xf numFmtId="0" fontId="29" fillId="0" borderId="0" xfId="0" applyFont="1" applyAlignment="1">
      <alignment horizontal="left" vertical="center"/>
    </xf>
    <xf numFmtId="0" fontId="75" fillId="0" borderId="0" xfId="3654" applyFont="1" applyAlignment="1">
      <alignment vertical="center"/>
    </xf>
    <xf numFmtId="0" fontId="70" fillId="0" borderId="7" xfId="0" applyFont="1" applyBorder="1" applyAlignment="1">
      <alignment horizontal="left" vertical="center" wrapText="1"/>
    </xf>
    <xf numFmtId="0" fontId="5" fillId="0" borderId="50" xfId="0" applyFont="1" applyBorder="1" applyAlignment="1">
      <alignment vertical="center" wrapText="1"/>
    </xf>
    <xf numFmtId="0" fontId="5" fillId="0" borderId="51" xfId="0" applyFont="1" applyBorder="1" applyAlignment="1">
      <alignment horizontal="left" vertical="center" wrapText="1"/>
    </xf>
    <xf numFmtId="14" fontId="5" fillId="0" borderId="51" xfId="0" applyNumberFormat="1" applyFont="1" applyBorder="1" applyAlignment="1">
      <alignment horizontal="right" vertical="center" wrapText="1"/>
    </xf>
    <xf numFmtId="14" fontId="2" fillId="0" borderId="55" xfId="0" applyNumberFormat="1" applyFont="1" applyBorder="1" applyAlignment="1">
      <alignment horizontal="right" vertical="center"/>
    </xf>
    <xf numFmtId="0" fontId="5" fillId="0" borderId="56" xfId="0" applyFont="1" applyBorder="1" applyAlignment="1">
      <alignment vertical="center" wrapText="1"/>
    </xf>
    <xf numFmtId="0" fontId="5" fillId="0" borderId="0" xfId="0" applyFont="1" applyAlignment="1">
      <alignment horizontal="left" vertical="center" wrapText="1"/>
    </xf>
    <xf numFmtId="0" fontId="2" fillId="0" borderId="57" xfId="0" applyFont="1" applyBorder="1" applyAlignment="1">
      <alignment horizontal="center" vertical="center"/>
    </xf>
    <xf numFmtId="181" fontId="5" fillId="0" borderId="0" xfId="330" applyFont="1" applyBorder="1" applyAlignment="1">
      <alignment horizontal="left" vertical="center" wrapText="1"/>
    </xf>
    <xf numFmtId="181" fontId="5" fillId="0" borderId="0" xfId="0" applyNumberFormat="1" applyFont="1" applyAlignment="1">
      <alignment horizontal="left" vertical="center" wrapText="1"/>
    </xf>
    <xf numFmtId="181" fontId="2" fillId="0" borderId="57" xfId="0" applyNumberFormat="1" applyFont="1" applyBorder="1" applyAlignment="1">
      <alignment horizontal="center" vertical="center"/>
    </xf>
    <xf numFmtId="0" fontId="18" fillId="0" borderId="57" xfId="0" applyFont="1" applyBorder="1" applyAlignment="1">
      <alignment horizontal="center" vertical="center"/>
    </xf>
    <xf numFmtId="0" fontId="5" fillId="0" borderId="70" xfId="0" applyFont="1" applyBorder="1" applyAlignment="1">
      <alignment vertical="center" wrapText="1"/>
    </xf>
    <xf numFmtId="0" fontId="5" fillId="0" borderId="62" xfId="0" applyFont="1" applyBorder="1" applyAlignment="1">
      <alignment horizontal="left" vertical="center" wrapText="1"/>
    </xf>
    <xf numFmtId="0" fontId="18" fillId="0" borderId="63" xfId="0" applyFont="1" applyBorder="1" applyAlignment="1">
      <alignment horizontal="center" vertical="center"/>
    </xf>
    <xf numFmtId="211" fontId="12" fillId="0" borderId="0" xfId="4123" applyNumberFormat="1" applyFont="1" applyAlignment="1" applyProtection="1">
      <alignment horizontal="right" vertical="center"/>
      <protection locked="0"/>
    </xf>
    <xf numFmtId="211" fontId="12" fillId="0" borderId="0" xfId="4123" applyNumberFormat="1" applyFont="1" applyAlignment="1" applyProtection="1">
      <alignment vertical="center" wrapText="1"/>
      <protection locked="0"/>
    </xf>
    <xf numFmtId="49" fontId="18" fillId="0" borderId="0" xfId="0" applyNumberFormat="1" applyFont="1" applyAlignment="1">
      <alignment vertical="center"/>
    </xf>
    <xf numFmtId="0" fontId="2" fillId="0" borderId="0" xfId="0" applyFont="1" applyAlignment="1">
      <alignment horizontal="center"/>
    </xf>
    <xf numFmtId="0" fontId="76" fillId="0" borderId="0" xfId="0" applyFont="1"/>
    <xf numFmtId="0" fontId="2" fillId="0" borderId="0" xfId="10790" applyFont="1"/>
    <xf numFmtId="0" fontId="2" fillId="0" borderId="0" xfId="10790" applyFont="1" applyAlignment="1">
      <alignment horizontal="left" vertical="center"/>
    </xf>
    <xf numFmtId="0" fontId="77" fillId="0" borderId="0" xfId="0" applyFont="1"/>
    <xf numFmtId="0" fontId="77" fillId="0" borderId="0" xfId="0" applyFont="1" applyAlignment="1">
      <alignment vertical="center"/>
    </xf>
    <xf numFmtId="0" fontId="78" fillId="0" borderId="0" xfId="3480" applyFont="1"/>
    <xf numFmtId="0" fontId="24" fillId="24" borderId="7" xfId="10783" applyFont="1" applyFill="1" applyBorder="1" applyAlignment="1">
      <alignment horizontal="center" vertical="center"/>
    </xf>
    <xf numFmtId="0" fontId="12" fillId="24" borderId="7" xfId="0" applyFont="1" applyFill="1" applyBorder="1" applyAlignment="1">
      <alignment horizontal="left" vertical="center"/>
    </xf>
    <xf numFmtId="0" fontId="12" fillId="24" borderId="7" xfId="3856" applyFont="1" applyFill="1" applyBorder="1" applyAlignment="1">
      <alignment horizontal="center" vertical="center" wrapText="1"/>
    </xf>
    <xf numFmtId="0" fontId="12" fillId="25" borderId="7" xfId="0" applyFont="1" applyFill="1" applyBorder="1" applyAlignment="1" applyProtection="1">
      <alignment horizontal="center" vertical="center" wrapText="1"/>
      <protection locked="0"/>
    </xf>
    <xf numFmtId="0" fontId="2" fillId="0" borderId="7" xfId="0" applyFont="1" applyBorder="1" applyAlignment="1">
      <alignment horizontal="center" vertical="center"/>
    </xf>
    <xf numFmtId="0" fontId="2" fillId="0" borderId="7" xfId="0" applyFont="1" applyBorder="1" applyAlignment="1">
      <alignment horizontal="left" vertical="center" wrapText="1"/>
    </xf>
    <xf numFmtId="0" fontId="79" fillId="0" borderId="7" xfId="3480" applyFont="1" applyBorder="1" applyAlignment="1">
      <alignment horizontal="center" vertical="center"/>
    </xf>
    <xf numFmtId="0" fontId="2" fillId="0" borderId="7" xfId="10792" applyFont="1" applyBorder="1" applyAlignment="1" applyProtection="1">
      <alignment horizontal="center" vertical="center"/>
      <protection locked="0"/>
    </xf>
    <xf numFmtId="0" fontId="2" fillId="0" borderId="17" xfId="0" applyFont="1" applyBorder="1" applyAlignment="1" applyProtection="1">
      <alignment horizontal="left" vertical="center"/>
      <protection locked="0"/>
    </xf>
    <xf numFmtId="0" fontId="14" fillId="24" borderId="7" xfId="0" applyFont="1" applyFill="1" applyBorder="1" applyAlignment="1">
      <alignment horizontal="left" vertical="center"/>
    </xf>
    <xf numFmtId="0" fontId="2" fillId="0" borderId="7" xfId="3599" applyFont="1" applyBorder="1" applyAlignment="1">
      <alignment horizontal="left" vertical="center" wrapText="1"/>
    </xf>
    <xf numFmtId="0" fontId="2" fillId="0" borderId="1" xfId="3599" applyFont="1" applyBorder="1" applyAlignment="1">
      <alignment horizontal="left" vertical="center" wrapText="1"/>
    </xf>
    <xf numFmtId="0" fontId="2" fillId="0" borderId="8" xfId="3599" applyFont="1" applyBorder="1" applyAlignment="1">
      <alignment horizontal="left" vertical="center" wrapText="1"/>
    </xf>
    <xf numFmtId="0" fontId="2" fillId="0" borderId="9" xfId="3599" applyFont="1" applyBorder="1" applyAlignment="1">
      <alignment horizontal="left" vertical="center" wrapText="1"/>
    </xf>
    <xf numFmtId="0" fontId="2" fillId="0" borderId="32" xfId="10792" applyFont="1" applyBorder="1" applyAlignment="1" applyProtection="1">
      <alignment horizontal="center" vertical="center"/>
      <protection locked="0"/>
    </xf>
    <xf numFmtId="0" fontId="2" fillId="0" borderId="7" xfId="0" applyFont="1" applyBorder="1" applyAlignment="1" applyProtection="1">
      <alignment horizontal="left" vertical="center"/>
      <protection locked="0"/>
    </xf>
    <xf numFmtId="0" fontId="5" fillId="0" borderId="32" xfId="0" applyFont="1" applyBorder="1" applyAlignment="1">
      <alignment horizontal="left" vertical="center" wrapText="1"/>
    </xf>
    <xf numFmtId="0" fontId="5" fillId="0" borderId="32" xfId="0" applyFont="1" applyBorder="1" applyAlignment="1">
      <alignment horizontal="center" vertical="center"/>
    </xf>
    <xf numFmtId="0" fontId="2" fillId="0" borderId="19" xfId="3599" applyFont="1" applyBorder="1" applyAlignment="1">
      <alignment horizontal="left" vertical="center" wrapText="1"/>
    </xf>
    <xf numFmtId="0" fontId="2" fillId="0" borderId="20" xfId="3599" applyFont="1" applyBorder="1" applyAlignment="1">
      <alignment horizontal="left" vertical="center" wrapText="1"/>
    </xf>
    <xf numFmtId="0" fontId="2" fillId="0" borderId="21" xfId="3599" applyFont="1" applyBorder="1" applyAlignment="1">
      <alignment horizontal="left" vertical="center" wrapText="1"/>
    </xf>
    <xf numFmtId="0" fontId="2" fillId="0" borderId="32" xfId="0" applyFont="1" applyBorder="1" applyAlignment="1" applyProtection="1">
      <alignment horizontal="left" vertical="center"/>
      <protection locked="0"/>
    </xf>
    <xf numFmtId="0" fontId="5" fillId="0" borderId="48" xfId="0" applyFont="1" applyBorder="1" applyAlignment="1">
      <alignment horizontal="left" vertical="center" wrapText="1"/>
    </xf>
    <xf numFmtId="0" fontId="5" fillId="0" borderId="15" xfId="0" applyFont="1" applyBorder="1" applyAlignment="1">
      <alignment horizontal="center" vertical="center"/>
    </xf>
    <xf numFmtId="0" fontId="2" fillId="0" borderId="16" xfId="3599" applyFont="1" applyBorder="1" applyAlignment="1">
      <alignment horizontal="left" vertical="center" wrapText="1"/>
    </xf>
    <xf numFmtId="0" fontId="2" fillId="0" borderId="24" xfId="3599" applyFont="1" applyBorder="1" applyAlignment="1">
      <alignment horizontal="left" vertical="center" wrapText="1"/>
    </xf>
    <xf numFmtId="0" fontId="2" fillId="0" borderId="25" xfId="3599" applyFont="1" applyBorder="1" applyAlignment="1">
      <alignment horizontal="left" vertical="center" wrapText="1"/>
    </xf>
    <xf numFmtId="0" fontId="2" fillId="0" borderId="15" xfId="10792" applyFont="1" applyBorder="1" applyAlignment="1" applyProtection="1">
      <alignment horizontal="center" vertical="center"/>
      <protection locked="0"/>
    </xf>
    <xf numFmtId="0" fontId="2" fillId="0" borderId="15" xfId="0" applyFont="1" applyBorder="1" applyAlignment="1" applyProtection="1">
      <alignment horizontal="left" vertical="center"/>
      <protection locked="0"/>
    </xf>
    <xf numFmtId="0" fontId="5" fillId="0" borderId="15" xfId="0" applyFont="1" applyBorder="1" applyAlignment="1">
      <alignment horizontal="left" vertical="center" wrapText="1"/>
    </xf>
    <xf numFmtId="0" fontId="2" fillId="0" borderId="32" xfId="0" applyFont="1" applyBorder="1" applyAlignment="1" applyProtection="1">
      <alignment horizontal="left" vertical="center" wrapText="1"/>
      <protection locked="0"/>
    </xf>
    <xf numFmtId="0" fontId="2" fillId="0" borderId="32" xfId="0" applyFont="1" applyBorder="1" applyAlignment="1">
      <alignment horizontal="center"/>
    </xf>
    <xf numFmtId="0" fontId="2" fillId="0" borderId="15" xfId="0" applyFont="1" applyBorder="1" applyAlignment="1" applyProtection="1">
      <alignment horizontal="left" vertical="center" wrapText="1"/>
      <protection locked="0"/>
    </xf>
    <xf numFmtId="0" fontId="2" fillId="0" borderId="15" xfId="0" applyFont="1" applyBorder="1" applyAlignment="1">
      <alignment horizontal="center"/>
    </xf>
    <xf numFmtId="0" fontId="51" fillId="0" borderId="7" xfId="3901" applyFont="1" applyBorder="1" applyAlignment="1">
      <alignment horizontal="center" vertical="center"/>
    </xf>
    <xf numFmtId="0" fontId="5" fillId="0" borderId="32" xfId="0" applyFont="1" applyBorder="1" applyAlignment="1">
      <alignment vertical="center" wrapText="1"/>
    </xf>
    <xf numFmtId="0" fontId="2" fillId="0" borderId="17" xfId="0" applyFont="1" applyBorder="1" applyAlignment="1" applyProtection="1">
      <alignment horizontal="left" vertical="center" wrapText="1"/>
      <protection locked="0"/>
    </xf>
    <xf numFmtId="0" fontId="2" fillId="0" borderId="71" xfId="0" applyFont="1" applyBorder="1"/>
    <xf numFmtId="0" fontId="5" fillId="0" borderId="7" xfId="3779" applyFont="1" applyBorder="1" applyAlignment="1">
      <alignment horizontal="left" vertical="center" wrapText="1"/>
    </xf>
    <xf numFmtId="0" fontId="3" fillId="0" borderId="7" xfId="3779" applyBorder="1" applyAlignment="1">
      <alignment horizontal="left" vertical="center" wrapText="1"/>
    </xf>
    <xf numFmtId="0" fontId="2" fillId="0" borderId="58" xfId="0" applyFont="1" applyBorder="1"/>
    <xf numFmtId="0" fontId="5" fillId="0" borderId="1"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2" fillId="0" borderId="72" xfId="0" applyFont="1" applyBorder="1"/>
    <xf numFmtId="0" fontId="24" fillId="24" borderId="32" xfId="10783" applyFont="1" applyFill="1" applyBorder="1" applyAlignment="1">
      <alignment horizontal="center" vertical="center"/>
    </xf>
    <xf numFmtId="0" fontId="12" fillId="24" borderId="32" xfId="3856" applyFont="1" applyFill="1" applyBorder="1" applyAlignment="1">
      <alignment horizontal="center" vertical="center" wrapText="1"/>
    </xf>
    <xf numFmtId="0" fontId="12" fillId="25" borderId="32" xfId="0" applyFont="1" applyFill="1" applyBorder="1" applyAlignment="1" applyProtection="1">
      <alignment horizontal="center" vertical="center" wrapText="1"/>
      <protection locked="0"/>
    </xf>
    <xf numFmtId="0" fontId="51" fillId="0" borderId="17" xfId="3901" applyFont="1" applyBorder="1" applyAlignment="1">
      <alignment horizontal="center" vertical="center"/>
    </xf>
    <xf numFmtId="0" fontId="80" fillId="0" borderId="7" xfId="3480" applyBorder="1" applyAlignment="1">
      <alignment horizontal="center" vertical="center"/>
    </xf>
    <xf numFmtId="0" fontId="2" fillId="0" borderId="17" xfId="10792" applyFont="1" applyBorder="1" applyAlignment="1" applyProtection="1">
      <alignment horizontal="center" vertical="center"/>
      <protection locked="0"/>
    </xf>
    <xf numFmtId="0" fontId="2" fillId="0" borderId="17" xfId="0" applyFont="1" applyBorder="1"/>
    <xf numFmtId="0" fontId="81" fillId="26" borderId="0" xfId="0" applyFont="1" applyFill="1" applyAlignment="1">
      <alignment horizontal="center"/>
    </xf>
    <xf numFmtId="0" fontId="80" fillId="0" borderId="0" xfId="3480"/>
    <xf numFmtId="0" fontId="0" fillId="0" borderId="0" xfId="0" applyAlignment="1">
      <alignment wrapText="1"/>
    </xf>
    <xf numFmtId="0" fontId="79" fillId="0" borderId="7" xfId="3480" applyFont="1" applyBorder="1" applyAlignment="1" quotePrefix="1">
      <alignment horizontal="center" vertical="center"/>
    </xf>
    <xf numFmtId="0" fontId="80" fillId="0" borderId="7" xfId="3480" applyBorder="1" applyAlignment="1" quotePrefix="1">
      <alignment horizontal="center" vertical="center"/>
    </xf>
  </cellXfs>
  <cellStyles count="116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x000a_mouse.drv=lm" xfId="49"/>
    <cellStyle name="?鹎%U龡&amp;H?_x0008__x001c__x001c_?_x0007__x0001__x0001_" xfId="50"/>
    <cellStyle name="0%" xfId="51"/>
    <cellStyle name="0.0%" xfId="52"/>
    <cellStyle name="0.00%" xfId="53"/>
    <cellStyle name="00" xfId="54"/>
    <cellStyle name="00 2" xfId="55"/>
    <cellStyle name="00 3" xfId="56"/>
    <cellStyle name="20% - Accent1 2" xfId="57"/>
    <cellStyle name="20% - Accent1 2 2" xfId="58"/>
    <cellStyle name="20% - Accent6 2" xfId="59"/>
    <cellStyle name="20% - Accent6 2 2" xfId="60"/>
    <cellStyle name="Accent1" xfId="61"/>
    <cellStyle name="Accent1 - 20%" xfId="62"/>
    <cellStyle name="Accent1 - 40%" xfId="63"/>
    <cellStyle name="Accent1 - 60%" xfId="64"/>
    <cellStyle name="Accent1_RESULTS" xfId="65"/>
    <cellStyle name="Accent2" xfId="66"/>
    <cellStyle name="Accent2 - 20%" xfId="67"/>
    <cellStyle name="Accent2 - 40%" xfId="68"/>
    <cellStyle name="Accent2 - 60%" xfId="69"/>
    <cellStyle name="Accent2 2" xfId="70"/>
    <cellStyle name="Accent2_RESULTS" xfId="71"/>
    <cellStyle name="Accent3" xfId="72"/>
    <cellStyle name="Accent3 - 20%" xfId="73"/>
    <cellStyle name="Accent3 - 40%" xfId="74"/>
    <cellStyle name="Accent3 - 60%" xfId="75"/>
    <cellStyle name="Accent3_RESULTS" xfId="76"/>
    <cellStyle name="Accent4" xfId="77"/>
    <cellStyle name="Accent4 - 20%" xfId="78"/>
    <cellStyle name="Accent4 - 40%" xfId="79"/>
    <cellStyle name="Accent4 - 60%" xfId="80"/>
    <cellStyle name="Accent4_RESULTS" xfId="81"/>
    <cellStyle name="Accent5" xfId="82"/>
    <cellStyle name="Accent5 - 20%" xfId="83"/>
    <cellStyle name="Accent5 - 40%" xfId="84"/>
    <cellStyle name="Accent5 - 60%" xfId="85"/>
    <cellStyle name="Accent5_RESULTS" xfId="86"/>
    <cellStyle name="Accent6" xfId="87"/>
    <cellStyle name="Accent6 - 20%" xfId="88"/>
    <cellStyle name="Accent6 - 40%" xfId="89"/>
    <cellStyle name="Accent6 - 60%" xfId="90"/>
    <cellStyle name="Accent6_RESULTS" xfId="91"/>
    <cellStyle name="Bad 2" xfId="92"/>
    <cellStyle name="Bad 3" xfId="93"/>
    <cellStyle name="Calc Currency (0)" xfId="94"/>
    <cellStyle name="category" xfId="95"/>
    <cellStyle name="cellStyleNum" xfId="96"/>
    <cellStyle name="cellStyleNum 2" xfId="97"/>
    <cellStyle name="cellStyleNum 2 10" xfId="98"/>
    <cellStyle name="cellStyleNum 2 2" xfId="99"/>
    <cellStyle name="cellStyleNum 2 2 2" xfId="100"/>
    <cellStyle name="cellStyleNum 2 2 2 2" xfId="101"/>
    <cellStyle name="cellStyleNum 2 2 2 2 2" xfId="102"/>
    <cellStyle name="cellStyleNum 2 2 2 2 2 2" xfId="103"/>
    <cellStyle name="cellStyleNum 2 2 2 2 3" xfId="104"/>
    <cellStyle name="cellStyleNum 2 2 2 2 3 2" xfId="105"/>
    <cellStyle name="cellStyleNum 2 2 2 2 4" xfId="106"/>
    <cellStyle name="cellStyleNum 2 2 2 3" xfId="107"/>
    <cellStyle name="cellStyleNum 2 2 2 3 2" xfId="108"/>
    <cellStyle name="cellStyleNum 2 2 2 3 2 2" xfId="109"/>
    <cellStyle name="cellStyleNum 2 2 2 3 3" xfId="110"/>
    <cellStyle name="cellStyleNum 2 2 2 3 3 2" xfId="111"/>
    <cellStyle name="cellStyleNum 2 2 2 3 4" xfId="112"/>
    <cellStyle name="cellStyleNum 2 2 2 4" xfId="113"/>
    <cellStyle name="cellStyleNum 2 2 2 4 2" xfId="114"/>
    <cellStyle name="cellStyleNum 2 2 2 5" xfId="115"/>
    <cellStyle name="cellStyleNum 2 2 2 5 2" xfId="116"/>
    <cellStyle name="cellStyleNum 2 2 2 6" xfId="117"/>
    <cellStyle name="cellStyleNum 2 2 2 6 2" xfId="118"/>
    <cellStyle name="cellStyleNum 2 2 2 7" xfId="119"/>
    <cellStyle name="cellStyleNum 2 2 3" xfId="120"/>
    <cellStyle name="cellStyleNum 2 2 3 2" xfId="121"/>
    <cellStyle name="cellStyleNum 2 2 3 2 2" xfId="122"/>
    <cellStyle name="cellStyleNum 2 2 3 2 2 2" xfId="123"/>
    <cellStyle name="cellStyleNum 2 2 3 2 3" xfId="124"/>
    <cellStyle name="cellStyleNum 2 2 3 2 3 2" xfId="125"/>
    <cellStyle name="cellStyleNum 2 2 3 2 4" xfId="126"/>
    <cellStyle name="cellStyleNum 2 2 3 3" xfId="127"/>
    <cellStyle name="cellStyleNum 2 2 3 3 2" xfId="128"/>
    <cellStyle name="cellStyleNum 2 2 3 4" xfId="129"/>
    <cellStyle name="cellStyleNum 2 2 3 4 2" xfId="130"/>
    <cellStyle name="cellStyleNum 2 2 3 5" xfId="131"/>
    <cellStyle name="cellStyleNum 2 2 3 5 2" xfId="132"/>
    <cellStyle name="cellStyleNum 2 2 3 6" xfId="133"/>
    <cellStyle name="cellStyleNum 2 2 4" xfId="134"/>
    <cellStyle name="cellStyleNum 2 2 4 2" xfId="135"/>
    <cellStyle name="cellStyleNum 2 2 4 2 2" xfId="136"/>
    <cellStyle name="cellStyleNum 2 2 4 3" xfId="137"/>
    <cellStyle name="cellStyleNum 2 2 4 3 2" xfId="138"/>
    <cellStyle name="cellStyleNum 2 2 4 4" xfId="139"/>
    <cellStyle name="cellStyleNum 2 2 5" xfId="140"/>
    <cellStyle name="cellStyleNum 2 2 5 2" xfId="141"/>
    <cellStyle name="cellStyleNum 2 2 5 2 2" xfId="142"/>
    <cellStyle name="cellStyleNum 2 2 5 3" xfId="143"/>
    <cellStyle name="cellStyleNum 2 2 5 3 2" xfId="144"/>
    <cellStyle name="cellStyleNum 2 2 5 4" xfId="145"/>
    <cellStyle name="cellStyleNum 2 2 6" xfId="146"/>
    <cellStyle name="cellStyleNum 2 2 6 2" xfId="147"/>
    <cellStyle name="cellStyleNum 2 2 7" xfId="148"/>
    <cellStyle name="cellStyleNum 2 2 7 2" xfId="149"/>
    <cellStyle name="cellStyleNum 2 2 8" xfId="150"/>
    <cellStyle name="cellStyleNum 2 2 8 2" xfId="151"/>
    <cellStyle name="cellStyleNum 2 2 9" xfId="152"/>
    <cellStyle name="cellStyleNum 2 3" xfId="153"/>
    <cellStyle name="cellStyleNum 2 3 2" xfId="154"/>
    <cellStyle name="cellStyleNum 2 3 2 2" xfId="155"/>
    <cellStyle name="cellStyleNum 2 3 2 2 2" xfId="156"/>
    <cellStyle name="cellStyleNum 2 3 2 3" xfId="157"/>
    <cellStyle name="cellStyleNum 2 3 2 3 2" xfId="158"/>
    <cellStyle name="cellStyleNum 2 3 2 4" xfId="159"/>
    <cellStyle name="cellStyleNum 2 3 3" xfId="160"/>
    <cellStyle name="cellStyleNum 2 3 3 2" xfId="161"/>
    <cellStyle name="cellStyleNum 2 3 3 2 2" xfId="162"/>
    <cellStyle name="cellStyleNum 2 3 3 3" xfId="163"/>
    <cellStyle name="cellStyleNum 2 3 3 3 2" xfId="164"/>
    <cellStyle name="cellStyleNum 2 3 3 4" xfId="165"/>
    <cellStyle name="cellStyleNum 2 3 4" xfId="166"/>
    <cellStyle name="cellStyleNum 2 3 4 2" xfId="167"/>
    <cellStyle name="cellStyleNum 2 3 5" xfId="168"/>
    <cellStyle name="cellStyleNum 2 3 5 2" xfId="169"/>
    <cellStyle name="cellStyleNum 2 3 6" xfId="170"/>
    <cellStyle name="cellStyleNum 2 3 6 2" xfId="171"/>
    <cellStyle name="cellStyleNum 2 3 7" xfId="172"/>
    <cellStyle name="cellStyleNum 2 4" xfId="173"/>
    <cellStyle name="cellStyleNum 2 4 2" xfId="174"/>
    <cellStyle name="cellStyleNum 2 4 2 2" xfId="175"/>
    <cellStyle name="cellStyleNum 2 4 2 2 2" xfId="176"/>
    <cellStyle name="cellStyleNum 2 4 2 3" xfId="177"/>
    <cellStyle name="cellStyleNum 2 4 2 3 2" xfId="178"/>
    <cellStyle name="cellStyleNum 2 4 2 4" xfId="179"/>
    <cellStyle name="cellStyleNum 2 4 3" xfId="180"/>
    <cellStyle name="cellStyleNum 2 4 3 2" xfId="181"/>
    <cellStyle name="cellStyleNum 2 4 4" xfId="182"/>
    <cellStyle name="cellStyleNum 2 4 4 2" xfId="183"/>
    <cellStyle name="cellStyleNum 2 4 5" xfId="184"/>
    <cellStyle name="cellStyleNum 2 4 5 2" xfId="185"/>
    <cellStyle name="cellStyleNum 2 4 6" xfId="186"/>
    <cellStyle name="cellStyleNum 2 5" xfId="187"/>
    <cellStyle name="cellStyleNum 2 5 2" xfId="188"/>
    <cellStyle name="cellStyleNum 2 5 2 2" xfId="189"/>
    <cellStyle name="cellStyleNum 2 5 3" xfId="190"/>
    <cellStyle name="cellStyleNum 2 5 3 2" xfId="191"/>
    <cellStyle name="cellStyleNum 2 5 4" xfId="192"/>
    <cellStyle name="cellStyleNum 2 6" xfId="193"/>
    <cellStyle name="cellStyleNum 2 6 2" xfId="194"/>
    <cellStyle name="cellStyleNum 2 6 2 2" xfId="195"/>
    <cellStyle name="cellStyleNum 2 6 3" xfId="196"/>
    <cellStyle name="cellStyleNum 2 6 3 2" xfId="197"/>
    <cellStyle name="cellStyleNum 2 6 4" xfId="198"/>
    <cellStyle name="cellStyleNum 2 7" xfId="199"/>
    <cellStyle name="cellStyleNum 2 7 2" xfId="200"/>
    <cellStyle name="cellStyleNum 2 8" xfId="201"/>
    <cellStyle name="cellStyleNum 2 8 2" xfId="202"/>
    <cellStyle name="cellStyleNum 2 9" xfId="203"/>
    <cellStyle name="cellStyleNum 2 9 2" xfId="204"/>
    <cellStyle name="cellStyleNum 3" xfId="205"/>
    <cellStyle name="cellStyleNum 3 2" xfId="206"/>
    <cellStyle name="cellStyleNum 3 2 2" xfId="207"/>
    <cellStyle name="cellStyleNum 3 2 2 2" xfId="208"/>
    <cellStyle name="cellStyleNum 3 2 3" xfId="209"/>
    <cellStyle name="cellStyleNum 3 2 3 2" xfId="210"/>
    <cellStyle name="cellStyleNum 3 2 4" xfId="211"/>
    <cellStyle name="cellStyleNum 3 3" xfId="212"/>
    <cellStyle name="cellStyleNum 3 3 2" xfId="213"/>
    <cellStyle name="cellStyleNum 3 3 2 2" xfId="214"/>
    <cellStyle name="cellStyleNum 3 3 3" xfId="215"/>
    <cellStyle name="cellStyleNum 3 3 3 2" xfId="216"/>
    <cellStyle name="cellStyleNum 3 3 4" xfId="217"/>
    <cellStyle name="cellStyleNum 3 4" xfId="218"/>
    <cellStyle name="cellStyleNum 3 4 2" xfId="219"/>
    <cellStyle name="cellStyleNum 3 5" xfId="220"/>
    <cellStyle name="cellStyleNum 3 5 2" xfId="221"/>
    <cellStyle name="cellStyleNum 3 6" xfId="222"/>
    <cellStyle name="cellStyleNum 3 6 2" xfId="223"/>
    <cellStyle name="cellStyleNum 3 7" xfId="224"/>
    <cellStyle name="cellStyleNum 4" xfId="225"/>
    <cellStyle name="cellStyleNum 4 2" xfId="226"/>
    <cellStyle name="cellStyleNum 4 2 2" xfId="227"/>
    <cellStyle name="cellStyleNum 4 3" xfId="228"/>
    <cellStyle name="cellStyleNum 4 3 2" xfId="229"/>
    <cellStyle name="cellStyleNum 4 4" xfId="230"/>
    <cellStyle name="cellStyleNum 5" xfId="231"/>
    <cellStyle name="cellStyleNum 5 2" xfId="232"/>
    <cellStyle name="cellStyleNum 5 2 2" xfId="233"/>
    <cellStyle name="cellStyleNum 5 3" xfId="234"/>
    <cellStyle name="cellStyleNum 5 3 2" xfId="235"/>
    <cellStyle name="cellStyleNum 5 4" xfId="236"/>
    <cellStyle name="cellStyleNum 6" xfId="237"/>
    <cellStyle name="cellStyleNum 6 2" xfId="238"/>
    <cellStyle name="cellStyleNum 7" xfId="239"/>
    <cellStyle name="cellStyleNum 7 2" xfId="240"/>
    <cellStyle name="cellStyleNum 8" xfId="241"/>
    <cellStyle name="cellStyleNum 8 2" xfId="242"/>
    <cellStyle name="cellStyleNum 9" xfId="243"/>
    <cellStyle name="cellStylePer" xfId="244"/>
    <cellStyle name="cellStylePer 2" xfId="245"/>
    <cellStyle name="cellStylePer 2 2" xfId="246"/>
    <cellStyle name="cellStylePer 2 2 2" xfId="247"/>
    <cellStyle name="cellStylePer 2 2 2 2" xfId="248"/>
    <cellStyle name="cellStylePer 2 2 2 2 2" xfId="249"/>
    <cellStyle name="cellStylePer 2 2 2 3" xfId="250"/>
    <cellStyle name="cellStylePer 2 2 2 3 2" xfId="251"/>
    <cellStyle name="cellStylePer 2 2 2 4" xfId="252"/>
    <cellStyle name="cellStylePer 2 2 3" xfId="253"/>
    <cellStyle name="cellStylePer 2 2 3 2" xfId="254"/>
    <cellStyle name="cellStylePer 2 2 3 2 2" xfId="255"/>
    <cellStyle name="cellStylePer 2 2 3 3" xfId="256"/>
    <cellStyle name="cellStylePer 2 2 3 3 2" xfId="257"/>
    <cellStyle name="cellStylePer 2 2 3 4" xfId="258"/>
    <cellStyle name="cellStylePer 2 2 4" xfId="259"/>
    <cellStyle name="cellStylePer 2 2 4 2" xfId="260"/>
    <cellStyle name="cellStylePer 2 2 5" xfId="261"/>
    <cellStyle name="cellStylePer 2 2 5 2" xfId="262"/>
    <cellStyle name="cellStylePer 2 2 6" xfId="263"/>
    <cellStyle name="cellStylePer 2 2 6 2" xfId="264"/>
    <cellStyle name="cellStylePer 2 2 7" xfId="265"/>
    <cellStyle name="cellStylePer 2 3" xfId="266"/>
    <cellStyle name="cellStylePer 2 3 2" xfId="267"/>
    <cellStyle name="cellStylePer 2 3 2 2" xfId="268"/>
    <cellStyle name="cellStylePer 2 3 3" xfId="269"/>
    <cellStyle name="cellStylePer 2 3 3 2" xfId="270"/>
    <cellStyle name="cellStylePer 2 3 4" xfId="271"/>
    <cellStyle name="cellStylePer 2 4" xfId="272"/>
    <cellStyle name="cellStylePer 2 4 2" xfId="273"/>
    <cellStyle name="cellStylePer 2 4 2 2" xfId="274"/>
    <cellStyle name="cellStylePer 2 4 3" xfId="275"/>
    <cellStyle name="cellStylePer 2 4 3 2" xfId="276"/>
    <cellStyle name="cellStylePer 2 4 4" xfId="277"/>
    <cellStyle name="cellStylePer 2 5" xfId="278"/>
    <cellStyle name="cellStylePer 2 5 2" xfId="279"/>
    <cellStyle name="cellStylePer 2 6" xfId="280"/>
    <cellStyle name="cellStylePer 2 6 2" xfId="281"/>
    <cellStyle name="cellStylePer 2 7" xfId="282"/>
    <cellStyle name="cellStylePer 2 7 2" xfId="283"/>
    <cellStyle name="cellStylePer 2 8" xfId="284"/>
    <cellStyle name="cellStylePer 3" xfId="285"/>
    <cellStyle name="cellStylePer 3 2" xfId="286"/>
    <cellStyle name="cellStylePer 3 2 2" xfId="287"/>
    <cellStyle name="cellStylePer 3 2 2 2" xfId="288"/>
    <cellStyle name="cellStylePer 3 2 3" xfId="289"/>
    <cellStyle name="cellStylePer 3 2 3 2" xfId="290"/>
    <cellStyle name="cellStylePer 3 2 4" xfId="291"/>
    <cellStyle name="cellStylePer 3 3" xfId="292"/>
    <cellStyle name="cellStylePer 3 3 2" xfId="293"/>
    <cellStyle name="cellStylePer 3 3 2 2" xfId="294"/>
    <cellStyle name="cellStylePer 3 3 3" xfId="295"/>
    <cellStyle name="cellStylePer 3 3 3 2" xfId="296"/>
    <cellStyle name="cellStylePer 3 3 4" xfId="297"/>
    <cellStyle name="cellStylePer 3 4" xfId="298"/>
    <cellStyle name="cellStylePer 3 4 2" xfId="299"/>
    <cellStyle name="cellStylePer 3 5" xfId="300"/>
    <cellStyle name="cellStylePer 3 5 2" xfId="301"/>
    <cellStyle name="cellStylePer 3 6" xfId="302"/>
    <cellStyle name="cellStylePer 3 6 2" xfId="303"/>
    <cellStyle name="cellStylePer 3 7" xfId="304"/>
    <cellStyle name="cellStylePer 4" xfId="305"/>
    <cellStyle name="cellStylePer 4 2" xfId="306"/>
    <cellStyle name="cellStylePer 4 2 2" xfId="307"/>
    <cellStyle name="cellStylePer 4 3" xfId="308"/>
    <cellStyle name="cellStylePer 4 3 2" xfId="309"/>
    <cellStyle name="cellStylePer 4 4" xfId="310"/>
    <cellStyle name="cellStylePer 5" xfId="311"/>
    <cellStyle name="cellStylePer 5 2" xfId="312"/>
    <cellStyle name="cellStylePer 5 2 2" xfId="313"/>
    <cellStyle name="cellStylePer 5 3" xfId="314"/>
    <cellStyle name="cellStylePer 5 3 2" xfId="315"/>
    <cellStyle name="cellStylePer 5 4" xfId="316"/>
    <cellStyle name="cellStylePer 6" xfId="317"/>
    <cellStyle name="cellStylePer 6 2" xfId="318"/>
    <cellStyle name="cellStylePer 7" xfId="319"/>
    <cellStyle name="cellStylePer 7 2" xfId="320"/>
    <cellStyle name="cellStylePer 8" xfId="321"/>
    <cellStyle name="cellStylePer 8 2" xfId="322"/>
    <cellStyle name="cellStylePer 9" xfId="323"/>
    <cellStyle name="Check Cell 2" xfId="324"/>
    <cellStyle name="Check Cell 2 2" xfId="325"/>
    <cellStyle name="Check Cell 2 2 2" xfId="326"/>
    <cellStyle name="Check Cell 2 2 3" xfId="327"/>
    <cellStyle name="Check Cell 2 3" xfId="328"/>
    <cellStyle name="Col Heads" xfId="329"/>
    <cellStyle name="Comma" xfId="330"/>
    <cellStyle name="Comma  - Style1" xfId="331"/>
    <cellStyle name="Comma  - Style2" xfId="332"/>
    <cellStyle name="Comma  - Style3" xfId="333"/>
    <cellStyle name="Comma  - Style4" xfId="334"/>
    <cellStyle name="Comma  - Style5" xfId="335"/>
    <cellStyle name="Comma  - Style6" xfId="336"/>
    <cellStyle name="Comma  - Style7" xfId="337"/>
    <cellStyle name="Comma  - Style8" xfId="338"/>
    <cellStyle name="Comma [0] 2" xfId="339"/>
    <cellStyle name="Comma [0] 2 10" xfId="340"/>
    <cellStyle name="Comma [0] 2 10 2" xfId="341"/>
    <cellStyle name="Comma [0] 2 10 2 2" xfId="342"/>
    <cellStyle name="Comma [0] 2 10 3" xfId="343"/>
    <cellStyle name="Comma [0] 2 11" xfId="344"/>
    <cellStyle name="Comma [0] 2 11 2" xfId="345"/>
    <cellStyle name="Comma [0] 2 2" xfId="346"/>
    <cellStyle name="Comma [0] 2 2 2" xfId="347"/>
    <cellStyle name="Comma [0] 2 2 2 2" xfId="348"/>
    <cellStyle name="Comma [0] 2 2 2 2 2" xfId="349"/>
    <cellStyle name="Comma [0] 2 2 2 2 2 2" xfId="350"/>
    <cellStyle name="Comma [0] 2 2 2 2 2 2 2" xfId="351"/>
    <cellStyle name="Comma [0] 2 2 2 2 2 2 2 2" xfId="352"/>
    <cellStyle name="Comma [0] 2 2 2 2 2 2 2 2 2" xfId="353"/>
    <cellStyle name="Comma [0] 2 2 2 2 2 2 2 3" xfId="354"/>
    <cellStyle name="Comma [0] 2 2 2 2 2 2 3" xfId="355"/>
    <cellStyle name="Comma [0] 2 2 2 2 2 2 3 2" xfId="356"/>
    <cellStyle name="Comma [0] 2 2 2 2 2 2 3 2 2" xfId="357"/>
    <cellStyle name="Comma [0] 2 2 2 2 2 2 3 3" xfId="358"/>
    <cellStyle name="Comma [0] 2 2 2 2 2 2 4" xfId="359"/>
    <cellStyle name="Comma [0] 2 2 2 2 2 2 4 2" xfId="360"/>
    <cellStyle name="Comma [0] 2 2 2 2 2 2 4 2 2" xfId="361"/>
    <cellStyle name="Comma [0] 2 2 2 2 2 2 4 3" xfId="362"/>
    <cellStyle name="Comma [0] 2 2 2 2 2 2 5" xfId="363"/>
    <cellStyle name="Comma [0] 2 2 2 2 2 2 5 2" xfId="364"/>
    <cellStyle name="Comma [0] 2 2 2 2 2 3" xfId="365"/>
    <cellStyle name="Comma [0] 2 2 2 2 2 3 2" xfId="366"/>
    <cellStyle name="Comma [0] 2 2 2 2 2 3 2 2" xfId="367"/>
    <cellStyle name="Comma [0] 2 2 2 2 2 3 3" xfId="368"/>
    <cellStyle name="Comma [0] 2 2 2 2 2 4" xfId="369"/>
    <cellStyle name="Comma [0] 2 2 2 2 2 4 2" xfId="370"/>
    <cellStyle name="Comma [0] 2 2 2 2 2 4 2 2" xfId="371"/>
    <cellStyle name="Comma [0] 2 2 2 2 2 4 3" xfId="372"/>
    <cellStyle name="Comma [0] 2 2 2 2 2 5" xfId="373"/>
    <cellStyle name="Comma [0] 2 2 2 2 2 5 2" xfId="374"/>
    <cellStyle name="Comma [0] 2 2 2 2 2 5 2 2" xfId="375"/>
    <cellStyle name="Comma [0] 2 2 2 2 2 5 3" xfId="376"/>
    <cellStyle name="Comma [0] 2 2 2 2 2 6" xfId="377"/>
    <cellStyle name="Comma [0] 2 2 2 2 2 6 2" xfId="378"/>
    <cellStyle name="Comma [0] 2 2 2 2 2 6 2 2" xfId="379"/>
    <cellStyle name="Comma [0] 2 2 2 2 2 6 3" xfId="380"/>
    <cellStyle name="Comma [0] 2 2 2 2 2 7" xfId="381"/>
    <cellStyle name="Comma [0] 2 2 2 2 2 7 2" xfId="382"/>
    <cellStyle name="Comma [0] 2 2 2 2 3" xfId="383"/>
    <cellStyle name="Comma [0] 2 2 2 2 3 2" xfId="384"/>
    <cellStyle name="Comma [0] 2 2 2 2 3 2 2" xfId="385"/>
    <cellStyle name="Comma [0] 2 2 2 2 3 2 2 2" xfId="386"/>
    <cellStyle name="Comma [0] 2 2 2 2 3 2 3" xfId="387"/>
    <cellStyle name="Comma [0] 2 2 2 2 3 3" xfId="388"/>
    <cellStyle name="Comma [0] 2 2 2 2 3 3 2" xfId="389"/>
    <cellStyle name="Comma [0] 2 2 2 2 3 3 2 2" xfId="390"/>
    <cellStyle name="Comma [0] 2 2 2 2 3 3 3" xfId="391"/>
    <cellStyle name="Comma [0] 2 2 2 2 3 4" xfId="392"/>
    <cellStyle name="Comma [0] 2 2 2 2 3 4 2" xfId="393"/>
    <cellStyle name="Comma [0] 2 2 2 2 3 4 2 2" xfId="394"/>
    <cellStyle name="Comma [0] 2 2 2 2 3 4 3" xfId="395"/>
    <cellStyle name="Comma [0] 2 2 2 2 3 5" xfId="396"/>
    <cellStyle name="Comma [0] 2 2 2 2 3 5 2" xfId="397"/>
    <cellStyle name="Comma [0] 2 2 2 2 3 5 2 2" xfId="398"/>
    <cellStyle name="Comma [0] 2 2 2 2 3 5 3" xfId="399"/>
    <cellStyle name="Comma [0] 2 2 2 2 3 6" xfId="400"/>
    <cellStyle name="Comma [0] 2 2 2 2 3 6 2" xfId="401"/>
    <cellStyle name="Comma [0] 2 2 2 2 4" xfId="402"/>
    <cellStyle name="Comma [0] 2 2 2 2 4 2" xfId="403"/>
    <cellStyle name="Comma [0] 2 2 2 2 4 2 2" xfId="404"/>
    <cellStyle name="Comma [0] 2 2 2 2 4 2 2 2" xfId="405"/>
    <cellStyle name="Comma [0] 2 2 2 2 4 2 3" xfId="406"/>
    <cellStyle name="Comma [0] 2 2 2 2 4 3" xfId="407"/>
    <cellStyle name="Comma [0] 2 2 2 2 4 3 2" xfId="408"/>
    <cellStyle name="Comma [0] 2 2 2 2 4 4" xfId="409"/>
    <cellStyle name="Comma [0] 2 2 2 2 4 4 2" xfId="410"/>
    <cellStyle name="Comma [0] 2 2 2 2 5" xfId="411"/>
    <cellStyle name="Comma [0] 2 2 2 2 5 2" xfId="412"/>
    <cellStyle name="Comma [0] 2 2 2 2 5 2 2" xfId="413"/>
    <cellStyle name="Comma [0] 2 2 2 2 5 2 2 2" xfId="414"/>
    <cellStyle name="Comma [0] 2 2 2 2 5 2 3" xfId="415"/>
    <cellStyle name="Comma [0] 2 2 2 2 5 3" xfId="416"/>
    <cellStyle name="Comma [0] 2 2 2 2 5 3 2" xfId="417"/>
    <cellStyle name="Comma [0] 2 2 2 2 5 4" xfId="418"/>
    <cellStyle name="Comma [0] 2 2 2 2 5 4 2" xfId="419"/>
    <cellStyle name="Comma [0] 2 2 2 2 6" xfId="420"/>
    <cellStyle name="Comma [0] 2 2 2 2 6 2" xfId="421"/>
    <cellStyle name="Comma [0] 2 2 2 2 6 2 2" xfId="422"/>
    <cellStyle name="Comma [0] 2 2 2 2 6 3" xfId="423"/>
    <cellStyle name="Comma [0] 2 2 2 2 7" xfId="424"/>
    <cellStyle name="Comma [0] 2 2 2 2 7 2" xfId="425"/>
    <cellStyle name="Comma [0] 2 2 2 2 7 2 2" xfId="426"/>
    <cellStyle name="Comma [0] 2 2 2 2 7 3" xfId="427"/>
    <cellStyle name="Comma [0] 2 2 2 2 8" xfId="428"/>
    <cellStyle name="Comma [0] 2 2 2 2 8 2" xfId="429"/>
    <cellStyle name="Comma [0] 2 2 2 3" xfId="430"/>
    <cellStyle name="Comma [0] 2 2 2 3 2" xfId="431"/>
    <cellStyle name="Comma [0] 2 2 2 3 2 2" xfId="432"/>
    <cellStyle name="Comma [0] 2 2 2 3 2 2 2" xfId="433"/>
    <cellStyle name="Comma [0] 2 2 2 3 2 2 2 2" xfId="434"/>
    <cellStyle name="Comma [0] 2 2 2 3 2 2 3" xfId="435"/>
    <cellStyle name="Comma [0] 2 2 2 3 2 3" xfId="436"/>
    <cellStyle name="Comma [0] 2 2 2 3 2 3 2" xfId="437"/>
    <cellStyle name="Comma [0] 2 2 2 3 2 4" xfId="438"/>
    <cellStyle name="Comma [0] 2 2 2 3 3" xfId="439"/>
    <cellStyle name="Comma [0] 2 2 2 3 3 2" xfId="440"/>
    <cellStyle name="Comma [0] 2 2 2 3 3 2 2" xfId="441"/>
    <cellStyle name="Comma [0] 2 2 2 3 3 3" xfId="442"/>
    <cellStyle name="Comma [0] 2 2 2 3 4" xfId="443"/>
    <cellStyle name="Comma [0] 2 2 2 3 4 2" xfId="444"/>
    <cellStyle name="Comma [0] 2 2 2 3 4 2 2" xfId="445"/>
    <cellStyle name="Comma [0] 2 2 2 3 4 3" xfId="446"/>
    <cellStyle name="Comma [0] 2 2 2 3 5" xfId="447"/>
    <cellStyle name="Comma [0] 2 2 2 3 5 2" xfId="448"/>
    <cellStyle name="Comma [0] 2 2 2 3 5 2 2" xfId="449"/>
    <cellStyle name="Comma [0] 2 2 2 3 5 3" xfId="450"/>
    <cellStyle name="Comma [0] 2 2 2 3 6" xfId="451"/>
    <cellStyle name="Comma [0] 2 2 2 3 6 2" xfId="452"/>
    <cellStyle name="Comma [0] 2 2 2 3 6 2 2" xfId="453"/>
    <cellStyle name="Comma [0] 2 2 2 3 6 3" xfId="454"/>
    <cellStyle name="Comma [0] 2 2 2 3 7" xfId="455"/>
    <cellStyle name="Comma [0] 2 2 2 3 7 2" xfId="456"/>
    <cellStyle name="Comma [0] 2 2 2 4" xfId="457"/>
    <cellStyle name="Comma [0] 2 2 2 4 2" xfId="458"/>
    <cellStyle name="Comma [0] 2 2 2 4 2 2" xfId="459"/>
    <cellStyle name="Comma [0] 2 2 2 4 2 2 2" xfId="460"/>
    <cellStyle name="Comma [0] 2 2 2 4 2 3" xfId="461"/>
    <cellStyle name="Comma [0] 2 2 2 4 3" xfId="462"/>
    <cellStyle name="Comma [0] 2 2 2 4 3 2" xfId="463"/>
    <cellStyle name="Comma [0] 2 2 2 4 3 2 2" xfId="464"/>
    <cellStyle name="Comma [0] 2 2 2 4 3 3" xfId="465"/>
    <cellStyle name="Comma [0] 2 2 2 4 4" xfId="466"/>
    <cellStyle name="Comma [0] 2 2 2 4 4 2" xfId="467"/>
    <cellStyle name="Comma [0] 2 2 2 4 4 2 2" xfId="468"/>
    <cellStyle name="Comma [0] 2 2 2 4 4 3" xfId="469"/>
    <cellStyle name="Comma [0] 2 2 2 4 5" xfId="470"/>
    <cellStyle name="Comma [0] 2 2 2 4 5 2" xfId="471"/>
    <cellStyle name="Comma [0] 2 2 2 4 5 2 2" xfId="472"/>
    <cellStyle name="Comma [0] 2 2 2 4 5 3" xfId="473"/>
    <cellStyle name="Comma [0] 2 2 2 4 6" xfId="474"/>
    <cellStyle name="Comma [0] 2 2 2 4 6 2" xfId="475"/>
    <cellStyle name="Comma [0] 2 2 2 5" xfId="476"/>
    <cellStyle name="Comma [0] 2 2 2 5 2" xfId="477"/>
    <cellStyle name="Comma [0] 2 2 2 5 2 2" xfId="478"/>
    <cellStyle name="Comma [0] 2 2 2 5 2 2 2" xfId="479"/>
    <cellStyle name="Comma [0] 2 2 2 5 2 3" xfId="480"/>
    <cellStyle name="Comma [0] 2 2 2 5 3" xfId="481"/>
    <cellStyle name="Comma [0] 2 2 2 5 3 2" xfId="482"/>
    <cellStyle name="Comma [0] 2 2 2 5 4" xfId="483"/>
    <cellStyle name="Comma [0] 2 2 2 5 4 2" xfId="484"/>
    <cellStyle name="Comma [0] 2 2 2 6" xfId="485"/>
    <cellStyle name="Comma [0] 2 2 2 6 2" xfId="486"/>
    <cellStyle name="Comma [0] 2 2 2 6 2 2" xfId="487"/>
    <cellStyle name="Comma [0] 2 2 2 6 3" xfId="488"/>
    <cellStyle name="Comma [0] 2 2 2 7" xfId="489"/>
    <cellStyle name="Comma [0] 2 2 2 7 2" xfId="490"/>
    <cellStyle name="Comma [0] 2 2 2 7 2 2" xfId="491"/>
    <cellStyle name="Comma [0] 2 2 2 7 3" xfId="492"/>
    <cellStyle name="Comma [0] 2 2 2 8" xfId="493"/>
    <cellStyle name="Comma [0] 2 2 2 8 2" xfId="494"/>
    <cellStyle name="Comma [0] 2 2 2 8 2 2" xfId="495"/>
    <cellStyle name="Comma [0] 2 2 2 8 3" xfId="496"/>
    <cellStyle name="Comma [0] 2 2 2 9" xfId="497"/>
    <cellStyle name="Comma [0] 2 2 2 9 2" xfId="498"/>
    <cellStyle name="Comma [0] 2 2 3" xfId="499"/>
    <cellStyle name="Comma [0] 2 2 3 2" xfId="500"/>
    <cellStyle name="Comma [0] 2 2 3 2 2" xfId="501"/>
    <cellStyle name="Comma [0] 2 2 3 2 2 2" xfId="502"/>
    <cellStyle name="Comma [0] 2 2 3 2 2 2 2" xfId="503"/>
    <cellStyle name="Comma [0] 2 2 3 2 2 3" xfId="504"/>
    <cellStyle name="Comma [0] 2 2 3 2 3" xfId="505"/>
    <cellStyle name="Comma [0] 2 2 3 2 3 2" xfId="506"/>
    <cellStyle name="Comma [0] 2 2 3 2 3 2 2" xfId="507"/>
    <cellStyle name="Comma [0] 2 2 3 2 3 3" xfId="508"/>
    <cellStyle name="Comma [0] 2 2 3 2 4" xfId="509"/>
    <cellStyle name="Comma [0] 2 2 3 2 4 2" xfId="510"/>
    <cellStyle name="Comma [0] 2 2 3 2 4 2 2" xfId="511"/>
    <cellStyle name="Comma [0] 2 2 3 2 4 3" xfId="512"/>
    <cellStyle name="Comma [0] 2 2 3 2 5" xfId="513"/>
    <cellStyle name="Comma [0] 2 2 3 2 5 2" xfId="514"/>
    <cellStyle name="Comma [0] 2 2 3 3" xfId="515"/>
    <cellStyle name="Comma [0] 2 2 3 3 2" xfId="516"/>
    <cellStyle name="Comma [0] 2 2 3 3 2 2" xfId="517"/>
    <cellStyle name="Comma [0] 2 2 3 3 2 2 2" xfId="518"/>
    <cellStyle name="Comma [0] 2 2 3 3 2 3" xfId="519"/>
    <cellStyle name="Comma [0] 2 2 3 3 3" xfId="520"/>
    <cellStyle name="Comma [0] 2 2 3 3 3 2" xfId="521"/>
    <cellStyle name="Comma [0] 2 2 3 3 4" xfId="522"/>
    <cellStyle name="Comma [0] 2 2 3 3 4 2" xfId="523"/>
    <cellStyle name="Comma [0] 2 2 3 4" xfId="524"/>
    <cellStyle name="Comma [0] 2 2 3 4 2" xfId="525"/>
    <cellStyle name="Comma [0] 2 2 3 4 2 2" xfId="526"/>
    <cellStyle name="Comma [0] 2 2 3 4 3" xfId="527"/>
    <cellStyle name="Comma [0] 2 2 3 5" xfId="528"/>
    <cellStyle name="Comma [0] 2 2 3 5 2" xfId="529"/>
    <cellStyle name="Comma [0] 2 2 3 5 2 2" xfId="530"/>
    <cellStyle name="Comma [0] 2 2 3 5 3" xfId="531"/>
    <cellStyle name="Comma [0] 2 2 3 6" xfId="532"/>
    <cellStyle name="Comma [0] 2 2 3 6 2" xfId="533"/>
    <cellStyle name="Comma [0] 2 2 3 6 2 2" xfId="534"/>
    <cellStyle name="Comma [0] 2 2 3 6 3" xfId="535"/>
    <cellStyle name="Comma [0] 2 2 3 7" xfId="536"/>
    <cellStyle name="Comma [0] 2 2 3 7 2" xfId="537"/>
    <cellStyle name="Comma [0] 2 2 4" xfId="538"/>
    <cellStyle name="Comma [0] 2 2 4 2" xfId="539"/>
    <cellStyle name="Comma [0] 2 2 4 2 2" xfId="540"/>
    <cellStyle name="Comma [0] 2 2 4 2 2 2" xfId="541"/>
    <cellStyle name="Comma [0] 2 2 4 2 2 2 2" xfId="542"/>
    <cellStyle name="Comma [0] 2 2 4 2 2 3" xfId="543"/>
    <cellStyle name="Comma [0] 2 2 4 2 3" xfId="544"/>
    <cellStyle name="Comma [0] 2 2 4 2 3 2" xfId="545"/>
    <cellStyle name="Comma [0] 2 2 4 2 4" xfId="546"/>
    <cellStyle name="Comma [0] 2 2 4 2 4 2" xfId="547"/>
    <cellStyle name="Comma [0] 2 2 4 3" xfId="548"/>
    <cellStyle name="Comma [0] 2 2 4 3 2" xfId="549"/>
    <cellStyle name="Comma [0] 2 2 4 3 2 2" xfId="550"/>
    <cellStyle name="Comma [0] 2 2 4 3 2 2 2" xfId="551"/>
    <cellStyle name="Comma [0] 2 2 4 3 2 3" xfId="552"/>
    <cellStyle name="Comma [0] 2 2 4 3 3" xfId="553"/>
    <cellStyle name="Comma [0] 2 2 4 3 3 2" xfId="554"/>
    <cellStyle name="Comma [0] 2 2 4 3 4" xfId="555"/>
    <cellStyle name="Comma [0] 2 2 4 3 4 2" xfId="556"/>
    <cellStyle name="Comma [0] 2 2 4 4" xfId="557"/>
    <cellStyle name="Comma [0] 2 2 4 4 2" xfId="558"/>
    <cellStyle name="Comma [0] 2 2 4 4 2 2" xfId="559"/>
    <cellStyle name="Comma [0] 2 2 4 4 3" xfId="560"/>
    <cellStyle name="Comma [0] 2 2 4 5" xfId="561"/>
    <cellStyle name="Comma [0] 2 2 4 5 2" xfId="562"/>
    <cellStyle name="Comma [0] 2 2 4 5 2 2" xfId="563"/>
    <cellStyle name="Comma [0] 2 2 4 5 3" xfId="564"/>
    <cellStyle name="Comma [0] 2 2 4 6" xfId="565"/>
    <cellStyle name="Comma [0] 2 2 4 6 2" xfId="566"/>
    <cellStyle name="Comma [0] 2 2 5" xfId="567"/>
    <cellStyle name="Comma [0] 2 2 5 2" xfId="568"/>
    <cellStyle name="Comma [0] 2 2 5 2 2" xfId="569"/>
    <cellStyle name="Comma [0] 2 2 5 2 2 2" xfId="570"/>
    <cellStyle name="Comma [0] 2 2 5 2 3" xfId="571"/>
    <cellStyle name="Comma [0] 2 2 5 3" xfId="572"/>
    <cellStyle name="Comma [0] 2 2 5 3 2" xfId="573"/>
    <cellStyle name="Comma [0] 2 2 5 4" xfId="574"/>
    <cellStyle name="Comma [0] 2 2 5 4 2" xfId="575"/>
    <cellStyle name="Comma [0] 2 2 6" xfId="576"/>
    <cellStyle name="Comma [0] 2 2 6 2" xfId="577"/>
    <cellStyle name="Comma [0] 2 2 6 2 2" xfId="578"/>
    <cellStyle name="Comma [0] 2 2 6 3" xfId="579"/>
    <cellStyle name="Comma [0] 2 2 7" xfId="580"/>
    <cellStyle name="Comma [0] 2 2 7 2" xfId="581"/>
    <cellStyle name="Comma [0] 2 2 7 2 2" xfId="582"/>
    <cellStyle name="Comma [0] 2 2 7 3" xfId="583"/>
    <cellStyle name="Comma [0] 2 2 8" xfId="584"/>
    <cellStyle name="Comma [0] 2 2 8 2" xfId="585"/>
    <cellStyle name="Comma [0] 2 2 8 2 2" xfId="586"/>
    <cellStyle name="Comma [0] 2 2 8 3" xfId="587"/>
    <cellStyle name="Comma [0] 2 2 9" xfId="588"/>
    <cellStyle name="Comma [0] 2 2 9 2" xfId="589"/>
    <cellStyle name="Comma [0] 2 3" xfId="590"/>
    <cellStyle name="Comma [0] 2 3 2" xfId="591"/>
    <cellStyle name="Comma [0] 2 3 2 2" xfId="592"/>
    <cellStyle name="Comma [0] 2 3 2 2 2" xfId="593"/>
    <cellStyle name="Comma [0] 2 3 2 2 2 2" xfId="594"/>
    <cellStyle name="Comma [0] 2 3 2 2 2 2 2" xfId="595"/>
    <cellStyle name="Comma [0] 2 3 2 2 2 3" xfId="596"/>
    <cellStyle name="Comma [0] 2 3 2 2 3" xfId="597"/>
    <cellStyle name="Comma [0] 2 3 2 2 3 2" xfId="598"/>
    <cellStyle name="Comma [0] 2 3 2 2 4" xfId="599"/>
    <cellStyle name="Comma [0] 2 3 2 2 4 2" xfId="600"/>
    <cellStyle name="Comma [0] 2 3 2 3" xfId="601"/>
    <cellStyle name="Comma [0] 2 3 2 3 2" xfId="602"/>
    <cellStyle name="Comma [0] 2 3 2 3 2 2" xfId="603"/>
    <cellStyle name="Comma [0] 2 3 2 3 2 2 2" xfId="604"/>
    <cellStyle name="Comma [0] 2 3 2 3 2 3" xfId="605"/>
    <cellStyle name="Comma [0] 2 3 2 3 3" xfId="606"/>
    <cellStyle name="Comma [0] 2 3 2 3 3 2" xfId="607"/>
    <cellStyle name="Comma [0] 2 3 2 3 4" xfId="608"/>
    <cellStyle name="Comma [0] 2 3 2 3 4 2" xfId="609"/>
    <cellStyle name="Comma [0] 2 3 2 4" xfId="610"/>
    <cellStyle name="Comma [0] 2 3 2 4 2" xfId="611"/>
    <cellStyle name="Comma [0] 2 3 2 4 2 2" xfId="612"/>
    <cellStyle name="Comma [0] 2 3 2 4 3" xfId="613"/>
    <cellStyle name="Comma [0] 2 3 2 5" xfId="614"/>
    <cellStyle name="Comma [0] 2 3 2 5 2" xfId="615"/>
    <cellStyle name="Comma [0] 2 3 2 5 2 2" xfId="616"/>
    <cellStyle name="Comma [0] 2 3 2 5 3" xfId="617"/>
    <cellStyle name="Comma [0] 2 3 2 6" xfId="618"/>
    <cellStyle name="Comma [0] 2 3 2 6 2" xfId="619"/>
    <cellStyle name="Comma [0] 2 3 3" xfId="620"/>
    <cellStyle name="Comma [0] 2 3 3 2" xfId="621"/>
    <cellStyle name="Comma [0] 2 3 3 2 2" xfId="622"/>
    <cellStyle name="Comma [0] 2 3 3 2 2 2" xfId="623"/>
    <cellStyle name="Comma [0] 2 3 3 2 3" xfId="624"/>
    <cellStyle name="Comma [0] 2 3 3 2 3 2" xfId="625"/>
    <cellStyle name="Comma [0] 2 3 3 3" xfId="626"/>
    <cellStyle name="Comma [0] 2 3 3 3 2" xfId="627"/>
    <cellStyle name="Comma [0] 2 3 3 3 2 2" xfId="628"/>
    <cellStyle name="Comma [0] 2 3 3 3 3" xfId="629"/>
    <cellStyle name="Comma [0] 2 3 3 3 3 2" xfId="630"/>
    <cellStyle name="Comma [0] 2 3 3 4" xfId="631"/>
    <cellStyle name="Comma [0] 2 3 3 4 2" xfId="632"/>
    <cellStyle name="Comma [0] 2 3 3 4 2 2" xfId="633"/>
    <cellStyle name="Comma [0] 2 3 3 4 3" xfId="634"/>
    <cellStyle name="Comma [0] 2 3 3 5" xfId="635"/>
    <cellStyle name="Comma [0] 2 3 3 5 2" xfId="636"/>
    <cellStyle name="Comma [0] 2 3 3 6" xfId="637"/>
    <cellStyle name="Comma [0] 2 3 3 6 2" xfId="638"/>
    <cellStyle name="Comma [0] 2 3 4" xfId="639"/>
    <cellStyle name="Comma [0] 2 3 4 2" xfId="640"/>
    <cellStyle name="Comma [0] 2 3 4 2 2" xfId="641"/>
    <cellStyle name="Comma [0] 2 3 4 2 2 2" xfId="642"/>
    <cellStyle name="Comma [0] 2 3 4 2 3" xfId="643"/>
    <cellStyle name="Comma [0] 2 3 4 3" xfId="644"/>
    <cellStyle name="Comma [0] 2 3 4 3 2" xfId="645"/>
    <cellStyle name="Comma [0] 2 3 4 4" xfId="646"/>
    <cellStyle name="Comma [0] 2 3 4 4 2" xfId="647"/>
    <cellStyle name="Comma [0] 2 3 5" xfId="648"/>
    <cellStyle name="Comma [0] 2 3 5 2" xfId="649"/>
    <cellStyle name="Comma [0] 2 3 5 2 2" xfId="650"/>
    <cellStyle name="Comma [0] 2 3 5 3" xfId="651"/>
    <cellStyle name="Comma [0] 2 3 5 3 2" xfId="652"/>
    <cellStyle name="Comma [0] 2 3 6" xfId="653"/>
    <cellStyle name="Comma [0] 2 3 6 2" xfId="654"/>
    <cellStyle name="Comma [0] 2 3 6 2 2" xfId="655"/>
    <cellStyle name="Comma [0] 2 3 6 3" xfId="656"/>
    <cellStyle name="Comma [0] 2 3 7" xfId="657"/>
    <cellStyle name="Comma [0] 2 3 7 2" xfId="658"/>
    <cellStyle name="Comma [0] 2 3 7 2 2" xfId="659"/>
    <cellStyle name="Comma [0] 2 3 7 3" xfId="660"/>
    <cellStyle name="Comma [0] 2 3 8" xfId="661"/>
    <cellStyle name="Comma [0] 2 3 8 2" xfId="662"/>
    <cellStyle name="Comma [0] 2 4" xfId="663"/>
    <cellStyle name="Comma [0] 2 4 2" xfId="664"/>
    <cellStyle name="Comma [0] 2 4 2 2" xfId="665"/>
    <cellStyle name="Comma [0] 2 4 2 2 2" xfId="666"/>
    <cellStyle name="Comma [0] 2 4 2 2 2 2" xfId="667"/>
    <cellStyle name="Comma [0] 2 4 2 2 3" xfId="668"/>
    <cellStyle name="Comma [0] 2 4 2 2 3 2" xfId="669"/>
    <cellStyle name="Comma [0] 2 4 2 3" xfId="670"/>
    <cellStyle name="Comma [0] 2 4 2 3 2" xfId="671"/>
    <cellStyle name="Comma [0] 2 4 2 3 2 2" xfId="672"/>
    <cellStyle name="Comma [0] 2 4 2 3 3" xfId="673"/>
    <cellStyle name="Comma [0] 2 4 2 4" xfId="674"/>
    <cellStyle name="Comma [0] 2 4 2 4 2" xfId="675"/>
    <cellStyle name="Comma [0] 2 4 2 5" xfId="676"/>
    <cellStyle name="Comma [0] 2 4 2 5 2" xfId="677"/>
    <cellStyle name="Comma [0] 2 4 3" xfId="678"/>
    <cellStyle name="Comma [0] 2 4 3 2" xfId="679"/>
    <cellStyle name="Comma [0] 2 4 3 2 2" xfId="680"/>
    <cellStyle name="Comma [0] 2 4 3 2 2 2" xfId="681"/>
    <cellStyle name="Comma [0] 2 4 3 2 3" xfId="682"/>
    <cellStyle name="Comma [0] 2 4 3 3" xfId="683"/>
    <cellStyle name="Comma [0] 2 4 3 3 2" xfId="684"/>
    <cellStyle name="Comma [0] 2 4 3 4" xfId="685"/>
    <cellStyle name="Comma [0] 2 4 3 4 2" xfId="686"/>
    <cellStyle name="Comma [0] 2 4 4" xfId="687"/>
    <cellStyle name="Comma [0] 2 4 4 2" xfId="688"/>
    <cellStyle name="Comma [0] 2 4 4 2 2" xfId="689"/>
    <cellStyle name="Comma [0] 2 4 4 2 2 2" xfId="690"/>
    <cellStyle name="Comma [0] 2 4 4 2 3" xfId="691"/>
    <cellStyle name="Comma [0] 2 4 4 3" xfId="692"/>
    <cellStyle name="Comma [0] 2 4 4 3 2" xfId="693"/>
    <cellStyle name="Comma [0] 2 4 4 4" xfId="694"/>
    <cellStyle name="Comma [0] 2 4 4 4 2" xfId="695"/>
    <cellStyle name="Comma [0] 2 4 5" xfId="696"/>
    <cellStyle name="Comma [0] 2 4 5 2" xfId="697"/>
    <cellStyle name="Comma [0] 2 4 5 2 2" xfId="698"/>
    <cellStyle name="Comma [0] 2 4 5 3" xfId="699"/>
    <cellStyle name="Comma [0] 2 4 6" xfId="700"/>
    <cellStyle name="Comma [0] 2 4 6 2" xfId="701"/>
    <cellStyle name="Comma [0] 2 4 6 2 2" xfId="702"/>
    <cellStyle name="Comma [0] 2 4 6 3" xfId="703"/>
    <cellStyle name="Comma [0] 2 4 7" xfId="704"/>
    <cellStyle name="Comma [0] 2 4 7 2" xfId="705"/>
    <cellStyle name="Comma [0] 2 5" xfId="706"/>
    <cellStyle name="Comma [0] 2 5 2" xfId="707"/>
    <cellStyle name="Comma [0] 2 5 2 2" xfId="708"/>
    <cellStyle name="Comma [0] 2 5 2 2 2" xfId="709"/>
    <cellStyle name="Comma [0] 2 5 2 3" xfId="710"/>
    <cellStyle name="Comma [0] 2 5 2 3 2" xfId="711"/>
    <cellStyle name="Comma [0] 2 5 3" xfId="712"/>
    <cellStyle name="Comma [0] 2 5 3 2" xfId="713"/>
    <cellStyle name="Comma [0] 2 5 3 2 2" xfId="714"/>
    <cellStyle name="Comma [0] 2 5 3 3" xfId="715"/>
    <cellStyle name="Comma [0] 2 5 3 3 2" xfId="716"/>
    <cellStyle name="Comma [0] 2 5 4" xfId="717"/>
    <cellStyle name="Comma [0] 2 5 4 2" xfId="718"/>
    <cellStyle name="Comma [0] 2 5 4 2 2" xfId="719"/>
    <cellStyle name="Comma [0] 2 5 4 3" xfId="720"/>
    <cellStyle name="Comma [0] 2 5 5" xfId="721"/>
    <cellStyle name="Comma [0] 2 5 5 2" xfId="722"/>
    <cellStyle name="Comma [0] 2 5 6" xfId="723"/>
    <cellStyle name="Comma [0] 2 5 6 2" xfId="724"/>
    <cellStyle name="Comma [0] 2 6" xfId="725"/>
    <cellStyle name="Comma [0] 2 6 2" xfId="726"/>
    <cellStyle name="Comma [0] 2 6 2 2" xfId="727"/>
    <cellStyle name="Comma [0] 2 6 2 2 2" xfId="728"/>
    <cellStyle name="Comma [0] 2 6 2 3" xfId="729"/>
    <cellStyle name="Comma [0] 2 6 2 3 2" xfId="730"/>
    <cellStyle name="Comma [0] 2 6 3" xfId="731"/>
    <cellStyle name="Comma [0] 2 6 3 2" xfId="732"/>
    <cellStyle name="Comma [0] 2 6 3 2 2" xfId="733"/>
    <cellStyle name="Comma [0] 2 6 3 3" xfId="734"/>
    <cellStyle name="Comma [0] 2 6 4" xfId="735"/>
    <cellStyle name="Comma [0] 2 6 4 2" xfId="736"/>
    <cellStyle name="Comma [0] 2 6 5" xfId="737"/>
    <cellStyle name="Comma [0] 2 6 5 2" xfId="738"/>
    <cellStyle name="Comma [0] 2 7" xfId="739"/>
    <cellStyle name="Comma [0] 2 7 2" xfId="740"/>
    <cellStyle name="Comma [0] 2 7 2 2" xfId="741"/>
    <cellStyle name="Comma [0] 2 7 2 2 2" xfId="742"/>
    <cellStyle name="Comma [0] 2 7 2 3" xfId="743"/>
    <cellStyle name="Comma [0] 2 7 3" xfId="744"/>
    <cellStyle name="Comma [0] 2 7 3 2" xfId="745"/>
    <cellStyle name="Comma [0] 2 8" xfId="746"/>
    <cellStyle name="Comma [0] 2 8 2" xfId="747"/>
    <cellStyle name="Comma [0] 2 8 2 2" xfId="748"/>
    <cellStyle name="Comma [0] 2 8 3" xfId="749"/>
    <cellStyle name="Comma [0] 2 8 3 2" xfId="750"/>
    <cellStyle name="Comma [0] 2 8 4" xfId="751"/>
    <cellStyle name="Comma [0] 2 9" xfId="752"/>
    <cellStyle name="Comma [0] 2 9 2" xfId="753"/>
    <cellStyle name="Comma [0] 2 9 2 2" xfId="754"/>
    <cellStyle name="Comma [0] 2 9 3" xfId="755"/>
    <cellStyle name="Comma [0] 3" xfId="756"/>
    <cellStyle name="Comma [0] 3 2" xfId="757"/>
    <cellStyle name="Comma [0] 3 2 2" xfId="758"/>
    <cellStyle name="Comma [0] 3 2 2 2" xfId="759"/>
    <cellStyle name="Comma [0] 3 2 2 2 2" xfId="760"/>
    <cellStyle name="Comma [0] 3 2 2 2 2 2" xfId="761"/>
    <cellStyle name="Comma [0] 3 2 2 2 2 2 2" xfId="762"/>
    <cellStyle name="Comma [0] 3 2 2 2 2 3" xfId="763"/>
    <cellStyle name="Comma [0] 3 2 2 2 3" xfId="764"/>
    <cellStyle name="Comma [0] 3 2 2 2 3 2" xfId="765"/>
    <cellStyle name="Comma [0] 3 2 2 2 4" xfId="766"/>
    <cellStyle name="Comma [0] 3 2 2 3" xfId="767"/>
    <cellStyle name="Comma [0] 3 2 2 3 2" xfId="768"/>
    <cellStyle name="Comma [0] 3 2 2 3 2 2" xfId="769"/>
    <cellStyle name="Comma [0] 3 2 2 3 3" xfId="770"/>
    <cellStyle name="Comma [0] 3 2 2 4" xfId="771"/>
    <cellStyle name="Comma [0] 3 2 2 4 2" xfId="772"/>
    <cellStyle name="Comma [0] 3 2 2 4 2 2" xfId="773"/>
    <cellStyle name="Comma [0] 3 2 2 4 3" xfId="774"/>
    <cellStyle name="Comma [0] 3 2 2 5" xfId="775"/>
    <cellStyle name="Comma [0] 3 2 2 5 2" xfId="776"/>
    <cellStyle name="Comma [0] 3 2 2 6" xfId="777"/>
    <cellStyle name="Comma [0] 3 2 3" xfId="778"/>
    <cellStyle name="Comma [0] 3 2 3 2" xfId="779"/>
    <cellStyle name="Comma [0] 3 2 3 2 2" xfId="780"/>
    <cellStyle name="Comma [0] 3 2 3 2 2 2" xfId="781"/>
    <cellStyle name="Comma [0] 3 2 3 2 3" xfId="782"/>
    <cellStyle name="Comma [0] 3 2 3 3" xfId="783"/>
    <cellStyle name="Comma [0] 3 2 3 3 2" xfId="784"/>
    <cellStyle name="Comma [0] 3 2 3 4" xfId="785"/>
    <cellStyle name="Comma [0] 3 2 4" xfId="786"/>
    <cellStyle name="Comma [0] 3 2 4 2" xfId="787"/>
    <cellStyle name="Comma [0] 3 2 4 2 2" xfId="788"/>
    <cellStyle name="Comma [0] 3 2 4 3" xfId="789"/>
    <cellStyle name="Comma [0] 3 2 5" xfId="790"/>
    <cellStyle name="Comma [0] 3 2 5 2" xfId="791"/>
    <cellStyle name="Comma [0] 3 2 5 2 2" xfId="792"/>
    <cellStyle name="Comma [0] 3 2 5 3" xfId="793"/>
    <cellStyle name="Comma [0] 3 2 6" xfId="794"/>
    <cellStyle name="Comma [0] 3 2 6 2" xfId="795"/>
    <cellStyle name="Comma [0] 3 2 6 2 2" xfId="796"/>
    <cellStyle name="Comma [0] 3 2 6 3" xfId="797"/>
    <cellStyle name="Comma [0] 3 3" xfId="798"/>
    <cellStyle name="Comma [0] 3 3 2" xfId="799"/>
    <cellStyle name="Comma [0] 3 3 2 2" xfId="800"/>
    <cellStyle name="Comma [0] 3 3 2 2 2" xfId="801"/>
    <cellStyle name="Comma [0] 3 3 2 3" xfId="802"/>
    <cellStyle name="Comma [0] 3 3 3" xfId="803"/>
    <cellStyle name="Comma [0] 3 3 3 2" xfId="804"/>
    <cellStyle name="Comma [0] 3 3 3 2 2" xfId="805"/>
    <cellStyle name="Comma [0] 3 3 3 3" xfId="806"/>
    <cellStyle name="Comma [0] 3 3 4" xfId="807"/>
    <cellStyle name="Comma [0] 3 3 4 2" xfId="808"/>
    <cellStyle name="Comma [0] 3 3 4 2 2" xfId="809"/>
    <cellStyle name="Comma [0] 3 3 4 3" xfId="810"/>
    <cellStyle name="Comma [0] 3 3 5" xfId="811"/>
    <cellStyle name="Comma [0] 3 3 5 2" xfId="812"/>
    <cellStyle name="Comma [0] 3 4" xfId="813"/>
    <cellStyle name="Comma [0] 3 4 2" xfId="814"/>
    <cellStyle name="Comma [0] 3 4 2 2" xfId="815"/>
    <cellStyle name="Comma [0] 3 4 3" xfId="816"/>
    <cellStyle name="Comma [0] 3 5" xfId="817"/>
    <cellStyle name="Comma [0] 3 5 2" xfId="818"/>
    <cellStyle name="Comma [0] 3 5 2 2" xfId="819"/>
    <cellStyle name="Comma [0] 3 5 3" xfId="820"/>
    <cellStyle name="Comma [0] 3 6" xfId="821"/>
    <cellStyle name="Comma [0] 3 6 2" xfId="822"/>
    <cellStyle name="Comma [0] 3 6 2 2" xfId="823"/>
    <cellStyle name="Comma [0] 3 6 3" xfId="824"/>
    <cellStyle name="Comma [0] 3 7" xfId="825"/>
    <cellStyle name="Comma [0] 3 7 2" xfId="826"/>
    <cellStyle name="Comma [0] 3 7 2 2" xfId="827"/>
    <cellStyle name="Comma [0] 3 7 3" xfId="828"/>
    <cellStyle name="Comma [0] 3 8" xfId="829"/>
    <cellStyle name="Comma [0] 3 8 2" xfId="830"/>
    <cellStyle name="Comma 10" xfId="831"/>
    <cellStyle name="Comma 10 2" xfId="832"/>
    <cellStyle name="Comma 10 2 10" xfId="833"/>
    <cellStyle name="Comma 10 2 10 2" xfId="834"/>
    <cellStyle name="Comma 10 2 2" xfId="835"/>
    <cellStyle name="Comma 10 2 2 2" xfId="836"/>
    <cellStyle name="Comma 10 2 2 2 2" xfId="837"/>
    <cellStyle name="Comma 10 2 2 2 2 2" xfId="838"/>
    <cellStyle name="Comma 10 2 2 2 2 2 2" xfId="839"/>
    <cellStyle name="Comma 10 2 2 2 2 3" xfId="840"/>
    <cellStyle name="Comma 10 2 2 2 3" xfId="841"/>
    <cellStyle name="Comma 10 2 2 2 3 2" xfId="842"/>
    <cellStyle name="Comma 10 2 2 2 4" xfId="843"/>
    <cellStyle name="Comma 10 2 2 3" xfId="844"/>
    <cellStyle name="Comma 10 2 2 3 2" xfId="845"/>
    <cellStyle name="Comma 10 2 2 3 2 2" xfId="846"/>
    <cellStyle name="Comma 10 2 2 3 3" xfId="847"/>
    <cellStyle name="Comma 10 2 2 4" xfId="848"/>
    <cellStyle name="Comma 10 2 2 4 2" xfId="849"/>
    <cellStyle name="Comma 10 2 2 4 2 2" xfId="850"/>
    <cellStyle name="Comma 10 2 2 4 3" xfId="851"/>
    <cellStyle name="Comma 10 2 2 5" xfId="852"/>
    <cellStyle name="Comma 10 2 2 5 2" xfId="853"/>
    <cellStyle name="Comma 10 2 2 5 2 2" xfId="854"/>
    <cellStyle name="Comma 10 2 2 5 3" xfId="855"/>
    <cellStyle name="Comma 10 2 2 6" xfId="856"/>
    <cellStyle name="Comma 10 2 2 6 2" xfId="857"/>
    <cellStyle name="Comma 10 2 3" xfId="858"/>
    <cellStyle name="Comma 10 2 3 2" xfId="859"/>
    <cellStyle name="Comma 10 2 3 2 2" xfId="860"/>
    <cellStyle name="Comma 10 2 3 2 2 2" xfId="861"/>
    <cellStyle name="Comma 10 2 3 2 3" xfId="862"/>
    <cellStyle name="Comma 10 2 3 3" xfId="863"/>
    <cellStyle name="Comma 10 2 3 3 2" xfId="864"/>
    <cellStyle name="Comma 10 2 3 3 2 2" xfId="865"/>
    <cellStyle name="Comma 10 2 3 3 3" xfId="866"/>
    <cellStyle name="Comma 10 2 3 4" xfId="867"/>
    <cellStyle name="Comma 10 2 3 4 2" xfId="868"/>
    <cellStyle name="Comma 10 2 3 4 2 2" xfId="869"/>
    <cellStyle name="Comma 10 2 3 4 3" xfId="870"/>
    <cellStyle name="Comma 10 2 3 5" xfId="871"/>
    <cellStyle name="Comma 10 2 3 5 2" xfId="872"/>
    <cellStyle name="Comma 10 2 4" xfId="873"/>
    <cellStyle name="Comma 10 2 4 2" xfId="874"/>
    <cellStyle name="Comma 10 2 4 2 2" xfId="875"/>
    <cellStyle name="Comma 10 2 4 2 2 2" xfId="876"/>
    <cellStyle name="Comma 10 2 4 2 3" xfId="877"/>
    <cellStyle name="Comma 10 2 4 3" xfId="878"/>
    <cellStyle name="Comma 10 2 4 3 2" xfId="879"/>
    <cellStyle name="Comma 10 2 4 3 2 2" xfId="880"/>
    <cellStyle name="Comma 10 2 4 3 3" xfId="881"/>
    <cellStyle name="Comma 10 2 4 4" xfId="882"/>
    <cellStyle name="Comma 10 2 4 4 2" xfId="883"/>
    <cellStyle name="Comma 10 2 4 4 2 2" xfId="884"/>
    <cellStyle name="Comma 10 2 4 4 3" xfId="885"/>
    <cellStyle name="Comma 10 2 4 5" xfId="886"/>
    <cellStyle name="Comma 10 2 4 5 2" xfId="887"/>
    <cellStyle name="Comma 10 2 5" xfId="888"/>
    <cellStyle name="Comma 10 2 5 2" xfId="889"/>
    <cellStyle name="Comma 10 2 5 2 2" xfId="890"/>
    <cellStyle name="Comma 10 2 5 2 2 2" xfId="891"/>
    <cellStyle name="Comma 10 2 5 2 3" xfId="892"/>
    <cellStyle name="Comma 10 2 5 3" xfId="893"/>
    <cellStyle name="Comma 10 2 5 3 2" xfId="894"/>
    <cellStyle name="Comma 10 2 5 3 2 2" xfId="895"/>
    <cellStyle name="Comma 10 2 5 3 3" xfId="896"/>
    <cellStyle name="Comma 10 2 5 4" xfId="897"/>
    <cellStyle name="Comma 10 2 5 4 2" xfId="898"/>
    <cellStyle name="Comma 10 2 5 4 2 2" xfId="899"/>
    <cellStyle name="Comma 10 2 5 4 3" xfId="900"/>
    <cellStyle name="Comma 10 2 5 5" xfId="901"/>
    <cellStyle name="Comma 10 2 5 5 2" xfId="902"/>
    <cellStyle name="Comma 10 2 6" xfId="903"/>
    <cellStyle name="Comma 10 2 6 2" xfId="904"/>
    <cellStyle name="Comma 10 2 6 2 2" xfId="905"/>
    <cellStyle name="Comma 10 2 6 3" xfId="906"/>
    <cellStyle name="Comma 10 2 7" xfId="907"/>
    <cellStyle name="Comma 10 2 7 2" xfId="908"/>
    <cellStyle name="Comma 10 2 7 2 2" xfId="909"/>
    <cellStyle name="Comma 10 2 7 3" xfId="910"/>
    <cellStyle name="Comma 10 2 8" xfId="911"/>
    <cellStyle name="Comma 10 2 8 2" xfId="912"/>
    <cellStyle name="Comma 10 2 8 2 2" xfId="913"/>
    <cellStyle name="Comma 10 2 8 3" xfId="914"/>
    <cellStyle name="Comma 10 2 9" xfId="915"/>
    <cellStyle name="Comma 10 2 9 2" xfId="916"/>
    <cellStyle name="Comma 10 2 9 2 2" xfId="917"/>
    <cellStyle name="Comma 10 2 9 3" xfId="918"/>
    <cellStyle name="Comma 10 3" xfId="919"/>
    <cellStyle name="Comma 10 3 2" xfId="920"/>
    <cellStyle name="Comma 10 3 2 2" xfId="921"/>
    <cellStyle name="Comma 10 3 2 2 2" xfId="922"/>
    <cellStyle name="Comma 10 3 2 3" xfId="923"/>
    <cellStyle name="Comma 10 3 2 3 2" xfId="924"/>
    <cellStyle name="Comma 10 3 3" xfId="925"/>
    <cellStyle name="Comma 10 3 3 2" xfId="926"/>
    <cellStyle name="Comma 10 3 3 2 2" xfId="927"/>
    <cellStyle name="Comma 10 3 3 3" xfId="928"/>
    <cellStyle name="Comma 10 3 4" xfId="929"/>
    <cellStyle name="Comma 10 3 4 2" xfId="930"/>
    <cellStyle name="Comma 10 3 5" xfId="931"/>
    <cellStyle name="Comma 10 3 5 2" xfId="932"/>
    <cellStyle name="Comma 10 4" xfId="933"/>
    <cellStyle name="Comma 10 4 2" xfId="934"/>
    <cellStyle name="Comma 10 4 2 2" xfId="935"/>
    <cellStyle name="Comma 10 4 2 2 2" xfId="936"/>
    <cellStyle name="Comma 10 4 2 3" xfId="937"/>
    <cellStyle name="Comma 10 4 3" xfId="938"/>
    <cellStyle name="Comma 10 4 3 2" xfId="939"/>
    <cellStyle name="Comma 10 4 4" xfId="940"/>
    <cellStyle name="Comma 10 4 4 2" xfId="941"/>
    <cellStyle name="Comma 10 5" xfId="942"/>
    <cellStyle name="Comma 10 5 2" xfId="943"/>
    <cellStyle name="Comma 10 5 2 2" xfId="944"/>
    <cellStyle name="Comma 10 5 3" xfId="945"/>
    <cellStyle name="Comma 10 6" xfId="946"/>
    <cellStyle name="Comma 10 6 2" xfId="947"/>
    <cellStyle name="Comma 10 6 2 2" xfId="948"/>
    <cellStyle name="Comma 10 6 3" xfId="949"/>
    <cellStyle name="Comma 10 7" xfId="950"/>
    <cellStyle name="Comma 10 7 2" xfId="951"/>
    <cellStyle name="Comma 11" xfId="952"/>
    <cellStyle name="Comma 11 2" xfId="953"/>
    <cellStyle name="Comma 11 2 2" xfId="954"/>
    <cellStyle name="Comma 11 2 2 2" xfId="955"/>
    <cellStyle name="Comma 11 2 2 2 2" xfId="956"/>
    <cellStyle name="Comma 11 2 2 3" xfId="957"/>
    <cellStyle name="Comma 11 2 2 3 2" xfId="958"/>
    <cellStyle name="Comma 11 2 3" xfId="959"/>
    <cellStyle name="Comma 11 2 3 2" xfId="960"/>
    <cellStyle name="Comma 11 2 3 2 2" xfId="961"/>
    <cellStyle name="Comma 11 2 3 3" xfId="962"/>
    <cellStyle name="Comma 11 2 4" xfId="963"/>
    <cellStyle name="Comma 11 2 4 2" xfId="964"/>
    <cellStyle name="Comma 11 2 5" xfId="965"/>
    <cellStyle name="Comma 11 2 5 2" xfId="966"/>
    <cellStyle name="Comma 11 3" xfId="967"/>
    <cellStyle name="Comma 11 3 2" xfId="968"/>
    <cellStyle name="Comma 11 3 2 2" xfId="969"/>
    <cellStyle name="Comma 11 3 2 2 2" xfId="970"/>
    <cellStyle name="Comma 11 3 2 3" xfId="971"/>
    <cellStyle name="Comma 11 3 2 3 2" xfId="972"/>
    <cellStyle name="Comma 11 3 3" xfId="973"/>
    <cellStyle name="Comma 11 3 3 2" xfId="974"/>
    <cellStyle name="Comma 11 3 3 2 2" xfId="975"/>
    <cellStyle name="Comma 11 3 3 3" xfId="976"/>
    <cellStyle name="Comma 11 3 4" xfId="977"/>
    <cellStyle name="Comma 11 3 4 2" xfId="978"/>
    <cellStyle name="Comma 11 3 5" xfId="979"/>
    <cellStyle name="Comma 11 3 5 2" xfId="980"/>
    <cellStyle name="Comma 11 4" xfId="981"/>
    <cellStyle name="Comma 11 4 2" xfId="982"/>
    <cellStyle name="Comma 11 4 2 2" xfId="983"/>
    <cellStyle name="Comma 11 4 3" xfId="984"/>
    <cellStyle name="Comma 11 4 3 2" xfId="985"/>
    <cellStyle name="Comma 11 5" xfId="986"/>
    <cellStyle name="Comma 11 5 2" xfId="987"/>
    <cellStyle name="Comma 11 5 2 2" xfId="988"/>
    <cellStyle name="Comma 11 5 3" xfId="989"/>
    <cellStyle name="Comma 11 6" xfId="990"/>
    <cellStyle name="Comma 11 6 2" xfId="991"/>
    <cellStyle name="Comma 11 6 2 2" xfId="992"/>
    <cellStyle name="Comma 11 6 3" xfId="993"/>
    <cellStyle name="Comma 11 7" xfId="994"/>
    <cellStyle name="Comma 11 7 2" xfId="995"/>
    <cellStyle name="Comma 12" xfId="996"/>
    <cellStyle name="Comma 12 2" xfId="997"/>
    <cellStyle name="Comma 12 2 2" xfId="998"/>
    <cellStyle name="Comma 12 2 2 2" xfId="999"/>
    <cellStyle name="Comma 12 2 2 2 2" xfId="1000"/>
    <cellStyle name="Comma 12 2 2 3" xfId="1001"/>
    <cellStyle name="Comma 12 2 3" xfId="1002"/>
    <cellStyle name="Comma 12 2 4" xfId="1003"/>
    <cellStyle name="Comma 12 2 4 2" xfId="1004"/>
    <cellStyle name="Comma 12 3" xfId="1005"/>
    <cellStyle name="Comma 12 3 2" xfId="1006"/>
    <cellStyle name="Comma 12 3 2 2" xfId="1007"/>
    <cellStyle name="Comma 12 3 2 2 2" xfId="1008"/>
    <cellStyle name="Comma 12 3 2 3" xfId="1009"/>
    <cellStyle name="Comma 12 3 2 3 2" xfId="1010"/>
    <cellStyle name="Comma 12 3 3" xfId="1011"/>
    <cellStyle name="Comma 12 3 3 2" xfId="1012"/>
    <cellStyle name="Comma 12 3 4" xfId="1013"/>
    <cellStyle name="Comma 12 3 4 2" xfId="1014"/>
    <cellStyle name="Comma 12 4" xfId="1015"/>
    <cellStyle name="Comma 12 4 2" xfId="1016"/>
    <cellStyle name="Comma 12 4 2 2" xfId="1017"/>
    <cellStyle name="Comma 12 4 2 2 2" xfId="1018"/>
    <cellStyle name="Comma 12 4 2 3" xfId="1019"/>
    <cellStyle name="Comma 12 4 2 3 2" xfId="1020"/>
    <cellStyle name="Comma 12 4 3" xfId="1021"/>
    <cellStyle name="Comma 12 4 3 2" xfId="1022"/>
    <cellStyle name="Comma 12 4 4" xfId="1023"/>
    <cellStyle name="Comma 12 4 4 2" xfId="1024"/>
    <cellStyle name="Comma 12 5" xfId="1025"/>
    <cellStyle name="Comma 12 5 2" xfId="1026"/>
    <cellStyle name="Comma 12 5 2 2" xfId="1027"/>
    <cellStyle name="Comma 12 5 3" xfId="1028"/>
    <cellStyle name="Comma 12 5 3 2" xfId="1029"/>
    <cellStyle name="Comma 12 6" xfId="1030"/>
    <cellStyle name="Comma 12 6 2" xfId="1031"/>
    <cellStyle name="Comma 12 6 2 2" xfId="1032"/>
    <cellStyle name="Comma 12 6 3" xfId="1033"/>
    <cellStyle name="Comma 12 6 3 2" xfId="1034"/>
    <cellStyle name="Comma 12 6 4" xfId="1035"/>
    <cellStyle name="Comma 12 7" xfId="1036"/>
    <cellStyle name="Comma 12 7 2" xfId="1037"/>
    <cellStyle name="Comma 12 8" xfId="1038"/>
    <cellStyle name="Comma 12 8 2" xfId="1039"/>
    <cellStyle name="Comma 13" xfId="1040"/>
    <cellStyle name="Comma 13 2" xfId="1041"/>
    <cellStyle name="Comma 13 2 2" xfId="1042"/>
    <cellStyle name="Comma 13 2 2 2" xfId="1043"/>
    <cellStyle name="Comma 13 2 2 2 2" xfId="1044"/>
    <cellStyle name="Comma 13 2 2 3" xfId="1045"/>
    <cellStyle name="Comma 13 2 2 3 2" xfId="1046"/>
    <cellStyle name="Comma 13 2 3" xfId="1047"/>
    <cellStyle name="Comma 13 2 3 2" xfId="1048"/>
    <cellStyle name="Comma 13 2 4" xfId="1049"/>
    <cellStyle name="Comma 13 2 4 2" xfId="1050"/>
    <cellStyle name="Comma 13 3" xfId="1051"/>
    <cellStyle name="Comma 13 3 2" xfId="1052"/>
    <cellStyle name="Comma 13 3 2 2" xfId="1053"/>
    <cellStyle name="Comma 13 3 2 2 2" xfId="1054"/>
    <cellStyle name="Comma 13 3 2 3" xfId="1055"/>
    <cellStyle name="Comma 13 3 2 3 2" xfId="1056"/>
    <cellStyle name="Comma 13 3 3" xfId="1057"/>
    <cellStyle name="Comma 13 3 3 2" xfId="1058"/>
    <cellStyle name="Comma 13 3 4" xfId="1059"/>
    <cellStyle name="Comma 13 3 4 2" xfId="1060"/>
    <cellStyle name="Comma 13 4" xfId="1061"/>
    <cellStyle name="Comma 13 4 2" xfId="1062"/>
    <cellStyle name="Comma 13 4 2 2" xfId="1063"/>
    <cellStyle name="Comma 13 4 3" xfId="1064"/>
    <cellStyle name="Comma 13 4 3 2" xfId="1065"/>
    <cellStyle name="Comma 13 5" xfId="1066"/>
    <cellStyle name="Comma 13 5 2" xfId="1067"/>
    <cellStyle name="Comma 13 5 2 2" xfId="1068"/>
    <cellStyle name="Comma 13 5 3" xfId="1069"/>
    <cellStyle name="Comma 13 6" xfId="1070"/>
    <cellStyle name="Comma 13 7" xfId="1071"/>
    <cellStyle name="Comma 13 7 2" xfId="1072"/>
    <cellStyle name="Comma 14" xfId="1073"/>
    <cellStyle name="Comma 14 2" xfId="1074"/>
    <cellStyle name="Comma 14 2 2" xfId="1075"/>
    <cellStyle name="Comma 14 2 2 2" xfId="1076"/>
    <cellStyle name="Comma 14 2 2 2 2" xfId="1077"/>
    <cellStyle name="Comma 14 2 2 3" xfId="1078"/>
    <cellStyle name="Comma 14 2 2 3 2" xfId="1079"/>
    <cellStyle name="Comma 14 2 3" xfId="1080"/>
    <cellStyle name="Comma 14 2 3 2" xfId="1081"/>
    <cellStyle name="Comma 14 2 4" xfId="1082"/>
    <cellStyle name="Comma 14 2 4 2" xfId="1083"/>
    <cellStyle name="Comma 14 3" xfId="1084"/>
    <cellStyle name="Comma 14 3 2" xfId="1085"/>
    <cellStyle name="Comma 14 3 2 2" xfId="1086"/>
    <cellStyle name="Comma 14 3 2 2 2" xfId="1087"/>
    <cellStyle name="Comma 14 3 2 3" xfId="1088"/>
    <cellStyle name="Comma 14 3 2 3 2" xfId="1089"/>
    <cellStyle name="Comma 14 3 3" xfId="1090"/>
    <cellStyle name="Comma 14 3 3 2" xfId="1091"/>
    <cellStyle name="Comma 14 3 4" xfId="1092"/>
    <cellStyle name="Comma 14 3 4 2" xfId="1093"/>
    <cellStyle name="Comma 14 4" xfId="1094"/>
    <cellStyle name="Comma 14 4 2" xfId="1095"/>
    <cellStyle name="Comma 14 4 2 2" xfId="1096"/>
    <cellStyle name="Comma 14 4 3" xfId="1097"/>
    <cellStyle name="Comma 14 4 3 2" xfId="1098"/>
    <cellStyle name="Comma 14 5" xfId="1099"/>
    <cellStyle name="Comma 14 5 2" xfId="1100"/>
    <cellStyle name="Comma 14 5 2 2" xfId="1101"/>
    <cellStyle name="Comma 14 5 3" xfId="1102"/>
    <cellStyle name="Comma 14 6" xfId="1103"/>
    <cellStyle name="Comma 14 6 2" xfId="1104"/>
    <cellStyle name="Comma 14 7" xfId="1105"/>
    <cellStyle name="Comma 14 7 2" xfId="1106"/>
    <cellStyle name="Comma 15" xfId="1107"/>
    <cellStyle name="Comma 15 2" xfId="1108"/>
    <cellStyle name="Comma 15 2 2" xfId="1109"/>
    <cellStyle name="Comma 15 2 2 2" xfId="1110"/>
    <cellStyle name="Comma 15 2 2 2 2" xfId="1111"/>
    <cellStyle name="Comma 15 2 2 3" xfId="1112"/>
    <cellStyle name="Comma 15 2 2 3 2" xfId="1113"/>
    <cellStyle name="Comma 15 2 3" xfId="1114"/>
    <cellStyle name="Comma 15 2 3 2" xfId="1115"/>
    <cellStyle name="Comma 15 2 4" xfId="1116"/>
    <cellStyle name="Comma 15 2 4 2" xfId="1117"/>
    <cellStyle name="Comma 15 3" xfId="1118"/>
    <cellStyle name="Comma 15 3 2" xfId="1119"/>
    <cellStyle name="Comma 15 3 2 2" xfId="1120"/>
    <cellStyle name="Comma 15 3 2 2 2" xfId="1121"/>
    <cellStyle name="Comma 15 3 2 3" xfId="1122"/>
    <cellStyle name="Comma 15 3 2 3 2" xfId="1123"/>
    <cellStyle name="Comma 15 3 3" xfId="1124"/>
    <cellStyle name="Comma 15 3 3 2" xfId="1125"/>
    <cellStyle name="Comma 15 3 4" xfId="1126"/>
    <cellStyle name="Comma 15 3 4 2" xfId="1127"/>
    <cellStyle name="Comma 15 4" xfId="1128"/>
    <cellStyle name="Comma 15 4 2" xfId="1129"/>
    <cellStyle name="Comma 15 4 2 2" xfId="1130"/>
    <cellStyle name="Comma 15 4 3" xfId="1131"/>
    <cellStyle name="Comma 15 4 3 2" xfId="1132"/>
    <cellStyle name="Comma 15 5" xfId="1133"/>
    <cellStyle name="Comma 15 5 2" xfId="1134"/>
    <cellStyle name="Comma 15 6" xfId="1135"/>
    <cellStyle name="Comma 15 6 2" xfId="1136"/>
    <cellStyle name="Comma 16" xfId="1137"/>
    <cellStyle name="Comma 16 2" xfId="1138"/>
    <cellStyle name="Comma 16 2 2" xfId="1139"/>
    <cellStyle name="Comma 16 2 2 2" xfId="1140"/>
    <cellStyle name="Comma 16 2 2 2 2" xfId="1141"/>
    <cellStyle name="Comma 16 2 2 2 2 2" xfId="1142"/>
    <cellStyle name="Comma 16 2 2 2 3" xfId="1143"/>
    <cellStyle name="Comma 16 2 2 2 3 2" xfId="1144"/>
    <cellStyle name="Comma 16 2 2 3" xfId="1145"/>
    <cellStyle name="Comma 16 2 2 3 2" xfId="1146"/>
    <cellStyle name="Comma 16 2 2 4" xfId="1147"/>
    <cellStyle name="Comma 16 2 2 4 2" xfId="1148"/>
    <cellStyle name="Comma 16 2 3" xfId="1149"/>
    <cellStyle name="Comma 16 2 3 2" xfId="1150"/>
    <cellStyle name="Comma 16 2 3 2 2" xfId="1151"/>
    <cellStyle name="Comma 16 2 3 2 2 2" xfId="1152"/>
    <cellStyle name="Comma 16 2 3 2 3" xfId="1153"/>
    <cellStyle name="Comma 16 2 3 2 3 2" xfId="1154"/>
    <cellStyle name="Comma 16 2 3 3" xfId="1155"/>
    <cellStyle name="Comma 16 2 3 3 2" xfId="1156"/>
    <cellStyle name="Comma 16 2 3 4" xfId="1157"/>
    <cellStyle name="Comma 16 2 3 4 2" xfId="1158"/>
    <cellStyle name="Comma 16 2 4" xfId="1159"/>
    <cellStyle name="Comma 16 2 4 2" xfId="1160"/>
    <cellStyle name="Comma 16 2 4 2 2" xfId="1161"/>
    <cellStyle name="Comma 16 2 4 3" xfId="1162"/>
    <cellStyle name="Comma 16 2 4 3 2" xfId="1163"/>
    <cellStyle name="Comma 16 2 5" xfId="1164"/>
    <cellStyle name="Comma 16 2 5 2" xfId="1165"/>
    <cellStyle name="Comma 16 2 6" xfId="1166"/>
    <cellStyle name="Comma 16 2 6 2" xfId="1167"/>
    <cellStyle name="Comma 16 3" xfId="1168"/>
    <cellStyle name="Comma 16 3 2" xfId="1169"/>
    <cellStyle name="Comma 16 3 2 2" xfId="1170"/>
    <cellStyle name="Comma 16 3 2 2 2" xfId="1171"/>
    <cellStyle name="Comma 16 3 2 2 2 2" xfId="1172"/>
    <cellStyle name="Comma 16 3 2 2 3" xfId="1173"/>
    <cellStyle name="Comma 16 3 2 2 3 2" xfId="1174"/>
    <cellStyle name="Comma 16 3 2 3" xfId="1175"/>
    <cellStyle name="Comma 16 3 2 3 2" xfId="1176"/>
    <cellStyle name="Comma 16 3 2 4" xfId="1177"/>
    <cellStyle name="Comma 16 3 2 4 2" xfId="1178"/>
    <cellStyle name="Comma 16 3 3" xfId="1179"/>
    <cellStyle name="Comma 16 3 3 2" xfId="1180"/>
    <cellStyle name="Comma 16 3 3 2 2" xfId="1181"/>
    <cellStyle name="Comma 16 3 3 2 2 2" xfId="1182"/>
    <cellStyle name="Comma 16 3 3 2 3" xfId="1183"/>
    <cellStyle name="Comma 16 3 3 2 3 2" xfId="1184"/>
    <cellStyle name="Comma 16 3 3 3" xfId="1185"/>
    <cellStyle name="Comma 16 3 3 3 2" xfId="1186"/>
    <cellStyle name="Comma 16 3 3 4" xfId="1187"/>
    <cellStyle name="Comma 16 3 3 4 2" xfId="1188"/>
    <cellStyle name="Comma 16 3 4" xfId="1189"/>
    <cellStyle name="Comma 16 3 4 2" xfId="1190"/>
    <cellStyle name="Comma 16 3 4 2 2" xfId="1191"/>
    <cellStyle name="Comma 16 3 4 3" xfId="1192"/>
    <cellStyle name="Comma 16 3 4 3 2" xfId="1193"/>
    <cellStyle name="Comma 16 3 5" xfId="1194"/>
    <cellStyle name="Comma 16 3 5 2" xfId="1195"/>
    <cellStyle name="Comma 16 3 6" xfId="1196"/>
    <cellStyle name="Comma 16 3 6 2" xfId="1197"/>
    <cellStyle name="Comma 16 4" xfId="1198"/>
    <cellStyle name="Comma 16 4 2" xfId="1199"/>
    <cellStyle name="Comma 16 4 2 2" xfId="1200"/>
    <cellStyle name="Comma 16 4 2 2 2" xfId="1201"/>
    <cellStyle name="Comma 16 4 2 3" xfId="1202"/>
    <cellStyle name="Comma 16 4 2 3 2" xfId="1203"/>
    <cellStyle name="Comma 16 4 3" xfId="1204"/>
    <cellStyle name="Comma 16 4 3 2" xfId="1205"/>
    <cellStyle name="Comma 16 4 4" xfId="1206"/>
    <cellStyle name="Comma 16 4 4 2" xfId="1207"/>
    <cellStyle name="Comma 16 5" xfId="1208"/>
    <cellStyle name="Comma 16 5 2" xfId="1209"/>
    <cellStyle name="Comma 16 5 2 2" xfId="1210"/>
    <cellStyle name="Comma 16 5 2 2 2" xfId="1211"/>
    <cellStyle name="Comma 16 5 2 3" xfId="1212"/>
    <cellStyle name="Comma 16 5 2 3 2" xfId="1213"/>
    <cellStyle name="Comma 16 5 3" xfId="1214"/>
    <cellStyle name="Comma 16 5 3 2" xfId="1215"/>
    <cellStyle name="Comma 16 5 4" xfId="1216"/>
    <cellStyle name="Comma 16 5 4 2" xfId="1217"/>
    <cellStyle name="Comma 16 6" xfId="1218"/>
    <cellStyle name="Comma 16 6 2" xfId="1219"/>
    <cellStyle name="Comma 16 6 2 2" xfId="1220"/>
    <cellStyle name="Comma 16 6 3" xfId="1221"/>
    <cellStyle name="Comma 16 6 3 2" xfId="1222"/>
    <cellStyle name="Comma 16 7" xfId="1223"/>
    <cellStyle name="Comma 16 7 2" xfId="1224"/>
    <cellStyle name="Comma 16 7 2 2" xfId="1225"/>
    <cellStyle name="Comma 16 7 3" xfId="1226"/>
    <cellStyle name="Comma 16 7 3 2" xfId="1227"/>
    <cellStyle name="Comma 16 7 4" xfId="1228"/>
    <cellStyle name="Comma 16 8" xfId="1229"/>
    <cellStyle name="Comma 16 8 2" xfId="1230"/>
    <cellStyle name="Comma 16 9" xfId="1231"/>
    <cellStyle name="Comma 16 9 2" xfId="1232"/>
    <cellStyle name="Comma 17" xfId="1233"/>
    <cellStyle name="Comma 17 2" xfId="1234"/>
    <cellStyle name="Comma 17 2 2" xfId="1235"/>
    <cellStyle name="Comma 17 2 2 2" xfId="1236"/>
    <cellStyle name="Comma 17 2 2 2 2" xfId="1237"/>
    <cellStyle name="Comma 17 2 2 3" xfId="1238"/>
    <cellStyle name="Comma 17 2 2 3 2" xfId="1239"/>
    <cellStyle name="Comma 17 2 3" xfId="1240"/>
    <cellStyle name="Comma 17 2 3 2" xfId="1241"/>
    <cellStyle name="Comma 17 2 4" xfId="1242"/>
    <cellStyle name="Comma 17 2 4 2" xfId="1243"/>
    <cellStyle name="Comma 17 3" xfId="1244"/>
    <cellStyle name="Comma 17 3 2" xfId="1245"/>
    <cellStyle name="Comma 17 3 2 2" xfId="1246"/>
    <cellStyle name="Comma 17 3 2 2 2" xfId="1247"/>
    <cellStyle name="Comma 17 3 2 3" xfId="1248"/>
    <cellStyle name="Comma 17 3 2 3 2" xfId="1249"/>
    <cellStyle name="Comma 17 3 3" xfId="1250"/>
    <cellStyle name="Comma 17 3 3 2" xfId="1251"/>
    <cellStyle name="Comma 17 3 4" xfId="1252"/>
    <cellStyle name="Comma 17 3 4 2" xfId="1253"/>
    <cellStyle name="Comma 17 4" xfId="1254"/>
    <cellStyle name="Comma 17 4 2" xfId="1255"/>
    <cellStyle name="Comma 17 4 2 2" xfId="1256"/>
    <cellStyle name="Comma 17 4 3" xfId="1257"/>
    <cellStyle name="Comma 17 4 3 2" xfId="1258"/>
    <cellStyle name="Comma 17 5" xfId="1259"/>
    <cellStyle name="Comma 17 5 2" xfId="1260"/>
    <cellStyle name="Comma 17 6" xfId="1261"/>
    <cellStyle name="Comma 17 6 2" xfId="1262"/>
    <cellStyle name="Comma 17 8" xfId="1263"/>
    <cellStyle name="Comma 17 8 2" xfId="1264"/>
    <cellStyle name="Comma 17 8 2 2" xfId="1265"/>
    <cellStyle name="Comma 17 8 3" xfId="1266"/>
    <cellStyle name="Comma 18" xfId="1267"/>
    <cellStyle name="Comma 18 2" xfId="1268"/>
    <cellStyle name="Comma 18 2 2" xfId="1269"/>
    <cellStyle name="Comma 18 2 2 2" xfId="1270"/>
    <cellStyle name="Comma 18 2 2 2 2" xfId="1271"/>
    <cellStyle name="Comma 18 2 2 3" xfId="1272"/>
    <cellStyle name="Comma 18 2 2 3 2" xfId="1273"/>
    <cellStyle name="Comma 18 2 3" xfId="1274"/>
    <cellStyle name="Comma 18 2 3 2" xfId="1275"/>
    <cellStyle name="Comma 18 2 4" xfId="1276"/>
    <cellStyle name="Comma 18 2 4 2" xfId="1277"/>
    <cellStyle name="Comma 18 3" xfId="1278"/>
    <cellStyle name="Comma 18 3 2" xfId="1279"/>
    <cellStyle name="Comma 18 3 2 2" xfId="1280"/>
    <cellStyle name="Comma 18 3 2 2 2" xfId="1281"/>
    <cellStyle name="Comma 18 3 2 3" xfId="1282"/>
    <cellStyle name="Comma 18 3 2 3 2" xfId="1283"/>
    <cellStyle name="Comma 18 3 3" xfId="1284"/>
    <cellStyle name="Comma 18 3 3 2" xfId="1285"/>
    <cellStyle name="Comma 18 3 4" xfId="1286"/>
    <cellStyle name="Comma 18 3 4 2" xfId="1287"/>
    <cellStyle name="Comma 18 4" xfId="1288"/>
    <cellStyle name="Comma 18 4 2" xfId="1289"/>
    <cellStyle name="Comma 18 4 2 2" xfId="1290"/>
    <cellStyle name="Comma 18 4 3" xfId="1291"/>
    <cellStyle name="Comma 18 4 3 2" xfId="1292"/>
    <cellStyle name="Comma 18 5" xfId="1293"/>
    <cellStyle name="Comma 18 5 2" xfId="1294"/>
    <cellStyle name="Comma 18 6" xfId="1295"/>
    <cellStyle name="Comma 18 6 2" xfId="1296"/>
    <cellStyle name="Comma 19" xfId="1297"/>
    <cellStyle name="Comma 19 2" xfId="1298"/>
    <cellStyle name="Comma 19 2 2" xfId="1299"/>
    <cellStyle name="Comma 19 2 2 2" xfId="1300"/>
    <cellStyle name="Comma 19 2 2 2 2" xfId="1301"/>
    <cellStyle name="Comma 19 2 2 3" xfId="1302"/>
    <cellStyle name="Comma 19 2 2 3 2" xfId="1303"/>
    <cellStyle name="Comma 19 2 3" xfId="1304"/>
    <cellStyle name="Comma 19 2 3 2" xfId="1305"/>
    <cellStyle name="Comma 19 2 4" xfId="1306"/>
    <cellStyle name="Comma 19 2 4 2" xfId="1307"/>
    <cellStyle name="Comma 19 3" xfId="1308"/>
    <cellStyle name="Comma 19 3 2" xfId="1309"/>
    <cellStyle name="Comma 19 3 2 2" xfId="1310"/>
    <cellStyle name="Comma 19 3 2 2 2" xfId="1311"/>
    <cellStyle name="Comma 19 3 2 3" xfId="1312"/>
    <cellStyle name="Comma 19 3 2 3 2" xfId="1313"/>
    <cellStyle name="Comma 19 3 3" xfId="1314"/>
    <cellStyle name="Comma 19 3 3 2" xfId="1315"/>
    <cellStyle name="Comma 19 3 4" xfId="1316"/>
    <cellStyle name="Comma 19 3 4 2" xfId="1317"/>
    <cellStyle name="Comma 19 4" xfId="1318"/>
    <cellStyle name="Comma 19 4 2" xfId="1319"/>
    <cellStyle name="Comma 19 4 2 2" xfId="1320"/>
    <cellStyle name="Comma 19 4 3" xfId="1321"/>
    <cellStyle name="Comma 19 4 3 2" xfId="1322"/>
    <cellStyle name="Comma 19 5" xfId="1323"/>
    <cellStyle name="Comma 19 5 2" xfId="1324"/>
    <cellStyle name="Comma 19 6" xfId="1325"/>
    <cellStyle name="Comma 19 6 2" xfId="1326"/>
    <cellStyle name="Comma 2" xfId="1327"/>
    <cellStyle name="Comma 2 10" xfId="1328"/>
    <cellStyle name="Comma 2 10 2" xfId="1329"/>
    <cellStyle name="Comma 2 10 2 2" xfId="1330"/>
    <cellStyle name="Comma 2 10 3" xfId="1331"/>
    <cellStyle name="Comma 2 10 3 2" xfId="1332"/>
    <cellStyle name="Comma 2 11" xfId="1333"/>
    <cellStyle name="Comma 2 11 2" xfId="1334"/>
    <cellStyle name="Comma 2 11 2 2" xfId="1335"/>
    <cellStyle name="Comma 2 11 3" xfId="1336"/>
    <cellStyle name="Comma 2 11 3 2" xfId="1337"/>
    <cellStyle name="Comma 2 12" xfId="1338"/>
    <cellStyle name="Comma 2 12 2" xfId="1339"/>
    <cellStyle name="Comma 2 12 2 2" xfId="1340"/>
    <cellStyle name="Comma 2 13" xfId="1341"/>
    <cellStyle name="Comma 2 13 2" xfId="1342"/>
    <cellStyle name="Comma 2 13 2 2" xfId="1343"/>
    <cellStyle name="Comma 2 13 3" xfId="1344"/>
    <cellStyle name="Comma 2 14" xfId="1345"/>
    <cellStyle name="Comma 2 14 2" xfId="1346"/>
    <cellStyle name="Comma 2 2" xfId="1347"/>
    <cellStyle name="Comma 2 2 10" xfId="1348"/>
    <cellStyle name="Comma 2 2 10 2" xfId="1349"/>
    <cellStyle name="Comma 2 2 10 2 2" xfId="1350"/>
    <cellStyle name="Comma 2 2 10 3" xfId="1351"/>
    <cellStyle name="Comma 2 2 10 3 2" xfId="1352"/>
    <cellStyle name="Comma 2 2 10 4" xfId="1353"/>
    <cellStyle name="Comma 2 2 11" xfId="1354"/>
    <cellStyle name="Comma 2 2 11 2" xfId="1355"/>
    <cellStyle name="Comma 2 2 11 2 2" xfId="1356"/>
    <cellStyle name="Comma 2 2 11 3" xfId="1357"/>
    <cellStyle name="Comma 2 2 2" xfId="1358"/>
    <cellStyle name="Comma 2 2 2 10" xfId="1359"/>
    <cellStyle name="Comma 2 2 2 10 2" xfId="1360"/>
    <cellStyle name="Comma 2 2 2 2" xfId="1361"/>
    <cellStyle name="Comma 2 2 2 2 2" xfId="1362"/>
    <cellStyle name="Comma 2 2 2 2 2 2" xfId="1363"/>
    <cellStyle name="Comma 2 2 2 2 2 2 2" xfId="1364"/>
    <cellStyle name="Comma 2 2 2 2 2 2 2 2" xfId="1365"/>
    <cellStyle name="Comma 2 2 2 2 2 2 3" xfId="1366"/>
    <cellStyle name="Comma 2 2 2 2 2 2 3 2" xfId="1367"/>
    <cellStyle name="Comma 2 2 2 2 2 3" xfId="1368"/>
    <cellStyle name="Comma 2 2 2 2 2 3 2" xfId="1369"/>
    <cellStyle name="Comma 2 2 2 2 2 3 2 2" xfId="1370"/>
    <cellStyle name="Comma 2 2 2 2 2 3 3" xfId="1371"/>
    <cellStyle name="Comma 2 2 2 2 2 4" xfId="1372"/>
    <cellStyle name="Comma 2 2 2 2 2 4 2" xfId="1373"/>
    <cellStyle name="Comma 2 2 2 2 2 5" xfId="1374"/>
    <cellStyle name="Comma 2 2 2 2 2 5 2" xfId="1375"/>
    <cellStyle name="Comma 2 2 2 2 3" xfId="1376"/>
    <cellStyle name="Comma 2 2 2 2 3 2" xfId="1377"/>
    <cellStyle name="Comma 2 2 2 2 3 2 2" xfId="1378"/>
    <cellStyle name="Comma 2 2 2 2 3 3" xfId="1379"/>
    <cellStyle name="Comma 2 2 2 2 3 3 2" xfId="1380"/>
    <cellStyle name="Comma 2 2 2 2 4" xfId="1381"/>
    <cellStyle name="Comma 2 2 2 2 4 2" xfId="1382"/>
    <cellStyle name="Comma 2 2 2 2 4 2 2" xfId="1383"/>
    <cellStyle name="Comma 2 2 2 2 4 3" xfId="1384"/>
    <cellStyle name="Comma 2 2 2 2 4 3 2" xfId="1385"/>
    <cellStyle name="Comma 2 2 2 2 5" xfId="1386"/>
    <cellStyle name="Comma 2 2 2 2 5 2" xfId="1387"/>
    <cellStyle name="Comma 2 2 2 2 5 2 2" xfId="1388"/>
    <cellStyle name="Comma 2 2 2 2 5 3" xfId="1389"/>
    <cellStyle name="Comma 2 2 2 2 5 3 2" xfId="1390"/>
    <cellStyle name="Comma 2 2 2 2 6" xfId="1391"/>
    <cellStyle name="Comma 2 2 2 2 6 2" xfId="1392"/>
    <cellStyle name="Comma 2 2 2 2 6 2 2" xfId="1393"/>
    <cellStyle name="Comma 2 2 2 2 6 3" xfId="1394"/>
    <cellStyle name="Comma 2 2 2 2 7" xfId="1395"/>
    <cellStyle name="Comma 2 2 2 2 7 2" xfId="1396"/>
    <cellStyle name="Comma 2 2 2 2 7 2 2" xfId="1397"/>
    <cellStyle name="Comma 2 2 2 2 7 3" xfId="1398"/>
    <cellStyle name="Comma 2 2 2 2 8" xfId="1399"/>
    <cellStyle name="Comma 2 2 2 2 8 2" xfId="1400"/>
    <cellStyle name="Comma 2 2 2 2_1" xfId="1401"/>
    <cellStyle name="Comma 2 2 2 3" xfId="1402"/>
    <cellStyle name="Comma 2 2 2 3 2" xfId="1403"/>
    <cellStyle name="Comma 2 2 2 3 2 2" xfId="1404"/>
    <cellStyle name="Comma 2 2 2 3 2 2 2" xfId="1405"/>
    <cellStyle name="Comma 2 2 2 3 2 3" xfId="1406"/>
    <cellStyle name="Comma 2 2 2 3 2 3 2" xfId="1407"/>
    <cellStyle name="Comma 2 2 2 3 3" xfId="1408"/>
    <cellStyle name="Comma 2 2 2 3 3 2" xfId="1409"/>
    <cellStyle name="Comma 2 2 2 3 3 2 2" xfId="1410"/>
    <cellStyle name="Comma 2 2 2 3 3 3" xfId="1411"/>
    <cellStyle name="Comma 2 2 2 3 4" xfId="1412"/>
    <cellStyle name="Comma 2 2 2 3 4 2" xfId="1413"/>
    <cellStyle name="Comma 2 2 2 3 5" xfId="1414"/>
    <cellStyle name="Comma 2 2 2 3 5 2" xfId="1415"/>
    <cellStyle name="Comma 2 2 2 4" xfId="1416"/>
    <cellStyle name="Comma 2 2 2 4 2" xfId="1417"/>
    <cellStyle name="Comma 2 2 2 4 2 2" xfId="1418"/>
    <cellStyle name="Comma 2 2 2 4 2 2 2" xfId="1419"/>
    <cellStyle name="Comma 2 2 2 4 2 3" xfId="1420"/>
    <cellStyle name="Comma 2 2 2 4 3" xfId="1421"/>
    <cellStyle name="Comma 2 2 2 4 3 2" xfId="1422"/>
    <cellStyle name="Comma 2 2 2 4 4" xfId="1423"/>
    <cellStyle name="Comma 2 2 2 4 4 2" xfId="1424"/>
    <cellStyle name="Comma 2 2 2 5" xfId="1425"/>
    <cellStyle name="Comma 2 2 2 5 2" xfId="1426"/>
    <cellStyle name="Comma 2 2 2 5 2 2" xfId="1427"/>
    <cellStyle name="Comma 2 2 2 5 3" xfId="1428"/>
    <cellStyle name="Comma 2 2 2 5 3 2" xfId="1429"/>
    <cellStyle name="Comma 2 2 2 6" xfId="1430"/>
    <cellStyle name="Comma 2 2 2 6 2" xfId="1431"/>
    <cellStyle name="Comma 2 2 2 6 2 2" xfId="1432"/>
    <cellStyle name="Comma 2 2 2 6 3" xfId="1433"/>
    <cellStyle name="Comma 2 2 2 6 3 2" xfId="1434"/>
    <cellStyle name="Comma 2 2 2 7" xfId="1435"/>
    <cellStyle name="Comma 2 2 2 7 2" xfId="1436"/>
    <cellStyle name="Comma 2 2 2 7 2 2" xfId="1437"/>
    <cellStyle name="Comma 2 2 2 7 3" xfId="1438"/>
    <cellStyle name="Comma 2 2 2 7 3 2" xfId="1439"/>
    <cellStyle name="Comma 2 2 2 8" xfId="1440"/>
    <cellStyle name="Comma 2 2 2 8 2" xfId="1441"/>
    <cellStyle name="Comma 2 2 2 8 2 2" xfId="1442"/>
    <cellStyle name="Comma 2 2 2 8 3" xfId="1443"/>
    <cellStyle name="Comma 2 2 2 9" xfId="1444"/>
    <cellStyle name="Comma 2 2 2 9 2" xfId="1445"/>
    <cellStyle name="Comma 2 2 2 9 2 2" xfId="1446"/>
    <cellStyle name="Comma 2 2 2 9 3" xfId="1447"/>
    <cellStyle name="Comma 2 2 2_1" xfId="1448"/>
    <cellStyle name="Comma 2 2 3" xfId="1449"/>
    <cellStyle name="Comma 2 2 3 10" xfId="1450"/>
    <cellStyle name="Comma 2 2 3 10 2" xfId="1451"/>
    <cellStyle name="Comma 2 2 3 10 2 2" xfId="1452"/>
    <cellStyle name="Comma 2 2 3 10 3" xfId="1453"/>
    <cellStyle name="Comma 2 2 3 11" xfId="1454"/>
    <cellStyle name="Comma 2 2 3 11 2" xfId="1455"/>
    <cellStyle name="Comma 2 2 3 11 2 2" xfId="1456"/>
    <cellStyle name="Comma 2 2 3 11 3" xfId="1457"/>
    <cellStyle name="Comma 2 2 3 2" xfId="1458"/>
    <cellStyle name="Comma 2 2 3 2 10" xfId="1459"/>
    <cellStyle name="Comma 2 2 3 2 10 2" xfId="1460"/>
    <cellStyle name="Comma 2 2 3 2 2" xfId="1461"/>
    <cellStyle name="Comma 2 2 3 2 2 2" xfId="1462"/>
    <cellStyle name="Comma 2 2 3 2 2 2 2" xfId="1463"/>
    <cellStyle name="Comma 2 2 3 2 2 2 2 2" xfId="1464"/>
    <cellStyle name="Comma 2 2 3 2 2 2 2 2 2" xfId="1465"/>
    <cellStyle name="Comma 2 2 3 2 2 2 2 3" xfId="1466"/>
    <cellStyle name="Comma 2 2 3 2 2 2 2 3 2" xfId="1467"/>
    <cellStyle name="Comma 2 2 3 2 2 2 3" xfId="1468"/>
    <cellStyle name="Comma 2 2 3 2 2 2 3 2" xfId="1469"/>
    <cellStyle name="Comma 2 2 3 2 2 2 4" xfId="1470"/>
    <cellStyle name="Comma 2 2 3 2 2 2 4 2" xfId="1471"/>
    <cellStyle name="Comma 2 2 3 2 2 3" xfId="1472"/>
    <cellStyle name="Comma 2 2 3 2 2 3 2" xfId="1473"/>
    <cellStyle name="Comma 2 2 3 2 2 3 2 2" xfId="1474"/>
    <cellStyle name="Comma 2 2 3 2 2 3 3" xfId="1475"/>
    <cellStyle name="Comma 2 2 3 2 2 3 3 2" xfId="1476"/>
    <cellStyle name="Comma 2 2 3 2 2 4" xfId="1477"/>
    <cellStyle name="Comma 2 2 3 2 2 4 2" xfId="1478"/>
    <cellStyle name="Comma 2 2 3 2 2 5" xfId="1479"/>
    <cellStyle name="Comma 2 2 3 2 2 5 2" xfId="1480"/>
    <cellStyle name="Comma 2 2 3 2 2_1" xfId="1481"/>
    <cellStyle name="Comma 2 2 3 2 3" xfId="1482"/>
    <cellStyle name="Comma 2 2 3 2 3 2" xfId="1483"/>
    <cellStyle name="Comma 2 2 3 2 3 2 2" xfId="1484"/>
    <cellStyle name="Comma 2 2 3 2 3 3" xfId="1485"/>
    <cellStyle name="Comma 2 2 3 2 3 3 2" xfId="1486"/>
    <cellStyle name="Comma 2 2 3 2 4" xfId="1487"/>
    <cellStyle name="Comma 2 2 3 2 4 2" xfId="1488"/>
    <cellStyle name="Comma 2 2 3 2 4 2 2" xfId="1489"/>
    <cellStyle name="Comma 2 2 3 2 4 3" xfId="1490"/>
    <cellStyle name="Comma 2 2 3 2 5" xfId="1491"/>
    <cellStyle name="Comma 2 2 3 2 5 2" xfId="1492"/>
    <cellStyle name="Comma 2 2 3 2 6" xfId="1493"/>
    <cellStyle name="Comma 2 2 3 2 6 2" xfId="1494"/>
    <cellStyle name="Comma 2 2 3 2 7" xfId="1495"/>
    <cellStyle name="Comma 2 2 3 2 7 2" xfId="1496"/>
    <cellStyle name="Comma 2 2 3 2 8" xfId="1497"/>
    <cellStyle name="Comma 2 2 3 2 8 2" xfId="1498"/>
    <cellStyle name="Comma 2 2 3 2 9" xfId="1499"/>
    <cellStyle name="Comma 2 2 3 2 9 2" xfId="1500"/>
    <cellStyle name="Comma 2 2 3 2_1" xfId="1501"/>
    <cellStyle name="Comma 2 2 3 3" xfId="1502"/>
    <cellStyle name="Comma 2 2 3 3 2" xfId="1503"/>
    <cellStyle name="Comma 2 2 3 3 2 2" xfId="1504"/>
    <cellStyle name="Comma 2 2 3 3 2 2 2" xfId="1505"/>
    <cellStyle name="Comma 2 2 3 3 2 2 2 2" xfId="1506"/>
    <cellStyle name="Comma 2 2 3 3 2 2 3" xfId="1507"/>
    <cellStyle name="Comma 2 2 3 3 2 2 3 2" xfId="1508"/>
    <cellStyle name="Comma 2 2 3 3 2 3" xfId="1509"/>
    <cellStyle name="Comma 2 2 3 3 2 3 2" xfId="1510"/>
    <cellStyle name="Comma 2 2 3 3 2 4" xfId="1511"/>
    <cellStyle name="Comma 2 2 3 3 2 4 2" xfId="1512"/>
    <cellStyle name="Comma 2 2 3 3 3" xfId="1513"/>
    <cellStyle name="Comma 2 2 3 3 3 2" xfId="1514"/>
    <cellStyle name="Comma 2 2 3 3 3 2 2" xfId="1515"/>
    <cellStyle name="Comma 2 2 3 3 3 3" xfId="1516"/>
    <cellStyle name="Comma 2 2 3 3 3 3 2" xfId="1517"/>
    <cellStyle name="Comma 2 2 3 3 4" xfId="1518"/>
    <cellStyle name="Comma 2 2 3 3 4 2" xfId="1519"/>
    <cellStyle name="Comma 2 2 3 3 4 2 2" xfId="1520"/>
    <cellStyle name="Comma 2 2 3 3 4 3" xfId="1521"/>
    <cellStyle name="Comma 2 2 3 3 5" xfId="1522"/>
    <cellStyle name="Comma 2 2 3 3 5 2" xfId="1523"/>
    <cellStyle name="Comma 2 2 3 3 6" xfId="1524"/>
    <cellStyle name="Comma 2 2 3 3 6 2" xfId="1525"/>
    <cellStyle name="Comma 2 2 3 3_1" xfId="1526"/>
    <cellStyle name="Comma 2 2 3 4" xfId="1527"/>
    <cellStyle name="Comma 2 2 3 4 2" xfId="1528"/>
    <cellStyle name="Comma 2 2 3 4 2 2" xfId="1529"/>
    <cellStyle name="Comma 2 2 3 4 2 2 2" xfId="1530"/>
    <cellStyle name="Comma 2 2 3 4 2 3" xfId="1531"/>
    <cellStyle name="Comma 2 2 3 4 2 3 2" xfId="1532"/>
    <cellStyle name="Comma 2 2 3 4 3" xfId="1533"/>
    <cellStyle name="Comma 2 2 3 4 3 2" xfId="1534"/>
    <cellStyle name="Comma 2 2 3 4 4" xfId="1535"/>
    <cellStyle name="Comma 2 2 3 4 4 2" xfId="1536"/>
    <cellStyle name="Comma 2 2 3 5" xfId="1537"/>
    <cellStyle name="Comma 2 2 3 5 2" xfId="1538"/>
    <cellStyle name="Comma 2 2 3 5 2 2" xfId="1539"/>
    <cellStyle name="Comma 2 2 3 5 3" xfId="1540"/>
    <cellStyle name="Comma 2 2 3 5 3 2" xfId="1541"/>
    <cellStyle name="Comma 2 2 3 6" xfId="1542"/>
    <cellStyle name="Comma 2 2 3 6 2" xfId="1543"/>
    <cellStyle name="Comma 2 2 3 6 2 2" xfId="1544"/>
    <cellStyle name="Comma 2 2 3 6 3" xfId="1545"/>
    <cellStyle name="Comma 2 2 3 6 3 2" xfId="1546"/>
    <cellStyle name="Comma 2 2 3 7" xfId="1547"/>
    <cellStyle name="Comma 2 2 3 7 2" xfId="1548"/>
    <cellStyle name="Comma 2 2 3 7 2 2" xfId="1549"/>
    <cellStyle name="Comma 2 2 3 7 3" xfId="1550"/>
    <cellStyle name="Comma 2 2 3 7 3 2" xfId="1551"/>
    <cellStyle name="Comma 2 2 3 8" xfId="1552"/>
    <cellStyle name="Comma 2 2 3 8 2" xfId="1553"/>
    <cellStyle name="Comma 2 2 3 8 2 2" xfId="1554"/>
    <cellStyle name="Comma 2 2 3 9" xfId="1555"/>
    <cellStyle name="Comma 2 2 3 9 2" xfId="1556"/>
    <cellStyle name="Comma 2 2 3 9 2 2" xfId="1557"/>
    <cellStyle name="Comma 2 2 3 9 3" xfId="1558"/>
    <cellStyle name="Comma 2 2 3_1" xfId="1559"/>
    <cellStyle name="Comma 2 2 4" xfId="1560"/>
    <cellStyle name="Comma 2 2 4 2" xfId="1561"/>
    <cellStyle name="Comma 2 2 4 2 2" xfId="1562"/>
    <cellStyle name="Comma 2 2 4 2 2 2" xfId="1563"/>
    <cellStyle name="Comma 2 2 4 2 2 2 2" xfId="1564"/>
    <cellStyle name="Comma 2 2 4 2 2 3" xfId="1565"/>
    <cellStyle name="Comma 2 2 4 2 2 3 2" xfId="1566"/>
    <cellStyle name="Comma 2 2 4 2 3" xfId="1567"/>
    <cellStyle name="Comma 2 2 4 2 3 2" xfId="1568"/>
    <cellStyle name="Comma 2 2 4 2 3 2 2" xfId="1569"/>
    <cellStyle name="Comma 2 2 4 2 3 3" xfId="1570"/>
    <cellStyle name="Comma 2 2 4 2 4" xfId="1571"/>
    <cellStyle name="Comma 2 2 4 2 4 2" xfId="1572"/>
    <cellStyle name="Comma 2 2 4 2 5" xfId="1573"/>
    <cellStyle name="Comma 2 2 4 2 5 2" xfId="1574"/>
    <cellStyle name="Comma 2 2 4 3" xfId="1575"/>
    <cellStyle name="Comma 2 2 4 3 2" xfId="1576"/>
    <cellStyle name="Comma 2 2 4 3 2 2" xfId="1577"/>
    <cellStyle name="Comma 2 2 4 3 2 2 2" xfId="1578"/>
    <cellStyle name="Comma 2 2 4 3 2 3" xfId="1579"/>
    <cellStyle name="Comma 2 2 4 3 3" xfId="1580"/>
    <cellStyle name="Comma 2 2 4 3 3 2" xfId="1581"/>
    <cellStyle name="Comma 2 2 4 3 4" xfId="1582"/>
    <cellStyle name="Comma 2 2 4 3 4 2" xfId="1583"/>
    <cellStyle name="Comma 2 2 4 4" xfId="1584"/>
    <cellStyle name="Comma 2 2 4 4 2" xfId="1585"/>
    <cellStyle name="Comma 2 2 4 4 2 2" xfId="1586"/>
    <cellStyle name="Comma 2 2 4 4 3" xfId="1587"/>
    <cellStyle name="Comma 2 2 4 4 3 2" xfId="1588"/>
    <cellStyle name="Comma 2 2 4 5" xfId="1589"/>
    <cellStyle name="Comma 2 2 4 5 2" xfId="1590"/>
    <cellStyle name="Comma 2 2 4 5 2 2" xfId="1591"/>
    <cellStyle name="Comma 2 2 4 5 3" xfId="1592"/>
    <cellStyle name="Comma 2 2 4 5 3 2" xfId="1593"/>
    <cellStyle name="Comma 2 2 4 6" xfId="1594"/>
    <cellStyle name="Comma 2 2 4 6 2" xfId="1595"/>
    <cellStyle name="Comma 2 2 4 6 2 2" xfId="1596"/>
    <cellStyle name="Comma 2 2 4 7" xfId="1597"/>
    <cellStyle name="Comma 2 2 4 7 2" xfId="1598"/>
    <cellStyle name="Comma 2 2 4 7 2 2" xfId="1599"/>
    <cellStyle name="Comma 2 2 4 7 3" xfId="1600"/>
    <cellStyle name="Comma 2 2 4_1" xfId="1601"/>
    <cellStyle name="Comma 2 2 5" xfId="1602"/>
    <cellStyle name="Comma 2 2 5 2" xfId="1603"/>
    <cellStyle name="Comma 2 2 5 2 2" xfId="1604"/>
    <cellStyle name="Comma 2 2 5 2 2 2" xfId="1605"/>
    <cellStyle name="Comma 2 2 5 2 3" xfId="1606"/>
    <cellStyle name="Comma 2 2 5 2 3 2" xfId="1607"/>
    <cellStyle name="Comma 2 2 5 3" xfId="1608"/>
    <cellStyle name="Comma 2 2 5 3 2" xfId="1609"/>
    <cellStyle name="Comma 2 2 5 3 2 2" xfId="1610"/>
    <cellStyle name="Comma 2 2 5 3 3" xfId="1611"/>
    <cellStyle name="Comma 2 2 5 4" xfId="1612"/>
    <cellStyle name="Comma 2 2 5 4 2" xfId="1613"/>
    <cellStyle name="Comma 2 2 5 5" xfId="1614"/>
    <cellStyle name="Comma 2 2 5 5 2" xfId="1615"/>
    <cellStyle name="Comma 2 2 6" xfId="1616"/>
    <cellStyle name="Comma 2 2 6 2" xfId="1617"/>
    <cellStyle name="Comma 2 2 6 2 2" xfId="1618"/>
    <cellStyle name="Comma 2 2 7" xfId="1619"/>
    <cellStyle name="Comma 2 2 7 2" xfId="1620"/>
    <cellStyle name="Comma 2 2 7 2 2" xfId="1621"/>
    <cellStyle name="Comma 2 2 8" xfId="1622"/>
    <cellStyle name="Comma 2 2 8 2" xfId="1623"/>
    <cellStyle name="Comma 2 2 8 2 2" xfId="1624"/>
    <cellStyle name="Comma 2 2 8 3" xfId="1625"/>
    <cellStyle name="Comma 2 2 8 3 2" xfId="1626"/>
    <cellStyle name="Comma 2 2 9" xfId="1627"/>
    <cellStyle name="Comma 2 2 9 2" xfId="1628"/>
    <cellStyle name="Comma 2 2 9 2 2" xfId="1629"/>
    <cellStyle name="Comma 2 2_1" xfId="1630"/>
    <cellStyle name="Comma 2 3" xfId="1631"/>
    <cellStyle name="Comma 2 3 10" xfId="1632"/>
    <cellStyle name="Comma 2 3 10 2" xfId="1633"/>
    <cellStyle name="Comma 2 3 10 2 2" xfId="1634"/>
    <cellStyle name="Comma 2 3 10 3" xfId="1635"/>
    <cellStyle name="Comma 2 3 11" xfId="1636"/>
    <cellStyle name="Comma 2 3 11 2" xfId="1637"/>
    <cellStyle name="Comma 2 3 2" xfId="1638"/>
    <cellStyle name="Comma 2 3 2 2" xfId="1639"/>
    <cellStyle name="Comma 2 3 2 2 2" xfId="1640"/>
    <cellStyle name="Comma 2 3 2 2 2 2" xfId="1641"/>
    <cellStyle name="Comma 2 3 2 2 2 2 2" xfId="1642"/>
    <cellStyle name="Comma 2 3 2 2 2 3" xfId="1643"/>
    <cellStyle name="Comma 2 3 2 2 2 3 2" xfId="1644"/>
    <cellStyle name="Comma 2 3 2 2 3" xfId="1645"/>
    <cellStyle name="Comma 2 3 2 2 3 2" xfId="1646"/>
    <cellStyle name="Comma 2 3 2 2 3 2 2" xfId="1647"/>
    <cellStyle name="Comma 2 3 2 2 3 3" xfId="1648"/>
    <cellStyle name="Comma 2 3 2 2 3 3 2" xfId="1649"/>
    <cellStyle name="Comma 2 3 2 2 4" xfId="1650"/>
    <cellStyle name="Comma 2 3 2 2 4 2" xfId="1651"/>
    <cellStyle name="Comma 2 3 2 2 4 2 2" xfId="1652"/>
    <cellStyle name="Comma 2 3 2 2 4 3" xfId="1653"/>
    <cellStyle name="Comma 2 3 2 2 4 3 2" xfId="1654"/>
    <cellStyle name="Comma 2 3 2 2 5" xfId="1655"/>
    <cellStyle name="Comma 2 3 2 2 5 2" xfId="1656"/>
    <cellStyle name="Comma 2 3 2 2 5 2 2" xfId="1657"/>
    <cellStyle name="Comma 2 3 2 2 5 3" xfId="1658"/>
    <cellStyle name="Comma 2 3 2 2 6" xfId="1659"/>
    <cellStyle name="Comma 2 3 2 2 6 2" xfId="1660"/>
    <cellStyle name="Comma 2 3 2 2 7" xfId="1661"/>
    <cellStyle name="Comma 2 3 2 2 7 2" xfId="1662"/>
    <cellStyle name="Comma 2 3 2 3" xfId="1663"/>
    <cellStyle name="Comma 2 3 2 3 2" xfId="1664"/>
    <cellStyle name="Comma 2 3 2 3 2 2" xfId="1665"/>
    <cellStyle name="Comma 2 3 2 3 2 2 2" xfId="1666"/>
    <cellStyle name="Comma 2 3 2 3 2 3" xfId="1667"/>
    <cellStyle name="Comma 2 3 2 3 2 3 2" xfId="1668"/>
    <cellStyle name="Comma 2 3 2 3 3" xfId="1669"/>
    <cellStyle name="Comma 2 3 2 3 3 2" xfId="1670"/>
    <cellStyle name="Comma 2 3 2 3 3 2 2" xfId="1671"/>
    <cellStyle name="Comma 2 3 2 3 3 3" xfId="1672"/>
    <cellStyle name="Comma 2 3 2 3 3 3 2" xfId="1673"/>
    <cellStyle name="Comma 2 3 2 3 4" xfId="1674"/>
    <cellStyle name="Comma 2 3 2 3 4 2" xfId="1675"/>
    <cellStyle name="Comma 2 3 2 3 4 2 2" xfId="1676"/>
    <cellStyle name="Comma 2 3 2 3 4 3" xfId="1677"/>
    <cellStyle name="Comma 2 3 2 3 5" xfId="1678"/>
    <cellStyle name="Comma 2 3 2 3 5 2" xfId="1679"/>
    <cellStyle name="Comma 2 3 2 3 6" xfId="1680"/>
    <cellStyle name="Comma 2 3 2 3 6 2" xfId="1681"/>
    <cellStyle name="Comma 2 3 2 4" xfId="1682"/>
    <cellStyle name="Comma 2 3 2 4 2" xfId="1683"/>
    <cellStyle name="Comma 2 3 2 4 2 2" xfId="1684"/>
    <cellStyle name="Comma 2 3 2 4 3" xfId="1685"/>
    <cellStyle name="Comma 2 3 2 4 3 2" xfId="1686"/>
    <cellStyle name="Comma 2 3 2 5" xfId="1687"/>
    <cellStyle name="Comma 2 3 2 5 2" xfId="1688"/>
    <cellStyle name="Comma 2 3 2 5 2 2" xfId="1689"/>
    <cellStyle name="Comma 2 3 2 5 3" xfId="1690"/>
    <cellStyle name="Comma 2 3 2 5 3 2" xfId="1691"/>
    <cellStyle name="Comma 2 3 2 6" xfId="1692"/>
    <cellStyle name="Comma 2 3 2 6 2" xfId="1693"/>
    <cellStyle name="Comma 2 3 2 6 2 2" xfId="1694"/>
    <cellStyle name="Comma 2 3 2 6 3" xfId="1695"/>
    <cellStyle name="Comma 2 3 2 7" xfId="1696"/>
    <cellStyle name="Comma 2 3 2 7 2" xfId="1697"/>
    <cellStyle name="Comma 2 3 2 7 2 2" xfId="1698"/>
    <cellStyle name="Comma 2 3 2 7 3" xfId="1699"/>
    <cellStyle name="Comma 2 3 2 8" xfId="1700"/>
    <cellStyle name="Comma 2 3 2 8 2" xfId="1701"/>
    <cellStyle name="Comma 2 3 2_1" xfId="1702"/>
    <cellStyle name="Comma 2 3 3" xfId="1703"/>
    <cellStyle name="Comma 2 3 3 2" xfId="1704"/>
    <cellStyle name="Comma 2 3 3 2 2" xfId="1705"/>
    <cellStyle name="Comma 2 3 3 2 2 2" xfId="1706"/>
    <cellStyle name="Comma 2 3 3 2 2 2 2" xfId="1707"/>
    <cellStyle name="Comma 2 3 3 2 2 3" xfId="1708"/>
    <cellStyle name="Comma 2 3 3 2 2 3 2" xfId="1709"/>
    <cellStyle name="Comma 2 3 3 2 3" xfId="1710"/>
    <cellStyle name="Comma 2 3 3 2 3 2" xfId="1711"/>
    <cellStyle name="Comma 2 3 3 2 3 2 2" xfId="1712"/>
    <cellStyle name="Comma 2 3 3 2 3 3" xfId="1713"/>
    <cellStyle name="Comma 2 3 3 2 3 3 2" xfId="1714"/>
    <cellStyle name="Comma 2 3 3 2 4" xfId="1715"/>
    <cellStyle name="Comma 2 3 3 2 4 2" xfId="1716"/>
    <cellStyle name="Comma 2 3 3 2 5" xfId="1717"/>
    <cellStyle name="Comma 2 3 3 2 5 2" xfId="1718"/>
    <cellStyle name="Comma 2 3 3 3" xfId="1719"/>
    <cellStyle name="Comma 2 3 3 3 2" xfId="1720"/>
    <cellStyle name="Comma 2 3 3 3 2 2" xfId="1721"/>
    <cellStyle name="Comma 2 3 3 3 2 2 2" xfId="1722"/>
    <cellStyle name="Comma 2 3 3 3 2 3" xfId="1723"/>
    <cellStyle name="Comma 2 3 3 3 2 3 2" xfId="1724"/>
    <cellStyle name="Comma 2 3 3 3 3" xfId="1725"/>
    <cellStyle name="Comma 2 3 3 3 3 2" xfId="1726"/>
    <cellStyle name="Comma 2 3 3 3 4" xfId="1727"/>
    <cellStyle name="Comma 2 3 3 3 4 2" xfId="1728"/>
    <cellStyle name="Comma 2 3 3 4" xfId="1729"/>
    <cellStyle name="Comma 2 3 3 4 2" xfId="1730"/>
    <cellStyle name="Comma 2 3 3 4 2 2" xfId="1731"/>
    <cellStyle name="Comma 2 3 3 4 3" xfId="1732"/>
    <cellStyle name="Comma 2 3 3 4 3 2" xfId="1733"/>
    <cellStyle name="Comma 2 3 3 5" xfId="1734"/>
    <cellStyle name="Comma 2 3 3 5 2" xfId="1735"/>
    <cellStyle name="Comma 2 3 3 5 2 2" xfId="1736"/>
    <cellStyle name="Comma 2 3 3 5 3" xfId="1737"/>
    <cellStyle name="Comma 2 3 3 5 3 2" xfId="1738"/>
    <cellStyle name="Comma 2 3 3 6" xfId="1739"/>
    <cellStyle name="Comma 2 3 3 6 2" xfId="1740"/>
    <cellStyle name="Comma 2 3 3 6 2 2" xfId="1741"/>
    <cellStyle name="Comma 2 3 3 6 3" xfId="1742"/>
    <cellStyle name="Comma 2 3 3 7" xfId="1743"/>
    <cellStyle name="Comma 2 3 3 7 2" xfId="1744"/>
    <cellStyle name="Comma 2 3 3 8" xfId="1745"/>
    <cellStyle name="Comma 2 3 3 8 2" xfId="1746"/>
    <cellStyle name="Comma 2 3 4" xfId="1747"/>
    <cellStyle name="Comma 2 3 4 2" xfId="1748"/>
    <cellStyle name="Comma 2 3 4 2 2" xfId="1749"/>
    <cellStyle name="Comma 2 3 4 2 2 2" xfId="1750"/>
    <cellStyle name="Comma 2 3 4 2 3" xfId="1751"/>
    <cellStyle name="Comma 2 3 4 2 3 2" xfId="1752"/>
    <cellStyle name="Comma 2 3 4 3" xfId="1753"/>
    <cellStyle name="Comma 2 3 4 3 2" xfId="1754"/>
    <cellStyle name="Comma 2 3 4 3 2 2" xfId="1755"/>
    <cellStyle name="Comma 2 3 4 3 3" xfId="1756"/>
    <cellStyle name="Comma 2 3 4 3 3 2" xfId="1757"/>
    <cellStyle name="Comma 2 3 4 4" xfId="1758"/>
    <cellStyle name="Comma 2 3 4 4 2" xfId="1759"/>
    <cellStyle name="Comma 2 3 4 4 2 2" xfId="1760"/>
    <cellStyle name="Comma 2 3 4 4 3" xfId="1761"/>
    <cellStyle name="Comma 2 3 4 4 3 2" xfId="1762"/>
    <cellStyle name="Comma 2 3 4 5" xfId="1763"/>
    <cellStyle name="Comma 2 3 4 5 2" xfId="1764"/>
    <cellStyle name="Comma 2 3 4 5 2 2" xfId="1765"/>
    <cellStyle name="Comma 2 3 4 5 3" xfId="1766"/>
    <cellStyle name="Comma 2 3 4 6" xfId="1767"/>
    <cellStyle name="Comma 2 3 4 6 2" xfId="1768"/>
    <cellStyle name="Comma 2 3 4 7" xfId="1769"/>
    <cellStyle name="Comma 2 3 4 7 2" xfId="1770"/>
    <cellStyle name="Comma 2 3 5" xfId="1771"/>
    <cellStyle name="Comma 2 3 5 2" xfId="1772"/>
    <cellStyle name="Comma 2 3 5 2 2" xfId="1773"/>
    <cellStyle name="Comma 2 3 5 2 2 2" xfId="1774"/>
    <cellStyle name="Comma 2 3 5 2 3" xfId="1775"/>
    <cellStyle name="Comma 2 3 5 2 3 2" xfId="1776"/>
    <cellStyle name="Comma 2 3 5 3" xfId="1777"/>
    <cellStyle name="Comma 2 3 5 3 2" xfId="1778"/>
    <cellStyle name="Comma 2 3 5 3 2 2" xfId="1779"/>
    <cellStyle name="Comma 2 3 5 3 3" xfId="1780"/>
    <cellStyle name="Comma 2 3 5 3 3 2" xfId="1781"/>
    <cellStyle name="Comma 2 3 5 4" xfId="1782"/>
    <cellStyle name="Comma 2 3 5 4 2" xfId="1783"/>
    <cellStyle name="Comma 2 3 5 5" xfId="1784"/>
    <cellStyle name="Comma 2 3 5 5 2" xfId="1785"/>
    <cellStyle name="Comma 2 3 6" xfId="1786"/>
    <cellStyle name="Comma 2 3 6 2" xfId="1787"/>
    <cellStyle name="Comma 2 3 6 2 2" xfId="1788"/>
    <cellStyle name="Comma 2 3 6 3" xfId="1789"/>
    <cellStyle name="Comma 2 3 6 3 2" xfId="1790"/>
    <cellStyle name="Comma 2 3 7" xfId="1791"/>
    <cellStyle name="Comma 2 3 7 2" xfId="1792"/>
    <cellStyle name="Comma 2 3 7 2 2" xfId="1793"/>
    <cellStyle name="Comma 2 3 7 3" xfId="1794"/>
    <cellStyle name="Comma 2 3 7 3 2" xfId="1795"/>
    <cellStyle name="Comma 2 3 8" xfId="1796"/>
    <cellStyle name="Comma 2 3 8 2" xfId="1797"/>
    <cellStyle name="Comma 2 3 8 2 2" xfId="1798"/>
    <cellStyle name="Comma 2 3 8 3" xfId="1799"/>
    <cellStyle name="Comma 2 3 8 3 2" xfId="1800"/>
    <cellStyle name="Comma 2 3 9" xfId="1801"/>
    <cellStyle name="Comma 2 3 9 2" xfId="1802"/>
    <cellStyle name="Comma 2 3 9 2 2" xfId="1803"/>
    <cellStyle name="Comma 2 3 9 3" xfId="1804"/>
    <cellStyle name="Comma 2 3_1" xfId="1805"/>
    <cellStyle name="Comma 2 4" xfId="1806"/>
    <cellStyle name="Comma 2 4 10" xfId="1807"/>
    <cellStyle name="Comma 2 4 10 2" xfId="1808"/>
    <cellStyle name="Comma 2 4 2" xfId="1809"/>
    <cellStyle name="Comma 2 4 2 2" xfId="1810"/>
    <cellStyle name="Comma 2 4 2 2 2" xfId="1811"/>
    <cellStyle name="Comma 2 4 2 2 2 2" xfId="1812"/>
    <cellStyle name="Comma 2 4 2 2 3" xfId="1813"/>
    <cellStyle name="Comma 2 4 2 2 3 2" xfId="1814"/>
    <cellStyle name="Comma 2 4 2 3" xfId="1815"/>
    <cellStyle name="Comma 2 4 2 3 2" xfId="1816"/>
    <cellStyle name="Comma 2 4 2 3 2 2" xfId="1817"/>
    <cellStyle name="Comma 2 4 2 3 3" xfId="1818"/>
    <cellStyle name="Comma 2 4 2 3 3 2" xfId="1819"/>
    <cellStyle name="Comma 2 4 2 4" xfId="1820"/>
    <cellStyle name="Comma 2 4 2 4 2" xfId="1821"/>
    <cellStyle name="Comma 2 4 2 4 2 2" xfId="1822"/>
    <cellStyle name="Comma 2 4 2 4 3" xfId="1823"/>
    <cellStyle name="Comma 2 4 2 4 3 2" xfId="1824"/>
    <cellStyle name="Comma 2 4 2 5" xfId="1825"/>
    <cellStyle name="Comma 2 4 2 5 2" xfId="1826"/>
    <cellStyle name="Comma 2 4 2 5 2 2" xfId="1827"/>
    <cellStyle name="Comma 2 4 2 5 3" xfId="1828"/>
    <cellStyle name="Comma 2 4 2 6" xfId="1829"/>
    <cellStyle name="Comma 2 4 2 6 2" xfId="1830"/>
    <cellStyle name="Comma 2 4 2 7" xfId="1831"/>
    <cellStyle name="Comma 2 4 2 7 2" xfId="1832"/>
    <cellStyle name="Comma 2 4 3" xfId="1833"/>
    <cellStyle name="Comma 2 4 3 2" xfId="1834"/>
    <cellStyle name="Comma 2 4 3 2 2" xfId="1835"/>
    <cellStyle name="Comma 2 4 3 2 2 2" xfId="1836"/>
    <cellStyle name="Comma 2 4 3 2 3" xfId="1837"/>
    <cellStyle name="Comma 2 4 3 3" xfId="1838"/>
    <cellStyle name="Comma 2 4 3 3 2" xfId="1839"/>
    <cellStyle name="Comma 2 4 3 4" xfId="1840"/>
    <cellStyle name="Comma 2 4 3 4 2" xfId="1841"/>
    <cellStyle name="Comma 2 4 4" xfId="1842"/>
    <cellStyle name="Comma 2 4 4 2" xfId="1843"/>
    <cellStyle name="Comma 2 4 4 2 2" xfId="1844"/>
    <cellStyle name="Comma 2 4 4 2 2 2" xfId="1845"/>
    <cellStyle name="Comma 2 4 4 2 3" xfId="1846"/>
    <cellStyle name="Comma 2 4 4 3" xfId="1847"/>
    <cellStyle name="Comma 2 4 4 3 2" xfId="1848"/>
    <cellStyle name="Comma 2 4 4 4" xfId="1849"/>
    <cellStyle name="Comma 2 4 4 4 2" xfId="1850"/>
    <cellStyle name="Comma 2 4 5" xfId="1851"/>
    <cellStyle name="Comma 2 4 5 2" xfId="1852"/>
    <cellStyle name="Comma 2 4 5 2 2" xfId="1853"/>
    <cellStyle name="Comma 2 4 6" xfId="1854"/>
    <cellStyle name="Comma 2 4 6 2" xfId="1855"/>
    <cellStyle name="Comma 2 4 6 2 2" xfId="1856"/>
    <cellStyle name="Comma 2 4 6 3" xfId="1857"/>
    <cellStyle name="Comma 2 4 6 3 2" xfId="1858"/>
    <cellStyle name="Comma 2 4 7" xfId="1859"/>
    <cellStyle name="Comma 2 4 7 2" xfId="1860"/>
    <cellStyle name="Comma 2 4 7 2 2" xfId="1861"/>
    <cellStyle name="Comma 2 4 7 3" xfId="1862"/>
    <cellStyle name="Comma 2 4 8" xfId="1863"/>
    <cellStyle name="Comma 2 4 8 2" xfId="1864"/>
    <cellStyle name="Comma 2 4 8 2 2" xfId="1865"/>
    <cellStyle name="Comma 2 4 8 3" xfId="1866"/>
    <cellStyle name="Comma 2 4 9" xfId="1867"/>
    <cellStyle name="Comma 2 4 9 2" xfId="1868"/>
    <cellStyle name="Comma 2 4_1" xfId="1869"/>
    <cellStyle name="Comma 2 5" xfId="1870"/>
    <cellStyle name="Comma 2 5 2" xfId="1871"/>
    <cellStyle name="Comma 2 5 2 2" xfId="1872"/>
    <cellStyle name="Comma 2 5 2 2 2" xfId="1873"/>
    <cellStyle name="Comma 2 5 2 3" xfId="1874"/>
    <cellStyle name="Comma 2 5 2 3 2" xfId="1875"/>
    <cellStyle name="Comma 2 5 3" xfId="1876"/>
    <cellStyle name="Comma 2 5 3 2" xfId="1877"/>
    <cellStyle name="Comma 2 5 3 2 2" xfId="1878"/>
    <cellStyle name="Comma 2 5 3 3" xfId="1879"/>
    <cellStyle name="Comma 2 5 3 3 2" xfId="1880"/>
    <cellStyle name="Comma 2 5 4" xfId="1881"/>
    <cellStyle name="Comma 2 5 4 2" xfId="1882"/>
    <cellStyle name="Comma 2 5 4 2 2" xfId="1883"/>
    <cellStyle name="Comma 2 5 4 3" xfId="1884"/>
    <cellStyle name="Comma 2 5 4 3 2" xfId="1885"/>
    <cellStyle name="Comma 2 5 5" xfId="1886"/>
    <cellStyle name="Comma 2 5 5 2" xfId="1887"/>
    <cellStyle name="Comma 2 5 5 2 2" xfId="1888"/>
    <cellStyle name="Comma 2 5 5 3" xfId="1889"/>
    <cellStyle name="Comma 2 5 6" xfId="1890"/>
    <cellStyle name="Comma 2 5 6 2" xfId="1891"/>
    <cellStyle name="Comma 2 5 6 2 2" xfId="1892"/>
    <cellStyle name="Comma 2 5 6 3" xfId="1893"/>
    <cellStyle name="Comma 2 5 7" xfId="1894"/>
    <cellStyle name="Comma 2 5 7 2" xfId="1895"/>
    <cellStyle name="Comma 2 6" xfId="1896"/>
    <cellStyle name="Comma 2 6 2" xfId="1897"/>
    <cellStyle name="Comma 2 6 2 2" xfId="1898"/>
    <cellStyle name="Comma 2 6 2 2 2" xfId="1899"/>
    <cellStyle name="Comma 2 6 3" xfId="1900"/>
    <cellStyle name="Comma 2 6 3 2" xfId="1901"/>
    <cellStyle name="Comma 2 6 3 2 2" xfId="1902"/>
    <cellStyle name="Comma 2 6 3 3" xfId="1903"/>
    <cellStyle name="Comma 2 6 4" xfId="1904"/>
    <cellStyle name="Comma 2 7" xfId="1905"/>
    <cellStyle name="Comma 2 7 2" xfId="1906"/>
    <cellStyle name="Comma 2 7 2 2" xfId="1907"/>
    <cellStyle name="Comma 2 7 2 2 2" xfId="1908"/>
    <cellStyle name="Comma 2 7 3" xfId="1909"/>
    <cellStyle name="Comma 2 7 3 2" xfId="1910"/>
    <cellStyle name="Comma 2 7 3 2 2" xfId="1911"/>
    <cellStyle name="Comma 2 7 3 3" xfId="1912"/>
    <cellStyle name="Comma 2 7 4" xfId="1913"/>
    <cellStyle name="Comma 2 7 4 2" xfId="1914"/>
    <cellStyle name="Comma 2 8" xfId="1915"/>
    <cellStyle name="Comma 2 8 2" xfId="1916"/>
    <cellStyle name="Comma 2 8 2 2" xfId="1917"/>
    <cellStyle name="Comma 2 8 2 2 2" xfId="1918"/>
    <cellStyle name="Comma 2 8 3" xfId="1919"/>
    <cellStyle name="Comma 2 8 3 2" xfId="1920"/>
    <cellStyle name="Comma 2 9" xfId="1921"/>
    <cellStyle name="Comma 2 9 2" xfId="1922"/>
    <cellStyle name="Comma 2 9 2 2" xfId="1923"/>
    <cellStyle name="Comma 2 9 2 2 2" xfId="1924"/>
    <cellStyle name="Comma 2 9 2 3" xfId="1925"/>
    <cellStyle name="Comma 2 9 2 3 2" xfId="1926"/>
    <cellStyle name="Comma 2 9 3" xfId="1927"/>
    <cellStyle name="Comma 2 9 3 2" xfId="1928"/>
    <cellStyle name="Comma 2 9 3 2 2" xfId="1929"/>
    <cellStyle name="Comma 2 9 3 3" xfId="1930"/>
    <cellStyle name="Comma 2 9 4" xfId="1931"/>
    <cellStyle name="Comma 2 9 4 2" xfId="1932"/>
    <cellStyle name="Comma 2 9 5" xfId="1933"/>
    <cellStyle name="Comma 2 9 5 2" xfId="1934"/>
    <cellStyle name="Comma 2_1" xfId="1935"/>
    <cellStyle name="Comma 20" xfId="1936"/>
    <cellStyle name="Comma 20 2" xfId="1937"/>
    <cellStyle name="Comma 20 2 2" xfId="1938"/>
    <cellStyle name="Comma 20 2 2 2" xfId="1939"/>
    <cellStyle name="Comma 20 2 2 2 2" xfId="1940"/>
    <cellStyle name="Comma 20 2 2 3" xfId="1941"/>
    <cellStyle name="Comma 20 2 2 3 2" xfId="1942"/>
    <cellStyle name="Comma 20 2 3" xfId="1943"/>
    <cellStyle name="Comma 20 2 3 2" xfId="1944"/>
    <cellStyle name="Comma 20 2 4" xfId="1945"/>
    <cellStyle name="Comma 20 2 4 2" xfId="1946"/>
    <cellStyle name="Comma 20 3" xfId="1947"/>
    <cellStyle name="Comma 20 3 2" xfId="1948"/>
    <cellStyle name="Comma 20 3 2 2" xfId="1949"/>
    <cellStyle name="Comma 20 3 2 2 2" xfId="1950"/>
    <cellStyle name="Comma 20 3 2 3" xfId="1951"/>
    <cellStyle name="Comma 20 3 2 3 2" xfId="1952"/>
    <cellStyle name="Comma 20 3 3" xfId="1953"/>
    <cellStyle name="Comma 20 3 3 2" xfId="1954"/>
    <cellStyle name="Comma 20 3 4" xfId="1955"/>
    <cellStyle name="Comma 20 3 4 2" xfId="1956"/>
    <cellStyle name="Comma 20 4" xfId="1957"/>
    <cellStyle name="Comma 20 4 2" xfId="1958"/>
    <cellStyle name="Comma 20 4 2 2" xfId="1959"/>
    <cellStyle name="Comma 20 4 3" xfId="1960"/>
    <cellStyle name="Comma 20 4 3 2" xfId="1961"/>
    <cellStyle name="Comma 20 5" xfId="1962"/>
    <cellStyle name="Comma 20 5 2" xfId="1963"/>
    <cellStyle name="Comma 20 6" xfId="1964"/>
    <cellStyle name="Comma 20 6 2" xfId="1965"/>
    <cellStyle name="Comma 21" xfId="1966"/>
    <cellStyle name="Comma 21 2" xfId="1967"/>
    <cellStyle name="Comma 21 2 2" xfId="1968"/>
    <cellStyle name="Comma 21 2 2 2" xfId="1969"/>
    <cellStyle name="Comma 21 2 2 2 2" xfId="1970"/>
    <cellStyle name="Comma 21 2 2 3" xfId="1971"/>
    <cellStyle name="Comma 21 2 2 3 2" xfId="1972"/>
    <cellStyle name="Comma 21 2 3" xfId="1973"/>
    <cellStyle name="Comma 21 2 3 2" xfId="1974"/>
    <cellStyle name="Comma 21 2 4" xfId="1975"/>
    <cellStyle name="Comma 21 2 4 2" xfId="1976"/>
    <cellStyle name="Comma 21 3" xfId="1977"/>
    <cellStyle name="Comma 21 3 2" xfId="1978"/>
    <cellStyle name="Comma 21 3 2 2" xfId="1979"/>
    <cellStyle name="Comma 21 3 2 2 2" xfId="1980"/>
    <cellStyle name="Comma 21 3 2 3" xfId="1981"/>
    <cellStyle name="Comma 21 3 2 3 2" xfId="1982"/>
    <cellStyle name="Comma 21 3 3" xfId="1983"/>
    <cellStyle name="Comma 21 3 3 2" xfId="1984"/>
    <cellStyle name="Comma 21 3 4" xfId="1985"/>
    <cellStyle name="Comma 21 3 4 2" xfId="1986"/>
    <cellStyle name="Comma 21 4" xfId="1987"/>
    <cellStyle name="Comma 21 4 2" xfId="1988"/>
    <cellStyle name="Comma 21 4 2 2" xfId="1989"/>
    <cellStyle name="Comma 21 4 3" xfId="1990"/>
    <cellStyle name="Comma 21 4 3 2" xfId="1991"/>
    <cellStyle name="Comma 21 5" xfId="1992"/>
    <cellStyle name="Comma 21 5 2" xfId="1993"/>
    <cellStyle name="Comma 21 6" xfId="1994"/>
    <cellStyle name="Comma 21 6 2" xfId="1995"/>
    <cellStyle name="Comma 22" xfId="1996"/>
    <cellStyle name="Comma 22 2" xfId="1997"/>
    <cellStyle name="Comma 22 2 2" xfId="1998"/>
    <cellStyle name="Comma 22 2 2 2" xfId="1999"/>
    <cellStyle name="Comma 22 2 2 2 2" xfId="2000"/>
    <cellStyle name="Comma 22 2 2 3" xfId="2001"/>
    <cellStyle name="Comma 22 2 2 3 2" xfId="2002"/>
    <cellStyle name="Comma 22 2 3" xfId="2003"/>
    <cellStyle name="Comma 22 2 3 2" xfId="2004"/>
    <cellStyle name="Comma 22 2 4" xfId="2005"/>
    <cellStyle name="Comma 22 2 4 2" xfId="2006"/>
    <cellStyle name="Comma 22 3" xfId="2007"/>
    <cellStyle name="Comma 22 3 2" xfId="2008"/>
    <cellStyle name="Comma 22 3 2 2" xfId="2009"/>
    <cellStyle name="Comma 22 3 2 2 2" xfId="2010"/>
    <cellStyle name="Comma 22 3 2 3" xfId="2011"/>
    <cellStyle name="Comma 22 3 2 3 2" xfId="2012"/>
    <cellStyle name="Comma 22 3 3" xfId="2013"/>
    <cellStyle name="Comma 22 3 3 2" xfId="2014"/>
    <cellStyle name="Comma 22 3 4" xfId="2015"/>
    <cellStyle name="Comma 22 3 4 2" xfId="2016"/>
    <cellStyle name="Comma 22 4" xfId="2017"/>
    <cellStyle name="Comma 22 4 2" xfId="2018"/>
    <cellStyle name="Comma 22 4 2 2" xfId="2019"/>
    <cellStyle name="Comma 22 4 3" xfId="2020"/>
    <cellStyle name="Comma 22 4 3 2" xfId="2021"/>
    <cellStyle name="Comma 22 5" xfId="2022"/>
    <cellStyle name="Comma 22 5 2" xfId="2023"/>
    <cellStyle name="Comma 22 6" xfId="2024"/>
    <cellStyle name="Comma 22 6 2" xfId="2025"/>
    <cellStyle name="Comma 23" xfId="2026"/>
    <cellStyle name="Comma 23 2" xfId="2027"/>
    <cellStyle name="Comma 23 2 2" xfId="2028"/>
    <cellStyle name="Comma 23 2 2 2" xfId="2029"/>
    <cellStyle name="Comma 23 2 2 2 2" xfId="2030"/>
    <cellStyle name="Comma 23 2 2 3" xfId="2031"/>
    <cellStyle name="Comma 23 2 2 3 2" xfId="2032"/>
    <cellStyle name="Comma 23 2 3" xfId="2033"/>
    <cellStyle name="Comma 23 2 3 2" xfId="2034"/>
    <cellStyle name="Comma 23 2 4" xfId="2035"/>
    <cellStyle name="Comma 23 2 4 2" xfId="2036"/>
    <cellStyle name="Comma 23 3" xfId="2037"/>
    <cellStyle name="Comma 23 3 2" xfId="2038"/>
    <cellStyle name="Comma 23 3 2 2" xfId="2039"/>
    <cellStyle name="Comma 23 3 2 2 2" xfId="2040"/>
    <cellStyle name="Comma 23 3 2 3" xfId="2041"/>
    <cellStyle name="Comma 23 3 2 3 2" xfId="2042"/>
    <cellStyle name="Comma 23 3 3" xfId="2043"/>
    <cellStyle name="Comma 23 3 3 2" xfId="2044"/>
    <cellStyle name="Comma 23 3 4" xfId="2045"/>
    <cellStyle name="Comma 23 3 4 2" xfId="2046"/>
    <cellStyle name="Comma 23 4" xfId="2047"/>
    <cellStyle name="Comma 23 4 2" xfId="2048"/>
    <cellStyle name="Comma 23 4 2 2" xfId="2049"/>
    <cellStyle name="Comma 23 4 3" xfId="2050"/>
    <cellStyle name="Comma 23 4 3 2" xfId="2051"/>
    <cellStyle name="Comma 23 5" xfId="2052"/>
    <cellStyle name="Comma 23 5 2" xfId="2053"/>
    <cellStyle name="Comma 23 6" xfId="2054"/>
    <cellStyle name="Comma 23 6 2" xfId="2055"/>
    <cellStyle name="Comma 24" xfId="2056"/>
    <cellStyle name="Comma 24 2" xfId="2057"/>
    <cellStyle name="Comma 24 2 2" xfId="2058"/>
    <cellStyle name="Comma 24 2 2 2" xfId="2059"/>
    <cellStyle name="Comma 24 2 2 2 2" xfId="2060"/>
    <cellStyle name="Comma 24 2 2 3" xfId="2061"/>
    <cellStyle name="Comma 24 2 2 3 2" xfId="2062"/>
    <cellStyle name="Comma 24 2 3" xfId="2063"/>
    <cellStyle name="Comma 24 2 3 2" xfId="2064"/>
    <cellStyle name="Comma 24 2 4" xfId="2065"/>
    <cellStyle name="Comma 24 2 4 2" xfId="2066"/>
    <cellStyle name="Comma 24 3" xfId="2067"/>
    <cellStyle name="Comma 24 3 2" xfId="2068"/>
    <cellStyle name="Comma 24 3 2 2" xfId="2069"/>
    <cellStyle name="Comma 24 3 2 2 2" xfId="2070"/>
    <cellStyle name="Comma 24 3 2 3" xfId="2071"/>
    <cellStyle name="Comma 24 3 2 3 2" xfId="2072"/>
    <cellStyle name="Comma 24 3 3" xfId="2073"/>
    <cellStyle name="Comma 24 3 3 2" xfId="2074"/>
    <cellStyle name="Comma 24 3 4" xfId="2075"/>
    <cellStyle name="Comma 24 3 4 2" xfId="2076"/>
    <cellStyle name="Comma 24 4" xfId="2077"/>
    <cellStyle name="Comma 24 4 2" xfId="2078"/>
    <cellStyle name="Comma 24 4 2 2" xfId="2079"/>
    <cellStyle name="Comma 24 4 3" xfId="2080"/>
    <cellStyle name="Comma 24 4 3 2" xfId="2081"/>
    <cellStyle name="Comma 24 5" xfId="2082"/>
    <cellStyle name="Comma 24 5 2" xfId="2083"/>
    <cellStyle name="Comma 24 6" xfId="2084"/>
    <cellStyle name="Comma 24 6 2" xfId="2085"/>
    <cellStyle name="Comma 25" xfId="2086"/>
    <cellStyle name="Comma 25 2" xfId="2087"/>
    <cellStyle name="Comma 25 2 2" xfId="2088"/>
    <cellStyle name="Comma 25 2 2 2" xfId="2089"/>
    <cellStyle name="Comma 25 2 2 2 2" xfId="2090"/>
    <cellStyle name="Comma 25 2 2 3" xfId="2091"/>
    <cellStyle name="Comma 25 2 2 3 2" xfId="2092"/>
    <cellStyle name="Comma 25 2 3" xfId="2093"/>
    <cellStyle name="Comma 25 2 3 2" xfId="2094"/>
    <cellStyle name="Comma 25 2 4" xfId="2095"/>
    <cellStyle name="Comma 25 2 4 2" xfId="2096"/>
    <cellStyle name="Comma 25 3" xfId="2097"/>
    <cellStyle name="Comma 25 3 2" xfId="2098"/>
    <cellStyle name="Comma 25 3 2 2" xfId="2099"/>
    <cellStyle name="Comma 25 3 2 2 2" xfId="2100"/>
    <cellStyle name="Comma 25 3 2 3" xfId="2101"/>
    <cellStyle name="Comma 25 3 2 3 2" xfId="2102"/>
    <cellStyle name="Comma 25 3 3" xfId="2103"/>
    <cellStyle name="Comma 25 3 3 2" xfId="2104"/>
    <cellStyle name="Comma 25 3 4" xfId="2105"/>
    <cellStyle name="Comma 25 3 4 2" xfId="2106"/>
    <cellStyle name="Comma 25 4" xfId="2107"/>
    <cellStyle name="Comma 25 4 2" xfId="2108"/>
    <cellStyle name="Comma 25 4 2 2" xfId="2109"/>
    <cellStyle name="Comma 25 4 3" xfId="2110"/>
    <cellStyle name="Comma 25 4 3 2" xfId="2111"/>
    <cellStyle name="Comma 25 5" xfId="2112"/>
    <cellStyle name="Comma 25 5 2" xfId="2113"/>
    <cellStyle name="Comma 25 6" xfId="2114"/>
    <cellStyle name="Comma 25 6 2" xfId="2115"/>
    <cellStyle name="Comma 26" xfId="2116"/>
    <cellStyle name="Comma 26 2" xfId="2117"/>
    <cellStyle name="Comma 26 2 2" xfId="2118"/>
    <cellStyle name="Comma 26 2 2 2" xfId="2119"/>
    <cellStyle name="Comma 26 2 2 2 2" xfId="2120"/>
    <cellStyle name="Comma 26 2 2 3" xfId="2121"/>
    <cellStyle name="Comma 26 2 2 3 2" xfId="2122"/>
    <cellStyle name="Comma 26 2 3" xfId="2123"/>
    <cellStyle name="Comma 26 2 3 2" xfId="2124"/>
    <cellStyle name="Comma 26 2 4" xfId="2125"/>
    <cellStyle name="Comma 26 2 4 2" xfId="2126"/>
    <cellStyle name="Comma 26 3" xfId="2127"/>
    <cellStyle name="Comma 26 3 2" xfId="2128"/>
    <cellStyle name="Comma 26 3 2 2" xfId="2129"/>
    <cellStyle name="Comma 26 3 2 2 2" xfId="2130"/>
    <cellStyle name="Comma 26 3 2 3" xfId="2131"/>
    <cellStyle name="Comma 26 3 2 3 2" xfId="2132"/>
    <cellStyle name="Comma 26 3 3" xfId="2133"/>
    <cellStyle name="Comma 26 3 3 2" xfId="2134"/>
    <cellStyle name="Comma 26 3 4" xfId="2135"/>
    <cellStyle name="Comma 26 3 4 2" xfId="2136"/>
    <cellStyle name="Comma 26 4" xfId="2137"/>
    <cellStyle name="Comma 26 4 2" xfId="2138"/>
    <cellStyle name="Comma 26 4 2 2" xfId="2139"/>
    <cellStyle name="Comma 26 4 3" xfId="2140"/>
    <cellStyle name="Comma 26 4 3 2" xfId="2141"/>
    <cellStyle name="Comma 26 5" xfId="2142"/>
    <cellStyle name="Comma 26 5 2" xfId="2143"/>
    <cellStyle name="Comma 26 6" xfId="2144"/>
    <cellStyle name="Comma 26 6 2" xfId="2145"/>
    <cellStyle name="Comma 27" xfId="2146"/>
    <cellStyle name="Comma 27 2" xfId="2147"/>
    <cellStyle name="Comma 27 2 2" xfId="2148"/>
    <cellStyle name="Comma 27 2 2 2" xfId="2149"/>
    <cellStyle name="Comma 27 2 2 2 2" xfId="2150"/>
    <cellStyle name="Comma 27 2 2 3" xfId="2151"/>
    <cellStyle name="Comma 27 2 2 3 2" xfId="2152"/>
    <cellStyle name="Comma 27 2 3" xfId="2153"/>
    <cellStyle name="Comma 27 2 3 2" xfId="2154"/>
    <cellStyle name="Comma 27 2 4" xfId="2155"/>
    <cellStyle name="Comma 27 2 4 2" xfId="2156"/>
    <cellStyle name="Comma 27 3" xfId="2157"/>
    <cellStyle name="Comma 27 3 2" xfId="2158"/>
    <cellStyle name="Comma 27 3 2 2" xfId="2159"/>
    <cellStyle name="Comma 27 3 2 2 2" xfId="2160"/>
    <cellStyle name="Comma 27 3 2 3" xfId="2161"/>
    <cellStyle name="Comma 27 3 2 3 2" xfId="2162"/>
    <cellStyle name="Comma 27 3 3" xfId="2163"/>
    <cellStyle name="Comma 27 3 3 2" xfId="2164"/>
    <cellStyle name="Comma 27 3 4" xfId="2165"/>
    <cellStyle name="Comma 27 3 4 2" xfId="2166"/>
    <cellStyle name="Comma 27 4" xfId="2167"/>
    <cellStyle name="Comma 27 4 2" xfId="2168"/>
    <cellStyle name="Comma 27 4 2 2" xfId="2169"/>
    <cellStyle name="Comma 27 4 3" xfId="2170"/>
    <cellStyle name="Comma 27 4 3 2" xfId="2171"/>
    <cellStyle name="Comma 27 5" xfId="2172"/>
    <cellStyle name="Comma 27 5 2" xfId="2173"/>
    <cellStyle name="Comma 27 6" xfId="2174"/>
    <cellStyle name="Comma 27 6 2" xfId="2175"/>
    <cellStyle name="Comma 28" xfId="2176"/>
    <cellStyle name="Comma 28 2" xfId="2177"/>
    <cellStyle name="Comma 28 2 2" xfId="2178"/>
    <cellStyle name="Comma 28 2 2 2" xfId="2179"/>
    <cellStyle name="Comma 28 2 2 2 2" xfId="2180"/>
    <cellStyle name="Comma 28 2 2 3" xfId="2181"/>
    <cellStyle name="Comma 28 2 2 3 2" xfId="2182"/>
    <cellStyle name="Comma 28 2 3" xfId="2183"/>
    <cellStyle name="Comma 28 2 3 2" xfId="2184"/>
    <cellStyle name="Comma 28 2 4" xfId="2185"/>
    <cellStyle name="Comma 28 2 4 2" xfId="2186"/>
    <cellStyle name="Comma 28 3" xfId="2187"/>
    <cellStyle name="Comma 28 3 2" xfId="2188"/>
    <cellStyle name="Comma 28 3 2 2" xfId="2189"/>
    <cellStyle name="Comma 28 3 2 2 2" xfId="2190"/>
    <cellStyle name="Comma 28 3 2 3" xfId="2191"/>
    <cellStyle name="Comma 28 3 2 3 2" xfId="2192"/>
    <cellStyle name="Comma 28 3 3" xfId="2193"/>
    <cellStyle name="Comma 28 3 3 2" xfId="2194"/>
    <cellStyle name="Comma 28 3 4" xfId="2195"/>
    <cellStyle name="Comma 28 3 4 2" xfId="2196"/>
    <cellStyle name="Comma 28 4" xfId="2197"/>
    <cellStyle name="Comma 28 4 2" xfId="2198"/>
    <cellStyle name="Comma 28 4 2 2" xfId="2199"/>
    <cellStyle name="Comma 28 4 3" xfId="2200"/>
    <cellStyle name="Comma 28 4 3 2" xfId="2201"/>
    <cellStyle name="Comma 28 5" xfId="2202"/>
    <cellStyle name="Comma 28 5 2" xfId="2203"/>
    <cellStyle name="Comma 28 6" xfId="2204"/>
    <cellStyle name="Comma 28 6 2" xfId="2205"/>
    <cellStyle name="Comma 29" xfId="2206"/>
    <cellStyle name="Comma 29 2" xfId="2207"/>
    <cellStyle name="Comma 29 2 2" xfId="2208"/>
    <cellStyle name="Comma 29 2 2 2" xfId="2209"/>
    <cellStyle name="Comma 29 2 2 2 2" xfId="2210"/>
    <cellStyle name="Comma 29 2 2 3" xfId="2211"/>
    <cellStyle name="Comma 29 2 2 3 2" xfId="2212"/>
    <cellStyle name="Comma 29 2 3" xfId="2213"/>
    <cellStyle name="Comma 29 2 3 2" xfId="2214"/>
    <cellStyle name="Comma 29 2 4" xfId="2215"/>
    <cellStyle name="Comma 29 2 4 2" xfId="2216"/>
    <cellStyle name="Comma 29 3" xfId="2217"/>
    <cellStyle name="Comma 29 3 2" xfId="2218"/>
    <cellStyle name="Comma 29 3 2 2" xfId="2219"/>
    <cellStyle name="Comma 29 3 2 2 2" xfId="2220"/>
    <cellStyle name="Comma 29 3 2 3" xfId="2221"/>
    <cellStyle name="Comma 29 3 2 3 2" xfId="2222"/>
    <cellStyle name="Comma 29 3 3" xfId="2223"/>
    <cellStyle name="Comma 29 3 3 2" xfId="2224"/>
    <cellStyle name="Comma 29 3 4" xfId="2225"/>
    <cellStyle name="Comma 29 3 4 2" xfId="2226"/>
    <cellStyle name="Comma 29 4" xfId="2227"/>
    <cellStyle name="Comma 29 4 2" xfId="2228"/>
    <cellStyle name="Comma 29 4 2 2" xfId="2229"/>
    <cellStyle name="Comma 29 4 3" xfId="2230"/>
    <cellStyle name="Comma 29 4 3 2" xfId="2231"/>
    <cellStyle name="Comma 29 5" xfId="2232"/>
    <cellStyle name="Comma 29 5 2" xfId="2233"/>
    <cellStyle name="Comma 29 6" xfId="2234"/>
    <cellStyle name="Comma 29 6 2" xfId="2235"/>
    <cellStyle name="Comma 3" xfId="2236"/>
    <cellStyle name="Comma 3 2" xfId="2237"/>
    <cellStyle name="Comma 3 2 2" xfId="2238"/>
    <cellStyle name="Comma 3 2 2 2" xfId="2239"/>
    <cellStyle name="Comma 3 2 2 2 2" xfId="2240"/>
    <cellStyle name="Comma 3 2 2 2 2 2" xfId="2241"/>
    <cellStyle name="Comma 3 2 2 2 3" xfId="2242"/>
    <cellStyle name="Comma 3 2 2 2 3 2" xfId="2243"/>
    <cellStyle name="Comma 3 2 2 3" xfId="2244"/>
    <cellStyle name="Comma 3 2 2 3 2" xfId="2245"/>
    <cellStyle name="Comma 3 2 2 3 2 2" xfId="2246"/>
    <cellStyle name="Comma 3 2 2 4" xfId="2247"/>
    <cellStyle name="Comma 3 2 2 4 2" xfId="2248"/>
    <cellStyle name="Comma 3 2 2 4 2 2" xfId="2249"/>
    <cellStyle name="Comma 3 2 2 4 3" xfId="2250"/>
    <cellStyle name="Comma 3 2 2 5" xfId="2251"/>
    <cellStyle name="Comma 3 2 2 5 2" xfId="2252"/>
    <cellStyle name="Comma 3 2 3" xfId="2253"/>
    <cellStyle name="Comma 3 2 3 2" xfId="2254"/>
    <cellStyle name="Comma 3 2 3 2 2" xfId="2255"/>
    <cellStyle name="Comma 3 2 3 2 2 2" xfId="2256"/>
    <cellStyle name="Comma 3 2 3 3" xfId="2257"/>
    <cellStyle name="Comma 3 2 3 3 2" xfId="2258"/>
    <cellStyle name="Comma 3 2 3 3 2 2" xfId="2259"/>
    <cellStyle name="Comma 3 2 3 3 3" xfId="2260"/>
    <cellStyle name="Comma 3 2 3 4" xfId="2261"/>
    <cellStyle name="Comma 3 2 3 4 2" xfId="2262"/>
    <cellStyle name="Comma 3 2 3 4 2 2" xfId="2263"/>
    <cellStyle name="Comma 3 2 3 4 3" xfId="2264"/>
    <cellStyle name="Comma 3 2 3 5" xfId="2265"/>
    <cellStyle name="Comma 3 2 3 5 2" xfId="2266"/>
    <cellStyle name="Comma 3 2 4" xfId="2267"/>
    <cellStyle name="Comma 3 2 4 2" xfId="2268"/>
    <cellStyle name="Comma 3 2 4 2 2" xfId="2269"/>
    <cellStyle name="Comma 3 2 4 2 2 2" xfId="2270"/>
    <cellStyle name="Comma 3 2 4 2 3" xfId="2271"/>
    <cellStyle name="Comma 3 2 4 3" xfId="2272"/>
    <cellStyle name="Comma 3 2 4 3 2" xfId="2273"/>
    <cellStyle name="Comma 3 2 4 4" xfId="2274"/>
    <cellStyle name="Comma 3 2 4 4 2" xfId="2275"/>
    <cellStyle name="Comma 3 2 5" xfId="2276"/>
    <cellStyle name="Comma 3 2 5 2" xfId="2277"/>
    <cellStyle name="Comma 3 2 5 2 2" xfId="2278"/>
    <cellStyle name="Comma 3 2 5 2 2 2" xfId="2279"/>
    <cellStyle name="Comma 3 2 5 2 3" xfId="2280"/>
    <cellStyle name="Comma 3 2 5 3" xfId="2281"/>
    <cellStyle name="Comma 3 2 5 3 2" xfId="2282"/>
    <cellStyle name="Comma 3 2 6" xfId="2283"/>
    <cellStyle name="Comma 3 2 6 2" xfId="2284"/>
    <cellStyle name="Comma 3 2 6 2 2" xfId="2285"/>
    <cellStyle name="Comma 3 2 6 3" xfId="2286"/>
    <cellStyle name="Comma 3 2 7" xfId="2287"/>
    <cellStyle name="Comma 3 2 7 2" xfId="2288"/>
    <cellStyle name="Comma 3 2 7 2 2" xfId="2289"/>
    <cellStyle name="Comma 3 2 7 3" xfId="2290"/>
    <cellStyle name="Comma 3 3" xfId="2291"/>
    <cellStyle name="Comma 3 3 2" xfId="2292"/>
    <cellStyle name="Comma 3 3 2 2" xfId="2293"/>
    <cellStyle name="Comma 3 3 2 2 2" xfId="2294"/>
    <cellStyle name="Comma 3 3 2 2 2 2" xfId="2295"/>
    <cellStyle name="Comma 3 3 2 3" xfId="2296"/>
    <cellStyle name="Comma 3 3 2 3 2" xfId="2297"/>
    <cellStyle name="Comma 3 3 3" xfId="2298"/>
    <cellStyle name="Comma 3 3 3 2" xfId="2299"/>
    <cellStyle name="Comma 3 3 3 2 2" xfId="2300"/>
    <cellStyle name="Comma 3 3 3 2 2 2" xfId="2301"/>
    <cellStyle name="Comma 3 3 3 3" xfId="2302"/>
    <cellStyle name="Comma 3 3 3 3 2" xfId="2303"/>
    <cellStyle name="Comma 3 3 3 3 2 2" xfId="2304"/>
    <cellStyle name="Comma 3 3 3 3 3" xfId="2305"/>
    <cellStyle name="Comma 3 3 3 4" xfId="2306"/>
    <cellStyle name="Comma 3 3 3 4 2" xfId="2307"/>
    <cellStyle name="Comma 3 3 4" xfId="2308"/>
    <cellStyle name="Comma 3 3 4 2" xfId="2309"/>
    <cellStyle name="Comma 3 3 4 2 2" xfId="2310"/>
    <cellStyle name="Comma 3 3 4 3" xfId="2311"/>
    <cellStyle name="Comma 3 3 4 3 2" xfId="2312"/>
    <cellStyle name="Comma 3 3 5" xfId="2313"/>
    <cellStyle name="Comma 3 3 5 2" xfId="2314"/>
    <cellStyle name="Comma 3 3 5 2 2" xfId="2315"/>
    <cellStyle name="Comma 3 3 6" xfId="2316"/>
    <cellStyle name="Comma 3 3 6 2" xfId="2317"/>
    <cellStyle name="Comma 3 3 6 2 2" xfId="2318"/>
    <cellStyle name="Comma 3 3 6 3" xfId="2319"/>
    <cellStyle name="Comma 3 4" xfId="2320"/>
    <cellStyle name="Comma 3 4 2" xfId="2321"/>
    <cellStyle name="Comma 3 4 2 2" xfId="2322"/>
    <cellStyle name="Comma 3 4 2 2 2" xfId="2323"/>
    <cellStyle name="Comma 3 4 2 3" xfId="2324"/>
    <cellStyle name="Comma 3 4 2 3 2" xfId="2325"/>
    <cellStyle name="Comma 3 4 3" xfId="2326"/>
    <cellStyle name="Comma 3 4 3 2" xfId="2327"/>
    <cellStyle name="Comma 3 4 3 2 2" xfId="2328"/>
    <cellStyle name="Comma 3 4 4" xfId="2329"/>
    <cellStyle name="Comma 3 4 4 2" xfId="2330"/>
    <cellStyle name="Comma 3 4 4 2 2" xfId="2331"/>
    <cellStyle name="Comma 3 4 4 3" xfId="2332"/>
    <cellStyle name="Comma 3 4 5" xfId="2333"/>
    <cellStyle name="Comma 3 4 5 2" xfId="2334"/>
    <cellStyle name="Comma 3 5" xfId="2335"/>
    <cellStyle name="Comma 3 5 2" xfId="2336"/>
    <cellStyle name="Comma 3 5 2 2" xfId="2337"/>
    <cellStyle name="Comma 3 5 2 2 2" xfId="2338"/>
    <cellStyle name="Comma 3 5 3" xfId="2339"/>
    <cellStyle name="Comma 3 5 3 2" xfId="2340"/>
    <cellStyle name="Comma 3 5 3 2 2" xfId="2341"/>
    <cellStyle name="Comma 3 5 3 3" xfId="2342"/>
    <cellStyle name="Comma 3 5 4" xfId="2343"/>
    <cellStyle name="Comma 3 6" xfId="2344"/>
    <cellStyle name="Comma 3 6 2" xfId="2345"/>
    <cellStyle name="Comma 3 6 2 2" xfId="2346"/>
    <cellStyle name="Comma 3 6 2 2 2" xfId="2347"/>
    <cellStyle name="Comma 3 6 2 3" xfId="2348"/>
    <cellStyle name="Comma 3 6 3" xfId="2349"/>
    <cellStyle name="Comma 3 6 3 2" xfId="2350"/>
    <cellStyle name="Comma 3 6 4" xfId="2351"/>
    <cellStyle name="Comma 3 6 4 2" xfId="2352"/>
    <cellStyle name="Comma 3 7" xfId="2353"/>
    <cellStyle name="Comma 3 7 2" xfId="2354"/>
    <cellStyle name="Comma 3 7 2 2" xfId="2355"/>
    <cellStyle name="Comma 3 7 2 2 2" xfId="2356"/>
    <cellStyle name="Comma 3 7 2 3" xfId="2357"/>
    <cellStyle name="Comma 3 7 3" xfId="2358"/>
    <cellStyle name="Comma 3 7 3 2" xfId="2359"/>
    <cellStyle name="Comma 3 8" xfId="2360"/>
    <cellStyle name="Comma 3 8 2" xfId="2361"/>
    <cellStyle name="Comma 3 8 2 2" xfId="2362"/>
    <cellStyle name="Comma 3 8 3" xfId="2363"/>
    <cellStyle name="Comma 3 9" xfId="2364"/>
    <cellStyle name="Comma 3 9 2" xfId="2365"/>
    <cellStyle name="Comma 3 9 2 2" xfId="2366"/>
    <cellStyle name="Comma 3 9 3" xfId="2367"/>
    <cellStyle name="Comma 30" xfId="2368"/>
    <cellStyle name="Comma 30 2" xfId="2369"/>
    <cellStyle name="Comma 30 2 2" xfId="2370"/>
    <cellStyle name="Comma 30 2 2 2" xfId="2371"/>
    <cellStyle name="Comma 30 2 2 2 2" xfId="2372"/>
    <cellStyle name="Comma 30 2 2 3" xfId="2373"/>
    <cellStyle name="Comma 30 2 2 3 2" xfId="2374"/>
    <cellStyle name="Comma 30 2 3" xfId="2375"/>
    <cellStyle name="Comma 30 2 3 2" xfId="2376"/>
    <cellStyle name="Comma 30 2 4" xfId="2377"/>
    <cellStyle name="Comma 30 2 4 2" xfId="2378"/>
    <cellStyle name="Comma 30 3" xfId="2379"/>
    <cellStyle name="Comma 30 3 2" xfId="2380"/>
    <cellStyle name="Comma 30 3 2 2" xfId="2381"/>
    <cellStyle name="Comma 30 3 2 2 2" xfId="2382"/>
    <cellStyle name="Comma 30 3 2 3" xfId="2383"/>
    <cellStyle name="Comma 30 3 2 3 2" xfId="2384"/>
    <cellStyle name="Comma 30 3 3" xfId="2385"/>
    <cellStyle name="Comma 30 3 3 2" xfId="2386"/>
    <cellStyle name="Comma 30 3 4" xfId="2387"/>
    <cellStyle name="Comma 30 3 4 2" xfId="2388"/>
    <cellStyle name="Comma 30 4" xfId="2389"/>
    <cellStyle name="Comma 30 4 2" xfId="2390"/>
    <cellStyle name="Comma 30 4 2 2" xfId="2391"/>
    <cellStyle name="Comma 30 4 3" xfId="2392"/>
    <cellStyle name="Comma 30 4 3 2" xfId="2393"/>
    <cellStyle name="Comma 30 5" xfId="2394"/>
    <cellStyle name="Comma 30 5 2" xfId="2395"/>
    <cellStyle name="Comma 30 6" xfId="2396"/>
    <cellStyle name="Comma 30 6 2" xfId="2397"/>
    <cellStyle name="Comma 31" xfId="2398"/>
    <cellStyle name="Comma 31 2" xfId="2399"/>
    <cellStyle name="Comma 31 2 2" xfId="2400"/>
    <cellStyle name="Comma 31 2 2 2" xfId="2401"/>
    <cellStyle name="Comma 31 2 2 2 2" xfId="2402"/>
    <cellStyle name="Comma 31 2 2 3" xfId="2403"/>
    <cellStyle name="Comma 31 2 2 3 2" xfId="2404"/>
    <cellStyle name="Comma 31 2 3" xfId="2405"/>
    <cellStyle name="Comma 31 2 3 2" xfId="2406"/>
    <cellStyle name="Comma 31 2 4" xfId="2407"/>
    <cellStyle name="Comma 31 2 4 2" xfId="2408"/>
    <cellStyle name="Comma 31 3" xfId="2409"/>
    <cellStyle name="Comma 31 3 2" xfId="2410"/>
    <cellStyle name="Comma 31 3 2 2" xfId="2411"/>
    <cellStyle name="Comma 31 3 2 2 2" xfId="2412"/>
    <cellStyle name="Comma 31 3 2 3" xfId="2413"/>
    <cellStyle name="Comma 31 3 2 3 2" xfId="2414"/>
    <cellStyle name="Comma 31 3 3" xfId="2415"/>
    <cellStyle name="Comma 31 3 3 2" xfId="2416"/>
    <cellStyle name="Comma 31 3 4" xfId="2417"/>
    <cellStyle name="Comma 31 3 4 2" xfId="2418"/>
    <cellStyle name="Comma 31 4" xfId="2419"/>
    <cellStyle name="Comma 31 4 2" xfId="2420"/>
    <cellStyle name="Comma 31 4 2 2" xfId="2421"/>
    <cellStyle name="Comma 31 4 3" xfId="2422"/>
    <cellStyle name="Comma 31 4 3 2" xfId="2423"/>
    <cellStyle name="Comma 31 5" xfId="2424"/>
    <cellStyle name="Comma 31 5 2" xfId="2425"/>
    <cellStyle name="Comma 31 6" xfId="2426"/>
    <cellStyle name="Comma 31 6 2" xfId="2427"/>
    <cellStyle name="Comma 32" xfId="2428"/>
    <cellStyle name="Comma 32 2" xfId="2429"/>
    <cellStyle name="Comma 32 2 2" xfId="2430"/>
    <cellStyle name="Comma 32 2 2 2" xfId="2431"/>
    <cellStyle name="Comma 32 2 2 2 2" xfId="2432"/>
    <cellStyle name="Comma 32 2 2 3" xfId="2433"/>
    <cellStyle name="Comma 32 2 2 3 2" xfId="2434"/>
    <cellStyle name="Comma 32 2 3" xfId="2435"/>
    <cellStyle name="Comma 32 2 3 2" xfId="2436"/>
    <cellStyle name="Comma 32 2 4" xfId="2437"/>
    <cellStyle name="Comma 32 2 4 2" xfId="2438"/>
    <cellStyle name="Comma 32 3" xfId="2439"/>
    <cellStyle name="Comma 32 3 2" xfId="2440"/>
    <cellStyle name="Comma 32 3 2 2" xfId="2441"/>
    <cellStyle name="Comma 32 3 2 2 2" xfId="2442"/>
    <cellStyle name="Comma 32 3 2 3" xfId="2443"/>
    <cellStyle name="Comma 32 3 2 3 2" xfId="2444"/>
    <cellStyle name="Comma 32 3 3" xfId="2445"/>
    <cellStyle name="Comma 32 3 3 2" xfId="2446"/>
    <cellStyle name="Comma 32 3 4" xfId="2447"/>
    <cellStyle name="Comma 32 3 4 2" xfId="2448"/>
    <cellStyle name="Comma 32 4" xfId="2449"/>
    <cellStyle name="Comma 32 4 2" xfId="2450"/>
    <cellStyle name="Comma 32 4 2 2" xfId="2451"/>
    <cellStyle name="Comma 32 4 3" xfId="2452"/>
    <cellStyle name="Comma 32 4 3 2" xfId="2453"/>
    <cellStyle name="Comma 32 5" xfId="2454"/>
    <cellStyle name="Comma 32 5 2" xfId="2455"/>
    <cellStyle name="Comma 32 6" xfId="2456"/>
    <cellStyle name="Comma 32 6 2" xfId="2457"/>
    <cellStyle name="Comma 33" xfId="2458"/>
    <cellStyle name="Comma 33 2" xfId="2459"/>
    <cellStyle name="Comma 33 2 2" xfId="2460"/>
    <cellStyle name="Comma 33 2 2 2" xfId="2461"/>
    <cellStyle name="Comma 33 2 3" xfId="2462"/>
    <cellStyle name="Comma 33 2 3 2" xfId="2463"/>
    <cellStyle name="Comma 33 3" xfId="2464"/>
    <cellStyle name="Comma 33 3 2" xfId="2465"/>
    <cellStyle name="Comma 33 4" xfId="2466"/>
    <cellStyle name="Comma 33 4 2" xfId="2467"/>
    <cellStyle name="Comma 34" xfId="2468"/>
    <cellStyle name="Comma 34 2" xfId="2469"/>
    <cellStyle name="Comma 34 2 2" xfId="2470"/>
    <cellStyle name="Comma 34 2 2 2" xfId="2471"/>
    <cellStyle name="Comma 34 2 3" xfId="2472"/>
    <cellStyle name="Comma 34 2 3 2" xfId="2473"/>
    <cellStyle name="Comma 34 3" xfId="2474"/>
    <cellStyle name="Comma 34 3 2" xfId="2475"/>
    <cellStyle name="Comma 34 4" xfId="2476"/>
    <cellStyle name="Comma 34 4 2" xfId="2477"/>
    <cellStyle name="Comma 35" xfId="2478"/>
    <cellStyle name="Comma 35 2" xfId="2479"/>
    <cellStyle name="Comma 35 2 2" xfId="2480"/>
    <cellStyle name="Comma 35 2 2 2" xfId="2481"/>
    <cellStyle name="Comma 35 2 3" xfId="2482"/>
    <cellStyle name="Comma 35 2 3 2" xfId="2483"/>
    <cellStyle name="Comma 35 3" xfId="2484"/>
    <cellStyle name="Comma 35 3 2" xfId="2485"/>
    <cellStyle name="Comma 35 4" xfId="2486"/>
    <cellStyle name="Comma 35 4 2" xfId="2487"/>
    <cellStyle name="Comma 36" xfId="2488"/>
    <cellStyle name="Comma 36 2" xfId="2489"/>
    <cellStyle name="Comma 36 2 2" xfId="2490"/>
    <cellStyle name="Comma 36 2 2 2" xfId="2491"/>
    <cellStyle name="Comma 36 2 3" xfId="2492"/>
    <cellStyle name="Comma 36 2 3 2" xfId="2493"/>
    <cellStyle name="Comma 36 3" xfId="2494"/>
    <cellStyle name="Comma 36 3 2" xfId="2495"/>
    <cellStyle name="Comma 36 4" xfId="2496"/>
    <cellStyle name="Comma 36 4 2" xfId="2497"/>
    <cellStyle name="Comma 37" xfId="2498"/>
    <cellStyle name="Comma 37 2" xfId="2499"/>
    <cellStyle name="Comma 37 2 2" xfId="2500"/>
    <cellStyle name="Comma 37 3" xfId="2501"/>
    <cellStyle name="Comma 37 3 2" xfId="2502"/>
    <cellStyle name="Comma 38" xfId="2503"/>
    <cellStyle name="Comma 38 2" xfId="2504"/>
    <cellStyle name="Comma 38 2 2" xfId="2505"/>
    <cellStyle name="Comma 38 3" xfId="2506"/>
    <cellStyle name="Comma 38 3 2" xfId="2507"/>
    <cellStyle name="Comma 39" xfId="2508"/>
    <cellStyle name="Comma 39 2" xfId="2509"/>
    <cellStyle name="Comma 39 2 2" xfId="2510"/>
    <cellStyle name="Comma 4" xfId="2511"/>
    <cellStyle name="Comma 4 2" xfId="2512"/>
    <cellStyle name="Comma 4 2 2" xfId="2513"/>
    <cellStyle name="Comma 4 2 2 2" xfId="2514"/>
    <cellStyle name="Comma 4 2 2 2 2" xfId="2515"/>
    <cellStyle name="Comma 4 2 2 2 2 2" xfId="2516"/>
    <cellStyle name="Comma 4 2 2 2 3" xfId="2517"/>
    <cellStyle name="Comma 4 2 2 3" xfId="2518"/>
    <cellStyle name="Comma 4 2 2 3 2" xfId="2519"/>
    <cellStyle name="Comma 4 2 2 4" xfId="2520"/>
    <cellStyle name="Comma 4 2 2 4 2" xfId="2521"/>
    <cellStyle name="Comma 4 2 3" xfId="2522"/>
    <cellStyle name="Comma 4 2 3 2" xfId="2523"/>
    <cellStyle name="Comma 4 2 3 2 2" xfId="2524"/>
    <cellStyle name="Comma 4 2 3 2 2 2" xfId="2525"/>
    <cellStyle name="Comma 4 2 3 2 3" xfId="2526"/>
    <cellStyle name="Comma 4 2 3 3" xfId="2527"/>
    <cellStyle name="Comma 4 2 3 3 2" xfId="2528"/>
    <cellStyle name="Comma 4 2 3 4" xfId="2529"/>
    <cellStyle name="Comma 4 2 3 4 2" xfId="2530"/>
    <cellStyle name="Comma 4 2 4" xfId="2531"/>
    <cellStyle name="Comma 4 2 4 2" xfId="2532"/>
    <cellStyle name="Comma 4 2 4 2 2" xfId="2533"/>
    <cellStyle name="Comma 4 2 4 3" xfId="2534"/>
    <cellStyle name="Comma 4 2 5" xfId="2535"/>
    <cellStyle name="Comma 4 2 5 2" xfId="2536"/>
    <cellStyle name="Comma 4 2 5 2 2" xfId="2537"/>
    <cellStyle name="Comma 4 2 5 3" xfId="2538"/>
    <cellStyle name="Comma 4 2 6" xfId="2539"/>
    <cellStyle name="Comma 4 2 6 2" xfId="2540"/>
    <cellStyle name="Comma 4 2 6 2 2" xfId="2541"/>
    <cellStyle name="Comma 4 2 6 3" xfId="2542"/>
    <cellStyle name="Comma 4 2 7" xfId="2543"/>
    <cellStyle name="Comma 4 2 7 2" xfId="2544"/>
    <cellStyle name="Comma 4 3" xfId="2545"/>
    <cellStyle name="Comma 4 3 2" xfId="2546"/>
    <cellStyle name="Comma 4 3 2 2" xfId="2547"/>
    <cellStyle name="Comma 4 3 2 2 2" xfId="2548"/>
    <cellStyle name="Comma 4 3 2 3" xfId="2549"/>
    <cellStyle name="Comma 4 3 2 3 2" xfId="2550"/>
    <cellStyle name="Comma 4 3 3" xfId="2551"/>
    <cellStyle name="Comma 4 3 3 2" xfId="2552"/>
    <cellStyle name="Comma 4 3 3 2 2" xfId="2553"/>
    <cellStyle name="Comma 4 3 3 3" xfId="2554"/>
    <cellStyle name="Comma 4 3 3 3 2" xfId="2555"/>
    <cellStyle name="Comma 4 3 4" xfId="2556"/>
    <cellStyle name="Comma 4 3 4 2" xfId="2557"/>
    <cellStyle name="Comma 4 3 4 2 2" xfId="2558"/>
    <cellStyle name="Comma 4 3 4 3" xfId="2559"/>
    <cellStyle name="Comma 4 3 4 3 2" xfId="2560"/>
    <cellStyle name="Comma 4 3 4 4" xfId="2561"/>
    <cellStyle name="Comma 4 3 5" xfId="2562"/>
    <cellStyle name="Comma 4 3 5 2" xfId="2563"/>
    <cellStyle name="Comma 4 3 5 2 2" xfId="2564"/>
    <cellStyle name="Comma 4 3 5 3" xfId="2565"/>
    <cellStyle name="Comma 4 3 6" xfId="2566"/>
    <cellStyle name="Comma 4 3 6 2" xfId="2567"/>
    <cellStyle name="Comma 4 3 7" xfId="2568"/>
    <cellStyle name="Comma 4 3 7 2" xfId="2569"/>
    <cellStyle name="Comma 4 4" xfId="2570"/>
    <cellStyle name="Comma 4 4 2" xfId="2571"/>
    <cellStyle name="Comma 4 4 2 2" xfId="2572"/>
    <cellStyle name="Comma 4 4 2 2 2" xfId="2573"/>
    <cellStyle name="Comma 4 4 2 3" xfId="2574"/>
    <cellStyle name="Comma 4 4 3" xfId="2575"/>
    <cellStyle name="Comma 4 4 3 2" xfId="2576"/>
    <cellStyle name="Comma 4 4 3 2 2" xfId="2577"/>
    <cellStyle name="Comma 4 4 3 3" xfId="2578"/>
    <cellStyle name="Comma 4 4 4" xfId="2579"/>
    <cellStyle name="Comma 4 4 4 2" xfId="2580"/>
    <cellStyle name="Comma 4 4 4 2 2" xfId="2581"/>
    <cellStyle name="Comma 4 4 4 3" xfId="2582"/>
    <cellStyle name="Comma 4 4 5" xfId="2583"/>
    <cellStyle name="Comma 4 4 5 2" xfId="2584"/>
    <cellStyle name="Comma 4 5" xfId="2585"/>
    <cellStyle name="Comma 4 5 2" xfId="2586"/>
    <cellStyle name="Comma 4 5 2 2" xfId="2587"/>
    <cellStyle name="Comma 4 5 2 2 2" xfId="2588"/>
    <cellStyle name="Comma 4 5 2 3" xfId="2589"/>
    <cellStyle name="Comma 4 5 3" xfId="2590"/>
    <cellStyle name="Comma 4 5 3 2" xfId="2591"/>
    <cellStyle name="Comma 4 5 4" xfId="2592"/>
    <cellStyle name="Comma 4 5 4 2" xfId="2593"/>
    <cellStyle name="Comma 4 6" xfId="2594"/>
    <cellStyle name="Comma 4 6 2" xfId="2595"/>
    <cellStyle name="Comma 4 6 2 2" xfId="2596"/>
    <cellStyle name="Comma 4 6 3" xfId="2597"/>
    <cellStyle name="Comma 4 6 3 2" xfId="2598"/>
    <cellStyle name="Comma 4 6 4" xfId="2599"/>
    <cellStyle name="Comma 4 7" xfId="2600"/>
    <cellStyle name="Comma 4 7 2" xfId="2601"/>
    <cellStyle name="Comma 4 7 2 2" xfId="2602"/>
    <cellStyle name="Comma 4 7 3" xfId="2603"/>
    <cellStyle name="Comma 4 8" xfId="2604"/>
    <cellStyle name="Comma 4 8 2" xfId="2605"/>
    <cellStyle name="Comma 40" xfId="2606"/>
    <cellStyle name="Comma 40 2" xfId="2607"/>
    <cellStyle name="Comma 40 2 2" xfId="2608"/>
    <cellStyle name="Comma 40 3" xfId="2609"/>
    <cellStyle name="Comma 41" xfId="2610"/>
    <cellStyle name="Comma 41 2" xfId="2611"/>
    <cellStyle name="Comma 41 2 2" xfId="2612"/>
    <cellStyle name="Comma 41 3" xfId="2613"/>
    <cellStyle name="Comma 41 3 2" xfId="2614"/>
    <cellStyle name="Comma 42" xfId="2615"/>
    <cellStyle name="Comma 42 2" xfId="2616"/>
    <cellStyle name="Comma 42 2 2" xfId="2617"/>
    <cellStyle name="Comma 42 3" xfId="2618"/>
    <cellStyle name="Comma 47" xfId="2619"/>
    <cellStyle name="Comma 47 2" xfId="2620"/>
    <cellStyle name="Comma 5" xfId="2621"/>
    <cellStyle name="Comma 5 2" xfId="2622"/>
    <cellStyle name="Comma 5 2 2" xfId="2623"/>
    <cellStyle name="Comma 5 2 2 2" xfId="2624"/>
    <cellStyle name="Comma 5 2 2 2 2" xfId="2625"/>
    <cellStyle name="Comma 5 2 2 2 2 2" xfId="2626"/>
    <cellStyle name="Comma 5 2 2 2 2 2 2" xfId="2627"/>
    <cellStyle name="Comma 5 2 2 2 2 3" xfId="2628"/>
    <cellStyle name="Comma 5 2 2 2 3" xfId="2629"/>
    <cellStyle name="Comma 5 2 2 2 3 2" xfId="2630"/>
    <cellStyle name="Comma 5 2 2 2 4" xfId="2631"/>
    <cellStyle name="Comma 5 2 2 3" xfId="2632"/>
    <cellStyle name="Comma 5 2 2 3 2" xfId="2633"/>
    <cellStyle name="Comma 5 2 2 3 2 2" xfId="2634"/>
    <cellStyle name="Comma 5 2 2 3 3" xfId="2635"/>
    <cellStyle name="Comma 5 2 2 4" xfId="2636"/>
    <cellStyle name="Comma 5 2 2 4 2" xfId="2637"/>
    <cellStyle name="Comma 5 2 2 4 2 2" xfId="2638"/>
    <cellStyle name="Comma 5 2 2 4 3" xfId="2639"/>
    <cellStyle name="Comma 5 2 2 5" xfId="2640"/>
    <cellStyle name="Comma 5 2 2 5 2" xfId="2641"/>
    <cellStyle name="Comma 5 2 2 5 2 2" xfId="2642"/>
    <cellStyle name="Comma 5 2 2 5 3" xfId="2643"/>
    <cellStyle name="Comma 5 2 3" xfId="2644"/>
    <cellStyle name="Comma 5 2 3 2" xfId="2645"/>
    <cellStyle name="Comma 5 2 3 2 2" xfId="2646"/>
    <cellStyle name="Comma 5 2 3 2 2 2" xfId="2647"/>
    <cellStyle name="Comma 5 2 3 2 3" xfId="2648"/>
    <cellStyle name="Comma 5 2 3 3" xfId="2649"/>
    <cellStyle name="Comma 5 2 3 3 2" xfId="2650"/>
    <cellStyle name="Comma 5 2 3 3 2 2" xfId="2651"/>
    <cellStyle name="Comma 5 2 3 3 3" xfId="2652"/>
    <cellStyle name="Comma 5 2 3 4" xfId="2653"/>
    <cellStyle name="Comma 5 2 3 4 2" xfId="2654"/>
    <cellStyle name="Comma 5 2 3 4 2 2" xfId="2655"/>
    <cellStyle name="Comma 5 2 3 4 3" xfId="2656"/>
    <cellStyle name="Comma 5 2 3 5" xfId="2657"/>
    <cellStyle name="Comma 5 2 3 5 2" xfId="2658"/>
    <cellStyle name="Comma 5 2 4" xfId="2659"/>
    <cellStyle name="Comma 5 2 4 2" xfId="2660"/>
    <cellStyle name="Comma 5 2 4 2 2" xfId="2661"/>
    <cellStyle name="Comma 5 2 4 3" xfId="2662"/>
    <cellStyle name="Comma 5 2 5" xfId="2663"/>
    <cellStyle name="Comma 5 2 5 2" xfId="2664"/>
    <cellStyle name="Comma 5 2 5 2 2" xfId="2665"/>
    <cellStyle name="Comma 5 2 5 3" xfId="2666"/>
    <cellStyle name="Comma 5 2 6" xfId="2667"/>
    <cellStyle name="Comma 5 2 6 2" xfId="2668"/>
    <cellStyle name="Comma 5 2 6 2 2" xfId="2669"/>
    <cellStyle name="Comma 5 2 6 3" xfId="2670"/>
    <cellStyle name="Comma 5 2 7" xfId="2671"/>
    <cellStyle name="Comma 5 2 7 2" xfId="2672"/>
    <cellStyle name="Comma 5 2 7 2 2" xfId="2673"/>
    <cellStyle name="Comma 5 2 7 3" xfId="2674"/>
    <cellStyle name="Comma 5 2 8" xfId="2675"/>
    <cellStyle name="Comma 5 2 8 2" xfId="2676"/>
    <cellStyle name="Comma 5 3" xfId="2677"/>
    <cellStyle name="Comma 5 3 2" xfId="2678"/>
    <cellStyle name="Comma 5 3 2 2" xfId="2679"/>
    <cellStyle name="Comma 5 3 2 2 2" xfId="2680"/>
    <cellStyle name="Comma 5 3 3" xfId="2681"/>
    <cellStyle name="Comma 5 3 3 2" xfId="2682"/>
    <cellStyle name="Comma 5 3 3 2 2" xfId="2683"/>
    <cellStyle name="Comma 5 3 3 2 2 2" xfId="2684"/>
    <cellStyle name="Comma 5 3 3 2 3" xfId="2685"/>
    <cellStyle name="Comma 5 3 3 3" xfId="2686"/>
    <cellStyle name="Comma 5 3 3 3 2" xfId="2687"/>
    <cellStyle name="Comma 5 3 3 4" xfId="2688"/>
    <cellStyle name="Comma 5 3 3 4 2" xfId="2689"/>
    <cellStyle name="Comma 5 3 4" xfId="2690"/>
    <cellStyle name="Comma 5 3 4 2" xfId="2691"/>
    <cellStyle name="Comma 5 3 4 2 2" xfId="2692"/>
    <cellStyle name="Comma 5 3 4 3" xfId="2693"/>
    <cellStyle name="Comma 5 3 5" xfId="2694"/>
    <cellStyle name="Comma 5 3 5 2" xfId="2695"/>
    <cellStyle name="Comma 5 3 5 2 2" xfId="2696"/>
    <cellStyle name="Comma 5 3 5 3" xfId="2697"/>
    <cellStyle name="Comma 5 3 6" xfId="2698"/>
    <cellStyle name="Comma 5 3 6 2" xfId="2699"/>
    <cellStyle name="Comma 5 4" xfId="2700"/>
    <cellStyle name="Comma 5 4 2" xfId="2701"/>
    <cellStyle name="Comma 5 4 2 2" xfId="2702"/>
    <cellStyle name="Comma 5 5" xfId="2703"/>
    <cellStyle name="Comma 5 5 2" xfId="2704"/>
    <cellStyle name="Comma 5 5 2 2" xfId="2705"/>
    <cellStyle name="Comma 5 5 2 2 2" xfId="2706"/>
    <cellStyle name="Comma 5 5 2 3" xfId="2707"/>
    <cellStyle name="Comma 5 5 3" xfId="2708"/>
    <cellStyle name="Comma 5 5 3 2" xfId="2709"/>
    <cellStyle name="Comma 5 5 4" xfId="2710"/>
    <cellStyle name="Comma 5 5 4 2" xfId="2711"/>
    <cellStyle name="Comma 5 6" xfId="2712"/>
    <cellStyle name="Comma 5 6 2" xfId="2713"/>
    <cellStyle name="Comma 5 6 2 2" xfId="2714"/>
    <cellStyle name="Comma 5 6 3" xfId="2715"/>
    <cellStyle name="Comma 5 6 3 2" xfId="2716"/>
    <cellStyle name="Comma 5 6 4" xfId="2717"/>
    <cellStyle name="Comma 5 7" xfId="2718"/>
    <cellStyle name="Comma 5 7 2" xfId="2719"/>
    <cellStyle name="Comma 5 7 2 2" xfId="2720"/>
    <cellStyle name="Comma 5 7 3" xfId="2721"/>
    <cellStyle name="Comma 5 8" xfId="2722"/>
    <cellStyle name="Comma 5 8 2" xfId="2723"/>
    <cellStyle name="Comma 58" xfId="2724"/>
    <cellStyle name="Comma 58 2" xfId="2725"/>
    <cellStyle name="Comma 58 2 2" xfId="2726"/>
    <cellStyle name="Comma 58 3" xfId="2727"/>
    <cellStyle name="Comma 6" xfId="2728"/>
    <cellStyle name="Comma 6 2" xfId="2729"/>
    <cellStyle name="Comma 6 2 2" xfId="2730"/>
    <cellStyle name="Comma 6 2 2 2" xfId="2731"/>
    <cellStyle name="Comma 6 2 2 2 2" xfId="2732"/>
    <cellStyle name="Comma 6 2 2 2 2 2" xfId="2733"/>
    <cellStyle name="Comma 6 2 2 2 3" xfId="2734"/>
    <cellStyle name="Comma 6 2 2 3" xfId="2735"/>
    <cellStyle name="Comma 6 2 2 3 2" xfId="2736"/>
    <cellStyle name="Comma 6 2 2 4" xfId="2737"/>
    <cellStyle name="Comma 6 2 2 4 2" xfId="2738"/>
    <cellStyle name="Comma 6 2 3" xfId="2739"/>
    <cellStyle name="Comma 6 2 3 2" xfId="2740"/>
    <cellStyle name="Comma 6 2 3 2 2" xfId="2741"/>
    <cellStyle name="Comma 6 2 3 3" xfId="2742"/>
    <cellStyle name="Comma 6 2 4" xfId="2743"/>
    <cellStyle name="Comma 6 2 4 2" xfId="2744"/>
    <cellStyle name="Comma 6 2 4 2 2" xfId="2745"/>
    <cellStyle name="Comma 6 2 4 3" xfId="2746"/>
    <cellStyle name="Comma 6 2 5" xfId="2747"/>
    <cellStyle name="Comma 6 2 5 2" xfId="2748"/>
    <cellStyle name="Comma 6 3" xfId="2749"/>
    <cellStyle name="Comma 6 3 2" xfId="2750"/>
    <cellStyle name="Comma 6 3 2 2" xfId="2751"/>
    <cellStyle name="Comma 6 3 2 2 2" xfId="2752"/>
    <cellStyle name="Comma 6 3 2 3" xfId="2753"/>
    <cellStyle name="Comma 6 3 2 3 2" xfId="2754"/>
    <cellStyle name="Comma 6 3 3" xfId="2755"/>
    <cellStyle name="Comma 6 3 3 2" xfId="2756"/>
    <cellStyle name="Comma 6 3 3 2 2" xfId="2757"/>
    <cellStyle name="Comma 6 3 3 3" xfId="2758"/>
    <cellStyle name="Comma 6 3 4" xfId="2759"/>
    <cellStyle name="Comma 6 3 4 2" xfId="2760"/>
    <cellStyle name="Comma 6 3 5" xfId="2761"/>
    <cellStyle name="Comma 6 3 5 2" xfId="2762"/>
    <cellStyle name="Comma 6 4" xfId="2763"/>
    <cellStyle name="Comma 6 4 2" xfId="2764"/>
    <cellStyle name="Comma 6 4 2 2" xfId="2765"/>
    <cellStyle name="Comma 6 4 2 2 2" xfId="2766"/>
    <cellStyle name="Comma 6 4 2 3" xfId="2767"/>
    <cellStyle name="Comma 6 4 3" xfId="2768"/>
    <cellStyle name="Comma 6 4 3 2" xfId="2769"/>
    <cellStyle name="Comma 6 4 4" xfId="2770"/>
    <cellStyle name="Comma 6 4 4 2" xfId="2771"/>
    <cellStyle name="Comma 6 5" xfId="2772"/>
    <cellStyle name="Comma 6 5 2" xfId="2773"/>
    <cellStyle name="Comma 6 5 2 2" xfId="2774"/>
    <cellStyle name="Comma 6 5 3" xfId="2775"/>
    <cellStyle name="Comma 6 5 3 2" xfId="2776"/>
    <cellStyle name="Comma 6 6" xfId="2777"/>
    <cellStyle name="Comma 6 6 2" xfId="2778"/>
    <cellStyle name="Comma 6 6 2 2" xfId="2779"/>
    <cellStyle name="Comma 6 6 3" xfId="2780"/>
    <cellStyle name="Comma 6 6 3 2" xfId="2781"/>
    <cellStyle name="Comma 6 6 4" xfId="2782"/>
    <cellStyle name="Comma 6 7" xfId="2783"/>
    <cellStyle name="Comma 6 7 2" xfId="2784"/>
    <cellStyle name="Comma 6 7 2 2" xfId="2785"/>
    <cellStyle name="Comma 6 7 3" xfId="2786"/>
    <cellStyle name="Comma 6 8" xfId="2787"/>
    <cellStyle name="Comma 6 8 2" xfId="2788"/>
    <cellStyle name="Comma 6 8 2 2" xfId="2789"/>
    <cellStyle name="Comma 6 8 3" xfId="2790"/>
    <cellStyle name="Comma 6 9" xfId="2791"/>
    <cellStyle name="Comma 6 9 2" xfId="2792"/>
    <cellStyle name="Comma 7" xfId="2793"/>
    <cellStyle name="Comma 7 2" xfId="2794"/>
    <cellStyle name="Comma 7 2 2" xfId="2795"/>
    <cellStyle name="Comma 7 2 2 2" xfId="2796"/>
    <cellStyle name="Comma 7 2 2 2 2" xfId="2797"/>
    <cellStyle name="Comma 7 2 2 2 2 2" xfId="2798"/>
    <cellStyle name="Comma 7 2 2 2 3" xfId="2799"/>
    <cellStyle name="Comma 7 2 2 3" xfId="2800"/>
    <cellStyle name="Comma 7 2 2 3 2" xfId="2801"/>
    <cellStyle name="Comma 7 2 2 4" xfId="2802"/>
    <cellStyle name="Comma 7 2 2 4 2" xfId="2803"/>
    <cellStyle name="Comma 7 2 3" xfId="2804"/>
    <cellStyle name="Comma 7 2 3 2" xfId="2805"/>
    <cellStyle name="Comma 7 2 3 2 2" xfId="2806"/>
    <cellStyle name="Comma 7 2 3 3" xfId="2807"/>
    <cellStyle name="Comma 7 2 4" xfId="2808"/>
    <cellStyle name="Comma 7 2 4 2" xfId="2809"/>
    <cellStyle name="Comma 7 2 4 2 2" xfId="2810"/>
    <cellStyle name="Comma 7 2 4 3" xfId="2811"/>
    <cellStyle name="Comma 7 2 5" xfId="2812"/>
    <cellStyle name="Comma 7 2 5 2" xfId="2813"/>
    <cellStyle name="Comma 7 2 5 2 2" xfId="2814"/>
    <cellStyle name="Comma 7 2 5 3" xfId="2815"/>
    <cellStyle name="Comma 7 2 6" xfId="2816"/>
    <cellStyle name="Comma 7 2 6 2" xfId="2817"/>
    <cellStyle name="Comma 7 3" xfId="2818"/>
    <cellStyle name="Comma 7 3 2" xfId="2819"/>
    <cellStyle name="Comma 7 3 2 2" xfId="2820"/>
    <cellStyle name="Comma 7 3 2 2 2" xfId="2821"/>
    <cellStyle name="Comma 7 3 2 3" xfId="2822"/>
    <cellStyle name="Comma 7 3 2 3 2" xfId="2823"/>
    <cellStyle name="Comma 7 3 3" xfId="2824"/>
    <cellStyle name="Comma 7 3 3 2" xfId="2825"/>
    <cellStyle name="Comma 7 3 3 2 2" xfId="2826"/>
    <cellStyle name="Comma 7 3 3 3" xfId="2827"/>
    <cellStyle name="Comma 7 3 4" xfId="2828"/>
    <cellStyle name="Comma 7 3 4 2" xfId="2829"/>
    <cellStyle name="Comma 7 3 5" xfId="2830"/>
    <cellStyle name="Comma 7 3 5 2" xfId="2831"/>
    <cellStyle name="Comma 7 4" xfId="2832"/>
    <cellStyle name="Comma 7 4 2" xfId="2833"/>
    <cellStyle name="Comma 7 4 2 2" xfId="2834"/>
    <cellStyle name="Comma 7 4 2 2 2" xfId="2835"/>
    <cellStyle name="Comma 7 4 2 3" xfId="2836"/>
    <cellStyle name="Comma 7 4 3" xfId="2837"/>
    <cellStyle name="Comma 7 4 3 2" xfId="2838"/>
    <cellStyle name="Comma 7 4 4" xfId="2839"/>
    <cellStyle name="Comma 7 4 4 2" xfId="2840"/>
    <cellStyle name="Comma 7 5" xfId="2841"/>
    <cellStyle name="Comma 7 5 2" xfId="2842"/>
    <cellStyle name="Comma 7 5 2 2" xfId="2843"/>
    <cellStyle name="Comma 7 5 3" xfId="2844"/>
    <cellStyle name="Comma 7 5 3 2" xfId="2845"/>
    <cellStyle name="Comma 7 6" xfId="2846"/>
    <cellStyle name="Comma 7 6 2" xfId="2847"/>
    <cellStyle name="Comma 7 6 2 2" xfId="2848"/>
    <cellStyle name="Comma 7 6 3" xfId="2849"/>
    <cellStyle name="Comma 7 7" xfId="2850"/>
    <cellStyle name="Comma 7 7 2" xfId="2851"/>
    <cellStyle name="Comma 7 7 2 2" xfId="2852"/>
    <cellStyle name="Comma 7 7 3" xfId="2853"/>
    <cellStyle name="Comma 7 8" xfId="2854"/>
    <cellStyle name="Comma 7 8 2" xfId="2855"/>
    <cellStyle name="Comma 8" xfId="2856"/>
    <cellStyle name="Comma 8 2" xfId="2857"/>
    <cellStyle name="Comma 8 2 2" xfId="2858"/>
    <cellStyle name="Comma 8 2 2 2" xfId="2859"/>
    <cellStyle name="Comma 8 2 2 2 2" xfId="2860"/>
    <cellStyle name="Comma 8 2 2 2 2 2" xfId="2861"/>
    <cellStyle name="Comma 8 2 2 2 3" xfId="2862"/>
    <cellStyle name="Comma 8 2 2 3" xfId="2863"/>
    <cellStyle name="Comma 8 2 2 3 2" xfId="2864"/>
    <cellStyle name="Comma 8 2 2 4" xfId="2865"/>
    <cellStyle name="Comma 8 2 2 4 2" xfId="2866"/>
    <cellStyle name="Comma 8 2 3" xfId="2867"/>
    <cellStyle name="Comma 8 2 3 2" xfId="2868"/>
    <cellStyle name="Comma 8 2 3 2 2" xfId="2869"/>
    <cellStyle name="Comma 8 2 3 3" xfId="2870"/>
    <cellStyle name="Comma 8 2 4" xfId="2871"/>
    <cellStyle name="Comma 8 2 4 2" xfId="2872"/>
    <cellStyle name="Comma 8 2 4 2 2" xfId="2873"/>
    <cellStyle name="Comma 8 2 4 3" xfId="2874"/>
    <cellStyle name="Comma 8 2 5" xfId="2875"/>
    <cellStyle name="Comma 8 2 5 2" xfId="2876"/>
    <cellStyle name="Comma 8 3" xfId="2877"/>
    <cellStyle name="Comma 8 3 2" xfId="2878"/>
    <cellStyle name="Comma 8 3 2 2" xfId="2879"/>
    <cellStyle name="Comma 8 3 2 2 2" xfId="2880"/>
    <cellStyle name="Comma 8 3 2 3" xfId="2881"/>
    <cellStyle name="Comma 8 3 2 3 2" xfId="2882"/>
    <cellStyle name="Comma 8 3 3" xfId="2883"/>
    <cellStyle name="Comma 8 3 3 2" xfId="2884"/>
    <cellStyle name="Comma 8 3 3 2 2" xfId="2885"/>
    <cellStyle name="Comma 8 3 3 3" xfId="2886"/>
    <cellStyle name="Comma 8 3 4" xfId="2887"/>
    <cellStyle name="Comma 8 3 4 2" xfId="2888"/>
    <cellStyle name="Comma 8 3 5" xfId="2889"/>
    <cellStyle name="Comma 8 3 5 2" xfId="2890"/>
    <cellStyle name="Comma 8 4" xfId="2891"/>
    <cellStyle name="Comma 8 4 2" xfId="2892"/>
    <cellStyle name="Comma 8 4 2 2" xfId="2893"/>
    <cellStyle name="Comma 8 4 2 2 2" xfId="2894"/>
    <cellStyle name="Comma 8 4 2 3" xfId="2895"/>
    <cellStyle name="Comma 8 4 3" xfId="2896"/>
    <cellStyle name="Comma 8 4 3 2" xfId="2897"/>
    <cellStyle name="Comma 8 4 4" xfId="2898"/>
    <cellStyle name="Comma 8 4 4 2" xfId="2899"/>
    <cellStyle name="Comma 8 5" xfId="2900"/>
    <cellStyle name="Comma 8 5 2" xfId="2901"/>
    <cellStyle name="Comma 8 5 2 2" xfId="2902"/>
    <cellStyle name="Comma 8 5 3" xfId="2903"/>
    <cellStyle name="Comma 8 5 3 2" xfId="2904"/>
    <cellStyle name="Comma 8 6" xfId="2905"/>
    <cellStyle name="Comma 8 6 2" xfId="2906"/>
    <cellStyle name="Comma 8 6 2 2" xfId="2907"/>
    <cellStyle name="Comma 8 6 3" xfId="2908"/>
    <cellStyle name="Comma 8 7" xfId="2909"/>
    <cellStyle name="Comma 8 7 2" xfId="2910"/>
    <cellStyle name="Comma 8 7 2 2" xfId="2911"/>
    <cellStyle name="Comma 8 7 3" xfId="2912"/>
    <cellStyle name="Comma 8 8" xfId="2913"/>
    <cellStyle name="Comma 8 8 2" xfId="2914"/>
    <cellStyle name="Comma 84" xfId="2915"/>
    <cellStyle name="Comma 84 2" xfId="2916"/>
    <cellStyle name="Comma 84 2 2" xfId="2917"/>
    <cellStyle name="Comma 84 2 2 2" xfId="2918"/>
    <cellStyle name="Comma 84 2 2 2 2" xfId="2919"/>
    <cellStyle name="Comma 84 2 2 2 2 2" xfId="2920"/>
    <cellStyle name="Comma 84 2 2 2 3" xfId="2921"/>
    <cellStyle name="Comma 84 2 2 2 3 2" xfId="2922"/>
    <cellStyle name="Comma 84 2 2 3" xfId="2923"/>
    <cellStyle name="Comma 84 2 2 3 2" xfId="2924"/>
    <cellStyle name="Comma 84 2 2 4" xfId="2925"/>
    <cellStyle name="Comma 84 2 2 4 2" xfId="2926"/>
    <cellStyle name="Comma 84 2 3" xfId="2927"/>
    <cellStyle name="Comma 84 2 3 2" xfId="2928"/>
    <cellStyle name="Comma 84 2 3 2 2" xfId="2929"/>
    <cellStyle name="Comma 84 2 3 2 2 2" xfId="2930"/>
    <cellStyle name="Comma 84 2 3 2 3" xfId="2931"/>
    <cellStyle name="Comma 84 2 3 2 3 2" xfId="2932"/>
    <cellStyle name="Comma 84 2 3 3" xfId="2933"/>
    <cellStyle name="Comma 84 2 3 3 2" xfId="2934"/>
    <cellStyle name="Comma 84 2 3 4" xfId="2935"/>
    <cellStyle name="Comma 84 2 3 4 2" xfId="2936"/>
    <cellStyle name="Comma 84 2 4" xfId="2937"/>
    <cellStyle name="Comma 84 2 4 2" xfId="2938"/>
    <cellStyle name="Comma 84 2 4 2 2" xfId="2939"/>
    <cellStyle name="Comma 84 2 4 3" xfId="2940"/>
    <cellStyle name="Comma 84 2 4 3 2" xfId="2941"/>
    <cellStyle name="Comma 84 2 5" xfId="2942"/>
    <cellStyle name="Comma 84 2 5 2" xfId="2943"/>
    <cellStyle name="Comma 84 2 6" xfId="2944"/>
    <cellStyle name="Comma 84 2 6 2" xfId="2945"/>
    <cellStyle name="Comma 84 3" xfId="2946"/>
    <cellStyle name="Comma 84 3 2" xfId="2947"/>
    <cellStyle name="Comma 84 3 2 2" xfId="2948"/>
    <cellStyle name="Comma 84 3 2 2 2" xfId="2949"/>
    <cellStyle name="Comma 84 3 2 3" xfId="2950"/>
    <cellStyle name="Comma 84 3 2 3 2" xfId="2951"/>
    <cellStyle name="Comma 84 3 3" xfId="2952"/>
    <cellStyle name="Comma 84 3 3 2" xfId="2953"/>
    <cellStyle name="Comma 84 3 4" xfId="2954"/>
    <cellStyle name="Comma 84 3 4 2" xfId="2955"/>
    <cellStyle name="Comma 84 4" xfId="2956"/>
    <cellStyle name="Comma 84 4 2" xfId="2957"/>
    <cellStyle name="Comma 84 4 2 2" xfId="2958"/>
    <cellStyle name="Comma 84 4 3" xfId="2959"/>
    <cellStyle name="Comma 84 4 3 2" xfId="2960"/>
    <cellStyle name="Comma 84 5" xfId="2961"/>
    <cellStyle name="Comma 84 5 2" xfId="2962"/>
    <cellStyle name="Comma 84 6" xfId="2963"/>
    <cellStyle name="Comma 84 6 2" xfId="2964"/>
    <cellStyle name="Comma 9" xfId="2965"/>
    <cellStyle name="Comma 9 2" xfId="2966"/>
    <cellStyle name="Comma 9 2 2" xfId="2967"/>
    <cellStyle name="Comma 9 2 2 2" xfId="2968"/>
    <cellStyle name="Comma 9 2 2 2 2" xfId="2969"/>
    <cellStyle name="Comma 9 2 2 3" xfId="2970"/>
    <cellStyle name="Comma 9 2 2 3 2" xfId="2971"/>
    <cellStyle name="Comma 9 2 3" xfId="2972"/>
    <cellStyle name="Comma 9 2 3 2" xfId="2973"/>
    <cellStyle name="Comma 9 2 3 2 2" xfId="2974"/>
    <cellStyle name="Comma 9 2 3 3" xfId="2975"/>
    <cellStyle name="Comma 9 2 4" xfId="2976"/>
    <cellStyle name="Comma 9 2 4 2" xfId="2977"/>
    <cellStyle name="Comma 9 2 5" xfId="2978"/>
    <cellStyle name="Comma 9 2 5 2" xfId="2979"/>
    <cellStyle name="Comma 9 3" xfId="2980"/>
    <cellStyle name="Comma 9 3 2" xfId="2981"/>
    <cellStyle name="Comma 9 3 2 2" xfId="2982"/>
    <cellStyle name="Comma 9 3 2 2 2" xfId="2983"/>
    <cellStyle name="Comma 9 3 2 3" xfId="2984"/>
    <cellStyle name="Comma 9 3 2 3 2" xfId="2985"/>
    <cellStyle name="Comma 9 3 3" xfId="2986"/>
    <cellStyle name="Comma 9 3 3 2" xfId="2987"/>
    <cellStyle name="Comma 9 3 4" xfId="2988"/>
    <cellStyle name="Comma 9 3 4 2" xfId="2989"/>
    <cellStyle name="Comma 9 4" xfId="2990"/>
    <cellStyle name="Comma 9 4 2" xfId="2991"/>
    <cellStyle name="Comma 9 4 2 2" xfId="2992"/>
    <cellStyle name="Comma 9 4 3" xfId="2993"/>
    <cellStyle name="Comma 9 4 3 2" xfId="2994"/>
    <cellStyle name="Comma 9 5" xfId="2995"/>
    <cellStyle name="Comma 9 5 2" xfId="2996"/>
    <cellStyle name="Comma 9 5 2 2" xfId="2997"/>
    <cellStyle name="Comma 9 5 3" xfId="2998"/>
    <cellStyle name="Comma 9 6" xfId="2999"/>
    <cellStyle name="Comma 9 6 2" xfId="3000"/>
    <cellStyle name="Comma 9 7" xfId="3001"/>
    <cellStyle name="Comma 9 7 2" xfId="3002"/>
    <cellStyle name="comma zerodec" xfId="3003"/>
    <cellStyle name="Comma,0" xfId="3004"/>
    <cellStyle name="Comma,1" xfId="3005"/>
    <cellStyle name="Comma,2" xfId="3006"/>
    <cellStyle name="consultationStyle" xfId="3007"/>
    <cellStyle name="Currency 2" xfId="3008"/>
    <cellStyle name="Currency 2 2" xfId="3009"/>
    <cellStyle name="Currency 3" xfId="3010"/>
    <cellStyle name="Currency 4" xfId="3011"/>
    <cellStyle name="Currency 4 2" xfId="3012"/>
    <cellStyle name="Currency 5" xfId="3013"/>
    <cellStyle name="Currency 6" xfId="3014"/>
    <cellStyle name="Currency 9" xfId="3015"/>
    <cellStyle name="Currency,0" xfId="3016"/>
    <cellStyle name="Currency,2" xfId="3017"/>
    <cellStyle name="Currency1" xfId="3018"/>
    <cellStyle name="dataStyle" xfId="3019"/>
    <cellStyle name="dataStyle 10" xfId="3020"/>
    <cellStyle name="dataStyle 2" xfId="3021"/>
    <cellStyle name="dataStyle 2 2" xfId="3022"/>
    <cellStyle name="dataStyle 2 2 2" xfId="3023"/>
    <cellStyle name="dataStyle 2 2 2 2" xfId="3024"/>
    <cellStyle name="dataStyle 2 2 2 2 2" xfId="3025"/>
    <cellStyle name="dataStyle 2 2 2 2 2 2" xfId="3026"/>
    <cellStyle name="dataStyle 2 2 2 2 3" xfId="3027"/>
    <cellStyle name="dataStyle 2 2 2 2 3 2" xfId="3028"/>
    <cellStyle name="dataStyle 2 2 2 2 4" xfId="3029"/>
    <cellStyle name="dataStyle 2 2 2 3" xfId="3030"/>
    <cellStyle name="dataStyle 2 2 2 3 2" xfId="3031"/>
    <cellStyle name="dataStyle 2 2 2 4" xfId="3032"/>
    <cellStyle name="dataStyle 2 2 2 4 2" xfId="3033"/>
    <cellStyle name="dataStyle 2 2 2 5" xfId="3034"/>
    <cellStyle name="dataStyle 2 2 2 5 2" xfId="3035"/>
    <cellStyle name="dataStyle 2 2 2 6" xfId="3036"/>
    <cellStyle name="dataStyle 2 2 3" xfId="3037"/>
    <cellStyle name="dataStyle 2 2 3 2" xfId="3038"/>
    <cellStyle name="dataStyle 2 2 3 2 2" xfId="3039"/>
    <cellStyle name="dataStyle 2 2 3 3" xfId="3040"/>
    <cellStyle name="dataStyle 2 2 3 3 2" xfId="3041"/>
    <cellStyle name="dataStyle 2 2 3 4" xfId="3042"/>
    <cellStyle name="dataStyle 2 2 4" xfId="3043"/>
    <cellStyle name="dataStyle 2 2 4 2" xfId="3044"/>
    <cellStyle name="dataStyle 2 2 4 2 2" xfId="3045"/>
    <cellStyle name="dataStyle 2 2 4 3" xfId="3046"/>
    <cellStyle name="dataStyle 2 2 4 3 2" xfId="3047"/>
    <cellStyle name="dataStyle 2 2 4 4" xfId="3048"/>
    <cellStyle name="dataStyle 2 2 5" xfId="3049"/>
    <cellStyle name="dataStyle 2 2 5 2" xfId="3050"/>
    <cellStyle name="dataStyle 2 2 6" xfId="3051"/>
    <cellStyle name="dataStyle 2 2 6 2" xfId="3052"/>
    <cellStyle name="dataStyle 2 2 7" xfId="3053"/>
    <cellStyle name="dataStyle 2 2 7 2" xfId="3054"/>
    <cellStyle name="dataStyle 2 2 8" xfId="3055"/>
    <cellStyle name="dataStyle 2 3" xfId="3056"/>
    <cellStyle name="dataStyle 2 3 2" xfId="3057"/>
    <cellStyle name="dataStyle 2 3 2 2" xfId="3058"/>
    <cellStyle name="dataStyle 2 3 2 2 2" xfId="3059"/>
    <cellStyle name="dataStyle 2 3 2 3" xfId="3060"/>
    <cellStyle name="dataStyle 2 3 2 3 2" xfId="3061"/>
    <cellStyle name="dataStyle 2 3 2 4" xfId="3062"/>
    <cellStyle name="dataStyle 2 3 3" xfId="3063"/>
    <cellStyle name="dataStyle 2 3 3 2" xfId="3064"/>
    <cellStyle name="dataStyle 2 3 4" xfId="3065"/>
    <cellStyle name="dataStyle 2 3 4 2" xfId="3066"/>
    <cellStyle name="dataStyle 2 3 5" xfId="3067"/>
    <cellStyle name="dataStyle 2 3 5 2" xfId="3068"/>
    <cellStyle name="dataStyle 2 3 6" xfId="3069"/>
    <cellStyle name="dataStyle 2 4" xfId="3070"/>
    <cellStyle name="dataStyle 2 4 2" xfId="3071"/>
    <cellStyle name="dataStyle 2 4 2 2" xfId="3072"/>
    <cellStyle name="dataStyle 2 4 3" xfId="3073"/>
    <cellStyle name="dataStyle 2 4 3 2" xfId="3074"/>
    <cellStyle name="dataStyle 2 4 4" xfId="3075"/>
    <cellStyle name="dataStyle 2 5" xfId="3076"/>
    <cellStyle name="dataStyle 2 5 2" xfId="3077"/>
    <cellStyle name="dataStyle 2 5 2 2" xfId="3078"/>
    <cellStyle name="dataStyle 2 5 3" xfId="3079"/>
    <cellStyle name="dataStyle 2 5 3 2" xfId="3080"/>
    <cellStyle name="dataStyle 2 5 4" xfId="3081"/>
    <cellStyle name="dataStyle 2 6" xfId="3082"/>
    <cellStyle name="dataStyle 2 6 2" xfId="3083"/>
    <cellStyle name="dataStyle 2 7" xfId="3084"/>
    <cellStyle name="dataStyle 2 7 2" xfId="3085"/>
    <cellStyle name="dataStyle 2 8" xfId="3086"/>
    <cellStyle name="dataStyle 2 8 2" xfId="3087"/>
    <cellStyle name="dataStyle 2 9" xfId="3088"/>
    <cellStyle name="dataStyle 3" xfId="3089"/>
    <cellStyle name="dataStyle 3 2" xfId="3090"/>
    <cellStyle name="dataStyle 3 2 2" xfId="3091"/>
    <cellStyle name="dataStyle 3 2 2 2" xfId="3092"/>
    <cellStyle name="dataStyle 3 2 2 2 2" xfId="3093"/>
    <cellStyle name="dataStyle 3 2 2 2 2 2" xfId="3094"/>
    <cellStyle name="dataStyle 3 2 2 2 3" xfId="3095"/>
    <cellStyle name="dataStyle 3 2 2 2 3 2" xfId="3096"/>
    <cellStyle name="dataStyle 3 2 2 2 4" xfId="3097"/>
    <cellStyle name="dataStyle 3 2 2 3" xfId="3098"/>
    <cellStyle name="dataStyle 3 2 2 3 2" xfId="3099"/>
    <cellStyle name="dataStyle 3 2 2 4" xfId="3100"/>
    <cellStyle name="dataStyle 3 2 2 4 2" xfId="3101"/>
    <cellStyle name="dataStyle 3 2 2 5" xfId="3102"/>
    <cellStyle name="dataStyle 3 2 2 5 2" xfId="3103"/>
    <cellStyle name="dataStyle 3 2 2 6" xfId="3104"/>
    <cellStyle name="dataStyle 3 2 3" xfId="3105"/>
    <cellStyle name="dataStyle 3 2 3 2" xfId="3106"/>
    <cellStyle name="dataStyle 3 2 3 2 2" xfId="3107"/>
    <cellStyle name="dataStyle 3 2 3 3" xfId="3108"/>
    <cellStyle name="dataStyle 3 2 3 3 2" xfId="3109"/>
    <cellStyle name="dataStyle 3 2 3 4" xfId="3110"/>
    <cellStyle name="dataStyle 3 2 4" xfId="3111"/>
    <cellStyle name="dataStyle 3 2 4 2" xfId="3112"/>
    <cellStyle name="dataStyle 3 2 4 2 2" xfId="3113"/>
    <cellStyle name="dataStyle 3 2 4 3" xfId="3114"/>
    <cellStyle name="dataStyle 3 2 4 3 2" xfId="3115"/>
    <cellStyle name="dataStyle 3 2 4 4" xfId="3116"/>
    <cellStyle name="dataStyle 3 2 5" xfId="3117"/>
    <cellStyle name="dataStyle 3 2 5 2" xfId="3118"/>
    <cellStyle name="dataStyle 3 2 6" xfId="3119"/>
    <cellStyle name="dataStyle 3 2 6 2" xfId="3120"/>
    <cellStyle name="dataStyle 3 2 7" xfId="3121"/>
    <cellStyle name="dataStyle 3 2 7 2" xfId="3122"/>
    <cellStyle name="dataStyle 3 2 8" xfId="3123"/>
    <cellStyle name="dataStyle 3 3" xfId="3124"/>
    <cellStyle name="dataStyle 3 3 2" xfId="3125"/>
    <cellStyle name="dataStyle 3 3 2 2" xfId="3126"/>
    <cellStyle name="dataStyle 3 3 2 2 2" xfId="3127"/>
    <cellStyle name="dataStyle 3 3 2 3" xfId="3128"/>
    <cellStyle name="dataStyle 3 3 2 3 2" xfId="3129"/>
    <cellStyle name="dataStyle 3 3 2 4" xfId="3130"/>
    <cellStyle name="dataStyle 3 3 3" xfId="3131"/>
    <cellStyle name="dataStyle 3 3 3 2" xfId="3132"/>
    <cellStyle name="dataStyle 3 3 4" xfId="3133"/>
    <cellStyle name="dataStyle 3 3 4 2" xfId="3134"/>
    <cellStyle name="dataStyle 3 3 5" xfId="3135"/>
    <cellStyle name="dataStyle 3 3 5 2" xfId="3136"/>
    <cellStyle name="dataStyle 3 3 6" xfId="3137"/>
    <cellStyle name="dataStyle 3 4" xfId="3138"/>
    <cellStyle name="dataStyle 3 4 2" xfId="3139"/>
    <cellStyle name="dataStyle 3 4 2 2" xfId="3140"/>
    <cellStyle name="dataStyle 3 4 3" xfId="3141"/>
    <cellStyle name="dataStyle 3 4 3 2" xfId="3142"/>
    <cellStyle name="dataStyle 3 4 4" xfId="3143"/>
    <cellStyle name="dataStyle 3 5" xfId="3144"/>
    <cellStyle name="dataStyle 3 5 2" xfId="3145"/>
    <cellStyle name="dataStyle 3 5 2 2" xfId="3146"/>
    <cellStyle name="dataStyle 3 5 3" xfId="3147"/>
    <cellStyle name="dataStyle 3 5 3 2" xfId="3148"/>
    <cellStyle name="dataStyle 3 5 4" xfId="3149"/>
    <cellStyle name="dataStyle 3 6" xfId="3150"/>
    <cellStyle name="dataStyle 3 6 2" xfId="3151"/>
    <cellStyle name="dataStyle 3 7" xfId="3152"/>
    <cellStyle name="dataStyle 3 7 2" xfId="3153"/>
    <cellStyle name="dataStyle 3 8" xfId="3154"/>
    <cellStyle name="dataStyle 3 8 2" xfId="3155"/>
    <cellStyle name="dataStyle 3 9" xfId="3156"/>
    <cellStyle name="dataStyle 4" xfId="3157"/>
    <cellStyle name="dataStyle 4 2" xfId="3158"/>
    <cellStyle name="dataStyle 4 2 2" xfId="3159"/>
    <cellStyle name="dataStyle 4 2 2 2" xfId="3160"/>
    <cellStyle name="dataStyle 4 2 3" xfId="3161"/>
    <cellStyle name="dataStyle 4 2 3 2" xfId="3162"/>
    <cellStyle name="dataStyle 4 2 4" xfId="3163"/>
    <cellStyle name="dataStyle 4 3" xfId="3164"/>
    <cellStyle name="dataStyle 4 3 2" xfId="3165"/>
    <cellStyle name="dataStyle 4 3 2 2" xfId="3166"/>
    <cellStyle name="dataStyle 4 3 3" xfId="3167"/>
    <cellStyle name="dataStyle 4 3 3 2" xfId="3168"/>
    <cellStyle name="dataStyle 4 3 4" xfId="3169"/>
    <cellStyle name="dataStyle 4 4" xfId="3170"/>
    <cellStyle name="dataStyle 4 4 2" xfId="3171"/>
    <cellStyle name="dataStyle 4 5" xfId="3172"/>
    <cellStyle name="dataStyle 4 5 2" xfId="3173"/>
    <cellStyle name="dataStyle 4 6" xfId="3174"/>
    <cellStyle name="dataStyle 4 6 2" xfId="3175"/>
    <cellStyle name="dataStyle 4 7" xfId="3176"/>
    <cellStyle name="dataStyle 5" xfId="3177"/>
    <cellStyle name="dataStyle 5 2" xfId="3178"/>
    <cellStyle name="dataStyle 5 2 2" xfId="3179"/>
    <cellStyle name="dataStyle 5 3" xfId="3180"/>
    <cellStyle name="dataStyle 5 3 2" xfId="3181"/>
    <cellStyle name="dataStyle 5 4" xfId="3182"/>
    <cellStyle name="dataStyle 6" xfId="3183"/>
    <cellStyle name="dataStyle 6 2" xfId="3184"/>
    <cellStyle name="dataStyle 6 2 2" xfId="3185"/>
    <cellStyle name="dataStyle 6 3" xfId="3186"/>
    <cellStyle name="dataStyle 6 3 2" xfId="3187"/>
    <cellStyle name="dataStyle 6 4" xfId="3188"/>
    <cellStyle name="dataStyle 7" xfId="3189"/>
    <cellStyle name="dataStyle 7 2" xfId="3190"/>
    <cellStyle name="dataStyle 8" xfId="3191"/>
    <cellStyle name="dataStyle 8 2" xfId="3192"/>
    <cellStyle name="dataStyle 9" xfId="3193"/>
    <cellStyle name="dataStyle 9 2" xfId="3194"/>
    <cellStyle name="dateStyle" xfId="3195"/>
    <cellStyle name="dateStyle 2" xfId="3196"/>
    <cellStyle name="dateStyle 2 2" xfId="3197"/>
    <cellStyle name="dateStyle 2 2 2" xfId="3198"/>
    <cellStyle name="dateStyle 2 2 2 2" xfId="3199"/>
    <cellStyle name="dateStyle 2 2 3" xfId="3200"/>
    <cellStyle name="dateStyle 2 2 3 2" xfId="3201"/>
    <cellStyle name="dateStyle 2 2 4" xfId="3202"/>
    <cellStyle name="dateStyle 2 3" xfId="3203"/>
    <cellStyle name="dateStyle 2 3 2" xfId="3204"/>
    <cellStyle name="dateStyle 2 3 2 2" xfId="3205"/>
    <cellStyle name="dateStyle 2 3 3" xfId="3206"/>
    <cellStyle name="dateStyle 2 3 3 2" xfId="3207"/>
    <cellStyle name="dateStyle 2 3 4" xfId="3208"/>
    <cellStyle name="dateStyle 2 4" xfId="3209"/>
    <cellStyle name="dateStyle 2 4 2" xfId="3210"/>
    <cellStyle name="dateStyle 2 5" xfId="3211"/>
    <cellStyle name="dateStyle 2 5 2" xfId="3212"/>
    <cellStyle name="dateStyle 2 6" xfId="3213"/>
    <cellStyle name="dateStyle 2 6 2" xfId="3214"/>
    <cellStyle name="dateStyle 2 7" xfId="3215"/>
    <cellStyle name="dateStyle 3" xfId="3216"/>
    <cellStyle name="dateStyle 3 2" xfId="3217"/>
    <cellStyle name="dateStyle 3 2 2" xfId="3218"/>
    <cellStyle name="dateStyle 3 3" xfId="3219"/>
    <cellStyle name="dateStyle 3 3 2" xfId="3220"/>
    <cellStyle name="dateStyle 3 4" xfId="3221"/>
    <cellStyle name="dateStyle 4" xfId="3222"/>
    <cellStyle name="dateStyle 4 2" xfId="3223"/>
    <cellStyle name="dateStyle 4 2 2" xfId="3224"/>
    <cellStyle name="dateStyle 4 3" xfId="3225"/>
    <cellStyle name="dateStyle 4 3 2" xfId="3226"/>
    <cellStyle name="dateStyle 4 4" xfId="3227"/>
    <cellStyle name="dateStyle 5" xfId="3228"/>
    <cellStyle name="dateStyle 5 2" xfId="3229"/>
    <cellStyle name="dateStyle 6" xfId="3230"/>
    <cellStyle name="dateStyle 6 2" xfId="3231"/>
    <cellStyle name="dateStyle 7" xfId="3232"/>
    <cellStyle name="dateStyle 7 2" xfId="3233"/>
    <cellStyle name="dateStyle 8" xfId="3234"/>
    <cellStyle name="Dollar (zero dec)" xfId="3235"/>
    <cellStyle name="entry" xfId="3236"/>
    <cellStyle name="entry box" xfId="3237"/>
    <cellStyle name="entry box 2" xfId="3238"/>
    <cellStyle name="entry box 2 2" xfId="3239"/>
    <cellStyle name="entry box 2 2 2" xfId="3240"/>
    <cellStyle name="entry box 2 2 2 2" xfId="3241"/>
    <cellStyle name="entry box 2 2 2 2 2" xfId="3242"/>
    <cellStyle name="entry box 2 2 2 3" xfId="3243"/>
    <cellStyle name="entry box 2 2 2 3 2" xfId="3244"/>
    <cellStyle name="entry box 2 2 2 4" xfId="3245"/>
    <cellStyle name="entry box 2 2 3" xfId="3246"/>
    <cellStyle name="entry box 2 2 3 2" xfId="3247"/>
    <cellStyle name="entry box 2 2 4" xfId="3248"/>
    <cellStyle name="entry box 2 2 4 2" xfId="3249"/>
    <cellStyle name="entry box 2 2 5" xfId="3250"/>
    <cellStyle name="entry box 2 2 5 2" xfId="3251"/>
    <cellStyle name="entry box 2 2 6" xfId="3252"/>
    <cellStyle name="entry box 2 3" xfId="3253"/>
    <cellStyle name="entry box 2 3 2" xfId="3254"/>
    <cellStyle name="entry box 2 3 2 2" xfId="3255"/>
    <cellStyle name="entry box 2 3 3" xfId="3256"/>
    <cellStyle name="entry box 2 3 3 2" xfId="3257"/>
    <cellStyle name="entry box 2 3 4" xfId="3258"/>
    <cellStyle name="entry box 2 4" xfId="3259"/>
    <cellStyle name="entry box 2 4 2" xfId="3260"/>
    <cellStyle name="entry box 2 4 2 2" xfId="3261"/>
    <cellStyle name="entry box 2 4 3" xfId="3262"/>
    <cellStyle name="entry box 2 4 3 2" xfId="3263"/>
    <cellStyle name="entry box 2 4 4" xfId="3264"/>
    <cellStyle name="entry box 2 5" xfId="3265"/>
    <cellStyle name="entry box 2 5 2" xfId="3266"/>
    <cellStyle name="entry box 2 6" xfId="3267"/>
    <cellStyle name="entry box 3" xfId="3268"/>
    <cellStyle name="entry box 3 2" xfId="3269"/>
    <cellStyle name="entry box 3 2 2" xfId="3270"/>
    <cellStyle name="entry box 3 2 2 2" xfId="3271"/>
    <cellStyle name="entry box 3 2 3" xfId="3272"/>
    <cellStyle name="entry box 3 2 3 2" xfId="3273"/>
    <cellStyle name="entry box 3 2 4" xfId="3274"/>
    <cellStyle name="entry box 3 3" xfId="3275"/>
    <cellStyle name="entry box 3 3 2" xfId="3276"/>
    <cellStyle name="entry box 3 4" xfId="3277"/>
    <cellStyle name="entry box 3 4 2" xfId="3278"/>
    <cellStyle name="entry box 3 5" xfId="3279"/>
    <cellStyle name="entry box 3 5 2" xfId="3280"/>
    <cellStyle name="entry box 3 6" xfId="3281"/>
    <cellStyle name="entry box 4" xfId="3282"/>
    <cellStyle name="entry box 4 2" xfId="3283"/>
    <cellStyle name="entry box 4 2 2" xfId="3284"/>
    <cellStyle name="entry box 4 3" xfId="3285"/>
    <cellStyle name="entry box 4 3 2" xfId="3286"/>
    <cellStyle name="entry box 4 4" xfId="3287"/>
    <cellStyle name="entry box 5" xfId="3288"/>
    <cellStyle name="entry box 5 2" xfId="3289"/>
    <cellStyle name="entry box 5 2 2" xfId="3290"/>
    <cellStyle name="entry box 5 3" xfId="3291"/>
    <cellStyle name="entry box 5 3 2" xfId="3292"/>
    <cellStyle name="entry box 5 4" xfId="3293"/>
    <cellStyle name="Euro" xfId="3294"/>
    <cellStyle name="Euro 2" xfId="3295"/>
    <cellStyle name="Euro 2 2" xfId="3296"/>
    <cellStyle name="Euro 3" xfId="3297"/>
    <cellStyle name="evenStyle" xfId="3298"/>
    <cellStyle name="evenStyle 2" xfId="3299"/>
    <cellStyle name="evenStyle 2 2" xfId="3300"/>
    <cellStyle name="evenStyle 2 2 2" xfId="3301"/>
    <cellStyle name="evenStyle 2 2 2 2" xfId="3302"/>
    <cellStyle name="evenStyle 2 2 3" xfId="3303"/>
    <cellStyle name="evenStyle 2 2 3 2" xfId="3304"/>
    <cellStyle name="evenStyle 2 2 4" xfId="3305"/>
    <cellStyle name="evenStyle 2 3" xfId="3306"/>
    <cellStyle name="evenStyle 2 3 2" xfId="3307"/>
    <cellStyle name="evenStyle 2 3 2 2" xfId="3308"/>
    <cellStyle name="evenStyle 2 3 3" xfId="3309"/>
    <cellStyle name="evenStyle 2 3 3 2" xfId="3310"/>
    <cellStyle name="evenStyle 2 3 4" xfId="3311"/>
    <cellStyle name="evenStyle 2 4" xfId="3312"/>
    <cellStyle name="evenStyle 2 4 2" xfId="3313"/>
    <cellStyle name="evenStyle 2 5" xfId="3314"/>
    <cellStyle name="evenStyle 2 5 2" xfId="3315"/>
    <cellStyle name="evenStyle 2 6" xfId="3316"/>
    <cellStyle name="evenStyle 2 6 2" xfId="3317"/>
    <cellStyle name="evenStyle 2 7" xfId="3318"/>
    <cellStyle name="evenStyle 3" xfId="3319"/>
    <cellStyle name="evenStyle 3 2" xfId="3320"/>
    <cellStyle name="evenStyle 3 2 2" xfId="3321"/>
    <cellStyle name="evenStyle 3 3" xfId="3322"/>
    <cellStyle name="evenStyle 3 3 2" xfId="3323"/>
    <cellStyle name="evenStyle 3 4" xfId="3324"/>
    <cellStyle name="evenStyle 4" xfId="3325"/>
    <cellStyle name="evenStyle 4 2" xfId="3326"/>
    <cellStyle name="evenStyle 4 2 2" xfId="3327"/>
    <cellStyle name="evenStyle 4 3" xfId="3328"/>
    <cellStyle name="evenStyle 4 3 2" xfId="3329"/>
    <cellStyle name="evenStyle 4 4" xfId="3330"/>
    <cellStyle name="evenStyle 5" xfId="3331"/>
    <cellStyle name="evenStyle 5 2" xfId="3332"/>
    <cellStyle name="evenStyle 6" xfId="3333"/>
    <cellStyle name="evenStyle 6 2" xfId="3334"/>
    <cellStyle name="evenStyle 7" xfId="3335"/>
    <cellStyle name="evenStyle 7 2" xfId="3336"/>
    <cellStyle name="evenStyle 8" xfId="3337"/>
    <cellStyle name="Good 2" xfId="3338"/>
    <cellStyle name="Good 2 2" xfId="3339"/>
    <cellStyle name="Good 2 2 2" xfId="3340"/>
    <cellStyle name="Good 2 2 3" xfId="3341"/>
    <cellStyle name="Good 2 3" xfId="3342"/>
    <cellStyle name="Good 3" xfId="3343"/>
    <cellStyle name="Good 4" xfId="3344"/>
    <cellStyle name="Grey" xfId="3345"/>
    <cellStyle name="HEADER" xfId="3346"/>
    <cellStyle name="Header1" xfId="3347"/>
    <cellStyle name="Header1 2" xfId="3348"/>
    <cellStyle name="Header1 2 2" xfId="3349"/>
    <cellStyle name="Header1 2 2 2" xfId="3350"/>
    <cellStyle name="Header1 2 2 2 2" xfId="3351"/>
    <cellStyle name="Header1 2 2 3" xfId="3352"/>
    <cellStyle name="Header1 2 2 3 2" xfId="3353"/>
    <cellStyle name="Header1 2 2 4" xfId="3354"/>
    <cellStyle name="Header1 2 2 4 2" xfId="3355"/>
    <cellStyle name="Header1 2 2 5" xfId="3356"/>
    <cellStyle name="Header1 2 2 5 2" xfId="3357"/>
    <cellStyle name="Header1 2 3" xfId="3358"/>
    <cellStyle name="Header1 2 3 2" xfId="3359"/>
    <cellStyle name="Header1 2 3 2 2" xfId="3360"/>
    <cellStyle name="Header1 2 3 3" xfId="3361"/>
    <cellStyle name="Header1 2 3 3 2" xfId="3362"/>
    <cellStyle name="Header1 2 3 4" xfId="3363"/>
    <cellStyle name="Header1 2 3 4 2" xfId="3364"/>
    <cellStyle name="Header1 2 3 5" xfId="3365"/>
    <cellStyle name="Header1 2 3 5 2" xfId="3366"/>
    <cellStyle name="Header1 2 4" xfId="3367"/>
    <cellStyle name="Header1 2 4 2" xfId="3368"/>
    <cellStyle name="Header1 3" xfId="3369"/>
    <cellStyle name="Header1 3 2" xfId="3370"/>
    <cellStyle name="Header1 3 2 2" xfId="3371"/>
    <cellStyle name="Header1 3 2 2 2" xfId="3372"/>
    <cellStyle name="Header1 3 2 3" xfId="3373"/>
    <cellStyle name="Header1 3 2 3 2" xfId="3374"/>
    <cellStyle name="Header1 3 2 4" xfId="3375"/>
    <cellStyle name="Header1 3 2 4 2" xfId="3376"/>
    <cellStyle name="Header1 3 2 5" xfId="3377"/>
    <cellStyle name="Header1 3 2 5 2" xfId="3378"/>
    <cellStyle name="Header1 4" xfId="3379"/>
    <cellStyle name="Header1 4 2" xfId="3380"/>
    <cellStyle name="Header1 4 2 2" xfId="3381"/>
    <cellStyle name="Header1 4 2 3" xfId="3382"/>
    <cellStyle name="Header1 4 2 3 2" xfId="3383"/>
    <cellStyle name="Header1 4 2 4" xfId="3384"/>
    <cellStyle name="Header1 4 2 4 2" xfId="3385"/>
    <cellStyle name="Header1 4 2 5" xfId="3386"/>
    <cellStyle name="Header1 4 2 5 2" xfId="3387"/>
    <cellStyle name="Header1 4 2 6" xfId="3388"/>
    <cellStyle name="Header1 4 2 6 2" xfId="3389"/>
    <cellStyle name="Header1 4 2 7" xfId="3390"/>
    <cellStyle name="Header1 4 3" xfId="3391"/>
    <cellStyle name="Header1 4 3 2" xfId="3392"/>
    <cellStyle name="Header1 4 3 2 2" xfId="3393"/>
    <cellStyle name="Header1 4 3 3" xfId="3394"/>
    <cellStyle name="Header1 4 3 3 2" xfId="3395"/>
    <cellStyle name="Header1 4 3 4" xfId="3396"/>
    <cellStyle name="Header1 4 3 4 2" xfId="3397"/>
    <cellStyle name="Header1 4 3 5" xfId="3398"/>
    <cellStyle name="Header1 4 3 5 2" xfId="3399"/>
    <cellStyle name="Header1 4 4" xfId="3400"/>
    <cellStyle name="Header1 4 4 2" xfId="3401"/>
    <cellStyle name="Header1 4 5" xfId="3402"/>
    <cellStyle name="Header1 4 5 2" xfId="3403"/>
    <cellStyle name="Header1 4 6" xfId="3404"/>
    <cellStyle name="Header1 4 6 2" xfId="3405"/>
    <cellStyle name="Header1 5" xfId="3406"/>
    <cellStyle name="Header1 5 2" xfId="3407"/>
    <cellStyle name="Header1 5 3" xfId="3408"/>
    <cellStyle name="Header1 5 3 2" xfId="3409"/>
    <cellStyle name="Header1 5 4" xfId="3410"/>
    <cellStyle name="Header1 5 4 2" xfId="3411"/>
    <cellStyle name="Header1 5 5" xfId="3412"/>
    <cellStyle name="Header1 5 5 2" xfId="3413"/>
    <cellStyle name="Header1 5 6" xfId="3414"/>
    <cellStyle name="Header1 5 6 2" xfId="3415"/>
    <cellStyle name="Header2" xfId="3416"/>
    <cellStyle name="Header2 2" xfId="3417"/>
    <cellStyle name="Header2 2 2" xfId="3418"/>
    <cellStyle name="Header2 2 2 2" xfId="3419"/>
    <cellStyle name="Header2 2 2 2 2" xfId="3420"/>
    <cellStyle name="Header2 2 2 3" xfId="3421"/>
    <cellStyle name="Header2 2 2 3 2" xfId="3422"/>
    <cellStyle name="Header2 2 2 4" xfId="3423"/>
    <cellStyle name="Header2 2 3" xfId="3424"/>
    <cellStyle name="Header2 2 3 2" xfId="3425"/>
    <cellStyle name="Header2 2 4" xfId="3426"/>
    <cellStyle name="Header2 2 4 2" xfId="3427"/>
    <cellStyle name="Header2 2 5" xfId="3428"/>
    <cellStyle name="Header2 3" xfId="3429"/>
    <cellStyle name="Header2 3 2" xfId="3430"/>
    <cellStyle name="Header2 3 2 2" xfId="3431"/>
    <cellStyle name="Header2 3 3" xfId="3432"/>
    <cellStyle name="Header2 3 3 2" xfId="3433"/>
    <cellStyle name="Header2 3 4" xfId="3434"/>
    <cellStyle name="Header2 4" xfId="3435"/>
    <cellStyle name="Header2 4 2" xfId="3436"/>
    <cellStyle name="Header2 5" xfId="3437"/>
    <cellStyle name="Header2 5 2" xfId="3438"/>
    <cellStyle name="Header2 6" xfId="3439"/>
    <cellStyle name="headStyle" xfId="3440"/>
    <cellStyle name="headStyle 2" xfId="3441"/>
    <cellStyle name="headStyle 2 2" xfId="3442"/>
    <cellStyle name="headStyle 2 2 2" xfId="3443"/>
    <cellStyle name="headStyle 2 2 2 2" xfId="3444"/>
    <cellStyle name="headStyle 2 2 3" xfId="3445"/>
    <cellStyle name="headStyle 2 2 3 2" xfId="3446"/>
    <cellStyle name="headStyle 2 2 4" xfId="3447"/>
    <cellStyle name="headStyle 2 3" xfId="3448"/>
    <cellStyle name="headStyle 2 3 2" xfId="3449"/>
    <cellStyle name="headStyle 2 3 2 2" xfId="3450"/>
    <cellStyle name="headStyle 2 3 3" xfId="3451"/>
    <cellStyle name="headStyle 2 3 3 2" xfId="3452"/>
    <cellStyle name="headStyle 2 3 4" xfId="3453"/>
    <cellStyle name="headStyle 2 4" xfId="3454"/>
    <cellStyle name="headStyle 2 4 2" xfId="3455"/>
    <cellStyle name="headStyle 2 5" xfId="3456"/>
    <cellStyle name="headStyle 2 5 2" xfId="3457"/>
    <cellStyle name="headStyle 2 6" xfId="3458"/>
    <cellStyle name="headStyle 2 6 2" xfId="3459"/>
    <cellStyle name="headStyle 2 7" xfId="3460"/>
    <cellStyle name="headStyle 3" xfId="3461"/>
    <cellStyle name="headStyle 3 2" xfId="3462"/>
    <cellStyle name="headStyle 3 2 2" xfId="3463"/>
    <cellStyle name="headStyle 3 3" xfId="3464"/>
    <cellStyle name="headStyle 3 3 2" xfId="3465"/>
    <cellStyle name="headStyle 3 4" xfId="3466"/>
    <cellStyle name="headStyle 4" xfId="3467"/>
    <cellStyle name="headStyle 4 2" xfId="3468"/>
    <cellStyle name="headStyle 4 2 2" xfId="3469"/>
    <cellStyle name="headStyle 4 3" xfId="3470"/>
    <cellStyle name="headStyle 4 3 2" xfId="3471"/>
    <cellStyle name="headStyle 4 4" xfId="3472"/>
    <cellStyle name="headStyle 5" xfId="3473"/>
    <cellStyle name="headStyle 5 2" xfId="3474"/>
    <cellStyle name="headStyle 6" xfId="3475"/>
    <cellStyle name="headStyle 6 2" xfId="3476"/>
    <cellStyle name="headStyle 7" xfId="3477"/>
    <cellStyle name="headStyle 7 2" xfId="3478"/>
    <cellStyle name="headStyle 8" xfId="3479"/>
    <cellStyle name="Hyperlink" xfId="3480"/>
    <cellStyle name="Hyperlink 2" xfId="3481"/>
    <cellStyle name="Hyperlink 2 2" xfId="3482"/>
    <cellStyle name="Hyperlink 2 2 2" xfId="3483"/>
    <cellStyle name="Hyperlink 2 2 3" xfId="3484"/>
    <cellStyle name="Hyperlink 2 2 4" xfId="3485"/>
    <cellStyle name="Hyperlink 2 2 5" xfId="3486"/>
    <cellStyle name="Hyperlink 2 2 5 2" xfId="3487"/>
    <cellStyle name="Hyperlink 2 2 5 3" xfId="3488"/>
    <cellStyle name="Hyperlink 2 3" xfId="3489"/>
    <cellStyle name="Hyperlink 2 3 2" xfId="3490"/>
    <cellStyle name="Hyperlink 2 3 3" xfId="3491"/>
    <cellStyle name="Hyperlink 2 4" xfId="3492"/>
    <cellStyle name="Hyperlink 2 4 2" xfId="3493"/>
    <cellStyle name="Hyperlink 2 4 3" xfId="3494"/>
    <cellStyle name="Hyperlink 3" xfId="3495"/>
    <cellStyle name="Hyperlink 3 2" xfId="3496"/>
    <cellStyle name="Hyperlink 3 2 2" xfId="3497"/>
    <cellStyle name="Hyperlink 3 2 3" xfId="3498"/>
    <cellStyle name="Hyperlink 3 3" xfId="3499"/>
    <cellStyle name="Hyperlink 3 4" xfId="3500"/>
    <cellStyle name="Hyperlink 4" xfId="3501"/>
    <cellStyle name="Hyperlink 4 2" xfId="3502"/>
    <cellStyle name="Hyperlink 4 2 2" xfId="3503"/>
    <cellStyle name="Hyperlink 4 2 3" xfId="3504"/>
    <cellStyle name="Hyperlink 4 3" xfId="3505"/>
    <cellStyle name="Hyperlink 4 4" xfId="3506"/>
    <cellStyle name="Hyperlink 5" xfId="3507"/>
    <cellStyle name="Hyperlink 5 2" xfId="3508"/>
    <cellStyle name="Hyperlink 5 3" xfId="3509"/>
    <cellStyle name="Hyperlink 5 4" xfId="3510"/>
    <cellStyle name="Hyperlink 6" xfId="3511"/>
    <cellStyle name="Hyperlink 7" xfId="3512"/>
    <cellStyle name="Hyperlink 8" xfId="3513"/>
    <cellStyle name="Hyperlink 9" xfId="3514"/>
    <cellStyle name="Input [yellow]" xfId="3515"/>
    <cellStyle name="Input [yellow] 2" xfId="3516"/>
    <cellStyle name="Input [yellow] 2 2" xfId="3517"/>
    <cellStyle name="Input [yellow] 2 2 2" xfId="3518"/>
    <cellStyle name="Input [yellow] 2 2 2 2" xfId="3519"/>
    <cellStyle name="Input [yellow] 2 2 2 2 2" xfId="3520"/>
    <cellStyle name="Input [yellow] 2 2 2 3" xfId="3521"/>
    <cellStyle name="Input [yellow] 2 2 2 3 2" xfId="3522"/>
    <cellStyle name="Input [yellow] 2 2 2 4" xfId="3523"/>
    <cellStyle name="Input [yellow] 2 2 3" xfId="3524"/>
    <cellStyle name="Input [yellow] 2 2 3 2" xfId="3525"/>
    <cellStyle name="Input [yellow] 2 2 4" xfId="3526"/>
    <cellStyle name="Input [yellow] 2 2 4 2" xfId="3527"/>
    <cellStyle name="Input [yellow] 2 2 5" xfId="3528"/>
    <cellStyle name="Input [yellow] 2 2 5 2" xfId="3529"/>
    <cellStyle name="Input [yellow] 2 2 6" xfId="3530"/>
    <cellStyle name="Input [yellow] 2 3" xfId="3531"/>
    <cellStyle name="Input [yellow] 2 3 2" xfId="3532"/>
    <cellStyle name="Input [yellow] 2 3 2 2" xfId="3533"/>
    <cellStyle name="Input [yellow] 2 3 3" xfId="3534"/>
    <cellStyle name="Input [yellow] 2 3 3 2" xfId="3535"/>
    <cellStyle name="Input [yellow] 2 3 4" xfId="3536"/>
    <cellStyle name="Input [yellow] 2 4" xfId="3537"/>
    <cellStyle name="Input [yellow] 2 4 2" xfId="3538"/>
    <cellStyle name="Input [yellow] 2 4 2 2" xfId="3539"/>
    <cellStyle name="Input [yellow] 2 4 3" xfId="3540"/>
    <cellStyle name="Input [yellow] 2 4 3 2" xfId="3541"/>
    <cellStyle name="Input [yellow] 2 4 4" xfId="3542"/>
    <cellStyle name="Input [yellow] 2 5" xfId="3543"/>
    <cellStyle name="Input [yellow] 2 5 2" xfId="3544"/>
    <cellStyle name="Input [yellow] 2 6" xfId="3545"/>
    <cellStyle name="Input [yellow] 3" xfId="3546"/>
    <cellStyle name="Input [yellow] 3 2" xfId="3547"/>
    <cellStyle name="Input [yellow] 3 2 2" xfId="3548"/>
    <cellStyle name="Input [yellow] 3 2 2 2" xfId="3549"/>
    <cellStyle name="Input [yellow] 3 2 3" xfId="3550"/>
    <cellStyle name="Input [yellow] 3 2 3 2" xfId="3551"/>
    <cellStyle name="Input [yellow] 3 2 4" xfId="3552"/>
    <cellStyle name="Input [yellow] 3 3" xfId="3553"/>
    <cellStyle name="Input [yellow] 3 3 2" xfId="3554"/>
    <cellStyle name="Input [yellow] 3 4" xfId="3555"/>
    <cellStyle name="Input [yellow] 3 4 2" xfId="3556"/>
    <cellStyle name="Input [yellow] 3 5" xfId="3557"/>
    <cellStyle name="Input [yellow] 3 5 2" xfId="3558"/>
    <cellStyle name="Input [yellow] 3 6" xfId="3559"/>
    <cellStyle name="Input [yellow] 4" xfId="3560"/>
    <cellStyle name="Input [yellow] 4 2" xfId="3561"/>
    <cellStyle name="Input [yellow] 4 2 2" xfId="3562"/>
    <cellStyle name="Input [yellow] 4 3" xfId="3563"/>
    <cellStyle name="Input [yellow] 4 3 2" xfId="3564"/>
    <cellStyle name="Input [yellow] 4 4" xfId="3565"/>
    <cellStyle name="Input [yellow] 5" xfId="3566"/>
    <cellStyle name="Input [yellow] 5 2" xfId="3567"/>
    <cellStyle name="Input [yellow] 5 2 2" xfId="3568"/>
    <cellStyle name="Input [yellow] 5 3" xfId="3569"/>
    <cellStyle name="Input [yellow] 5 3 2" xfId="3570"/>
    <cellStyle name="Input [yellow] 5 4" xfId="3571"/>
    <cellStyle name="Model" xfId="3572"/>
    <cellStyle name="Model 2" xfId="3573"/>
    <cellStyle name="Model 3" xfId="3574"/>
    <cellStyle name="Neutral 2" xfId="3575"/>
    <cellStyle name="Normal - Style1" xfId="3576"/>
    <cellStyle name="Normal 10" xfId="3577"/>
    <cellStyle name="Normal 10 10" xfId="3578"/>
    <cellStyle name="Normal 10 10 2" xfId="3579"/>
    <cellStyle name="Normal 10 2" xfId="3580"/>
    <cellStyle name="Normal 10 2 2" xfId="3581"/>
    <cellStyle name="Normal 10 2 2 2" xfId="3582"/>
    <cellStyle name="Normal 10 2 2 2 2" xfId="3583"/>
    <cellStyle name="Normal 10 2 2 3" xfId="3584"/>
    <cellStyle name="Normal 10 2 2 3 2" xfId="3585"/>
    <cellStyle name="Normal 10 2 2 4" xfId="3586"/>
    <cellStyle name="Normal 10 2 2 5" xfId="3587"/>
    <cellStyle name="Normal 10 2 3" xfId="3588"/>
    <cellStyle name="Normal 10 2 4" xfId="3589"/>
    <cellStyle name="Normal 10 2 4 2" xfId="3590"/>
    <cellStyle name="Normal 10 2 5" xfId="3591"/>
    <cellStyle name="Normal 10 2 5 2" xfId="3592"/>
    <cellStyle name="Normal 10 2 6" xfId="3593"/>
    <cellStyle name="Normal 10 2 7" xfId="3594"/>
    <cellStyle name="Normal 10 3" xfId="3595"/>
    <cellStyle name="Normal 10 4" xfId="3596"/>
    <cellStyle name="Normal 10 5" xfId="3597"/>
    <cellStyle name="Normal 10 6" xfId="3598"/>
    <cellStyle name="Normal 103" xfId="3599"/>
    <cellStyle name="Normal 103 2" xfId="3600"/>
    <cellStyle name="Normal 103 2 2" xfId="3601"/>
    <cellStyle name="Normal 103 2 3" xfId="3602"/>
    <cellStyle name="Normal 103 2 3 2" xfId="3603"/>
    <cellStyle name="Normal 103 2 4" xfId="3604"/>
    <cellStyle name="Normal 103 2 5" xfId="3605"/>
    <cellStyle name="Normal 103 2 5 2" xfId="3606"/>
    <cellStyle name="Normal 103 2 6" xfId="3607"/>
    <cellStyle name="Normal 103 3" xfId="3608"/>
    <cellStyle name="Normal 103 4" xfId="3609"/>
    <cellStyle name="Normal 103 4 2" xfId="3610"/>
    <cellStyle name="Normal 103 4 3" xfId="3611"/>
    <cellStyle name="Normal 103 5" xfId="3612"/>
    <cellStyle name="Normal 103 6" xfId="3613"/>
    <cellStyle name="Normal 103 7" xfId="3614"/>
    <cellStyle name="Normal 106 2" xfId="3615"/>
    <cellStyle name="Normal 106 2 2" xfId="3616"/>
    <cellStyle name="Normal 11" xfId="3617"/>
    <cellStyle name="Normal 11 2" xfId="3618"/>
    <cellStyle name="Normal 11 3" xfId="3619"/>
    <cellStyle name="Normal 11 3 2" xfId="3620"/>
    <cellStyle name="Normal 11 4" xfId="3621"/>
    <cellStyle name="Normal 11 5" xfId="3622"/>
    <cellStyle name="Normal 111 2" xfId="3623"/>
    <cellStyle name="Normal 111 2 2" xfId="3624"/>
    <cellStyle name="Normal 111 2 2 2" xfId="3625"/>
    <cellStyle name="Normal 111 2 2 2 2" xfId="3626"/>
    <cellStyle name="Normal 111 2 2 3" xfId="3627"/>
    <cellStyle name="Normal 111 2 2 4" xfId="3628"/>
    <cellStyle name="Normal 111 2 3" xfId="3629"/>
    <cellStyle name="Normal 111 2 3 2" xfId="3630"/>
    <cellStyle name="Normal 111 2 3 2 2" xfId="3631"/>
    <cellStyle name="Normal 111 2 3 3" xfId="3632"/>
    <cellStyle name="Normal 111 2 4" xfId="3633"/>
    <cellStyle name="Normal 111 2 5" xfId="3634"/>
    <cellStyle name="Normal 118" xfId="3635"/>
    <cellStyle name="Normal 118 2" xfId="3636"/>
    <cellStyle name="Normal 118 2 2" xfId="3637"/>
    <cellStyle name="Normal 118 3" xfId="3638"/>
    <cellStyle name="Normal 118 3 2" xfId="3639"/>
    <cellStyle name="Normal 118 3 3" xfId="3640"/>
    <cellStyle name="Normal 118 4" xfId="3641"/>
    <cellStyle name="Normal 12" xfId="3642"/>
    <cellStyle name="Normal 12 2" xfId="3643"/>
    <cellStyle name="Normal 12 2 2" xfId="3644"/>
    <cellStyle name="Normal 12 2 2 2" xfId="3645"/>
    <cellStyle name="Normal 12 2 2 2 2" xfId="3646"/>
    <cellStyle name="Normal 12 2 3" xfId="3647"/>
    <cellStyle name="Normal 12 2 4" xfId="3648"/>
    <cellStyle name="Normal 12 3" xfId="3649"/>
    <cellStyle name="Normal 12 3 2" xfId="3650"/>
    <cellStyle name="Normal 12 4" xfId="3651"/>
    <cellStyle name="Normal 12 5" xfId="3652"/>
    <cellStyle name="Normal 121" xfId="3653"/>
    <cellStyle name="Normal 121 2" xfId="3654"/>
    <cellStyle name="Normal 121 2 2" xfId="3655"/>
    <cellStyle name="Normal 121 2 2 2" xfId="3656"/>
    <cellStyle name="Normal 121 2 2 2 2" xfId="3657"/>
    <cellStyle name="Normal 121 2 2 2 2 2" xfId="3658"/>
    <cellStyle name="Normal 121 2 2 2 2 2 2" xfId="3659"/>
    <cellStyle name="Normal 121 2 2 2 2 3" xfId="3660"/>
    <cellStyle name="Normal 121 2 2 2 2 4" xfId="3661"/>
    <cellStyle name="Normal 121 2 2 2 3" xfId="3662"/>
    <cellStyle name="Normal 121 2 2 2 3 2" xfId="3663"/>
    <cellStyle name="Normal 121 2 2 2 4" xfId="3664"/>
    <cellStyle name="Normal 121 2 2 2 5" xfId="3665"/>
    <cellStyle name="Normal 121 2 2 3" xfId="3666"/>
    <cellStyle name="Normal 121 2 2 3 2" xfId="3667"/>
    <cellStyle name="Normal 121 2 2 4" xfId="3668"/>
    <cellStyle name="Normal 121 2 2 4 2" xfId="3669"/>
    <cellStyle name="Normal 121 2 2 5" xfId="3670"/>
    <cellStyle name="Normal 121 2 3" xfId="3671"/>
    <cellStyle name="Normal 121 2 3 2" xfId="3672"/>
    <cellStyle name="Normal 121 2 3 2 2" xfId="3673"/>
    <cellStyle name="Normal 121 2 3 3" xfId="3674"/>
    <cellStyle name="Normal 121 2 3 3 2" xfId="3675"/>
    <cellStyle name="Normal 121 2 3 4" xfId="3676"/>
    <cellStyle name="Normal 121 2 3 5" xfId="3677"/>
    <cellStyle name="Normal 121 2 4" xfId="3678"/>
    <cellStyle name="Normal 121 2 4 2" xfId="3679"/>
    <cellStyle name="Normal 121 2 4 2 2" xfId="3680"/>
    <cellStyle name="Normal 121 2 4 3" xfId="3681"/>
    <cellStyle name="Normal 121 2 4 4" xfId="3682"/>
    <cellStyle name="Normal 121 2 5" xfId="3683"/>
    <cellStyle name="Normal 121 2 5 2" xfId="3684"/>
    <cellStyle name="Normal 121 2 5 3" xfId="3685"/>
    <cellStyle name="Normal 121 2 6" xfId="3686"/>
    <cellStyle name="Normal 121 2 7" xfId="3687"/>
    <cellStyle name="Normal 121 3" xfId="3688"/>
    <cellStyle name="Normal 121 3 2" xfId="3689"/>
    <cellStyle name="Normal 121 4" xfId="3690"/>
    <cellStyle name="Normal 121 5" xfId="3691"/>
    <cellStyle name="Normal 124" xfId="3692"/>
    <cellStyle name="Normal 124 2" xfId="3693"/>
    <cellStyle name="Normal 124 2 2" xfId="3694"/>
    <cellStyle name="Normal 124 2 2 2" xfId="3695"/>
    <cellStyle name="Normal 124 2 3" xfId="3696"/>
    <cellStyle name="Normal 125" xfId="3697"/>
    <cellStyle name="Normal 125 2" xfId="3698"/>
    <cellStyle name="Normal 125 2 2" xfId="3699"/>
    <cellStyle name="Normal 125 2 2 2" xfId="3700"/>
    <cellStyle name="Normal 125 2 3" xfId="3701"/>
    <cellStyle name="Normal 125 2 3 2" xfId="3702"/>
    <cellStyle name="Normal 125 2 4" xfId="3703"/>
    <cellStyle name="Normal 125 2 5" xfId="3704"/>
    <cellStyle name="Normal 125 3" xfId="3705"/>
    <cellStyle name="Normal 125 3 2" xfId="3706"/>
    <cellStyle name="Normal 125 4" xfId="3707"/>
    <cellStyle name="Normal 125 4 2" xfId="3708"/>
    <cellStyle name="Normal 125 5" xfId="3709"/>
    <cellStyle name="Normal 125 6" xfId="3710"/>
    <cellStyle name="Normal 126" xfId="3711"/>
    <cellStyle name="Normal 126 2" xfId="3712"/>
    <cellStyle name="Normal 126 2 2" xfId="3713"/>
    <cellStyle name="Normal 126 2 2 2" xfId="3714"/>
    <cellStyle name="Normal 126 2 3" xfId="3715"/>
    <cellStyle name="Normal 126 2 3 2" xfId="3716"/>
    <cellStyle name="Normal 126 2 4" xfId="3717"/>
    <cellStyle name="Normal 126 2 5" xfId="3718"/>
    <cellStyle name="Normal 126 3" xfId="3719"/>
    <cellStyle name="Normal 126 3 2" xfId="3720"/>
    <cellStyle name="Normal 126 4" xfId="3721"/>
    <cellStyle name="Normal 126 4 2" xfId="3722"/>
    <cellStyle name="Normal 126 5" xfId="3723"/>
    <cellStyle name="Normal 126 6" xfId="3724"/>
    <cellStyle name="Normal 129" xfId="3725"/>
    <cellStyle name="Normal 129 2" xfId="3726"/>
    <cellStyle name="Normal 129 2 2" xfId="3727"/>
    <cellStyle name="Normal 129 3" xfId="3728"/>
    <cellStyle name="Normal 13" xfId="3729"/>
    <cellStyle name="Normal 13 2" xfId="3730"/>
    <cellStyle name="Normal 13 2 2" xfId="3731"/>
    <cellStyle name="Normal 13 2 2 2" xfId="3732"/>
    <cellStyle name="Normal 13 2 3" xfId="3733"/>
    <cellStyle name="Normal 13 2 4" xfId="3734"/>
    <cellStyle name="Normal 13 3" xfId="3735"/>
    <cellStyle name="Normal 13 4" xfId="3736"/>
    <cellStyle name="Normal 13 5" xfId="3737"/>
    <cellStyle name="Normal 14" xfId="3738"/>
    <cellStyle name="Normal 14 2" xfId="3739"/>
    <cellStyle name="Normal 14 3" xfId="3740"/>
    <cellStyle name="Normal 14 4" xfId="3741"/>
    <cellStyle name="Normal 14 4 2" xfId="3742"/>
    <cellStyle name="Normal 14 5" xfId="3743"/>
    <cellStyle name="Normal 14 6" xfId="3744"/>
    <cellStyle name="Normal 15" xfId="3745"/>
    <cellStyle name="Normal 15 2" xfId="3746"/>
    <cellStyle name="Normal 15 2 2" xfId="3747"/>
    <cellStyle name="Normal 15 2 3" xfId="3748"/>
    <cellStyle name="Normal 15 3" xfId="3749"/>
    <cellStyle name="Normal 16" xfId="3750"/>
    <cellStyle name="Normal 16 2" xfId="3751"/>
    <cellStyle name="Normal 16 2 2" xfId="3752"/>
    <cellStyle name="Normal 16 3" xfId="3753"/>
    <cellStyle name="Normal 17" xfId="3754"/>
    <cellStyle name="Normal 17 2 2" xfId="3755"/>
    <cellStyle name="Normal 18" xfId="3756"/>
    <cellStyle name="Normal 18 2" xfId="3757"/>
    <cellStyle name="Normal 182" xfId="3758"/>
    <cellStyle name="Normal 182 2" xfId="3759"/>
    <cellStyle name="Normal 182 2 2" xfId="3760"/>
    <cellStyle name="Normal 182 2 2 2" xfId="3761"/>
    <cellStyle name="Normal 182 2 3" xfId="3762"/>
    <cellStyle name="Normal 182 2 4" xfId="3763"/>
    <cellStyle name="Normal 182 3" xfId="3764"/>
    <cellStyle name="Normal 182 3 2" xfId="3765"/>
    <cellStyle name="Normal 182 4" xfId="3766"/>
    <cellStyle name="Normal 182 5" xfId="3767"/>
    <cellStyle name="Normal 19" xfId="3768"/>
    <cellStyle name="Normal 2" xfId="3769"/>
    <cellStyle name="Normal 2 10" xfId="3770"/>
    <cellStyle name="Normal 2 10 2" xfId="3771"/>
    <cellStyle name="Normal 2 10 2 2" xfId="3772"/>
    <cellStyle name="Normal 2 10 3" xfId="3773"/>
    <cellStyle name="Normal 2 10 4" xfId="3774"/>
    <cellStyle name="Normal 2 11" xfId="3775"/>
    <cellStyle name="Normal 2 12" xfId="3776"/>
    <cellStyle name="Normal 2 16" xfId="3777"/>
    <cellStyle name="Normal 2 18" xfId="3778"/>
    <cellStyle name="Normal 2 2" xfId="3779"/>
    <cellStyle name="Normal 2 2 2" xfId="3780"/>
    <cellStyle name="Normal 2 2 2 2" xfId="3781"/>
    <cellStyle name="Normal 2 2 2 2 2" xfId="3782"/>
    <cellStyle name="Normal 2 2 2 2 2 2" xfId="3783"/>
    <cellStyle name="Normal 2 2 2 2 2 3" xfId="3784"/>
    <cellStyle name="Normal 2 2 2 2 3" xfId="3785"/>
    <cellStyle name="Normal 2 2 2 2 3 2" xfId="3786"/>
    <cellStyle name="Normal 2 2 2 2 4" xfId="3787"/>
    <cellStyle name="Normal 2 2 2 2 5" xfId="3788"/>
    <cellStyle name="Normal 2 2 2 3" xfId="3789"/>
    <cellStyle name="Normal 2 2 2 3 2" xfId="3790"/>
    <cellStyle name="Normal 2 2 2 3 3" xfId="3791"/>
    <cellStyle name="Normal 2 2 2 4" xfId="3792"/>
    <cellStyle name="Normal 2 2 3" xfId="3793"/>
    <cellStyle name="Normal 2 2 3 2" xfId="3794"/>
    <cellStyle name="Normal 2 2 3 2 2" xfId="3795"/>
    <cellStyle name="Normal 2 2 3 2 3" xfId="3796"/>
    <cellStyle name="Normal 2 2 3 3" xfId="3797"/>
    <cellStyle name="Normal 2 2 4" xfId="3798"/>
    <cellStyle name="Normal 2 2 4 2" xfId="3799"/>
    <cellStyle name="Normal 2 2 5" xfId="3800"/>
    <cellStyle name="Normal 2 2_2" xfId="3801"/>
    <cellStyle name="Normal 2 24" xfId="3802"/>
    <cellStyle name="Normal 2 24 2" xfId="3803"/>
    <cellStyle name="Normal 2 3" xfId="3804"/>
    <cellStyle name="Normal 2 3 2" xfId="3805"/>
    <cellStyle name="Normal 2 3 2 2" xfId="3806"/>
    <cellStyle name="Normal 2 3 2 2 2" xfId="3807"/>
    <cellStyle name="Normal 2 3 2 2 2 2" xfId="3808"/>
    <cellStyle name="Normal 2 3 2 2 2 2 2" xfId="3809"/>
    <cellStyle name="Normal 2 3 2 2 2 3" xfId="3810"/>
    <cellStyle name="Normal 2 3 2 2 2 4" xfId="3811"/>
    <cellStyle name="Normal 2 3 2 2 3" xfId="3812"/>
    <cellStyle name="Normal 2 3 2 2 3 2" xfId="3813"/>
    <cellStyle name="Normal 2 3 2 2 3 2 2" xfId="3814"/>
    <cellStyle name="Normal 2 3 2 2 3 3" xfId="3815"/>
    <cellStyle name="Normal 2 3 2 2 3 4" xfId="3816"/>
    <cellStyle name="Normal 2 3 2 2 4" xfId="3817"/>
    <cellStyle name="Normal 2 3 2 2 4 2" xfId="3818"/>
    <cellStyle name="Normal 2 3 2 2 5" xfId="3819"/>
    <cellStyle name="Normal 2 3 2 2 6" xfId="3820"/>
    <cellStyle name="Normal 2 3 2 3" xfId="3821"/>
    <cellStyle name="Normal 2 3 2 3 2" xfId="3822"/>
    <cellStyle name="Normal 2 3 2 3 2 2" xfId="3823"/>
    <cellStyle name="Normal 2 3 2 3 3" xfId="3824"/>
    <cellStyle name="Normal 2 3 2 3 4" xfId="3825"/>
    <cellStyle name="Normal 2 3 2 4" xfId="3826"/>
    <cellStyle name="Normal 2 3 2 4 2" xfId="3827"/>
    <cellStyle name="Normal 2 3 2 5" xfId="3828"/>
    <cellStyle name="Normal 2 3 2 6" xfId="3829"/>
    <cellStyle name="Normal 2 3 3" xfId="3830"/>
    <cellStyle name="Normal 2 3 3 2" xfId="3831"/>
    <cellStyle name="Normal 2 3 3 2 2" xfId="3832"/>
    <cellStyle name="Normal 2 3 3 2 2 2" xfId="3833"/>
    <cellStyle name="Normal 2 3 3 2 3" xfId="3834"/>
    <cellStyle name="Normal 2 3 3 2 4" xfId="3835"/>
    <cellStyle name="Normal 2 3 3 3" xfId="3836"/>
    <cellStyle name="Normal 2 3 3 3 2" xfId="3837"/>
    <cellStyle name="Normal 2 3 3 4" xfId="3838"/>
    <cellStyle name="Normal 2 3 3 5" xfId="3839"/>
    <cellStyle name="Normal 2 3 4" xfId="3840"/>
    <cellStyle name="Normal 2 3 4 2" xfId="3841"/>
    <cellStyle name="Normal 2 3 4 2 2" xfId="3842"/>
    <cellStyle name="Normal 2 3 4 2 3" xfId="3843"/>
    <cellStyle name="Normal 2 3 4 2 4" xfId="3844"/>
    <cellStyle name="Normal 2 3 4 3" xfId="3845"/>
    <cellStyle name="Normal 2 3 4 3 2" xfId="3846"/>
    <cellStyle name="Normal 2 3 4 4" xfId="3847"/>
    <cellStyle name="Normal 2 3 4 5" xfId="3848"/>
    <cellStyle name="Normal 2 3 5" xfId="3849"/>
    <cellStyle name="Normal 2 3 5 2" xfId="3850"/>
    <cellStyle name="Normal 2 3 5 3" xfId="3851"/>
    <cellStyle name="Normal 2 3 5 3 2" xfId="3852"/>
    <cellStyle name="Normal 2 3 5 4" xfId="3853"/>
    <cellStyle name="Normal 2 3 5 5" xfId="3854"/>
    <cellStyle name="Normal 2 3 6" xfId="3855"/>
    <cellStyle name="Normal 2 3 6 2" xfId="3856"/>
    <cellStyle name="Normal 2 3 6 3" xfId="3857"/>
    <cellStyle name="Normal 2 3 7" xfId="3858"/>
    <cellStyle name="Normal 2 3 8" xfId="3859"/>
    <cellStyle name="Normal 2 3 9" xfId="3860"/>
    <cellStyle name="Normal 2 4" xfId="3861"/>
    <cellStyle name="Normal 2 4 2" xfId="3862"/>
    <cellStyle name="Normal 2 4 2 2" xfId="3863"/>
    <cellStyle name="Normal 2 4 2 2 2" xfId="3864"/>
    <cellStyle name="Normal 2 4 2 3" xfId="3865"/>
    <cellStyle name="Normal 2 4 2 3 2" xfId="3866"/>
    <cellStyle name="Normal 2 4 2 4" xfId="3867"/>
    <cellStyle name="Normal 2 4 2 5" xfId="3868"/>
    <cellStyle name="Normal 2 4 3" xfId="3869"/>
    <cellStyle name="Normal 2 4 3 2" xfId="3870"/>
    <cellStyle name="Normal 2 4 3 3" xfId="3871"/>
    <cellStyle name="Normal 2 4 4" xfId="3872"/>
    <cellStyle name="Normal 2 4 4 2" xfId="3873"/>
    <cellStyle name="Normal 2 4 5" xfId="3874"/>
    <cellStyle name="Normal 2 5" xfId="3875"/>
    <cellStyle name="Normal 2 5 2" xfId="3876"/>
    <cellStyle name="Normal 2 5 2 2" xfId="3877"/>
    <cellStyle name="Normal 2 5 2 2 2" xfId="3878"/>
    <cellStyle name="Normal 2 5 2 3" xfId="3879"/>
    <cellStyle name="Normal 2 5 2 4" xfId="3880"/>
    <cellStyle name="Normal 2 5 3" xfId="3881"/>
    <cellStyle name="Normal 2 5 4" xfId="3882"/>
    <cellStyle name="Normal 2 5 5" xfId="3883"/>
    <cellStyle name="Normal 2 6" xfId="3884"/>
    <cellStyle name="Normal 2 6 2" xfId="3885"/>
    <cellStyle name="Normal 2 6 3" xfId="3886"/>
    <cellStyle name="Normal 2 7" xfId="3887"/>
    <cellStyle name="Normal 2 8" xfId="3888"/>
    <cellStyle name="Normal 2 9" xfId="3889"/>
    <cellStyle name="Normal 2 9 2" xfId="3890"/>
    <cellStyle name="Normal 2 9 2 2" xfId="3891"/>
    <cellStyle name="Normal 2 9 3" xfId="3892"/>
    <cellStyle name="Normal 2_1" xfId="3893"/>
    <cellStyle name="Normal 3" xfId="3894"/>
    <cellStyle name="Normal 3 10" xfId="3895"/>
    <cellStyle name="Normal 3 11" xfId="3896"/>
    <cellStyle name="Normal 3 12" xfId="3897"/>
    <cellStyle name="Normal 3 2" xfId="3898"/>
    <cellStyle name="Normal 3 2 2" xfId="3899"/>
    <cellStyle name="Normal 3 2 2 2" xfId="3900"/>
    <cellStyle name="Normal 3 2 2 2 2" xfId="3901"/>
    <cellStyle name="Normal 3 2 2 2 3" xfId="3902"/>
    <cellStyle name="Normal 3 2 2 3" xfId="3903"/>
    <cellStyle name="Normal 3 2 2 4" xfId="3904"/>
    <cellStyle name="Normal 3 2 3" xfId="3905"/>
    <cellStyle name="Normal 3 2 3 2" xfId="3906"/>
    <cellStyle name="Normal 3 2 3 2 2" xfId="3907"/>
    <cellStyle name="Normal 3 2 3 3" xfId="3908"/>
    <cellStyle name="Normal 3 2 3 3 2" xfId="3909"/>
    <cellStyle name="Normal 3 2 3 4" xfId="3910"/>
    <cellStyle name="Normal 3 2 3 5" xfId="3911"/>
    <cellStyle name="Normal 3 2 4" xfId="3912"/>
    <cellStyle name="Normal 3 2 4 2" xfId="3913"/>
    <cellStyle name="Normal 3 2 4 2 2" xfId="3914"/>
    <cellStyle name="Normal 3 2 4 3" xfId="3915"/>
    <cellStyle name="Normal 3 2 4 4" xfId="3916"/>
    <cellStyle name="Normal 3 2 5" xfId="3917"/>
    <cellStyle name="Normal 3 2 5 2" xfId="3918"/>
    <cellStyle name="Normal 3 2 5 2 2" xfId="3919"/>
    <cellStyle name="Normal 3 2 5 3" xfId="3920"/>
    <cellStyle name="Normal 3 2 5 4" xfId="3921"/>
    <cellStyle name="Normal 3 2 6" xfId="3922"/>
    <cellStyle name="Normal 3 2 6 2" xfId="3923"/>
    <cellStyle name="Normal 3 2 6 3" xfId="3924"/>
    <cellStyle name="Normal 3 2 7" xfId="3925"/>
    <cellStyle name="Normal 3 2 8" xfId="3926"/>
    <cellStyle name="Normal 3 2_2" xfId="3927"/>
    <cellStyle name="Normal 3 3" xfId="3928"/>
    <cellStyle name="Normal 3 3 2" xfId="3929"/>
    <cellStyle name="Normal 3 3 2 2" xfId="3930"/>
    <cellStyle name="Normal 3 3 2 3" xfId="3931"/>
    <cellStyle name="Normal 3 3 3" xfId="3932"/>
    <cellStyle name="Normal 3 3 3 2" xfId="3933"/>
    <cellStyle name="Normal 3 3 3 3" xfId="3934"/>
    <cellStyle name="Normal 3 3 4" xfId="3935"/>
    <cellStyle name="Normal 3 3 5" xfId="3936"/>
    <cellStyle name="Normal 3 4" xfId="3937"/>
    <cellStyle name="Normal 3 4 2" xfId="3938"/>
    <cellStyle name="Normal 3 4 2 2" xfId="3939"/>
    <cellStyle name="Normal 3 4 2 3" xfId="3940"/>
    <cellStyle name="Normal 3 4 3" xfId="3941"/>
    <cellStyle name="Normal 3 4 4" xfId="3942"/>
    <cellStyle name="Normal 3 5" xfId="3943"/>
    <cellStyle name="Normal 3 5 2" xfId="3944"/>
    <cellStyle name="Normal 3 5 2 2" xfId="3945"/>
    <cellStyle name="Normal 3 5 2 3" xfId="3946"/>
    <cellStyle name="Normal 3 5 3" xfId="3947"/>
    <cellStyle name="Normal 3 5 4" xfId="3948"/>
    <cellStyle name="Normal 3 6" xfId="3949"/>
    <cellStyle name="Normal 3 6 2" xfId="3950"/>
    <cellStyle name="Normal 3 6 3" xfId="3951"/>
    <cellStyle name="Normal 3 6 4" xfId="3952"/>
    <cellStyle name="Normal 3 7" xfId="3953"/>
    <cellStyle name="Normal 3 7 2" xfId="3954"/>
    <cellStyle name="Normal 3 7 3" xfId="3955"/>
    <cellStyle name="Normal 3 8" xfId="3956"/>
    <cellStyle name="Normal 3 9" xfId="3957"/>
    <cellStyle name="Normal 3_1" xfId="3958"/>
    <cellStyle name="Normal 31" xfId="3959"/>
    <cellStyle name="Normal 32" xfId="3960"/>
    <cellStyle name="Normal 32 2" xfId="3961"/>
    <cellStyle name="Normal 32 2 2" xfId="3962"/>
    <cellStyle name="Normal 32 3" xfId="3963"/>
    <cellStyle name="Normal 4" xfId="3964"/>
    <cellStyle name="Normal 4 2" xfId="3965"/>
    <cellStyle name="Normal 4 2 2" xfId="3966"/>
    <cellStyle name="Normal 4 2 2 2" xfId="3967"/>
    <cellStyle name="Normal 4 2 2 3" xfId="3968"/>
    <cellStyle name="Normal 4 2 2 4" xfId="3969"/>
    <cellStyle name="Normal 4 2 3" xfId="3970"/>
    <cellStyle name="Normal 4 2 3 2" xfId="3971"/>
    <cellStyle name="Normal 4 2 3 2 2" xfId="3972"/>
    <cellStyle name="Normal 4 2 3 3" xfId="3973"/>
    <cellStyle name="Normal 4 2 3 4" xfId="3974"/>
    <cellStyle name="Normal 4 2 4" xfId="3975"/>
    <cellStyle name="Normal 4 2 4 2" xfId="3976"/>
    <cellStyle name="Normal 4 2 4 3" xfId="3977"/>
    <cellStyle name="Normal 4 3" xfId="3978"/>
    <cellStyle name="Normal 4 3 2" xfId="3979"/>
    <cellStyle name="Normal 4 3 2 2" xfId="3980"/>
    <cellStyle name="Normal 4 3 2 2 2" xfId="3981"/>
    <cellStyle name="Normal 4 3 2 3" xfId="3982"/>
    <cellStyle name="Normal 4 3 2 4" xfId="3983"/>
    <cellStyle name="Normal 4 3 3" xfId="3984"/>
    <cellStyle name="Normal 4 3 3 2" xfId="3985"/>
    <cellStyle name="Normal 4 3 3 2 2" xfId="3986"/>
    <cellStyle name="Normal 4 3 3 3" xfId="3987"/>
    <cellStyle name="Normal 4 3 3 4" xfId="3988"/>
    <cellStyle name="Normal 4 3 4" xfId="3989"/>
    <cellStyle name="Normal 4 3 4 2" xfId="3990"/>
    <cellStyle name="Normal 4 3 4 3" xfId="3991"/>
    <cellStyle name="Normal 4 3 5" xfId="3992"/>
    <cellStyle name="Normal 4 4" xfId="3993"/>
    <cellStyle name="Normal 4 4 2" xfId="3994"/>
    <cellStyle name="Normal 4 4 2 2" xfId="3995"/>
    <cellStyle name="Normal 4 4 3" xfId="3996"/>
    <cellStyle name="Normal 4 4 4" xfId="3997"/>
    <cellStyle name="Normal 4 4 5" xfId="3998"/>
    <cellStyle name="Normal 4 5" xfId="3999"/>
    <cellStyle name="Normal 4 5 2" xfId="4000"/>
    <cellStyle name="Normal 4 5 2 2" xfId="4001"/>
    <cellStyle name="Normal 4 5 3" xfId="4002"/>
    <cellStyle name="Normal 4 5 4" xfId="4003"/>
    <cellStyle name="Normal 4 6" xfId="4004"/>
    <cellStyle name="Normal 4 6 2" xfId="4005"/>
    <cellStyle name="Normal 4 6 3" xfId="4006"/>
    <cellStyle name="Normal 5" xfId="4007"/>
    <cellStyle name="Normal 5 2" xfId="4008"/>
    <cellStyle name="Normal 5 2 2" xfId="4009"/>
    <cellStyle name="Normal 5 2 2 2" xfId="4010"/>
    <cellStyle name="Normal 5 2 3" xfId="4011"/>
    <cellStyle name="Normal 5 3" xfId="4012"/>
    <cellStyle name="Normal 5 3 2" xfId="4013"/>
    <cellStyle name="Normal 5 3 3" xfId="4014"/>
    <cellStyle name="Normal 5 3 4" xfId="4015"/>
    <cellStyle name="Normal 5 4" xfId="4016"/>
    <cellStyle name="Normal 5 4 2" xfId="4017"/>
    <cellStyle name="Normal 5 4 3" xfId="4018"/>
    <cellStyle name="Normal 5 5" xfId="4019"/>
    <cellStyle name="Normal 5 5 2" xfId="4020"/>
    <cellStyle name="Normal 5 5 3" xfId="4021"/>
    <cellStyle name="Normal 5 6" xfId="4022"/>
    <cellStyle name="Normal 55" xfId="4023"/>
    <cellStyle name="Normal 56" xfId="4024"/>
    <cellStyle name="Normal 6" xfId="4025"/>
    <cellStyle name="Normal 6 2" xfId="4026"/>
    <cellStyle name="Normal 6 2 2" xfId="4027"/>
    <cellStyle name="Normal 6 2 2 2" xfId="4028"/>
    <cellStyle name="Normal 6 2 2 2 2" xfId="4029"/>
    <cellStyle name="Normal 6 2 2 3" xfId="4030"/>
    <cellStyle name="Normal 6 2 2 4" xfId="4031"/>
    <cellStyle name="Normal 6 2 3" xfId="4032"/>
    <cellStyle name="Normal 6 3" xfId="4033"/>
    <cellStyle name="Normal 6 3 2" xfId="4034"/>
    <cellStyle name="Normal 6 3 3" xfId="4035"/>
    <cellStyle name="Normal 6 4" xfId="4036"/>
    <cellStyle name="Normal 6 4 2" xfId="4037"/>
    <cellStyle name="Normal 6 4 2 2" xfId="4038"/>
    <cellStyle name="Normal 6 4 3" xfId="4039"/>
    <cellStyle name="Normal 6 4 4" xfId="4040"/>
    <cellStyle name="Normal 6 5" xfId="4041"/>
    <cellStyle name="Normal 6_3" xfId="4042"/>
    <cellStyle name="Normal 7" xfId="4043"/>
    <cellStyle name="Normal 7 10" xfId="4044"/>
    <cellStyle name="Normal 7 11" xfId="4045"/>
    <cellStyle name="Normal 7 12" xfId="4046"/>
    <cellStyle name="Normal 7 2" xfId="4047"/>
    <cellStyle name="Normal 7 2 10" xfId="4048"/>
    <cellStyle name="Normal 7 2 2" xfId="4049"/>
    <cellStyle name="Normal 7 2 2 2" xfId="4050"/>
    <cellStyle name="Normal 7 2 2 2 2" xfId="4051"/>
    <cellStyle name="Normal 7 2 2 3" xfId="4052"/>
    <cellStyle name="Normal 7 2 2_1" xfId="4053"/>
    <cellStyle name="Normal 7 2 3" xfId="4054"/>
    <cellStyle name="Normal 7 2 3 2" xfId="4055"/>
    <cellStyle name="Normal 7 2 4" xfId="4056"/>
    <cellStyle name="Normal 7 2 4 2" xfId="4057"/>
    <cellStyle name="Normal 7 2 5" xfId="4058"/>
    <cellStyle name="Normal 7 2 6" xfId="4059"/>
    <cellStyle name="Normal 7 2 7" xfId="4060"/>
    <cellStyle name="Normal 7 2 8" xfId="4061"/>
    <cellStyle name="Normal 7 2 9" xfId="4062"/>
    <cellStyle name="Normal 7 2_1" xfId="4063"/>
    <cellStyle name="Normal 7 3" xfId="4064"/>
    <cellStyle name="Normal 7 3 10" xfId="4065"/>
    <cellStyle name="Normal 7 3 2" xfId="4066"/>
    <cellStyle name="Normal 7 3 2 2" xfId="4067"/>
    <cellStyle name="Normal 7 3 3" xfId="4068"/>
    <cellStyle name="Normal 7 3 3 2" xfId="4069"/>
    <cellStyle name="Normal 7 3 3 2 2" xfId="4070"/>
    <cellStyle name="Normal 7 3 3 3" xfId="4071"/>
    <cellStyle name="Normal 7 3 3_1" xfId="4072"/>
    <cellStyle name="Normal 7 3 4" xfId="4073"/>
    <cellStyle name="Normal 7 3 4 2" xfId="4074"/>
    <cellStyle name="Normal 7 3 5" xfId="4075"/>
    <cellStyle name="Normal 7 3 5 2" xfId="4076"/>
    <cellStyle name="Normal 7 3 6" xfId="4077"/>
    <cellStyle name="Normal 7 3 7" xfId="4078"/>
    <cellStyle name="Normal 7 3 8" xfId="4079"/>
    <cellStyle name="Normal 7 3 9" xfId="4080"/>
    <cellStyle name="Normal 7 3_1" xfId="4081"/>
    <cellStyle name="Normal 7 4" xfId="4082"/>
    <cellStyle name="Normal 7 4 2" xfId="4083"/>
    <cellStyle name="Normal 7 4 2 2" xfId="4084"/>
    <cellStyle name="Normal 7 4 3" xfId="4085"/>
    <cellStyle name="Normal 7 4 4" xfId="4086"/>
    <cellStyle name="Normal 7 5" xfId="4087"/>
    <cellStyle name="Normal 7 5 2" xfId="4088"/>
    <cellStyle name="Normal 7 6" xfId="4089"/>
    <cellStyle name="Normal 7 6 2" xfId="4090"/>
    <cellStyle name="Normal 7 6 2 2" xfId="4091"/>
    <cellStyle name="Normal 7 7" xfId="4092"/>
    <cellStyle name="Normal 7 7 2" xfId="4093"/>
    <cellStyle name="Normal 7 7 2 2" xfId="4094"/>
    <cellStyle name="Normal 7 8" xfId="4095"/>
    <cellStyle name="Normal 7 8 2" xfId="4096"/>
    <cellStyle name="Normal 7 8 3" xfId="4097"/>
    <cellStyle name="Normal 7 9" xfId="4098"/>
    <cellStyle name="Normal 7_1" xfId="4099"/>
    <cellStyle name="Normal 8" xfId="4100"/>
    <cellStyle name="Normal 8 2" xfId="4101"/>
    <cellStyle name="Normal 8 2 2" xfId="4102"/>
    <cellStyle name="Normal 8 2 3" xfId="4103"/>
    <cellStyle name="Normal 8 2 3 2" xfId="4104"/>
    <cellStyle name="Normal 8 2 4" xfId="4105"/>
    <cellStyle name="Normal 8 2 5" xfId="4106"/>
    <cellStyle name="Normal 8 3" xfId="4107"/>
    <cellStyle name="Normal 8 3 2" xfId="4108"/>
    <cellStyle name="Normal 8 3 2 2" xfId="4109"/>
    <cellStyle name="Normal 8 3 3" xfId="4110"/>
    <cellStyle name="Normal 8 3 4" xfId="4111"/>
    <cellStyle name="Normal 8 4" xfId="4112"/>
    <cellStyle name="Normal 8 4 2" xfId="4113"/>
    <cellStyle name="Normal 8 4 3" xfId="4114"/>
    <cellStyle name="Normal 8 5" xfId="4115"/>
    <cellStyle name="Normal 9" xfId="4116"/>
    <cellStyle name="Normal 9 2" xfId="4117"/>
    <cellStyle name="Normal 9 2 2" xfId="4118"/>
    <cellStyle name="Normal 9 2 3" xfId="4119"/>
    <cellStyle name="Normal 9 2 3 2" xfId="4120"/>
    <cellStyle name="Normal 9 2 4" xfId="4121"/>
    <cellStyle name="Normal 9 2 5" xfId="4122"/>
    <cellStyle name="Normal_Sheet2" xfId="4123"/>
    <cellStyle name="Normalny_Arkusz1" xfId="4124"/>
    <cellStyle name="Percent [2]" xfId="4125"/>
    <cellStyle name="Percent 2" xfId="4126"/>
    <cellStyle name="Percent 2 2" xfId="4127"/>
    <cellStyle name="Percent 2 2 2" xfId="4128"/>
    <cellStyle name="Percent 2 2 2 2" xfId="4129"/>
    <cellStyle name="Percent 2 2 3" xfId="4130"/>
    <cellStyle name="Percent 2 2 3 2" xfId="4131"/>
    <cellStyle name="Percent 2 2 4" xfId="4132"/>
    <cellStyle name="Percent 2 2 4 2" xfId="4133"/>
    <cellStyle name="Percent 2 2 4 3" xfId="4134"/>
    <cellStyle name="Percent 2 2 5" xfId="4135"/>
    <cellStyle name="Percent 2 2 6" xfId="4136"/>
    <cellStyle name="Percent 2 3" xfId="4137"/>
    <cellStyle name="Percent 2 3 2" xfId="4138"/>
    <cellStyle name="Percent 2 3 2 2" xfId="4139"/>
    <cellStyle name="Percent 2 3 2 2 2" xfId="4140"/>
    <cellStyle name="Percent 2 3 2 3" xfId="4141"/>
    <cellStyle name="Percent 2 3 3" xfId="4142"/>
    <cellStyle name="Percent 2 3 4" xfId="4143"/>
    <cellStyle name="Percent 2 3 5" xfId="4144"/>
    <cellStyle name="Percent 2 4" xfId="4145"/>
    <cellStyle name="Percent 2 4 2" xfId="4146"/>
    <cellStyle name="Percent 2 4 2 2" xfId="4147"/>
    <cellStyle name="Percent 2 4 3" xfId="4148"/>
    <cellStyle name="Percent 2 4 4" xfId="4149"/>
    <cellStyle name="Percent 2 5" xfId="4150"/>
    <cellStyle name="Percent 2 5 2" xfId="4151"/>
    <cellStyle name="Percent 2 6" xfId="4152"/>
    <cellStyle name="Percent 2 6 2" xfId="4153"/>
    <cellStyle name="Percent 2 7" xfId="4154"/>
    <cellStyle name="Percent 2 7 2" xfId="4155"/>
    <cellStyle name="Percent 2 8" xfId="4156"/>
    <cellStyle name="Percent 2 9" xfId="4157"/>
    <cellStyle name="Percent 2_3" xfId="4158"/>
    <cellStyle name="Percent 3" xfId="4159"/>
    <cellStyle name="Percent 3 2" xfId="4160"/>
    <cellStyle name="Percent 3 2 2" xfId="4161"/>
    <cellStyle name="Percent 3 2 2 2" xfId="4162"/>
    <cellStyle name="Percent 3 2 3" xfId="4163"/>
    <cellStyle name="Percent 3 2 4" xfId="4164"/>
    <cellStyle name="Percent 3 3" xfId="4165"/>
    <cellStyle name="Percent 3 3 2" xfId="4166"/>
    <cellStyle name="Percent 3 3 3" xfId="4167"/>
    <cellStyle name="Percent 3 4" xfId="4168"/>
    <cellStyle name="Percent 3 4 2" xfId="4169"/>
    <cellStyle name="Percent 3 5" xfId="4170"/>
    <cellStyle name="Percent 3 6" xfId="4171"/>
    <cellStyle name="Percent 4" xfId="4172"/>
    <cellStyle name="Percent 4 2" xfId="4173"/>
    <cellStyle name="Percent 4 2 2" xfId="4174"/>
    <cellStyle name="Percent 4 2 3" xfId="4175"/>
    <cellStyle name="Percent 4 3" xfId="4176"/>
    <cellStyle name="Percent 4 3 2" xfId="4177"/>
    <cellStyle name="Percent 4 3 3" xfId="4178"/>
    <cellStyle name="Percent 4 4" xfId="4179"/>
    <cellStyle name="Percent 4 5" xfId="4180"/>
    <cellStyle name="Percent 5" xfId="4181"/>
    <cellStyle name="Percent 5 2" xfId="4182"/>
    <cellStyle name="Percent 5 3" xfId="4183"/>
    <cellStyle name="Percent 5 3 2" xfId="4184"/>
    <cellStyle name="Percent 5 4" xfId="4185"/>
    <cellStyle name="Percent 5 5" xfId="4186"/>
    <cellStyle name="Percent 6" xfId="4187"/>
    <cellStyle name="Percent 6 2" xfId="4188"/>
    <cellStyle name="Percent 6 3" xfId="4189"/>
    <cellStyle name="Prefilled" xfId="4190"/>
    <cellStyle name="Prefilled 2" xfId="4191"/>
    <cellStyle name="Prefilled 2 2" xfId="4192"/>
    <cellStyle name="Prefilled 2 2 2" xfId="4193"/>
    <cellStyle name="Prefilled 2 2 2 2" xfId="4194"/>
    <cellStyle name="Prefilled 2 2 2 2 2" xfId="4195"/>
    <cellStyle name="Prefilled 2 2 2 3" xfId="4196"/>
    <cellStyle name="Prefilled 2 2 2 3 2" xfId="4197"/>
    <cellStyle name="Prefilled 2 2 2 4" xfId="4198"/>
    <cellStyle name="Prefilled 2 2 3" xfId="4199"/>
    <cellStyle name="Prefilled 2 2 3 2" xfId="4200"/>
    <cellStyle name="Prefilled 2 2 4" xfId="4201"/>
    <cellStyle name="Prefilled 2 2 4 2" xfId="4202"/>
    <cellStyle name="Prefilled 2 2 5" xfId="4203"/>
    <cellStyle name="Prefilled 2 2 5 2" xfId="4204"/>
    <cellStyle name="Prefilled 2 2 6" xfId="4205"/>
    <cellStyle name="Prefilled 2 3" xfId="4206"/>
    <cellStyle name="Prefilled 2 3 2" xfId="4207"/>
    <cellStyle name="Prefilled 2 3 2 2" xfId="4208"/>
    <cellStyle name="Prefilled 2 3 3" xfId="4209"/>
    <cellStyle name="Prefilled 2 3 3 2" xfId="4210"/>
    <cellStyle name="Prefilled 2 3 4" xfId="4211"/>
    <cellStyle name="Prefilled 2 4" xfId="4212"/>
    <cellStyle name="Prefilled 2 4 2" xfId="4213"/>
    <cellStyle name="Prefilled 2 4 2 2" xfId="4214"/>
    <cellStyle name="Prefilled 2 4 3" xfId="4215"/>
    <cellStyle name="Prefilled 2 4 3 2" xfId="4216"/>
    <cellStyle name="Prefilled 2 4 4" xfId="4217"/>
    <cellStyle name="Prefilled 2 5" xfId="4218"/>
    <cellStyle name="Prefilled 2 5 2" xfId="4219"/>
    <cellStyle name="Prefilled 2 6" xfId="4220"/>
    <cellStyle name="Prefilled 3" xfId="4221"/>
    <cellStyle name="Prefilled 3 2" xfId="4222"/>
    <cellStyle name="Prefilled 3 2 2" xfId="4223"/>
    <cellStyle name="Prefilled 3 2 2 2" xfId="4224"/>
    <cellStyle name="Prefilled 3 2 3" xfId="4225"/>
    <cellStyle name="Prefilled 3 2 3 2" xfId="4226"/>
    <cellStyle name="Prefilled 3 2 4" xfId="4227"/>
    <cellStyle name="Prefilled 3 3" xfId="4228"/>
    <cellStyle name="Prefilled 3 3 2" xfId="4229"/>
    <cellStyle name="Prefilled 3 4" xfId="4230"/>
    <cellStyle name="Prefilled 3 4 2" xfId="4231"/>
    <cellStyle name="Prefilled 3 5" xfId="4232"/>
    <cellStyle name="Prefilled 3 5 2" xfId="4233"/>
    <cellStyle name="Prefilled 3 6" xfId="4234"/>
    <cellStyle name="Prefilled 4" xfId="4235"/>
    <cellStyle name="Prefilled 4 2" xfId="4236"/>
    <cellStyle name="Prefilled 4 2 2" xfId="4237"/>
    <cellStyle name="Prefilled 4 3" xfId="4238"/>
    <cellStyle name="Prefilled 4 3 2" xfId="4239"/>
    <cellStyle name="Prefilled 4 4" xfId="4240"/>
    <cellStyle name="Prefilled 5" xfId="4241"/>
    <cellStyle name="Prefilled 5 2" xfId="4242"/>
    <cellStyle name="Prefilled 5 2 2" xfId="4243"/>
    <cellStyle name="Prefilled 5 3" xfId="4244"/>
    <cellStyle name="Prefilled 5 3 2" xfId="4245"/>
    <cellStyle name="Prefilled 5 4" xfId="4246"/>
    <cellStyle name="price" xfId="4247"/>
    <cellStyle name="revised" xfId="4248"/>
    <cellStyle name="row_def_array" xfId="4249"/>
    <cellStyle name="SAPBEXaggData" xfId="4250"/>
    <cellStyle name="SAPBEXaggData 10" xfId="4251"/>
    <cellStyle name="SAPBEXaggData 2" xfId="4252"/>
    <cellStyle name="SAPBEXaggData 2 2" xfId="4253"/>
    <cellStyle name="SAPBEXaggData 2 2 2" xfId="4254"/>
    <cellStyle name="SAPBEXaggData 2 2 2 2" xfId="4255"/>
    <cellStyle name="SAPBEXaggData 2 2 2 2 2" xfId="4256"/>
    <cellStyle name="SAPBEXaggData 2 2 2 2 2 2" xfId="4257"/>
    <cellStyle name="SAPBEXaggData 2 2 2 2 3" xfId="4258"/>
    <cellStyle name="SAPBEXaggData 2 2 2 2 3 2" xfId="4259"/>
    <cellStyle name="SAPBEXaggData 2 2 2 2 4" xfId="4260"/>
    <cellStyle name="SAPBEXaggData 2 2 2 2 4 2" xfId="4261"/>
    <cellStyle name="SAPBEXaggData 2 2 2 2 5" xfId="4262"/>
    <cellStyle name="SAPBEXaggData 2 2 2 3" xfId="4263"/>
    <cellStyle name="SAPBEXaggData 2 2 2 3 2" xfId="4264"/>
    <cellStyle name="SAPBEXaggData 2 2 2 4" xfId="4265"/>
    <cellStyle name="SAPBEXaggData 2 2 2 4 2" xfId="4266"/>
    <cellStyle name="SAPBEXaggData 2 2 2 5" xfId="4267"/>
    <cellStyle name="SAPBEXaggData 2 2 2 5 2" xfId="4268"/>
    <cellStyle name="SAPBEXaggData 2 2 2 6" xfId="4269"/>
    <cellStyle name="SAPBEXaggData 2 2 3" xfId="4270"/>
    <cellStyle name="SAPBEXaggData 2 2 3 2" xfId="4271"/>
    <cellStyle name="SAPBEXaggData 2 2 3 2 2" xfId="4272"/>
    <cellStyle name="SAPBEXaggData 2 2 3 2 2 2" xfId="4273"/>
    <cellStyle name="SAPBEXaggData 2 2 3 2 3" xfId="4274"/>
    <cellStyle name="SAPBEXaggData 2 2 3 2 3 2" xfId="4275"/>
    <cellStyle name="SAPBEXaggData 2 2 3 2 4" xfId="4276"/>
    <cellStyle name="SAPBEXaggData 2 2 3 2 4 2" xfId="4277"/>
    <cellStyle name="SAPBEXaggData 2 2 3 2 5" xfId="4278"/>
    <cellStyle name="SAPBEXaggData 2 2 3 3" xfId="4279"/>
    <cellStyle name="SAPBEXaggData 2 2 3 3 2" xfId="4280"/>
    <cellStyle name="SAPBEXaggData 2 2 3 4" xfId="4281"/>
    <cellStyle name="SAPBEXaggData 2 2 3 4 2" xfId="4282"/>
    <cellStyle name="SAPBEXaggData 2 2 3 5" xfId="4283"/>
    <cellStyle name="SAPBEXaggData 2 2 3 5 2" xfId="4284"/>
    <cellStyle name="SAPBEXaggData 2 2 3 6" xfId="4285"/>
    <cellStyle name="SAPBEXaggData 2 2 4" xfId="4286"/>
    <cellStyle name="SAPBEXaggData 2 2 4 2" xfId="4287"/>
    <cellStyle name="SAPBEXaggData 2 2 4 2 2" xfId="4288"/>
    <cellStyle name="SAPBEXaggData 2 2 4 3" xfId="4289"/>
    <cellStyle name="SAPBEXaggData 2 2 4 3 2" xfId="4290"/>
    <cellStyle name="SAPBEXaggData 2 2 4 4" xfId="4291"/>
    <cellStyle name="SAPBEXaggData 2 2 4 4 2" xfId="4292"/>
    <cellStyle name="SAPBEXaggData 2 2 4 5" xfId="4293"/>
    <cellStyle name="SAPBEXaggData 2 2 5" xfId="4294"/>
    <cellStyle name="SAPBEXaggData 2 2 5 2" xfId="4295"/>
    <cellStyle name="SAPBEXaggData 2 2 6" xfId="4296"/>
    <cellStyle name="SAPBEXaggData 2 2 6 2" xfId="4297"/>
    <cellStyle name="SAPBEXaggData 2 2 7" xfId="4298"/>
    <cellStyle name="SAPBEXaggData 2 2 7 2" xfId="4299"/>
    <cellStyle name="SAPBEXaggData 2 2 8" xfId="4300"/>
    <cellStyle name="SAPBEXaggData 2 2 8 2" xfId="4301"/>
    <cellStyle name="SAPBEXaggData 2 2 9" xfId="4302"/>
    <cellStyle name="SAPBEXaggData 2 3" xfId="4303"/>
    <cellStyle name="SAPBEXaggData 2 3 2" xfId="4304"/>
    <cellStyle name="SAPBEXaggData 2 3 2 2" xfId="4305"/>
    <cellStyle name="SAPBEXaggData 2 3 2 2 2" xfId="4306"/>
    <cellStyle name="SAPBEXaggData 2 3 2 3" xfId="4307"/>
    <cellStyle name="SAPBEXaggData 2 3 2 3 2" xfId="4308"/>
    <cellStyle name="SAPBEXaggData 2 3 2 4" xfId="4309"/>
    <cellStyle name="SAPBEXaggData 2 3 2 4 2" xfId="4310"/>
    <cellStyle name="SAPBEXaggData 2 3 2 5" xfId="4311"/>
    <cellStyle name="SAPBEXaggData 2 3 3" xfId="4312"/>
    <cellStyle name="SAPBEXaggData 2 3 3 2" xfId="4313"/>
    <cellStyle name="SAPBEXaggData 2 3 4" xfId="4314"/>
    <cellStyle name="SAPBEXaggData 2 3 4 2" xfId="4315"/>
    <cellStyle name="SAPBEXaggData 2 3 5" xfId="4316"/>
    <cellStyle name="SAPBEXaggData 2 3 5 2" xfId="4317"/>
    <cellStyle name="SAPBEXaggData 2 3 6" xfId="4318"/>
    <cellStyle name="SAPBEXaggData 2 4" xfId="4319"/>
    <cellStyle name="SAPBEXaggData 2 4 2" xfId="4320"/>
    <cellStyle name="SAPBEXaggData 2 4 2 2" xfId="4321"/>
    <cellStyle name="SAPBEXaggData 2 4 2 2 2" xfId="4322"/>
    <cellStyle name="SAPBEXaggData 2 4 2 3" xfId="4323"/>
    <cellStyle name="SAPBEXaggData 2 4 2 3 2" xfId="4324"/>
    <cellStyle name="SAPBEXaggData 2 4 2 4" xfId="4325"/>
    <cellStyle name="SAPBEXaggData 2 4 2 4 2" xfId="4326"/>
    <cellStyle name="SAPBEXaggData 2 4 2 5" xfId="4327"/>
    <cellStyle name="SAPBEXaggData 2 4 3" xfId="4328"/>
    <cellStyle name="SAPBEXaggData 2 4 3 2" xfId="4329"/>
    <cellStyle name="SAPBEXaggData 2 4 4" xfId="4330"/>
    <cellStyle name="SAPBEXaggData 2 4 4 2" xfId="4331"/>
    <cellStyle name="SAPBEXaggData 2 4 5" xfId="4332"/>
    <cellStyle name="SAPBEXaggData 2 4 5 2" xfId="4333"/>
    <cellStyle name="SAPBEXaggData 2 4 6" xfId="4334"/>
    <cellStyle name="SAPBEXaggData 2 5" xfId="4335"/>
    <cellStyle name="SAPBEXaggData 2 5 2" xfId="4336"/>
    <cellStyle name="SAPBEXaggData 2 5 2 2" xfId="4337"/>
    <cellStyle name="SAPBEXaggData 2 5 3" xfId="4338"/>
    <cellStyle name="SAPBEXaggData 2 5 3 2" xfId="4339"/>
    <cellStyle name="SAPBEXaggData 2 5 4" xfId="4340"/>
    <cellStyle name="SAPBEXaggData 2 5 4 2" xfId="4341"/>
    <cellStyle name="SAPBEXaggData 2 5 5" xfId="4342"/>
    <cellStyle name="SAPBEXaggData 2 6" xfId="4343"/>
    <cellStyle name="SAPBEXaggData 2 6 2" xfId="4344"/>
    <cellStyle name="SAPBEXaggData 2 7" xfId="4345"/>
    <cellStyle name="SAPBEXaggData 2 7 2" xfId="4346"/>
    <cellStyle name="SAPBEXaggData 2 8" xfId="4347"/>
    <cellStyle name="SAPBEXaggData 2 8 2" xfId="4348"/>
    <cellStyle name="SAPBEXaggData 2 9" xfId="4349"/>
    <cellStyle name="SAPBEXaggData 3" xfId="4350"/>
    <cellStyle name="SAPBEXaggData 3 2" xfId="4351"/>
    <cellStyle name="SAPBEXaggData 3 2 2" xfId="4352"/>
    <cellStyle name="SAPBEXaggData 3 2 2 2" xfId="4353"/>
    <cellStyle name="SAPBEXaggData 3 2 2 2 2" xfId="4354"/>
    <cellStyle name="SAPBEXaggData 3 2 2 3" xfId="4355"/>
    <cellStyle name="SAPBEXaggData 3 2 2 3 2" xfId="4356"/>
    <cellStyle name="SAPBEXaggData 3 2 2 4" xfId="4357"/>
    <cellStyle name="SAPBEXaggData 3 2 2 4 2" xfId="4358"/>
    <cellStyle name="SAPBEXaggData 3 2 2 5" xfId="4359"/>
    <cellStyle name="SAPBEXaggData 3 2 3" xfId="4360"/>
    <cellStyle name="SAPBEXaggData 3 2 3 2" xfId="4361"/>
    <cellStyle name="SAPBEXaggData 3 2 4" xfId="4362"/>
    <cellStyle name="SAPBEXaggData 3 2 4 2" xfId="4363"/>
    <cellStyle name="SAPBEXaggData 3 2 5" xfId="4364"/>
    <cellStyle name="SAPBEXaggData 3 2 5 2" xfId="4365"/>
    <cellStyle name="SAPBEXaggData 3 2 6" xfId="4366"/>
    <cellStyle name="SAPBEXaggData 3 3" xfId="4367"/>
    <cellStyle name="SAPBEXaggData 3 3 2" xfId="4368"/>
    <cellStyle name="SAPBEXaggData 3 3 2 2" xfId="4369"/>
    <cellStyle name="SAPBEXaggData 3 3 2 2 2" xfId="4370"/>
    <cellStyle name="SAPBEXaggData 3 3 2 3" xfId="4371"/>
    <cellStyle name="SAPBEXaggData 3 3 2 3 2" xfId="4372"/>
    <cellStyle name="SAPBEXaggData 3 3 2 4" xfId="4373"/>
    <cellStyle name="SAPBEXaggData 3 3 2 4 2" xfId="4374"/>
    <cellStyle name="SAPBEXaggData 3 3 2 5" xfId="4375"/>
    <cellStyle name="SAPBEXaggData 3 3 3" xfId="4376"/>
    <cellStyle name="SAPBEXaggData 3 3 3 2" xfId="4377"/>
    <cellStyle name="SAPBEXaggData 3 3 4" xfId="4378"/>
    <cellStyle name="SAPBEXaggData 3 3 4 2" xfId="4379"/>
    <cellStyle name="SAPBEXaggData 3 3 5" xfId="4380"/>
    <cellStyle name="SAPBEXaggData 3 3 5 2" xfId="4381"/>
    <cellStyle name="SAPBEXaggData 3 3 6" xfId="4382"/>
    <cellStyle name="SAPBEXaggData 3 4" xfId="4383"/>
    <cellStyle name="SAPBEXaggData 3 4 2" xfId="4384"/>
    <cellStyle name="SAPBEXaggData 3 4 2 2" xfId="4385"/>
    <cellStyle name="SAPBEXaggData 3 4 3" xfId="4386"/>
    <cellStyle name="SAPBEXaggData 3 4 3 2" xfId="4387"/>
    <cellStyle name="SAPBEXaggData 3 4 4" xfId="4388"/>
    <cellStyle name="SAPBEXaggData 3 4 4 2" xfId="4389"/>
    <cellStyle name="SAPBEXaggData 3 4 5" xfId="4390"/>
    <cellStyle name="SAPBEXaggData 3 5" xfId="4391"/>
    <cellStyle name="SAPBEXaggData 3 5 2" xfId="4392"/>
    <cellStyle name="SAPBEXaggData 3 6" xfId="4393"/>
    <cellStyle name="SAPBEXaggData 3 6 2" xfId="4394"/>
    <cellStyle name="SAPBEXaggData 3 7" xfId="4395"/>
    <cellStyle name="SAPBEXaggData 3 7 2" xfId="4396"/>
    <cellStyle name="SAPBEXaggData 3 8" xfId="4397"/>
    <cellStyle name="SAPBEXaggData 3 8 2" xfId="4398"/>
    <cellStyle name="SAPBEXaggData 3 9" xfId="4399"/>
    <cellStyle name="SAPBEXaggData 4" xfId="4400"/>
    <cellStyle name="SAPBEXaggData 4 2" xfId="4401"/>
    <cellStyle name="SAPBEXaggData 4 2 2" xfId="4402"/>
    <cellStyle name="SAPBEXaggData 4 2 2 2" xfId="4403"/>
    <cellStyle name="SAPBEXaggData 4 2 3" xfId="4404"/>
    <cellStyle name="SAPBEXaggData 4 2 3 2" xfId="4405"/>
    <cellStyle name="SAPBEXaggData 4 2 4" xfId="4406"/>
    <cellStyle name="SAPBEXaggData 4 2 4 2" xfId="4407"/>
    <cellStyle name="SAPBEXaggData 4 2 5" xfId="4408"/>
    <cellStyle name="SAPBEXaggData 4 3" xfId="4409"/>
    <cellStyle name="SAPBEXaggData 4 3 2" xfId="4410"/>
    <cellStyle name="SAPBEXaggData 4 4" xfId="4411"/>
    <cellStyle name="SAPBEXaggData 4 4 2" xfId="4412"/>
    <cellStyle name="SAPBEXaggData 4 5" xfId="4413"/>
    <cellStyle name="SAPBEXaggData 4 5 2" xfId="4414"/>
    <cellStyle name="SAPBEXaggData 4 6" xfId="4415"/>
    <cellStyle name="SAPBEXaggData 5" xfId="4416"/>
    <cellStyle name="SAPBEXaggData 5 2" xfId="4417"/>
    <cellStyle name="SAPBEXaggData 5 2 2" xfId="4418"/>
    <cellStyle name="SAPBEXaggData 5 2 2 2" xfId="4419"/>
    <cellStyle name="SAPBEXaggData 5 2 3" xfId="4420"/>
    <cellStyle name="SAPBEXaggData 5 2 3 2" xfId="4421"/>
    <cellStyle name="SAPBEXaggData 5 2 4" xfId="4422"/>
    <cellStyle name="SAPBEXaggData 5 2 4 2" xfId="4423"/>
    <cellStyle name="SAPBEXaggData 5 2 5" xfId="4424"/>
    <cellStyle name="SAPBEXaggData 5 3" xfId="4425"/>
    <cellStyle name="SAPBEXaggData 5 3 2" xfId="4426"/>
    <cellStyle name="SAPBEXaggData 5 4" xfId="4427"/>
    <cellStyle name="SAPBEXaggData 5 4 2" xfId="4428"/>
    <cellStyle name="SAPBEXaggData 5 5" xfId="4429"/>
    <cellStyle name="SAPBEXaggData 5 5 2" xfId="4430"/>
    <cellStyle name="SAPBEXaggData 5 6" xfId="4431"/>
    <cellStyle name="SAPBEXaggData 6" xfId="4432"/>
    <cellStyle name="SAPBEXaggData 6 2" xfId="4433"/>
    <cellStyle name="SAPBEXaggData 6 2 2" xfId="4434"/>
    <cellStyle name="SAPBEXaggData 6 3" xfId="4435"/>
    <cellStyle name="SAPBEXaggData 6 3 2" xfId="4436"/>
    <cellStyle name="SAPBEXaggData 6 4" xfId="4437"/>
    <cellStyle name="SAPBEXaggData 6 4 2" xfId="4438"/>
    <cellStyle name="SAPBEXaggData 6 5" xfId="4439"/>
    <cellStyle name="SAPBEXaggData 7" xfId="4440"/>
    <cellStyle name="SAPBEXaggData 7 2" xfId="4441"/>
    <cellStyle name="SAPBEXaggData 8" xfId="4442"/>
    <cellStyle name="SAPBEXaggData 8 2" xfId="4443"/>
    <cellStyle name="SAPBEXaggData 9" xfId="4444"/>
    <cellStyle name="SAPBEXaggData 9 2" xfId="4445"/>
    <cellStyle name="SAPBEXaggDataEmph" xfId="4446"/>
    <cellStyle name="SAPBEXaggDataEmph 10" xfId="4447"/>
    <cellStyle name="SAPBEXaggDataEmph 2" xfId="4448"/>
    <cellStyle name="SAPBEXaggDataEmph 2 2" xfId="4449"/>
    <cellStyle name="SAPBEXaggDataEmph 2 2 2" xfId="4450"/>
    <cellStyle name="SAPBEXaggDataEmph 2 2 2 2" xfId="4451"/>
    <cellStyle name="SAPBEXaggDataEmph 2 2 2 2 2" xfId="4452"/>
    <cellStyle name="SAPBEXaggDataEmph 2 2 2 2 2 2" xfId="4453"/>
    <cellStyle name="SAPBEXaggDataEmph 2 2 2 2 3" xfId="4454"/>
    <cellStyle name="SAPBEXaggDataEmph 2 2 2 2 3 2" xfId="4455"/>
    <cellStyle name="SAPBEXaggDataEmph 2 2 2 2 4" xfId="4456"/>
    <cellStyle name="SAPBEXaggDataEmph 2 2 2 2 4 2" xfId="4457"/>
    <cellStyle name="SAPBEXaggDataEmph 2 2 2 2 5" xfId="4458"/>
    <cellStyle name="SAPBEXaggDataEmph 2 2 2 3" xfId="4459"/>
    <cellStyle name="SAPBEXaggDataEmph 2 2 2 3 2" xfId="4460"/>
    <cellStyle name="SAPBEXaggDataEmph 2 2 2 4" xfId="4461"/>
    <cellStyle name="SAPBEXaggDataEmph 2 2 2 4 2" xfId="4462"/>
    <cellStyle name="SAPBEXaggDataEmph 2 2 2 5" xfId="4463"/>
    <cellStyle name="SAPBEXaggDataEmph 2 2 2 5 2" xfId="4464"/>
    <cellStyle name="SAPBEXaggDataEmph 2 2 2 6" xfId="4465"/>
    <cellStyle name="SAPBEXaggDataEmph 2 2 3" xfId="4466"/>
    <cellStyle name="SAPBEXaggDataEmph 2 2 3 2" xfId="4467"/>
    <cellStyle name="SAPBEXaggDataEmph 2 2 3 2 2" xfId="4468"/>
    <cellStyle name="SAPBEXaggDataEmph 2 2 3 2 2 2" xfId="4469"/>
    <cellStyle name="SAPBEXaggDataEmph 2 2 3 2 3" xfId="4470"/>
    <cellStyle name="SAPBEXaggDataEmph 2 2 3 2 3 2" xfId="4471"/>
    <cellStyle name="SAPBEXaggDataEmph 2 2 3 2 4" xfId="4472"/>
    <cellStyle name="SAPBEXaggDataEmph 2 2 3 2 4 2" xfId="4473"/>
    <cellStyle name="SAPBEXaggDataEmph 2 2 3 2 5" xfId="4474"/>
    <cellStyle name="SAPBEXaggDataEmph 2 2 3 3" xfId="4475"/>
    <cellStyle name="SAPBEXaggDataEmph 2 2 3 3 2" xfId="4476"/>
    <cellStyle name="SAPBEXaggDataEmph 2 2 3 4" xfId="4477"/>
    <cellStyle name="SAPBEXaggDataEmph 2 2 3 4 2" xfId="4478"/>
    <cellStyle name="SAPBEXaggDataEmph 2 2 3 5" xfId="4479"/>
    <cellStyle name="SAPBEXaggDataEmph 2 2 3 5 2" xfId="4480"/>
    <cellStyle name="SAPBEXaggDataEmph 2 2 3 6" xfId="4481"/>
    <cellStyle name="SAPBEXaggDataEmph 2 2 4" xfId="4482"/>
    <cellStyle name="SAPBEXaggDataEmph 2 2 4 2" xfId="4483"/>
    <cellStyle name="SAPBEXaggDataEmph 2 2 4 2 2" xfId="4484"/>
    <cellStyle name="SAPBEXaggDataEmph 2 2 4 3" xfId="4485"/>
    <cellStyle name="SAPBEXaggDataEmph 2 2 4 3 2" xfId="4486"/>
    <cellStyle name="SAPBEXaggDataEmph 2 2 4 4" xfId="4487"/>
    <cellStyle name="SAPBEXaggDataEmph 2 2 4 4 2" xfId="4488"/>
    <cellStyle name="SAPBEXaggDataEmph 2 2 4 5" xfId="4489"/>
    <cellStyle name="SAPBEXaggDataEmph 2 2 5" xfId="4490"/>
    <cellStyle name="SAPBEXaggDataEmph 2 2 5 2" xfId="4491"/>
    <cellStyle name="SAPBEXaggDataEmph 2 2 6" xfId="4492"/>
    <cellStyle name="SAPBEXaggDataEmph 2 2 6 2" xfId="4493"/>
    <cellStyle name="SAPBEXaggDataEmph 2 2 7" xfId="4494"/>
    <cellStyle name="SAPBEXaggDataEmph 2 2 7 2" xfId="4495"/>
    <cellStyle name="SAPBEXaggDataEmph 2 2 8" xfId="4496"/>
    <cellStyle name="SAPBEXaggDataEmph 2 2 8 2" xfId="4497"/>
    <cellStyle name="SAPBEXaggDataEmph 2 2 9" xfId="4498"/>
    <cellStyle name="SAPBEXaggDataEmph 2 3" xfId="4499"/>
    <cellStyle name="SAPBEXaggDataEmph 2 3 2" xfId="4500"/>
    <cellStyle name="SAPBEXaggDataEmph 2 3 2 2" xfId="4501"/>
    <cellStyle name="SAPBEXaggDataEmph 2 3 2 2 2" xfId="4502"/>
    <cellStyle name="SAPBEXaggDataEmph 2 3 2 3" xfId="4503"/>
    <cellStyle name="SAPBEXaggDataEmph 2 3 2 3 2" xfId="4504"/>
    <cellStyle name="SAPBEXaggDataEmph 2 3 2 4" xfId="4505"/>
    <cellStyle name="SAPBEXaggDataEmph 2 3 2 4 2" xfId="4506"/>
    <cellStyle name="SAPBEXaggDataEmph 2 3 2 5" xfId="4507"/>
    <cellStyle name="SAPBEXaggDataEmph 2 3 3" xfId="4508"/>
    <cellStyle name="SAPBEXaggDataEmph 2 3 3 2" xfId="4509"/>
    <cellStyle name="SAPBEXaggDataEmph 2 3 4" xfId="4510"/>
    <cellStyle name="SAPBEXaggDataEmph 2 3 4 2" xfId="4511"/>
    <cellStyle name="SAPBEXaggDataEmph 2 3 5" xfId="4512"/>
    <cellStyle name="SAPBEXaggDataEmph 2 3 5 2" xfId="4513"/>
    <cellStyle name="SAPBEXaggDataEmph 2 3 6" xfId="4514"/>
    <cellStyle name="SAPBEXaggDataEmph 2 4" xfId="4515"/>
    <cellStyle name="SAPBEXaggDataEmph 2 4 2" xfId="4516"/>
    <cellStyle name="SAPBEXaggDataEmph 2 4 2 2" xfId="4517"/>
    <cellStyle name="SAPBEXaggDataEmph 2 4 2 2 2" xfId="4518"/>
    <cellStyle name="SAPBEXaggDataEmph 2 4 2 3" xfId="4519"/>
    <cellStyle name="SAPBEXaggDataEmph 2 4 2 3 2" xfId="4520"/>
    <cellStyle name="SAPBEXaggDataEmph 2 4 2 4" xfId="4521"/>
    <cellStyle name="SAPBEXaggDataEmph 2 4 2 4 2" xfId="4522"/>
    <cellStyle name="SAPBEXaggDataEmph 2 4 2 5" xfId="4523"/>
    <cellStyle name="SAPBEXaggDataEmph 2 4 3" xfId="4524"/>
    <cellStyle name="SAPBEXaggDataEmph 2 4 3 2" xfId="4525"/>
    <cellStyle name="SAPBEXaggDataEmph 2 4 4" xfId="4526"/>
    <cellStyle name="SAPBEXaggDataEmph 2 4 4 2" xfId="4527"/>
    <cellStyle name="SAPBEXaggDataEmph 2 4 5" xfId="4528"/>
    <cellStyle name="SAPBEXaggDataEmph 2 4 5 2" xfId="4529"/>
    <cellStyle name="SAPBEXaggDataEmph 2 4 6" xfId="4530"/>
    <cellStyle name="SAPBEXaggDataEmph 2 5" xfId="4531"/>
    <cellStyle name="SAPBEXaggDataEmph 2 5 2" xfId="4532"/>
    <cellStyle name="SAPBEXaggDataEmph 2 5 2 2" xfId="4533"/>
    <cellStyle name="SAPBEXaggDataEmph 2 5 3" xfId="4534"/>
    <cellStyle name="SAPBEXaggDataEmph 2 5 3 2" xfId="4535"/>
    <cellStyle name="SAPBEXaggDataEmph 2 5 4" xfId="4536"/>
    <cellStyle name="SAPBEXaggDataEmph 2 5 4 2" xfId="4537"/>
    <cellStyle name="SAPBEXaggDataEmph 2 5 5" xfId="4538"/>
    <cellStyle name="SAPBEXaggDataEmph 2 6" xfId="4539"/>
    <cellStyle name="SAPBEXaggDataEmph 2 6 2" xfId="4540"/>
    <cellStyle name="SAPBEXaggDataEmph 2 7" xfId="4541"/>
    <cellStyle name="SAPBEXaggDataEmph 2 7 2" xfId="4542"/>
    <cellStyle name="SAPBEXaggDataEmph 2 8" xfId="4543"/>
    <cellStyle name="SAPBEXaggDataEmph 2 8 2" xfId="4544"/>
    <cellStyle name="SAPBEXaggDataEmph 2 9" xfId="4545"/>
    <cellStyle name="SAPBEXaggDataEmph 3" xfId="4546"/>
    <cellStyle name="SAPBEXaggDataEmph 3 2" xfId="4547"/>
    <cellStyle name="SAPBEXaggDataEmph 3 2 2" xfId="4548"/>
    <cellStyle name="SAPBEXaggDataEmph 3 2 2 2" xfId="4549"/>
    <cellStyle name="SAPBEXaggDataEmph 3 2 2 2 2" xfId="4550"/>
    <cellStyle name="SAPBEXaggDataEmph 3 2 2 3" xfId="4551"/>
    <cellStyle name="SAPBEXaggDataEmph 3 2 2 3 2" xfId="4552"/>
    <cellStyle name="SAPBEXaggDataEmph 3 2 2 4" xfId="4553"/>
    <cellStyle name="SAPBEXaggDataEmph 3 2 2 4 2" xfId="4554"/>
    <cellStyle name="SAPBEXaggDataEmph 3 2 2 5" xfId="4555"/>
    <cellStyle name="SAPBEXaggDataEmph 3 2 3" xfId="4556"/>
    <cellStyle name="SAPBEXaggDataEmph 3 2 3 2" xfId="4557"/>
    <cellStyle name="SAPBEXaggDataEmph 3 2 4" xfId="4558"/>
    <cellStyle name="SAPBEXaggDataEmph 3 2 4 2" xfId="4559"/>
    <cellStyle name="SAPBEXaggDataEmph 3 2 5" xfId="4560"/>
    <cellStyle name="SAPBEXaggDataEmph 3 2 5 2" xfId="4561"/>
    <cellStyle name="SAPBEXaggDataEmph 3 2 6" xfId="4562"/>
    <cellStyle name="SAPBEXaggDataEmph 3 3" xfId="4563"/>
    <cellStyle name="SAPBEXaggDataEmph 3 3 2" xfId="4564"/>
    <cellStyle name="SAPBEXaggDataEmph 3 3 2 2" xfId="4565"/>
    <cellStyle name="SAPBEXaggDataEmph 3 3 2 2 2" xfId="4566"/>
    <cellStyle name="SAPBEXaggDataEmph 3 3 2 3" xfId="4567"/>
    <cellStyle name="SAPBEXaggDataEmph 3 3 2 3 2" xfId="4568"/>
    <cellStyle name="SAPBEXaggDataEmph 3 3 2 4" xfId="4569"/>
    <cellStyle name="SAPBEXaggDataEmph 3 3 2 4 2" xfId="4570"/>
    <cellStyle name="SAPBEXaggDataEmph 3 3 2 5" xfId="4571"/>
    <cellStyle name="SAPBEXaggDataEmph 3 3 3" xfId="4572"/>
    <cellStyle name="SAPBEXaggDataEmph 3 3 3 2" xfId="4573"/>
    <cellStyle name="SAPBEXaggDataEmph 3 3 4" xfId="4574"/>
    <cellStyle name="SAPBEXaggDataEmph 3 3 4 2" xfId="4575"/>
    <cellStyle name="SAPBEXaggDataEmph 3 3 5" xfId="4576"/>
    <cellStyle name="SAPBEXaggDataEmph 3 3 5 2" xfId="4577"/>
    <cellStyle name="SAPBEXaggDataEmph 3 3 6" xfId="4578"/>
    <cellStyle name="SAPBEXaggDataEmph 3 4" xfId="4579"/>
    <cellStyle name="SAPBEXaggDataEmph 3 4 2" xfId="4580"/>
    <cellStyle name="SAPBEXaggDataEmph 3 4 2 2" xfId="4581"/>
    <cellStyle name="SAPBEXaggDataEmph 3 4 3" xfId="4582"/>
    <cellStyle name="SAPBEXaggDataEmph 3 4 3 2" xfId="4583"/>
    <cellStyle name="SAPBEXaggDataEmph 3 4 4" xfId="4584"/>
    <cellStyle name="SAPBEXaggDataEmph 3 4 4 2" xfId="4585"/>
    <cellStyle name="SAPBEXaggDataEmph 3 4 5" xfId="4586"/>
    <cellStyle name="SAPBEXaggDataEmph 3 5" xfId="4587"/>
    <cellStyle name="SAPBEXaggDataEmph 3 5 2" xfId="4588"/>
    <cellStyle name="SAPBEXaggDataEmph 3 6" xfId="4589"/>
    <cellStyle name="SAPBEXaggDataEmph 3 6 2" xfId="4590"/>
    <cellStyle name="SAPBEXaggDataEmph 3 7" xfId="4591"/>
    <cellStyle name="SAPBEXaggDataEmph 3 7 2" xfId="4592"/>
    <cellStyle name="SAPBEXaggDataEmph 3 8" xfId="4593"/>
    <cellStyle name="SAPBEXaggDataEmph 3 8 2" xfId="4594"/>
    <cellStyle name="SAPBEXaggDataEmph 3 9" xfId="4595"/>
    <cellStyle name="SAPBEXaggDataEmph 4" xfId="4596"/>
    <cellStyle name="SAPBEXaggDataEmph 4 2" xfId="4597"/>
    <cellStyle name="SAPBEXaggDataEmph 4 2 2" xfId="4598"/>
    <cellStyle name="SAPBEXaggDataEmph 4 2 2 2" xfId="4599"/>
    <cellStyle name="SAPBEXaggDataEmph 4 2 3" xfId="4600"/>
    <cellStyle name="SAPBEXaggDataEmph 4 2 3 2" xfId="4601"/>
    <cellStyle name="SAPBEXaggDataEmph 4 2 4" xfId="4602"/>
    <cellStyle name="SAPBEXaggDataEmph 4 2 4 2" xfId="4603"/>
    <cellStyle name="SAPBEXaggDataEmph 4 2 5" xfId="4604"/>
    <cellStyle name="SAPBEXaggDataEmph 4 3" xfId="4605"/>
    <cellStyle name="SAPBEXaggDataEmph 4 3 2" xfId="4606"/>
    <cellStyle name="SAPBEXaggDataEmph 4 4" xfId="4607"/>
    <cellStyle name="SAPBEXaggDataEmph 4 4 2" xfId="4608"/>
    <cellStyle name="SAPBEXaggDataEmph 4 5" xfId="4609"/>
    <cellStyle name="SAPBEXaggDataEmph 4 5 2" xfId="4610"/>
    <cellStyle name="SAPBEXaggDataEmph 4 6" xfId="4611"/>
    <cellStyle name="SAPBEXaggDataEmph 5" xfId="4612"/>
    <cellStyle name="SAPBEXaggDataEmph 5 2" xfId="4613"/>
    <cellStyle name="SAPBEXaggDataEmph 5 2 2" xfId="4614"/>
    <cellStyle name="SAPBEXaggDataEmph 5 2 2 2" xfId="4615"/>
    <cellStyle name="SAPBEXaggDataEmph 5 2 3" xfId="4616"/>
    <cellStyle name="SAPBEXaggDataEmph 5 2 3 2" xfId="4617"/>
    <cellStyle name="SAPBEXaggDataEmph 5 2 4" xfId="4618"/>
    <cellStyle name="SAPBEXaggDataEmph 5 2 4 2" xfId="4619"/>
    <cellStyle name="SAPBEXaggDataEmph 5 2 5" xfId="4620"/>
    <cellStyle name="SAPBEXaggDataEmph 5 3" xfId="4621"/>
    <cellStyle name="SAPBEXaggDataEmph 5 3 2" xfId="4622"/>
    <cellStyle name="SAPBEXaggDataEmph 5 4" xfId="4623"/>
    <cellStyle name="SAPBEXaggDataEmph 5 4 2" xfId="4624"/>
    <cellStyle name="SAPBEXaggDataEmph 5 5" xfId="4625"/>
    <cellStyle name="SAPBEXaggDataEmph 5 5 2" xfId="4626"/>
    <cellStyle name="SAPBEXaggDataEmph 5 6" xfId="4627"/>
    <cellStyle name="SAPBEXaggDataEmph 6" xfId="4628"/>
    <cellStyle name="SAPBEXaggDataEmph 6 2" xfId="4629"/>
    <cellStyle name="SAPBEXaggDataEmph 6 2 2" xfId="4630"/>
    <cellStyle name="SAPBEXaggDataEmph 6 3" xfId="4631"/>
    <cellStyle name="SAPBEXaggDataEmph 6 3 2" xfId="4632"/>
    <cellStyle name="SAPBEXaggDataEmph 6 4" xfId="4633"/>
    <cellStyle name="SAPBEXaggDataEmph 6 4 2" xfId="4634"/>
    <cellStyle name="SAPBEXaggDataEmph 6 5" xfId="4635"/>
    <cellStyle name="SAPBEXaggDataEmph 7" xfId="4636"/>
    <cellStyle name="SAPBEXaggDataEmph 7 2" xfId="4637"/>
    <cellStyle name="SAPBEXaggDataEmph 8" xfId="4638"/>
    <cellStyle name="SAPBEXaggDataEmph 8 2" xfId="4639"/>
    <cellStyle name="SAPBEXaggDataEmph 9" xfId="4640"/>
    <cellStyle name="SAPBEXaggDataEmph 9 2" xfId="4641"/>
    <cellStyle name="SAPBEXaggItem" xfId="4642"/>
    <cellStyle name="SAPBEXaggItem 10" xfId="4643"/>
    <cellStyle name="SAPBEXaggItem 2" xfId="4644"/>
    <cellStyle name="SAPBEXaggItem 2 2" xfId="4645"/>
    <cellStyle name="SAPBEXaggItem 2 2 2" xfId="4646"/>
    <cellStyle name="SAPBEXaggItem 2 2 2 2" xfId="4647"/>
    <cellStyle name="SAPBEXaggItem 2 2 2 2 2" xfId="4648"/>
    <cellStyle name="SAPBEXaggItem 2 2 2 2 2 2" xfId="4649"/>
    <cellStyle name="SAPBEXaggItem 2 2 2 2 3" xfId="4650"/>
    <cellStyle name="SAPBEXaggItem 2 2 2 2 3 2" xfId="4651"/>
    <cellStyle name="SAPBEXaggItem 2 2 2 2 4" xfId="4652"/>
    <cellStyle name="SAPBEXaggItem 2 2 2 2 4 2" xfId="4653"/>
    <cellStyle name="SAPBEXaggItem 2 2 2 2 5" xfId="4654"/>
    <cellStyle name="SAPBEXaggItem 2 2 2 3" xfId="4655"/>
    <cellStyle name="SAPBEXaggItem 2 2 2 3 2" xfId="4656"/>
    <cellStyle name="SAPBEXaggItem 2 2 2 4" xfId="4657"/>
    <cellStyle name="SAPBEXaggItem 2 2 2 4 2" xfId="4658"/>
    <cellStyle name="SAPBEXaggItem 2 2 2 5" xfId="4659"/>
    <cellStyle name="SAPBEXaggItem 2 2 2 5 2" xfId="4660"/>
    <cellStyle name="SAPBEXaggItem 2 2 2 6" xfId="4661"/>
    <cellStyle name="SAPBEXaggItem 2 2 3" xfId="4662"/>
    <cellStyle name="SAPBEXaggItem 2 2 3 2" xfId="4663"/>
    <cellStyle name="SAPBEXaggItem 2 2 3 2 2" xfId="4664"/>
    <cellStyle name="SAPBEXaggItem 2 2 3 2 2 2" xfId="4665"/>
    <cellStyle name="SAPBEXaggItem 2 2 3 2 3" xfId="4666"/>
    <cellStyle name="SAPBEXaggItem 2 2 3 2 3 2" xfId="4667"/>
    <cellStyle name="SAPBEXaggItem 2 2 3 2 4" xfId="4668"/>
    <cellStyle name="SAPBEXaggItem 2 2 3 2 4 2" xfId="4669"/>
    <cellStyle name="SAPBEXaggItem 2 2 3 2 5" xfId="4670"/>
    <cellStyle name="SAPBEXaggItem 2 2 3 3" xfId="4671"/>
    <cellStyle name="SAPBEXaggItem 2 2 3 3 2" xfId="4672"/>
    <cellStyle name="SAPBEXaggItem 2 2 3 4" xfId="4673"/>
    <cellStyle name="SAPBEXaggItem 2 2 3 4 2" xfId="4674"/>
    <cellStyle name="SAPBEXaggItem 2 2 3 5" xfId="4675"/>
    <cellStyle name="SAPBEXaggItem 2 2 3 5 2" xfId="4676"/>
    <cellStyle name="SAPBEXaggItem 2 2 3 6" xfId="4677"/>
    <cellStyle name="SAPBEXaggItem 2 2 4" xfId="4678"/>
    <cellStyle name="SAPBEXaggItem 2 2 4 2" xfId="4679"/>
    <cellStyle name="SAPBEXaggItem 2 2 4 2 2" xfId="4680"/>
    <cellStyle name="SAPBEXaggItem 2 2 4 3" xfId="4681"/>
    <cellStyle name="SAPBEXaggItem 2 2 4 3 2" xfId="4682"/>
    <cellStyle name="SAPBEXaggItem 2 2 4 4" xfId="4683"/>
    <cellStyle name="SAPBEXaggItem 2 2 4 4 2" xfId="4684"/>
    <cellStyle name="SAPBEXaggItem 2 2 4 5" xfId="4685"/>
    <cellStyle name="SAPBEXaggItem 2 2 5" xfId="4686"/>
    <cellStyle name="SAPBEXaggItem 2 2 5 2" xfId="4687"/>
    <cellStyle name="SAPBEXaggItem 2 2 6" xfId="4688"/>
    <cellStyle name="SAPBEXaggItem 2 2 6 2" xfId="4689"/>
    <cellStyle name="SAPBEXaggItem 2 2 7" xfId="4690"/>
    <cellStyle name="SAPBEXaggItem 2 2 7 2" xfId="4691"/>
    <cellStyle name="SAPBEXaggItem 2 2 8" xfId="4692"/>
    <cellStyle name="SAPBEXaggItem 2 2 8 2" xfId="4693"/>
    <cellStyle name="SAPBEXaggItem 2 2 9" xfId="4694"/>
    <cellStyle name="SAPBEXaggItem 2 3" xfId="4695"/>
    <cellStyle name="SAPBEXaggItem 2 3 2" xfId="4696"/>
    <cellStyle name="SAPBEXaggItem 2 3 2 2" xfId="4697"/>
    <cellStyle name="SAPBEXaggItem 2 3 2 2 2" xfId="4698"/>
    <cellStyle name="SAPBEXaggItem 2 3 2 3" xfId="4699"/>
    <cellStyle name="SAPBEXaggItem 2 3 2 3 2" xfId="4700"/>
    <cellStyle name="SAPBEXaggItem 2 3 2 4" xfId="4701"/>
    <cellStyle name="SAPBEXaggItem 2 3 2 4 2" xfId="4702"/>
    <cellStyle name="SAPBEXaggItem 2 3 2 5" xfId="4703"/>
    <cellStyle name="SAPBEXaggItem 2 3 3" xfId="4704"/>
    <cellStyle name="SAPBEXaggItem 2 3 3 2" xfId="4705"/>
    <cellStyle name="SAPBEXaggItem 2 3 4" xfId="4706"/>
    <cellStyle name="SAPBEXaggItem 2 3 4 2" xfId="4707"/>
    <cellStyle name="SAPBEXaggItem 2 3 5" xfId="4708"/>
    <cellStyle name="SAPBEXaggItem 2 3 5 2" xfId="4709"/>
    <cellStyle name="SAPBEXaggItem 2 3 6" xfId="4710"/>
    <cellStyle name="SAPBEXaggItem 2 4" xfId="4711"/>
    <cellStyle name="SAPBEXaggItem 2 4 2" xfId="4712"/>
    <cellStyle name="SAPBEXaggItem 2 4 2 2" xfId="4713"/>
    <cellStyle name="SAPBEXaggItem 2 4 2 2 2" xfId="4714"/>
    <cellStyle name="SAPBEXaggItem 2 4 2 3" xfId="4715"/>
    <cellStyle name="SAPBEXaggItem 2 4 2 3 2" xfId="4716"/>
    <cellStyle name="SAPBEXaggItem 2 4 2 4" xfId="4717"/>
    <cellStyle name="SAPBEXaggItem 2 4 2 4 2" xfId="4718"/>
    <cellStyle name="SAPBEXaggItem 2 4 2 5" xfId="4719"/>
    <cellStyle name="SAPBEXaggItem 2 4 3" xfId="4720"/>
    <cellStyle name="SAPBEXaggItem 2 4 3 2" xfId="4721"/>
    <cellStyle name="SAPBEXaggItem 2 4 4" xfId="4722"/>
    <cellStyle name="SAPBEXaggItem 2 4 4 2" xfId="4723"/>
    <cellStyle name="SAPBEXaggItem 2 4 5" xfId="4724"/>
    <cellStyle name="SAPBEXaggItem 2 4 5 2" xfId="4725"/>
    <cellStyle name="SAPBEXaggItem 2 4 6" xfId="4726"/>
    <cellStyle name="SAPBEXaggItem 2 5" xfId="4727"/>
    <cellStyle name="SAPBEXaggItem 2 5 2" xfId="4728"/>
    <cellStyle name="SAPBEXaggItem 2 5 2 2" xfId="4729"/>
    <cellStyle name="SAPBEXaggItem 2 5 3" xfId="4730"/>
    <cellStyle name="SAPBEXaggItem 2 5 3 2" xfId="4731"/>
    <cellStyle name="SAPBEXaggItem 2 5 4" xfId="4732"/>
    <cellStyle name="SAPBEXaggItem 2 5 4 2" xfId="4733"/>
    <cellStyle name="SAPBEXaggItem 2 5 5" xfId="4734"/>
    <cellStyle name="SAPBEXaggItem 2 6" xfId="4735"/>
    <cellStyle name="SAPBEXaggItem 2 6 2" xfId="4736"/>
    <cellStyle name="SAPBEXaggItem 2 7" xfId="4737"/>
    <cellStyle name="SAPBEXaggItem 2 7 2" xfId="4738"/>
    <cellStyle name="SAPBEXaggItem 2 8" xfId="4739"/>
    <cellStyle name="SAPBEXaggItem 2 8 2" xfId="4740"/>
    <cellStyle name="SAPBEXaggItem 2 9" xfId="4741"/>
    <cellStyle name="SAPBEXaggItem 3" xfId="4742"/>
    <cellStyle name="SAPBEXaggItem 3 2" xfId="4743"/>
    <cellStyle name="SAPBEXaggItem 3 2 2" xfId="4744"/>
    <cellStyle name="SAPBEXaggItem 3 2 2 2" xfId="4745"/>
    <cellStyle name="SAPBEXaggItem 3 2 2 2 2" xfId="4746"/>
    <cellStyle name="SAPBEXaggItem 3 2 2 3" xfId="4747"/>
    <cellStyle name="SAPBEXaggItem 3 2 2 3 2" xfId="4748"/>
    <cellStyle name="SAPBEXaggItem 3 2 2 4" xfId="4749"/>
    <cellStyle name="SAPBEXaggItem 3 2 2 4 2" xfId="4750"/>
    <cellStyle name="SAPBEXaggItem 3 2 2 5" xfId="4751"/>
    <cellStyle name="SAPBEXaggItem 3 2 3" xfId="4752"/>
    <cellStyle name="SAPBEXaggItem 3 2 3 2" xfId="4753"/>
    <cellStyle name="SAPBEXaggItem 3 2 4" xfId="4754"/>
    <cellStyle name="SAPBEXaggItem 3 2 4 2" xfId="4755"/>
    <cellStyle name="SAPBEXaggItem 3 2 5" xfId="4756"/>
    <cellStyle name="SAPBEXaggItem 3 2 5 2" xfId="4757"/>
    <cellStyle name="SAPBEXaggItem 3 2 6" xfId="4758"/>
    <cellStyle name="SAPBEXaggItem 3 3" xfId="4759"/>
    <cellStyle name="SAPBEXaggItem 3 3 2" xfId="4760"/>
    <cellStyle name="SAPBEXaggItem 3 3 2 2" xfId="4761"/>
    <cellStyle name="SAPBEXaggItem 3 3 2 2 2" xfId="4762"/>
    <cellStyle name="SAPBEXaggItem 3 3 2 3" xfId="4763"/>
    <cellStyle name="SAPBEXaggItem 3 3 2 3 2" xfId="4764"/>
    <cellStyle name="SAPBEXaggItem 3 3 2 4" xfId="4765"/>
    <cellStyle name="SAPBEXaggItem 3 3 2 4 2" xfId="4766"/>
    <cellStyle name="SAPBEXaggItem 3 3 2 5" xfId="4767"/>
    <cellStyle name="SAPBEXaggItem 3 3 3" xfId="4768"/>
    <cellStyle name="SAPBEXaggItem 3 3 3 2" xfId="4769"/>
    <cellStyle name="SAPBEXaggItem 3 3 4" xfId="4770"/>
    <cellStyle name="SAPBEXaggItem 3 3 4 2" xfId="4771"/>
    <cellStyle name="SAPBEXaggItem 3 3 5" xfId="4772"/>
    <cellStyle name="SAPBEXaggItem 3 3 5 2" xfId="4773"/>
    <cellStyle name="SAPBEXaggItem 3 3 6" xfId="4774"/>
    <cellStyle name="SAPBEXaggItem 3 4" xfId="4775"/>
    <cellStyle name="SAPBEXaggItem 3 4 2" xfId="4776"/>
    <cellStyle name="SAPBEXaggItem 3 4 2 2" xfId="4777"/>
    <cellStyle name="SAPBEXaggItem 3 4 3" xfId="4778"/>
    <cellStyle name="SAPBEXaggItem 3 4 3 2" xfId="4779"/>
    <cellStyle name="SAPBEXaggItem 3 4 4" xfId="4780"/>
    <cellStyle name="SAPBEXaggItem 3 4 4 2" xfId="4781"/>
    <cellStyle name="SAPBEXaggItem 3 4 5" xfId="4782"/>
    <cellStyle name="SAPBEXaggItem 3 5" xfId="4783"/>
    <cellStyle name="SAPBEXaggItem 3 5 2" xfId="4784"/>
    <cellStyle name="SAPBEXaggItem 3 6" xfId="4785"/>
    <cellStyle name="SAPBEXaggItem 3 6 2" xfId="4786"/>
    <cellStyle name="SAPBEXaggItem 3 7" xfId="4787"/>
    <cellStyle name="SAPBEXaggItem 3 7 2" xfId="4788"/>
    <cellStyle name="SAPBEXaggItem 3 8" xfId="4789"/>
    <cellStyle name="SAPBEXaggItem 3 8 2" xfId="4790"/>
    <cellStyle name="SAPBEXaggItem 3 9" xfId="4791"/>
    <cellStyle name="SAPBEXaggItem 4" xfId="4792"/>
    <cellStyle name="SAPBEXaggItem 4 2" xfId="4793"/>
    <cellStyle name="SAPBEXaggItem 4 2 2" xfId="4794"/>
    <cellStyle name="SAPBEXaggItem 4 2 2 2" xfId="4795"/>
    <cellStyle name="SAPBEXaggItem 4 2 3" xfId="4796"/>
    <cellStyle name="SAPBEXaggItem 4 2 3 2" xfId="4797"/>
    <cellStyle name="SAPBEXaggItem 4 2 4" xfId="4798"/>
    <cellStyle name="SAPBEXaggItem 4 2 4 2" xfId="4799"/>
    <cellStyle name="SAPBEXaggItem 4 2 5" xfId="4800"/>
    <cellStyle name="SAPBEXaggItem 4 3" xfId="4801"/>
    <cellStyle name="SAPBEXaggItem 4 3 2" xfId="4802"/>
    <cellStyle name="SAPBEXaggItem 4 4" xfId="4803"/>
    <cellStyle name="SAPBEXaggItem 4 4 2" xfId="4804"/>
    <cellStyle name="SAPBEXaggItem 4 5" xfId="4805"/>
    <cellStyle name="SAPBEXaggItem 4 5 2" xfId="4806"/>
    <cellStyle name="SAPBEXaggItem 4 6" xfId="4807"/>
    <cellStyle name="SAPBEXaggItem 5" xfId="4808"/>
    <cellStyle name="SAPBEXaggItem 5 2" xfId="4809"/>
    <cellStyle name="SAPBEXaggItem 5 2 2" xfId="4810"/>
    <cellStyle name="SAPBEXaggItem 5 2 2 2" xfId="4811"/>
    <cellStyle name="SAPBEXaggItem 5 2 3" xfId="4812"/>
    <cellStyle name="SAPBEXaggItem 5 2 3 2" xfId="4813"/>
    <cellStyle name="SAPBEXaggItem 5 2 4" xfId="4814"/>
    <cellStyle name="SAPBEXaggItem 5 2 4 2" xfId="4815"/>
    <cellStyle name="SAPBEXaggItem 5 2 5" xfId="4816"/>
    <cellStyle name="SAPBEXaggItem 5 3" xfId="4817"/>
    <cellStyle name="SAPBEXaggItem 5 3 2" xfId="4818"/>
    <cellStyle name="SAPBEXaggItem 5 4" xfId="4819"/>
    <cellStyle name="SAPBEXaggItem 5 4 2" xfId="4820"/>
    <cellStyle name="SAPBEXaggItem 5 5" xfId="4821"/>
    <cellStyle name="SAPBEXaggItem 5 5 2" xfId="4822"/>
    <cellStyle name="SAPBEXaggItem 5 6" xfId="4823"/>
    <cellStyle name="SAPBEXaggItem 6" xfId="4824"/>
    <cellStyle name="SAPBEXaggItem 6 2" xfId="4825"/>
    <cellStyle name="SAPBEXaggItem 6 2 2" xfId="4826"/>
    <cellStyle name="SAPBEXaggItem 6 3" xfId="4827"/>
    <cellStyle name="SAPBEXaggItem 6 3 2" xfId="4828"/>
    <cellStyle name="SAPBEXaggItem 6 4" xfId="4829"/>
    <cellStyle name="SAPBEXaggItem 6 4 2" xfId="4830"/>
    <cellStyle name="SAPBEXaggItem 6 5" xfId="4831"/>
    <cellStyle name="SAPBEXaggItem 7" xfId="4832"/>
    <cellStyle name="SAPBEXaggItem 7 2" xfId="4833"/>
    <cellStyle name="SAPBEXaggItem 8" xfId="4834"/>
    <cellStyle name="SAPBEXaggItem 8 2" xfId="4835"/>
    <cellStyle name="SAPBEXaggItem 9" xfId="4836"/>
    <cellStyle name="SAPBEXaggItem 9 2" xfId="4837"/>
    <cellStyle name="SAPBEXaggItemX" xfId="4838"/>
    <cellStyle name="SAPBEXaggItemX 10" xfId="4839"/>
    <cellStyle name="SAPBEXaggItemX 2" xfId="4840"/>
    <cellStyle name="SAPBEXaggItemX 2 2" xfId="4841"/>
    <cellStyle name="SAPBEXaggItemX 2 2 2" xfId="4842"/>
    <cellStyle name="SAPBEXaggItemX 2 2 2 2" xfId="4843"/>
    <cellStyle name="SAPBEXaggItemX 2 2 2 2 2" xfId="4844"/>
    <cellStyle name="SAPBEXaggItemX 2 2 2 2 2 2" xfId="4845"/>
    <cellStyle name="SAPBEXaggItemX 2 2 2 2 3" xfId="4846"/>
    <cellStyle name="SAPBEXaggItemX 2 2 2 2 3 2" xfId="4847"/>
    <cellStyle name="SAPBEXaggItemX 2 2 2 2 4" xfId="4848"/>
    <cellStyle name="SAPBEXaggItemX 2 2 2 2 4 2" xfId="4849"/>
    <cellStyle name="SAPBEXaggItemX 2 2 2 2 5" xfId="4850"/>
    <cellStyle name="SAPBEXaggItemX 2 2 2 3" xfId="4851"/>
    <cellStyle name="SAPBEXaggItemX 2 2 2 3 2" xfId="4852"/>
    <cellStyle name="SAPBEXaggItemX 2 2 2 4" xfId="4853"/>
    <cellStyle name="SAPBEXaggItemX 2 2 2 4 2" xfId="4854"/>
    <cellStyle name="SAPBEXaggItemX 2 2 2 5" xfId="4855"/>
    <cellStyle name="SAPBEXaggItemX 2 2 2 5 2" xfId="4856"/>
    <cellStyle name="SAPBEXaggItemX 2 2 2 6" xfId="4857"/>
    <cellStyle name="SAPBEXaggItemX 2 2 3" xfId="4858"/>
    <cellStyle name="SAPBEXaggItemX 2 2 3 2" xfId="4859"/>
    <cellStyle name="SAPBEXaggItemX 2 2 3 2 2" xfId="4860"/>
    <cellStyle name="SAPBEXaggItemX 2 2 3 2 2 2" xfId="4861"/>
    <cellStyle name="SAPBEXaggItemX 2 2 3 2 3" xfId="4862"/>
    <cellStyle name="SAPBEXaggItemX 2 2 3 2 3 2" xfId="4863"/>
    <cellStyle name="SAPBEXaggItemX 2 2 3 2 4" xfId="4864"/>
    <cellStyle name="SAPBEXaggItemX 2 2 3 2 4 2" xfId="4865"/>
    <cellStyle name="SAPBEXaggItemX 2 2 3 2 5" xfId="4866"/>
    <cellStyle name="SAPBEXaggItemX 2 2 3 3" xfId="4867"/>
    <cellStyle name="SAPBEXaggItemX 2 2 3 3 2" xfId="4868"/>
    <cellStyle name="SAPBEXaggItemX 2 2 3 4" xfId="4869"/>
    <cellStyle name="SAPBEXaggItemX 2 2 3 4 2" xfId="4870"/>
    <cellStyle name="SAPBEXaggItemX 2 2 3 5" xfId="4871"/>
    <cellStyle name="SAPBEXaggItemX 2 2 3 5 2" xfId="4872"/>
    <cellStyle name="SAPBEXaggItemX 2 2 3 6" xfId="4873"/>
    <cellStyle name="SAPBEXaggItemX 2 2 4" xfId="4874"/>
    <cellStyle name="SAPBEXaggItemX 2 2 4 2" xfId="4875"/>
    <cellStyle name="SAPBEXaggItemX 2 2 4 2 2" xfId="4876"/>
    <cellStyle name="SAPBEXaggItemX 2 2 4 3" xfId="4877"/>
    <cellStyle name="SAPBEXaggItemX 2 2 4 3 2" xfId="4878"/>
    <cellStyle name="SAPBEXaggItemX 2 2 4 4" xfId="4879"/>
    <cellStyle name="SAPBEXaggItemX 2 2 4 4 2" xfId="4880"/>
    <cellStyle name="SAPBEXaggItemX 2 2 4 5" xfId="4881"/>
    <cellStyle name="SAPBEXaggItemX 2 2 5" xfId="4882"/>
    <cellStyle name="SAPBEXaggItemX 2 2 5 2" xfId="4883"/>
    <cellStyle name="SAPBEXaggItemX 2 2 6" xfId="4884"/>
    <cellStyle name="SAPBEXaggItemX 2 2 6 2" xfId="4885"/>
    <cellStyle name="SAPBEXaggItemX 2 2 7" xfId="4886"/>
    <cellStyle name="SAPBEXaggItemX 2 2 7 2" xfId="4887"/>
    <cellStyle name="SAPBEXaggItemX 2 2 8" xfId="4888"/>
    <cellStyle name="SAPBEXaggItemX 2 2 8 2" xfId="4889"/>
    <cellStyle name="SAPBEXaggItemX 2 2 9" xfId="4890"/>
    <cellStyle name="SAPBEXaggItemX 2 3" xfId="4891"/>
    <cellStyle name="SAPBEXaggItemX 2 3 2" xfId="4892"/>
    <cellStyle name="SAPBEXaggItemX 2 3 2 2" xfId="4893"/>
    <cellStyle name="SAPBEXaggItemX 2 3 2 2 2" xfId="4894"/>
    <cellStyle name="SAPBEXaggItemX 2 3 2 3" xfId="4895"/>
    <cellStyle name="SAPBEXaggItemX 2 3 2 3 2" xfId="4896"/>
    <cellStyle name="SAPBEXaggItemX 2 3 2 4" xfId="4897"/>
    <cellStyle name="SAPBEXaggItemX 2 3 2 4 2" xfId="4898"/>
    <cellStyle name="SAPBEXaggItemX 2 3 2 5" xfId="4899"/>
    <cellStyle name="SAPBEXaggItemX 2 3 3" xfId="4900"/>
    <cellStyle name="SAPBEXaggItemX 2 3 3 2" xfId="4901"/>
    <cellStyle name="SAPBEXaggItemX 2 3 4" xfId="4902"/>
    <cellStyle name="SAPBEXaggItemX 2 3 4 2" xfId="4903"/>
    <cellStyle name="SAPBEXaggItemX 2 3 5" xfId="4904"/>
    <cellStyle name="SAPBEXaggItemX 2 3 5 2" xfId="4905"/>
    <cellStyle name="SAPBEXaggItemX 2 3 6" xfId="4906"/>
    <cellStyle name="SAPBEXaggItemX 2 4" xfId="4907"/>
    <cellStyle name="SAPBEXaggItemX 2 4 2" xfId="4908"/>
    <cellStyle name="SAPBEXaggItemX 2 4 2 2" xfId="4909"/>
    <cellStyle name="SAPBEXaggItemX 2 4 2 2 2" xfId="4910"/>
    <cellStyle name="SAPBEXaggItemX 2 4 2 3" xfId="4911"/>
    <cellStyle name="SAPBEXaggItemX 2 4 2 3 2" xfId="4912"/>
    <cellStyle name="SAPBEXaggItemX 2 4 2 4" xfId="4913"/>
    <cellStyle name="SAPBEXaggItemX 2 4 2 4 2" xfId="4914"/>
    <cellStyle name="SAPBEXaggItemX 2 4 2 5" xfId="4915"/>
    <cellStyle name="SAPBEXaggItemX 2 4 3" xfId="4916"/>
    <cellStyle name="SAPBEXaggItemX 2 4 3 2" xfId="4917"/>
    <cellStyle name="SAPBEXaggItemX 2 4 4" xfId="4918"/>
    <cellStyle name="SAPBEXaggItemX 2 4 4 2" xfId="4919"/>
    <cellStyle name="SAPBEXaggItemX 2 4 5" xfId="4920"/>
    <cellStyle name="SAPBEXaggItemX 2 4 5 2" xfId="4921"/>
    <cellStyle name="SAPBEXaggItemX 2 4 6" xfId="4922"/>
    <cellStyle name="SAPBEXaggItemX 2 5" xfId="4923"/>
    <cellStyle name="SAPBEXaggItemX 2 5 2" xfId="4924"/>
    <cellStyle name="SAPBEXaggItemX 2 5 2 2" xfId="4925"/>
    <cellStyle name="SAPBEXaggItemX 2 5 3" xfId="4926"/>
    <cellStyle name="SAPBEXaggItemX 2 5 3 2" xfId="4927"/>
    <cellStyle name="SAPBEXaggItemX 2 5 4" xfId="4928"/>
    <cellStyle name="SAPBEXaggItemX 2 5 4 2" xfId="4929"/>
    <cellStyle name="SAPBEXaggItemX 2 5 5" xfId="4930"/>
    <cellStyle name="SAPBEXaggItemX 2 6" xfId="4931"/>
    <cellStyle name="SAPBEXaggItemX 2 6 2" xfId="4932"/>
    <cellStyle name="SAPBEXaggItemX 2 7" xfId="4933"/>
    <cellStyle name="SAPBEXaggItemX 2 7 2" xfId="4934"/>
    <cellStyle name="SAPBEXaggItemX 2 8" xfId="4935"/>
    <cellStyle name="SAPBEXaggItemX 2 8 2" xfId="4936"/>
    <cellStyle name="SAPBEXaggItemX 2 9" xfId="4937"/>
    <cellStyle name="SAPBEXaggItemX 3" xfId="4938"/>
    <cellStyle name="SAPBEXaggItemX 3 2" xfId="4939"/>
    <cellStyle name="SAPBEXaggItemX 3 2 2" xfId="4940"/>
    <cellStyle name="SAPBEXaggItemX 3 2 2 2" xfId="4941"/>
    <cellStyle name="SAPBEXaggItemX 3 2 2 2 2" xfId="4942"/>
    <cellStyle name="SAPBEXaggItemX 3 2 2 3" xfId="4943"/>
    <cellStyle name="SAPBEXaggItemX 3 2 2 3 2" xfId="4944"/>
    <cellStyle name="SAPBEXaggItemX 3 2 2 4" xfId="4945"/>
    <cellStyle name="SAPBEXaggItemX 3 2 2 4 2" xfId="4946"/>
    <cellStyle name="SAPBEXaggItemX 3 2 2 5" xfId="4947"/>
    <cellStyle name="SAPBEXaggItemX 3 2 3" xfId="4948"/>
    <cellStyle name="SAPBEXaggItemX 3 2 3 2" xfId="4949"/>
    <cellStyle name="SAPBEXaggItemX 3 2 4" xfId="4950"/>
    <cellStyle name="SAPBEXaggItemX 3 2 4 2" xfId="4951"/>
    <cellStyle name="SAPBEXaggItemX 3 2 5" xfId="4952"/>
    <cellStyle name="SAPBEXaggItemX 3 2 5 2" xfId="4953"/>
    <cellStyle name="SAPBEXaggItemX 3 2 6" xfId="4954"/>
    <cellStyle name="SAPBEXaggItemX 3 3" xfId="4955"/>
    <cellStyle name="SAPBEXaggItemX 3 3 2" xfId="4956"/>
    <cellStyle name="SAPBEXaggItemX 3 3 2 2" xfId="4957"/>
    <cellStyle name="SAPBEXaggItemX 3 3 2 2 2" xfId="4958"/>
    <cellStyle name="SAPBEXaggItemX 3 3 2 3" xfId="4959"/>
    <cellStyle name="SAPBEXaggItemX 3 3 2 3 2" xfId="4960"/>
    <cellStyle name="SAPBEXaggItemX 3 3 2 4" xfId="4961"/>
    <cellStyle name="SAPBEXaggItemX 3 3 2 4 2" xfId="4962"/>
    <cellStyle name="SAPBEXaggItemX 3 3 2 5" xfId="4963"/>
    <cellStyle name="SAPBEXaggItemX 3 3 3" xfId="4964"/>
    <cellStyle name="SAPBEXaggItemX 3 3 3 2" xfId="4965"/>
    <cellStyle name="SAPBEXaggItemX 3 3 4" xfId="4966"/>
    <cellStyle name="SAPBEXaggItemX 3 3 4 2" xfId="4967"/>
    <cellStyle name="SAPBEXaggItemX 3 3 5" xfId="4968"/>
    <cellStyle name="SAPBEXaggItemX 3 3 5 2" xfId="4969"/>
    <cellStyle name="SAPBEXaggItemX 3 3 6" xfId="4970"/>
    <cellStyle name="SAPBEXaggItemX 3 4" xfId="4971"/>
    <cellStyle name="SAPBEXaggItemX 3 4 2" xfId="4972"/>
    <cellStyle name="SAPBEXaggItemX 3 4 2 2" xfId="4973"/>
    <cellStyle name="SAPBEXaggItemX 3 4 3" xfId="4974"/>
    <cellStyle name="SAPBEXaggItemX 3 4 3 2" xfId="4975"/>
    <cellStyle name="SAPBEXaggItemX 3 4 4" xfId="4976"/>
    <cellStyle name="SAPBEXaggItemX 3 4 4 2" xfId="4977"/>
    <cellStyle name="SAPBEXaggItemX 3 4 5" xfId="4978"/>
    <cellStyle name="SAPBEXaggItemX 3 5" xfId="4979"/>
    <cellStyle name="SAPBEXaggItemX 3 5 2" xfId="4980"/>
    <cellStyle name="SAPBEXaggItemX 3 6" xfId="4981"/>
    <cellStyle name="SAPBEXaggItemX 3 6 2" xfId="4982"/>
    <cellStyle name="SAPBEXaggItemX 3 7" xfId="4983"/>
    <cellStyle name="SAPBEXaggItemX 3 7 2" xfId="4984"/>
    <cellStyle name="SAPBEXaggItemX 3 8" xfId="4985"/>
    <cellStyle name="SAPBEXaggItemX 3 8 2" xfId="4986"/>
    <cellStyle name="SAPBEXaggItemX 3 9" xfId="4987"/>
    <cellStyle name="SAPBEXaggItemX 4" xfId="4988"/>
    <cellStyle name="SAPBEXaggItemX 4 2" xfId="4989"/>
    <cellStyle name="SAPBEXaggItemX 4 2 2" xfId="4990"/>
    <cellStyle name="SAPBEXaggItemX 4 2 2 2" xfId="4991"/>
    <cellStyle name="SAPBEXaggItemX 4 2 3" xfId="4992"/>
    <cellStyle name="SAPBEXaggItemX 4 2 3 2" xfId="4993"/>
    <cellStyle name="SAPBEXaggItemX 4 2 4" xfId="4994"/>
    <cellStyle name="SAPBEXaggItemX 4 2 4 2" xfId="4995"/>
    <cellStyle name="SAPBEXaggItemX 4 2 5" xfId="4996"/>
    <cellStyle name="SAPBEXaggItemX 4 3" xfId="4997"/>
    <cellStyle name="SAPBEXaggItemX 4 3 2" xfId="4998"/>
    <cellStyle name="SAPBEXaggItemX 4 4" xfId="4999"/>
    <cellStyle name="SAPBEXaggItemX 4 4 2" xfId="5000"/>
    <cellStyle name="SAPBEXaggItemX 4 5" xfId="5001"/>
    <cellStyle name="SAPBEXaggItemX 4 5 2" xfId="5002"/>
    <cellStyle name="SAPBEXaggItemX 4 6" xfId="5003"/>
    <cellStyle name="SAPBEXaggItemX 5" xfId="5004"/>
    <cellStyle name="SAPBEXaggItemX 5 2" xfId="5005"/>
    <cellStyle name="SAPBEXaggItemX 5 2 2" xfId="5006"/>
    <cellStyle name="SAPBEXaggItemX 5 2 2 2" xfId="5007"/>
    <cellStyle name="SAPBEXaggItemX 5 2 3" xfId="5008"/>
    <cellStyle name="SAPBEXaggItemX 5 2 3 2" xfId="5009"/>
    <cellStyle name="SAPBEXaggItemX 5 2 4" xfId="5010"/>
    <cellStyle name="SAPBEXaggItemX 5 2 4 2" xfId="5011"/>
    <cellStyle name="SAPBEXaggItemX 5 2 5" xfId="5012"/>
    <cellStyle name="SAPBEXaggItemX 5 3" xfId="5013"/>
    <cellStyle name="SAPBEXaggItemX 5 3 2" xfId="5014"/>
    <cellStyle name="SAPBEXaggItemX 5 4" xfId="5015"/>
    <cellStyle name="SAPBEXaggItemX 5 4 2" xfId="5016"/>
    <cellStyle name="SAPBEXaggItemX 5 5" xfId="5017"/>
    <cellStyle name="SAPBEXaggItemX 5 5 2" xfId="5018"/>
    <cellStyle name="SAPBEXaggItemX 5 6" xfId="5019"/>
    <cellStyle name="SAPBEXaggItemX 6" xfId="5020"/>
    <cellStyle name="SAPBEXaggItemX 6 2" xfId="5021"/>
    <cellStyle name="SAPBEXaggItemX 6 2 2" xfId="5022"/>
    <cellStyle name="SAPBEXaggItemX 6 3" xfId="5023"/>
    <cellStyle name="SAPBEXaggItemX 6 3 2" xfId="5024"/>
    <cellStyle name="SAPBEXaggItemX 6 4" xfId="5025"/>
    <cellStyle name="SAPBEXaggItemX 6 4 2" xfId="5026"/>
    <cellStyle name="SAPBEXaggItemX 6 5" xfId="5027"/>
    <cellStyle name="SAPBEXaggItemX 7" xfId="5028"/>
    <cellStyle name="SAPBEXaggItemX 7 2" xfId="5029"/>
    <cellStyle name="SAPBEXaggItemX 8" xfId="5030"/>
    <cellStyle name="SAPBEXaggItemX 8 2" xfId="5031"/>
    <cellStyle name="SAPBEXaggItemX 9" xfId="5032"/>
    <cellStyle name="SAPBEXaggItemX 9 2" xfId="5033"/>
    <cellStyle name="SAPBEXchaText" xfId="5034"/>
    <cellStyle name="SAPBEXexcBad7" xfId="5035"/>
    <cellStyle name="SAPBEXexcBad7 10" xfId="5036"/>
    <cellStyle name="SAPBEXexcBad7 2" xfId="5037"/>
    <cellStyle name="SAPBEXexcBad7 2 2" xfId="5038"/>
    <cellStyle name="SAPBEXexcBad7 2 2 2" xfId="5039"/>
    <cellStyle name="SAPBEXexcBad7 2 2 2 2" xfId="5040"/>
    <cellStyle name="SAPBEXexcBad7 2 2 2 2 2" xfId="5041"/>
    <cellStyle name="SAPBEXexcBad7 2 2 2 2 2 2" xfId="5042"/>
    <cellStyle name="SAPBEXexcBad7 2 2 2 2 3" xfId="5043"/>
    <cellStyle name="SAPBEXexcBad7 2 2 2 2 3 2" xfId="5044"/>
    <cellStyle name="SAPBEXexcBad7 2 2 2 2 4" xfId="5045"/>
    <cellStyle name="SAPBEXexcBad7 2 2 2 2 4 2" xfId="5046"/>
    <cellStyle name="SAPBEXexcBad7 2 2 2 2 5" xfId="5047"/>
    <cellStyle name="SAPBEXexcBad7 2 2 2 3" xfId="5048"/>
    <cellStyle name="SAPBEXexcBad7 2 2 2 3 2" xfId="5049"/>
    <cellStyle name="SAPBEXexcBad7 2 2 2 4" xfId="5050"/>
    <cellStyle name="SAPBEXexcBad7 2 2 2 4 2" xfId="5051"/>
    <cellStyle name="SAPBEXexcBad7 2 2 2 5" xfId="5052"/>
    <cellStyle name="SAPBEXexcBad7 2 2 2 5 2" xfId="5053"/>
    <cellStyle name="SAPBEXexcBad7 2 2 2 6" xfId="5054"/>
    <cellStyle name="SAPBEXexcBad7 2 2 3" xfId="5055"/>
    <cellStyle name="SAPBEXexcBad7 2 2 3 2" xfId="5056"/>
    <cellStyle name="SAPBEXexcBad7 2 2 3 2 2" xfId="5057"/>
    <cellStyle name="SAPBEXexcBad7 2 2 3 2 2 2" xfId="5058"/>
    <cellStyle name="SAPBEXexcBad7 2 2 3 2 3" xfId="5059"/>
    <cellStyle name="SAPBEXexcBad7 2 2 3 2 3 2" xfId="5060"/>
    <cellStyle name="SAPBEXexcBad7 2 2 3 2 4" xfId="5061"/>
    <cellStyle name="SAPBEXexcBad7 2 2 3 2 4 2" xfId="5062"/>
    <cellStyle name="SAPBEXexcBad7 2 2 3 2 5" xfId="5063"/>
    <cellStyle name="SAPBEXexcBad7 2 2 3 3" xfId="5064"/>
    <cellStyle name="SAPBEXexcBad7 2 2 3 3 2" xfId="5065"/>
    <cellStyle name="SAPBEXexcBad7 2 2 3 4" xfId="5066"/>
    <cellStyle name="SAPBEXexcBad7 2 2 3 4 2" xfId="5067"/>
    <cellStyle name="SAPBEXexcBad7 2 2 3 5" xfId="5068"/>
    <cellStyle name="SAPBEXexcBad7 2 2 3 5 2" xfId="5069"/>
    <cellStyle name="SAPBEXexcBad7 2 2 3 6" xfId="5070"/>
    <cellStyle name="SAPBEXexcBad7 2 2 4" xfId="5071"/>
    <cellStyle name="SAPBEXexcBad7 2 2 4 2" xfId="5072"/>
    <cellStyle name="SAPBEXexcBad7 2 2 4 2 2" xfId="5073"/>
    <cellStyle name="SAPBEXexcBad7 2 2 4 3" xfId="5074"/>
    <cellStyle name="SAPBEXexcBad7 2 2 4 3 2" xfId="5075"/>
    <cellStyle name="SAPBEXexcBad7 2 2 4 4" xfId="5076"/>
    <cellStyle name="SAPBEXexcBad7 2 2 4 4 2" xfId="5077"/>
    <cellStyle name="SAPBEXexcBad7 2 2 4 5" xfId="5078"/>
    <cellStyle name="SAPBEXexcBad7 2 2 5" xfId="5079"/>
    <cellStyle name="SAPBEXexcBad7 2 2 5 2" xfId="5080"/>
    <cellStyle name="SAPBEXexcBad7 2 2 6" xfId="5081"/>
    <cellStyle name="SAPBEXexcBad7 2 2 6 2" xfId="5082"/>
    <cellStyle name="SAPBEXexcBad7 2 2 7" xfId="5083"/>
    <cellStyle name="SAPBEXexcBad7 2 2 7 2" xfId="5084"/>
    <cellStyle name="SAPBEXexcBad7 2 2 8" xfId="5085"/>
    <cellStyle name="SAPBEXexcBad7 2 2 8 2" xfId="5086"/>
    <cellStyle name="SAPBEXexcBad7 2 2 9" xfId="5087"/>
    <cellStyle name="SAPBEXexcBad7 2 3" xfId="5088"/>
    <cellStyle name="SAPBEXexcBad7 2 3 2" xfId="5089"/>
    <cellStyle name="SAPBEXexcBad7 2 3 2 2" xfId="5090"/>
    <cellStyle name="SAPBEXexcBad7 2 3 2 2 2" xfId="5091"/>
    <cellStyle name="SAPBEXexcBad7 2 3 2 3" xfId="5092"/>
    <cellStyle name="SAPBEXexcBad7 2 3 2 3 2" xfId="5093"/>
    <cellStyle name="SAPBEXexcBad7 2 3 2 4" xfId="5094"/>
    <cellStyle name="SAPBEXexcBad7 2 3 2 4 2" xfId="5095"/>
    <cellStyle name="SAPBEXexcBad7 2 3 2 5" xfId="5096"/>
    <cellStyle name="SAPBEXexcBad7 2 3 3" xfId="5097"/>
    <cellStyle name="SAPBEXexcBad7 2 3 3 2" xfId="5098"/>
    <cellStyle name="SAPBEXexcBad7 2 3 4" xfId="5099"/>
    <cellStyle name="SAPBEXexcBad7 2 3 4 2" xfId="5100"/>
    <cellStyle name="SAPBEXexcBad7 2 3 5" xfId="5101"/>
    <cellStyle name="SAPBEXexcBad7 2 3 5 2" xfId="5102"/>
    <cellStyle name="SAPBEXexcBad7 2 3 6" xfId="5103"/>
    <cellStyle name="SAPBEXexcBad7 2 4" xfId="5104"/>
    <cellStyle name="SAPBEXexcBad7 2 4 2" xfId="5105"/>
    <cellStyle name="SAPBEXexcBad7 2 4 2 2" xfId="5106"/>
    <cellStyle name="SAPBEXexcBad7 2 4 2 2 2" xfId="5107"/>
    <cellStyle name="SAPBEXexcBad7 2 4 2 3" xfId="5108"/>
    <cellStyle name="SAPBEXexcBad7 2 4 2 3 2" xfId="5109"/>
    <cellStyle name="SAPBEXexcBad7 2 4 2 4" xfId="5110"/>
    <cellStyle name="SAPBEXexcBad7 2 4 2 4 2" xfId="5111"/>
    <cellStyle name="SAPBEXexcBad7 2 4 2 5" xfId="5112"/>
    <cellStyle name="SAPBEXexcBad7 2 4 3" xfId="5113"/>
    <cellStyle name="SAPBEXexcBad7 2 4 3 2" xfId="5114"/>
    <cellStyle name="SAPBEXexcBad7 2 4 4" xfId="5115"/>
    <cellStyle name="SAPBEXexcBad7 2 4 4 2" xfId="5116"/>
    <cellStyle name="SAPBEXexcBad7 2 4 5" xfId="5117"/>
    <cellStyle name="SAPBEXexcBad7 2 4 5 2" xfId="5118"/>
    <cellStyle name="SAPBEXexcBad7 2 4 6" xfId="5119"/>
    <cellStyle name="SAPBEXexcBad7 2 5" xfId="5120"/>
    <cellStyle name="SAPBEXexcBad7 2 5 2" xfId="5121"/>
    <cellStyle name="SAPBEXexcBad7 2 5 2 2" xfId="5122"/>
    <cellStyle name="SAPBEXexcBad7 2 5 3" xfId="5123"/>
    <cellStyle name="SAPBEXexcBad7 2 5 3 2" xfId="5124"/>
    <cellStyle name="SAPBEXexcBad7 2 5 4" xfId="5125"/>
    <cellStyle name="SAPBEXexcBad7 2 5 4 2" xfId="5126"/>
    <cellStyle name="SAPBEXexcBad7 2 5 5" xfId="5127"/>
    <cellStyle name="SAPBEXexcBad7 2 6" xfId="5128"/>
    <cellStyle name="SAPBEXexcBad7 2 6 2" xfId="5129"/>
    <cellStyle name="SAPBEXexcBad7 2 7" xfId="5130"/>
    <cellStyle name="SAPBEXexcBad7 2 7 2" xfId="5131"/>
    <cellStyle name="SAPBEXexcBad7 2 8" xfId="5132"/>
    <cellStyle name="SAPBEXexcBad7 2 8 2" xfId="5133"/>
    <cellStyle name="SAPBEXexcBad7 2 9" xfId="5134"/>
    <cellStyle name="SAPBEXexcBad7 3" xfId="5135"/>
    <cellStyle name="SAPBEXexcBad7 3 2" xfId="5136"/>
    <cellStyle name="SAPBEXexcBad7 3 2 2" xfId="5137"/>
    <cellStyle name="SAPBEXexcBad7 3 2 2 2" xfId="5138"/>
    <cellStyle name="SAPBEXexcBad7 3 2 2 2 2" xfId="5139"/>
    <cellStyle name="SAPBEXexcBad7 3 2 2 3" xfId="5140"/>
    <cellStyle name="SAPBEXexcBad7 3 2 2 3 2" xfId="5141"/>
    <cellStyle name="SAPBEXexcBad7 3 2 2 4" xfId="5142"/>
    <cellStyle name="SAPBEXexcBad7 3 2 2 4 2" xfId="5143"/>
    <cellStyle name="SAPBEXexcBad7 3 2 2 5" xfId="5144"/>
    <cellStyle name="SAPBEXexcBad7 3 2 3" xfId="5145"/>
    <cellStyle name="SAPBEXexcBad7 3 2 3 2" xfId="5146"/>
    <cellStyle name="SAPBEXexcBad7 3 2 4" xfId="5147"/>
    <cellStyle name="SAPBEXexcBad7 3 2 4 2" xfId="5148"/>
    <cellStyle name="SAPBEXexcBad7 3 2 5" xfId="5149"/>
    <cellStyle name="SAPBEXexcBad7 3 2 5 2" xfId="5150"/>
    <cellStyle name="SAPBEXexcBad7 3 2 6" xfId="5151"/>
    <cellStyle name="SAPBEXexcBad7 3 3" xfId="5152"/>
    <cellStyle name="SAPBEXexcBad7 3 3 2" xfId="5153"/>
    <cellStyle name="SAPBEXexcBad7 3 3 2 2" xfId="5154"/>
    <cellStyle name="SAPBEXexcBad7 3 3 2 2 2" xfId="5155"/>
    <cellStyle name="SAPBEXexcBad7 3 3 2 3" xfId="5156"/>
    <cellStyle name="SAPBEXexcBad7 3 3 2 3 2" xfId="5157"/>
    <cellStyle name="SAPBEXexcBad7 3 3 2 4" xfId="5158"/>
    <cellStyle name="SAPBEXexcBad7 3 3 2 4 2" xfId="5159"/>
    <cellStyle name="SAPBEXexcBad7 3 3 2 5" xfId="5160"/>
    <cellStyle name="SAPBEXexcBad7 3 3 3" xfId="5161"/>
    <cellStyle name="SAPBEXexcBad7 3 3 3 2" xfId="5162"/>
    <cellStyle name="SAPBEXexcBad7 3 3 4" xfId="5163"/>
    <cellStyle name="SAPBEXexcBad7 3 3 4 2" xfId="5164"/>
    <cellStyle name="SAPBEXexcBad7 3 3 5" xfId="5165"/>
    <cellStyle name="SAPBEXexcBad7 3 3 5 2" xfId="5166"/>
    <cellStyle name="SAPBEXexcBad7 3 3 6" xfId="5167"/>
    <cellStyle name="SAPBEXexcBad7 3 4" xfId="5168"/>
    <cellStyle name="SAPBEXexcBad7 3 4 2" xfId="5169"/>
    <cellStyle name="SAPBEXexcBad7 3 4 2 2" xfId="5170"/>
    <cellStyle name="SAPBEXexcBad7 3 4 3" xfId="5171"/>
    <cellStyle name="SAPBEXexcBad7 3 4 3 2" xfId="5172"/>
    <cellStyle name="SAPBEXexcBad7 3 4 4" xfId="5173"/>
    <cellStyle name="SAPBEXexcBad7 3 4 4 2" xfId="5174"/>
    <cellStyle name="SAPBEXexcBad7 3 4 5" xfId="5175"/>
    <cellStyle name="SAPBEXexcBad7 3 5" xfId="5176"/>
    <cellStyle name="SAPBEXexcBad7 3 5 2" xfId="5177"/>
    <cellStyle name="SAPBEXexcBad7 3 6" xfId="5178"/>
    <cellStyle name="SAPBEXexcBad7 3 6 2" xfId="5179"/>
    <cellStyle name="SAPBEXexcBad7 3 7" xfId="5180"/>
    <cellStyle name="SAPBEXexcBad7 3 7 2" xfId="5181"/>
    <cellStyle name="SAPBEXexcBad7 3 8" xfId="5182"/>
    <cellStyle name="SAPBEXexcBad7 3 8 2" xfId="5183"/>
    <cellStyle name="SAPBEXexcBad7 3 9" xfId="5184"/>
    <cellStyle name="SAPBEXexcBad7 4" xfId="5185"/>
    <cellStyle name="SAPBEXexcBad7 4 2" xfId="5186"/>
    <cellStyle name="SAPBEXexcBad7 4 2 2" xfId="5187"/>
    <cellStyle name="SAPBEXexcBad7 4 2 2 2" xfId="5188"/>
    <cellStyle name="SAPBEXexcBad7 4 2 3" xfId="5189"/>
    <cellStyle name="SAPBEXexcBad7 4 2 3 2" xfId="5190"/>
    <cellStyle name="SAPBEXexcBad7 4 2 4" xfId="5191"/>
    <cellStyle name="SAPBEXexcBad7 4 2 4 2" xfId="5192"/>
    <cellStyle name="SAPBEXexcBad7 4 2 5" xfId="5193"/>
    <cellStyle name="SAPBEXexcBad7 4 3" xfId="5194"/>
    <cellStyle name="SAPBEXexcBad7 4 3 2" xfId="5195"/>
    <cellStyle name="SAPBEXexcBad7 4 4" xfId="5196"/>
    <cellStyle name="SAPBEXexcBad7 4 4 2" xfId="5197"/>
    <cellStyle name="SAPBEXexcBad7 4 5" xfId="5198"/>
    <cellStyle name="SAPBEXexcBad7 4 5 2" xfId="5199"/>
    <cellStyle name="SAPBEXexcBad7 4 6" xfId="5200"/>
    <cellStyle name="SAPBEXexcBad7 5" xfId="5201"/>
    <cellStyle name="SAPBEXexcBad7 5 2" xfId="5202"/>
    <cellStyle name="SAPBEXexcBad7 5 2 2" xfId="5203"/>
    <cellStyle name="SAPBEXexcBad7 5 2 2 2" xfId="5204"/>
    <cellStyle name="SAPBEXexcBad7 5 2 3" xfId="5205"/>
    <cellStyle name="SAPBEXexcBad7 5 2 3 2" xfId="5206"/>
    <cellStyle name="SAPBEXexcBad7 5 2 4" xfId="5207"/>
    <cellStyle name="SAPBEXexcBad7 5 2 4 2" xfId="5208"/>
    <cellStyle name="SAPBEXexcBad7 5 2 5" xfId="5209"/>
    <cellStyle name="SAPBEXexcBad7 5 3" xfId="5210"/>
    <cellStyle name="SAPBEXexcBad7 5 3 2" xfId="5211"/>
    <cellStyle name="SAPBEXexcBad7 5 4" xfId="5212"/>
    <cellStyle name="SAPBEXexcBad7 5 4 2" xfId="5213"/>
    <cellStyle name="SAPBEXexcBad7 5 5" xfId="5214"/>
    <cellStyle name="SAPBEXexcBad7 5 5 2" xfId="5215"/>
    <cellStyle name="SAPBEXexcBad7 5 6" xfId="5216"/>
    <cellStyle name="SAPBEXexcBad7 6" xfId="5217"/>
    <cellStyle name="SAPBEXexcBad7 6 2" xfId="5218"/>
    <cellStyle name="SAPBEXexcBad7 6 2 2" xfId="5219"/>
    <cellStyle name="SAPBEXexcBad7 6 3" xfId="5220"/>
    <cellStyle name="SAPBEXexcBad7 6 3 2" xfId="5221"/>
    <cellStyle name="SAPBEXexcBad7 6 4" xfId="5222"/>
    <cellStyle name="SAPBEXexcBad7 6 4 2" xfId="5223"/>
    <cellStyle name="SAPBEXexcBad7 6 5" xfId="5224"/>
    <cellStyle name="SAPBEXexcBad7 7" xfId="5225"/>
    <cellStyle name="SAPBEXexcBad7 7 2" xfId="5226"/>
    <cellStyle name="SAPBEXexcBad7 8" xfId="5227"/>
    <cellStyle name="SAPBEXexcBad7 8 2" xfId="5228"/>
    <cellStyle name="SAPBEXexcBad7 9" xfId="5229"/>
    <cellStyle name="SAPBEXexcBad7 9 2" xfId="5230"/>
    <cellStyle name="SAPBEXexcBad8" xfId="5231"/>
    <cellStyle name="SAPBEXexcBad8 10" xfId="5232"/>
    <cellStyle name="SAPBEXexcBad8 2" xfId="5233"/>
    <cellStyle name="SAPBEXexcBad8 2 2" xfId="5234"/>
    <cellStyle name="SAPBEXexcBad8 2 2 2" xfId="5235"/>
    <cellStyle name="SAPBEXexcBad8 2 2 2 2" xfId="5236"/>
    <cellStyle name="SAPBEXexcBad8 2 2 2 2 2" xfId="5237"/>
    <cellStyle name="SAPBEXexcBad8 2 2 2 2 2 2" xfId="5238"/>
    <cellStyle name="SAPBEXexcBad8 2 2 2 2 3" xfId="5239"/>
    <cellStyle name="SAPBEXexcBad8 2 2 2 2 3 2" xfId="5240"/>
    <cellStyle name="SAPBEXexcBad8 2 2 2 2 4" xfId="5241"/>
    <cellStyle name="SAPBEXexcBad8 2 2 2 2 4 2" xfId="5242"/>
    <cellStyle name="SAPBEXexcBad8 2 2 2 2 5" xfId="5243"/>
    <cellStyle name="SAPBEXexcBad8 2 2 2 3" xfId="5244"/>
    <cellStyle name="SAPBEXexcBad8 2 2 2 3 2" xfId="5245"/>
    <cellStyle name="SAPBEXexcBad8 2 2 2 4" xfId="5246"/>
    <cellStyle name="SAPBEXexcBad8 2 2 2 4 2" xfId="5247"/>
    <cellStyle name="SAPBEXexcBad8 2 2 2 5" xfId="5248"/>
    <cellStyle name="SAPBEXexcBad8 2 2 2 5 2" xfId="5249"/>
    <cellStyle name="SAPBEXexcBad8 2 2 2 6" xfId="5250"/>
    <cellStyle name="SAPBEXexcBad8 2 2 3" xfId="5251"/>
    <cellStyle name="SAPBEXexcBad8 2 2 3 2" xfId="5252"/>
    <cellStyle name="SAPBEXexcBad8 2 2 3 2 2" xfId="5253"/>
    <cellStyle name="SAPBEXexcBad8 2 2 3 2 2 2" xfId="5254"/>
    <cellStyle name="SAPBEXexcBad8 2 2 3 2 3" xfId="5255"/>
    <cellStyle name="SAPBEXexcBad8 2 2 3 2 3 2" xfId="5256"/>
    <cellStyle name="SAPBEXexcBad8 2 2 3 2 4" xfId="5257"/>
    <cellStyle name="SAPBEXexcBad8 2 2 3 2 4 2" xfId="5258"/>
    <cellStyle name="SAPBEXexcBad8 2 2 3 2 5" xfId="5259"/>
    <cellStyle name="SAPBEXexcBad8 2 2 3 3" xfId="5260"/>
    <cellStyle name="SAPBEXexcBad8 2 2 3 3 2" xfId="5261"/>
    <cellStyle name="SAPBEXexcBad8 2 2 3 4" xfId="5262"/>
    <cellStyle name="SAPBEXexcBad8 2 2 3 4 2" xfId="5263"/>
    <cellStyle name="SAPBEXexcBad8 2 2 3 5" xfId="5264"/>
    <cellStyle name="SAPBEXexcBad8 2 2 3 5 2" xfId="5265"/>
    <cellStyle name="SAPBEXexcBad8 2 2 3 6" xfId="5266"/>
    <cellStyle name="SAPBEXexcBad8 2 2 4" xfId="5267"/>
    <cellStyle name="SAPBEXexcBad8 2 2 4 2" xfId="5268"/>
    <cellStyle name="SAPBEXexcBad8 2 2 4 2 2" xfId="5269"/>
    <cellStyle name="SAPBEXexcBad8 2 2 4 3" xfId="5270"/>
    <cellStyle name="SAPBEXexcBad8 2 2 4 3 2" xfId="5271"/>
    <cellStyle name="SAPBEXexcBad8 2 2 4 4" xfId="5272"/>
    <cellStyle name="SAPBEXexcBad8 2 2 4 4 2" xfId="5273"/>
    <cellStyle name="SAPBEXexcBad8 2 2 4 5" xfId="5274"/>
    <cellStyle name="SAPBEXexcBad8 2 2 5" xfId="5275"/>
    <cellStyle name="SAPBEXexcBad8 2 2 5 2" xfId="5276"/>
    <cellStyle name="SAPBEXexcBad8 2 2 6" xfId="5277"/>
    <cellStyle name="SAPBEXexcBad8 2 2 6 2" xfId="5278"/>
    <cellStyle name="SAPBEXexcBad8 2 2 7" xfId="5279"/>
    <cellStyle name="SAPBEXexcBad8 2 2 7 2" xfId="5280"/>
    <cellStyle name="SAPBEXexcBad8 2 2 8" xfId="5281"/>
    <cellStyle name="SAPBEXexcBad8 2 2 8 2" xfId="5282"/>
    <cellStyle name="SAPBEXexcBad8 2 2 9" xfId="5283"/>
    <cellStyle name="SAPBEXexcBad8 2 3" xfId="5284"/>
    <cellStyle name="SAPBEXexcBad8 2 3 2" xfId="5285"/>
    <cellStyle name="SAPBEXexcBad8 2 3 2 2" xfId="5286"/>
    <cellStyle name="SAPBEXexcBad8 2 3 2 2 2" xfId="5287"/>
    <cellStyle name="SAPBEXexcBad8 2 3 2 3" xfId="5288"/>
    <cellStyle name="SAPBEXexcBad8 2 3 2 3 2" xfId="5289"/>
    <cellStyle name="SAPBEXexcBad8 2 3 2 4" xfId="5290"/>
    <cellStyle name="SAPBEXexcBad8 2 3 2 4 2" xfId="5291"/>
    <cellStyle name="SAPBEXexcBad8 2 3 2 5" xfId="5292"/>
    <cellStyle name="SAPBEXexcBad8 2 3 3" xfId="5293"/>
    <cellStyle name="SAPBEXexcBad8 2 3 3 2" xfId="5294"/>
    <cellStyle name="SAPBEXexcBad8 2 3 4" xfId="5295"/>
    <cellStyle name="SAPBEXexcBad8 2 3 4 2" xfId="5296"/>
    <cellStyle name="SAPBEXexcBad8 2 3 5" xfId="5297"/>
    <cellStyle name="SAPBEXexcBad8 2 3 5 2" xfId="5298"/>
    <cellStyle name="SAPBEXexcBad8 2 3 6" xfId="5299"/>
    <cellStyle name="SAPBEXexcBad8 2 4" xfId="5300"/>
    <cellStyle name="SAPBEXexcBad8 2 4 2" xfId="5301"/>
    <cellStyle name="SAPBEXexcBad8 2 4 2 2" xfId="5302"/>
    <cellStyle name="SAPBEXexcBad8 2 4 2 2 2" xfId="5303"/>
    <cellStyle name="SAPBEXexcBad8 2 4 2 3" xfId="5304"/>
    <cellStyle name="SAPBEXexcBad8 2 4 2 3 2" xfId="5305"/>
    <cellStyle name="SAPBEXexcBad8 2 4 2 4" xfId="5306"/>
    <cellStyle name="SAPBEXexcBad8 2 4 2 4 2" xfId="5307"/>
    <cellStyle name="SAPBEXexcBad8 2 4 2 5" xfId="5308"/>
    <cellStyle name="SAPBEXexcBad8 2 4 3" xfId="5309"/>
    <cellStyle name="SAPBEXexcBad8 2 4 3 2" xfId="5310"/>
    <cellStyle name="SAPBEXexcBad8 2 4 4" xfId="5311"/>
    <cellStyle name="SAPBEXexcBad8 2 4 4 2" xfId="5312"/>
    <cellStyle name="SAPBEXexcBad8 2 4 5" xfId="5313"/>
    <cellStyle name="SAPBEXexcBad8 2 4 5 2" xfId="5314"/>
    <cellStyle name="SAPBEXexcBad8 2 4 6" xfId="5315"/>
    <cellStyle name="SAPBEXexcBad8 2 5" xfId="5316"/>
    <cellStyle name="SAPBEXexcBad8 2 5 2" xfId="5317"/>
    <cellStyle name="SAPBEXexcBad8 2 5 2 2" xfId="5318"/>
    <cellStyle name="SAPBEXexcBad8 2 5 3" xfId="5319"/>
    <cellStyle name="SAPBEXexcBad8 2 5 3 2" xfId="5320"/>
    <cellStyle name="SAPBEXexcBad8 2 5 4" xfId="5321"/>
    <cellStyle name="SAPBEXexcBad8 2 5 4 2" xfId="5322"/>
    <cellStyle name="SAPBEXexcBad8 2 5 5" xfId="5323"/>
    <cellStyle name="SAPBEXexcBad8 2 6" xfId="5324"/>
    <cellStyle name="SAPBEXexcBad8 2 6 2" xfId="5325"/>
    <cellStyle name="SAPBEXexcBad8 2 7" xfId="5326"/>
    <cellStyle name="SAPBEXexcBad8 2 7 2" xfId="5327"/>
    <cellStyle name="SAPBEXexcBad8 2 8" xfId="5328"/>
    <cellStyle name="SAPBEXexcBad8 2 8 2" xfId="5329"/>
    <cellStyle name="SAPBEXexcBad8 2 9" xfId="5330"/>
    <cellStyle name="SAPBEXexcBad8 3" xfId="5331"/>
    <cellStyle name="SAPBEXexcBad8 3 2" xfId="5332"/>
    <cellStyle name="SAPBEXexcBad8 3 2 2" xfId="5333"/>
    <cellStyle name="SAPBEXexcBad8 3 2 2 2" xfId="5334"/>
    <cellStyle name="SAPBEXexcBad8 3 2 2 2 2" xfId="5335"/>
    <cellStyle name="SAPBEXexcBad8 3 2 2 3" xfId="5336"/>
    <cellStyle name="SAPBEXexcBad8 3 2 2 3 2" xfId="5337"/>
    <cellStyle name="SAPBEXexcBad8 3 2 2 4" xfId="5338"/>
    <cellStyle name="SAPBEXexcBad8 3 2 2 4 2" xfId="5339"/>
    <cellStyle name="SAPBEXexcBad8 3 2 2 5" xfId="5340"/>
    <cellStyle name="SAPBEXexcBad8 3 2 3" xfId="5341"/>
    <cellStyle name="SAPBEXexcBad8 3 2 3 2" xfId="5342"/>
    <cellStyle name="SAPBEXexcBad8 3 2 4" xfId="5343"/>
    <cellStyle name="SAPBEXexcBad8 3 2 4 2" xfId="5344"/>
    <cellStyle name="SAPBEXexcBad8 3 2 5" xfId="5345"/>
    <cellStyle name="SAPBEXexcBad8 3 2 5 2" xfId="5346"/>
    <cellStyle name="SAPBEXexcBad8 3 2 6" xfId="5347"/>
    <cellStyle name="SAPBEXexcBad8 3 3" xfId="5348"/>
    <cellStyle name="SAPBEXexcBad8 3 3 2" xfId="5349"/>
    <cellStyle name="SAPBEXexcBad8 3 3 2 2" xfId="5350"/>
    <cellStyle name="SAPBEXexcBad8 3 3 2 2 2" xfId="5351"/>
    <cellStyle name="SAPBEXexcBad8 3 3 2 3" xfId="5352"/>
    <cellStyle name="SAPBEXexcBad8 3 3 2 3 2" xfId="5353"/>
    <cellStyle name="SAPBEXexcBad8 3 3 2 4" xfId="5354"/>
    <cellStyle name="SAPBEXexcBad8 3 3 2 4 2" xfId="5355"/>
    <cellStyle name="SAPBEXexcBad8 3 3 2 5" xfId="5356"/>
    <cellStyle name="SAPBEXexcBad8 3 3 3" xfId="5357"/>
    <cellStyle name="SAPBEXexcBad8 3 3 3 2" xfId="5358"/>
    <cellStyle name="SAPBEXexcBad8 3 3 4" xfId="5359"/>
    <cellStyle name="SAPBEXexcBad8 3 3 4 2" xfId="5360"/>
    <cellStyle name="SAPBEXexcBad8 3 3 5" xfId="5361"/>
    <cellStyle name="SAPBEXexcBad8 3 3 5 2" xfId="5362"/>
    <cellStyle name="SAPBEXexcBad8 3 3 6" xfId="5363"/>
    <cellStyle name="SAPBEXexcBad8 3 4" xfId="5364"/>
    <cellStyle name="SAPBEXexcBad8 3 4 2" xfId="5365"/>
    <cellStyle name="SAPBEXexcBad8 3 4 2 2" xfId="5366"/>
    <cellStyle name="SAPBEXexcBad8 3 4 3" xfId="5367"/>
    <cellStyle name="SAPBEXexcBad8 3 4 3 2" xfId="5368"/>
    <cellStyle name="SAPBEXexcBad8 3 4 4" xfId="5369"/>
    <cellStyle name="SAPBEXexcBad8 3 4 4 2" xfId="5370"/>
    <cellStyle name="SAPBEXexcBad8 3 4 5" xfId="5371"/>
    <cellStyle name="SAPBEXexcBad8 3 5" xfId="5372"/>
    <cellStyle name="SAPBEXexcBad8 3 5 2" xfId="5373"/>
    <cellStyle name="SAPBEXexcBad8 3 6" xfId="5374"/>
    <cellStyle name="SAPBEXexcBad8 3 6 2" xfId="5375"/>
    <cellStyle name="SAPBEXexcBad8 3 7" xfId="5376"/>
    <cellStyle name="SAPBEXexcBad8 3 7 2" xfId="5377"/>
    <cellStyle name="SAPBEXexcBad8 3 8" xfId="5378"/>
    <cellStyle name="SAPBEXexcBad8 3 8 2" xfId="5379"/>
    <cellStyle name="SAPBEXexcBad8 3 9" xfId="5380"/>
    <cellStyle name="SAPBEXexcBad8 4" xfId="5381"/>
    <cellStyle name="SAPBEXexcBad8 4 2" xfId="5382"/>
    <cellStyle name="SAPBEXexcBad8 4 2 2" xfId="5383"/>
    <cellStyle name="SAPBEXexcBad8 4 2 2 2" xfId="5384"/>
    <cellStyle name="SAPBEXexcBad8 4 2 3" xfId="5385"/>
    <cellStyle name="SAPBEXexcBad8 4 2 3 2" xfId="5386"/>
    <cellStyle name="SAPBEXexcBad8 4 2 4" xfId="5387"/>
    <cellStyle name="SAPBEXexcBad8 4 2 4 2" xfId="5388"/>
    <cellStyle name="SAPBEXexcBad8 4 2 5" xfId="5389"/>
    <cellStyle name="SAPBEXexcBad8 4 3" xfId="5390"/>
    <cellStyle name="SAPBEXexcBad8 4 3 2" xfId="5391"/>
    <cellStyle name="SAPBEXexcBad8 4 4" xfId="5392"/>
    <cellStyle name="SAPBEXexcBad8 4 4 2" xfId="5393"/>
    <cellStyle name="SAPBEXexcBad8 4 5" xfId="5394"/>
    <cellStyle name="SAPBEXexcBad8 4 5 2" xfId="5395"/>
    <cellStyle name="SAPBEXexcBad8 4 6" xfId="5396"/>
    <cellStyle name="SAPBEXexcBad8 5" xfId="5397"/>
    <cellStyle name="SAPBEXexcBad8 5 2" xfId="5398"/>
    <cellStyle name="SAPBEXexcBad8 5 2 2" xfId="5399"/>
    <cellStyle name="SAPBEXexcBad8 5 2 2 2" xfId="5400"/>
    <cellStyle name="SAPBEXexcBad8 5 2 3" xfId="5401"/>
    <cellStyle name="SAPBEXexcBad8 5 2 3 2" xfId="5402"/>
    <cellStyle name="SAPBEXexcBad8 5 2 4" xfId="5403"/>
    <cellStyle name="SAPBEXexcBad8 5 2 4 2" xfId="5404"/>
    <cellStyle name="SAPBEXexcBad8 5 2 5" xfId="5405"/>
    <cellStyle name="SAPBEXexcBad8 5 3" xfId="5406"/>
    <cellStyle name="SAPBEXexcBad8 5 3 2" xfId="5407"/>
    <cellStyle name="SAPBEXexcBad8 5 4" xfId="5408"/>
    <cellStyle name="SAPBEXexcBad8 5 4 2" xfId="5409"/>
    <cellStyle name="SAPBEXexcBad8 5 5" xfId="5410"/>
    <cellStyle name="SAPBEXexcBad8 5 5 2" xfId="5411"/>
    <cellStyle name="SAPBEXexcBad8 5 6" xfId="5412"/>
    <cellStyle name="SAPBEXexcBad8 6" xfId="5413"/>
    <cellStyle name="SAPBEXexcBad8 6 2" xfId="5414"/>
    <cellStyle name="SAPBEXexcBad8 6 2 2" xfId="5415"/>
    <cellStyle name="SAPBEXexcBad8 6 3" xfId="5416"/>
    <cellStyle name="SAPBEXexcBad8 6 3 2" xfId="5417"/>
    <cellStyle name="SAPBEXexcBad8 6 4" xfId="5418"/>
    <cellStyle name="SAPBEXexcBad8 6 4 2" xfId="5419"/>
    <cellStyle name="SAPBEXexcBad8 6 5" xfId="5420"/>
    <cellStyle name="SAPBEXexcBad8 7" xfId="5421"/>
    <cellStyle name="SAPBEXexcBad8 7 2" xfId="5422"/>
    <cellStyle name="SAPBEXexcBad8 8" xfId="5423"/>
    <cellStyle name="SAPBEXexcBad8 8 2" xfId="5424"/>
    <cellStyle name="SAPBEXexcBad8 9" xfId="5425"/>
    <cellStyle name="SAPBEXexcBad8 9 2" xfId="5426"/>
    <cellStyle name="SAPBEXexcBad9" xfId="5427"/>
    <cellStyle name="SAPBEXexcBad9 10" xfId="5428"/>
    <cellStyle name="SAPBEXexcBad9 2" xfId="5429"/>
    <cellStyle name="SAPBEXexcBad9 2 2" xfId="5430"/>
    <cellStyle name="SAPBEXexcBad9 2 2 2" xfId="5431"/>
    <cellStyle name="SAPBEXexcBad9 2 2 2 2" xfId="5432"/>
    <cellStyle name="SAPBEXexcBad9 2 2 2 2 2" xfId="5433"/>
    <cellStyle name="SAPBEXexcBad9 2 2 2 2 2 2" xfId="5434"/>
    <cellStyle name="SAPBEXexcBad9 2 2 2 2 3" xfId="5435"/>
    <cellStyle name="SAPBEXexcBad9 2 2 2 2 3 2" xfId="5436"/>
    <cellStyle name="SAPBEXexcBad9 2 2 2 2 4" xfId="5437"/>
    <cellStyle name="SAPBEXexcBad9 2 2 2 2 4 2" xfId="5438"/>
    <cellStyle name="SAPBEXexcBad9 2 2 2 2 5" xfId="5439"/>
    <cellStyle name="SAPBEXexcBad9 2 2 2 3" xfId="5440"/>
    <cellStyle name="SAPBEXexcBad9 2 2 2 3 2" xfId="5441"/>
    <cellStyle name="SAPBEXexcBad9 2 2 2 4" xfId="5442"/>
    <cellStyle name="SAPBEXexcBad9 2 2 2 4 2" xfId="5443"/>
    <cellStyle name="SAPBEXexcBad9 2 2 2 5" xfId="5444"/>
    <cellStyle name="SAPBEXexcBad9 2 2 2 5 2" xfId="5445"/>
    <cellStyle name="SAPBEXexcBad9 2 2 2 6" xfId="5446"/>
    <cellStyle name="SAPBEXexcBad9 2 2 3" xfId="5447"/>
    <cellStyle name="SAPBEXexcBad9 2 2 3 2" xfId="5448"/>
    <cellStyle name="SAPBEXexcBad9 2 2 3 2 2" xfId="5449"/>
    <cellStyle name="SAPBEXexcBad9 2 2 3 2 2 2" xfId="5450"/>
    <cellStyle name="SAPBEXexcBad9 2 2 3 2 3" xfId="5451"/>
    <cellStyle name="SAPBEXexcBad9 2 2 3 2 3 2" xfId="5452"/>
    <cellStyle name="SAPBEXexcBad9 2 2 3 2 4" xfId="5453"/>
    <cellStyle name="SAPBEXexcBad9 2 2 3 2 4 2" xfId="5454"/>
    <cellStyle name="SAPBEXexcBad9 2 2 3 2 5" xfId="5455"/>
    <cellStyle name="SAPBEXexcBad9 2 2 3 3" xfId="5456"/>
    <cellStyle name="SAPBEXexcBad9 2 2 3 3 2" xfId="5457"/>
    <cellStyle name="SAPBEXexcBad9 2 2 3 4" xfId="5458"/>
    <cellStyle name="SAPBEXexcBad9 2 2 3 4 2" xfId="5459"/>
    <cellStyle name="SAPBEXexcBad9 2 2 3 5" xfId="5460"/>
    <cellStyle name="SAPBEXexcBad9 2 2 3 5 2" xfId="5461"/>
    <cellStyle name="SAPBEXexcBad9 2 2 3 6" xfId="5462"/>
    <cellStyle name="SAPBEXexcBad9 2 2 4" xfId="5463"/>
    <cellStyle name="SAPBEXexcBad9 2 2 4 2" xfId="5464"/>
    <cellStyle name="SAPBEXexcBad9 2 2 4 2 2" xfId="5465"/>
    <cellStyle name="SAPBEXexcBad9 2 2 4 3" xfId="5466"/>
    <cellStyle name="SAPBEXexcBad9 2 2 4 3 2" xfId="5467"/>
    <cellStyle name="SAPBEXexcBad9 2 2 4 4" xfId="5468"/>
    <cellStyle name="SAPBEXexcBad9 2 2 4 4 2" xfId="5469"/>
    <cellStyle name="SAPBEXexcBad9 2 2 4 5" xfId="5470"/>
    <cellStyle name="SAPBEXexcBad9 2 2 5" xfId="5471"/>
    <cellStyle name="SAPBEXexcBad9 2 2 5 2" xfId="5472"/>
    <cellStyle name="SAPBEXexcBad9 2 2 6" xfId="5473"/>
    <cellStyle name="SAPBEXexcBad9 2 2 6 2" xfId="5474"/>
    <cellStyle name="SAPBEXexcBad9 2 2 7" xfId="5475"/>
    <cellStyle name="SAPBEXexcBad9 2 2 7 2" xfId="5476"/>
    <cellStyle name="SAPBEXexcBad9 2 2 8" xfId="5477"/>
    <cellStyle name="SAPBEXexcBad9 2 2 8 2" xfId="5478"/>
    <cellStyle name="SAPBEXexcBad9 2 2 9" xfId="5479"/>
    <cellStyle name="SAPBEXexcBad9 2 3" xfId="5480"/>
    <cellStyle name="SAPBEXexcBad9 2 3 2" xfId="5481"/>
    <cellStyle name="SAPBEXexcBad9 2 3 2 2" xfId="5482"/>
    <cellStyle name="SAPBEXexcBad9 2 3 2 2 2" xfId="5483"/>
    <cellStyle name="SAPBEXexcBad9 2 3 2 3" xfId="5484"/>
    <cellStyle name="SAPBEXexcBad9 2 3 2 3 2" xfId="5485"/>
    <cellStyle name="SAPBEXexcBad9 2 3 2 4" xfId="5486"/>
    <cellStyle name="SAPBEXexcBad9 2 3 2 4 2" xfId="5487"/>
    <cellStyle name="SAPBEXexcBad9 2 3 2 5" xfId="5488"/>
    <cellStyle name="SAPBEXexcBad9 2 3 3" xfId="5489"/>
    <cellStyle name="SAPBEXexcBad9 2 3 3 2" xfId="5490"/>
    <cellStyle name="SAPBEXexcBad9 2 3 4" xfId="5491"/>
    <cellStyle name="SAPBEXexcBad9 2 3 4 2" xfId="5492"/>
    <cellStyle name="SAPBEXexcBad9 2 3 5" xfId="5493"/>
    <cellStyle name="SAPBEXexcBad9 2 3 5 2" xfId="5494"/>
    <cellStyle name="SAPBEXexcBad9 2 3 6" xfId="5495"/>
    <cellStyle name="SAPBEXexcBad9 2 4" xfId="5496"/>
    <cellStyle name="SAPBEXexcBad9 2 4 2" xfId="5497"/>
    <cellStyle name="SAPBEXexcBad9 2 4 2 2" xfId="5498"/>
    <cellStyle name="SAPBEXexcBad9 2 4 2 2 2" xfId="5499"/>
    <cellStyle name="SAPBEXexcBad9 2 4 2 3" xfId="5500"/>
    <cellStyle name="SAPBEXexcBad9 2 4 2 3 2" xfId="5501"/>
    <cellStyle name="SAPBEXexcBad9 2 4 2 4" xfId="5502"/>
    <cellStyle name="SAPBEXexcBad9 2 4 2 4 2" xfId="5503"/>
    <cellStyle name="SAPBEXexcBad9 2 4 2 5" xfId="5504"/>
    <cellStyle name="SAPBEXexcBad9 2 4 3" xfId="5505"/>
    <cellStyle name="SAPBEXexcBad9 2 4 3 2" xfId="5506"/>
    <cellStyle name="SAPBEXexcBad9 2 4 4" xfId="5507"/>
    <cellStyle name="SAPBEXexcBad9 2 4 4 2" xfId="5508"/>
    <cellStyle name="SAPBEXexcBad9 2 4 5" xfId="5509"/>
    <cellStyle name="SAPBEXexcBad9 2 4 5 2" xfId="5510"/>
    <cellStyle name="SAPBEXexcBad9 2 4 6" xfId="5511"/>
    <cellStyle name="SAPBEXexcBad9 2 5" xfId="5512"/>
    <cellStyle name="SAPBEXexcBad9 2 5 2" xfId="5513"/>
    <cellStyle name="SAPBEXexcBad9 2 5 2 2" xfId="5514"/>
    <cellStyle name="SAPBEXexcBad9 2 5 3" xfId="5515"/>
    <cellStyle name="SAPBEXexcBad9 2 5 3 2" xfId="5516"/>
    <cellStyle name="SAPBEXexcBad9 2 5 4" xfId="5517"/>
    <cellStyle name="SAPBEXexcBad9 2 5 4 2" xfId="5518"/>
    <cellStyle name="SAPBEXexcBad9 2 5 5" xfId="5519"/>
    <cellStyle name="SAPBEXexcBad9 2 6" xfId="5520"/>
    <cellStyle name="SAPBEXexcBad9 2 6 2" xfId="5521"/>
    <cellStyle name="SAPBEXexcBad9 2 7" xfId="5522"/>
    <cellStyle name="SAPBEXexcBad9 2 7 2" xfId="5523"/>
    <cellStyle name="SAPBEXexcBad9 2 8" xfId="5524"/>
    <cellStyle name="SAPBEXexcBad9 2 8 2" xfId="5525"/>
    <cellStyle name="SAPBEXexcBad9 2 9" xfId="5526"/>
    <cellStyle name="SAPBEXexcBad9 3" xfId="5527"/>
    <cellStyle name="SAPBEXexcBad9 3 2" xfId="5528"/>
    <cellStyle name="SAPBEXexcBad9 3 2 2" xfId="5529"/>
    <cellStyle name="SAPBEXexcBad9 3 2 2 2" xfId="5530"/>
    <cellStyle name="SAPBEXexcBad9 3 2 2 2 2" xfId="5531"/>
    <cellStyle name="SAPBEXexcBad9 3 2 2 3" xfId="5532"/>
    <cellStyle name="SAPBEXexcBad9 3 2 2 3 2" xfId="5533"/>
    <cellStyle name="SAPBEXexcBad9 3 2 2 4" xfId="5534"/>
    <cellStyle name="SAPBEXexcBad9 3 2 2 4 2" xfId="5535"/>
    <cellStyle name="SAPBEXexcBad9 3 2 2 5" xfId="5536"/>
    <cellStyle name="SAPBEXexcBad9 3 2 3" xfId="5537"/>
    <cellStyle name="SAPBEXexcBad9 3 2 3 2" xfId="5538"/>
    <cellStyle name="SAPBEXexcBad9 3 2 4" xfId="5539"/>
    <cellStyle name="SAPBEXexcBad9 3 2 4 2" xfId="5540"/>
    <cellStyle name="SAPBEXexcBad9 3 2 5" xfId="5541"/>
    <cellStyle name="SAPBEXexcBad9 3 2 5 2" xfId="5542"/>
    <cellStyle name="SAPBEXexcBad9 3 2 6" xfId="5543"/>
    <cellStyle name="SAPBEXexcBad9 3 3" xfId="5544"/>
    <cellStyle name="SAPBEXexcBad9 3 3 2" xfId="5545"/>
    <cellStyle name="SAPBEXexcBad9 3 3 2 2" xfId="5546"/>
    <cellStyle name="SAPBEXexcBad9 3 3 2 2 2" xfId="5547"/>
    <cellStyle name="SAPBEXexcBad9 3 3 2 3" xfId="5548"/>
    <cellStyle name="SAPBEXexcBad9 3 3 2 3 2" xfId="5549"/>
    <cellStyle name="SAPBEXexcBad9 3 3 2 4" xfId="5550"/>
    <cellStyle name="SAPBEXexcBad9 3 3 2 4 2" xfId="5551"/>
    <cellStyle name="SAPBEXexcBad9 3 3 2 5" xfId="5552"/>
    <cellStyle name="SAPBEXexcBad9 3 3 3" xfId="5553"/>
    <cellStyle name="SAPBEXexcBad9 3 3 3 2" xfId="5554"/>
    <cellStyle name="SAPBEXexcBad9 3 3 4" xfId="5555"/>
    <cellStyle name="SAPBEXexcBad9 3 3 4 2" xfId="5556"/>
    <cellStyle name="SAPBEXexcBad9 3 3 5" xfId="5557"/>
    <cellStyle name="SAPBEXexcBad9 3 3 5 2" xfId="5558"/>
    <cellStyle name="SAPBEXexcBad9 3 3 6" xfId="5559"/>
    <cellStyle name="SAPBEXexcBad9 3 4" xfId="5560"/>
    <cellStyle name="SAPBEXexcBad9 3 4 2" xfId="5561"/>
    <cellStyle name="SAPBEXexcBad9 3 4 2 2" xfId="5562"/>
    <cellStyle name="SAPBEXexcBad9 3 4 3" xfId="5563"/>
    <cellStyle name="SAPBEXexcBad9 3 4 3 2" xfId="5564"/>
    <cellStyle name="SAPBEXexcBad9 3 4 4" xfId="5565"/>
    <cellStyle name="SAPBEXexcBad9 3 4 4 2" xfId="5566"/>
    <cellStyle name="SAPBEXexcBad9 3 4 5" xfId="5567"/>
    <cellStyle name="SAPBEXexcBad9 3 5" xfId="5568"/>
    <cellStyle name="SAPBEXexcBad9 3 5 2" xfId="5569"/>
    <cellStyle name="SAPBEXexcBad9 3 6" xfId="5570"/>
    <cellStyle name="SAPBEXexcBad9 3 6 2" xfId="5571"/>
    <cellStyle name="SAPBEXexcBad9 3 7" xfId="5572"/>
    <cellStyle name="SAPBEXexcBad9 3 7 2" xfId="5573"/>
    <cellStyle name="SAPBEXexcBad9 3 8" xfId="5574"/>
    <cellStyle name="SAPBEXexcBad9 3 8 2" xfId="5575"/>
    <cellStyle name="SAPBEXexcBad9 3 9" xfId="5576"/>
    <cellStyle name="SAPBEXexcBad9 4" xfId="5577"/>
    <cellStyle name="SAPBEXexcBad9 4 2" xfId="5578"/>
    <cellStyle name="SAPBEXexcBad9 4 2 2" xfId="5579"/>
    <cellStyle name="SAPBEXexcBad9 4 2 2 2" xfId="5580"/>
    <cellStyle name="SAPBEXexcBad9 4 2 3" xfId="5581"/>
    <cellStyle name="SAPBEXexcBad9 4 2 3 2" xfId="5582"/>
    <cellStyle name="SAPBEXexcBad9 4 2 4" xfId="5583"/>
    <cellStyle name="SAPBEXexcBad9 4 2 4 2" xfId="5584"/>
    <cellStyle name="SAPBEXexcBad9 4 2 5" xfId="5585"/>
    <cellStyle name="SAPBEXexcBad9 4 3" xfId="5586"/>
    <cellStyle name="SAPBEXexcBad9 4 3 2" xfId="5587"/>
    <cellStyle name="SAPBEXexcBad9 4 4" xfId="5588"/>
    <cellStyle name="SAPBEXexcBad9 4 4 2" xfId="5589"/>
    <cellStyle name="SAPBEXexcBad9 4 5" xfId="5590"/>
    <cellStyle name="SAPBEXexcBad9 4 5 2" xfId="5591"/>
    <cellStyle name="SAPBEXexcBad9 4 6" xfId="5592"/>
    <cellStyle name="SAPBEXexcBad9 5" xfId="5593"/>
    <cellStyle name="SAPBEXexcBad9 5 2" xfId="5594"/>
    <cellStyle name="SAPBEXexcBad9 5 2 2" xfId="5595"/>
    <cellStyle name="SAPBEXexcBad9 5 2 2 2" xfId="5596"/>
    <cellStyle name="SAPBEXexcBad9 5 2 3" xfId="5597"/>
    <cellStyle name="SAPBEXexcBad9 5 2 3 2" xfId="5598"/>
    <cellStyle name="SAPBEXexcBad9 5 2 4" xfId="5599"/>
    <cellStyle name="SAPBEXexcBad9 5 2 4 2" xfId="5600"/>
    <cellStyle name="SAPBEXexcBad9 5 2 5" xfId="5601"/>
    <cellStyle name="SAPBEXexcBad9 5 3" xfId="5602"/>
    <cellStyle name="SAPBEXexcBad9 5 3 2" xfId="5603"/>
    <cellStyle name="SAPBEXexcBad9 5 4" xfId="5604"/>
    <cellStyle name="SAPBEXexcBad9 5 4 2" xfId="5605"/>
    <cellStyle name="SAPBEXexcBad9 5 5" xfId="5606"/>
    <cellStyle name="SAPBEXexcBad9 5 5 2" xfId="5607"/>
    <cellStyle name="SAPBEXexcBad9 5 6" xfId="5608"/>
    <cellStyle name="SAPBEXexcBad9 6" xfId="5609"/>
    <cellStyle name="SAPBEXexcBad9 6 2" xfId="5610"/>
    <cellStyle name="SAPBEXexcBad9 6 2 2" xfId="5611"/>
    <cellStyle name="SAPBEXexcBad9 6 3" xfId="5612"/>
    <cellStyle name="SAPBEXexcBad9 6 3 2" xfId="5613"/>
    <cellStyle name="SAPBEXexcBad9 6 4" xfId="5614"/>
    <cellStyle name="SAPBEXexcBad9 6 4 2" xfId="5615"/>
    <cellStyle name="SAPBEXexcBad9 6 5" xfId="5616"/>
    <cellStyle name="SAPBEXexcBad9 7" xfId="5617"/>
    <cellStyle name="SAPBEXexcBad9 7 2" xfId="5618"/>
    <cellStyle name="SAPBEXexcBad9 8" xfId="5619"/>
    <cellStyle name="SAPBEXexcBad9 8 2" xfId="5620"/>
    <cellStyle name="SAPBEXexcBad9 9" xfId="5621"/>
    <cellStyle name="SAPBEXexcBad9 9 2" xfId="5622"/>
    <cellStyle name="SAPBEXexcCritical4" xfId="5623"/>
    <cellStyle name="SAPBEXexcCritical4 10" xfId="5624"/>
    <cellStyle name="SAPBEXexcCritical4 2" xfId="5625"/>
    <cellStyle name="SAPBEXexcCritical4 2 2" xfId="5626"/>
    <cellStyle name="SAPBEXexcCritical4 2 2 2" xfId="5627"/>
    <cellStyle name="SAPBEXexcCritical4 2 2 2 2" xfId="5628"/>
    <cellStyle name="SAPBEXexcCritical4 2 2 2 2 2" xfId="5629"/>
    <cellStyle name="SAPBEXexcCritical4 2 2 2 2 2 2" xfId="5630"/>
    <cellStyle name="SAPBEXexcCritical4 2 2 2 2 3" xfId="5631"/>
    <cellStyle name="SAPBEXexcCritical4 2 2 2 2 3 2" xfId="5632"/>
    <cellStyle name="SAPBEXexcCritical4 2 2 2 2 4" xfId="5633"/>
    <cellStyle name="SAPBEXexcCritical4 2 2 2 2 4 2" xfId="5634"/>
    <cellStyle name="SAPBEXexcCritical4 2 2 2 2 5" xfId="5635"/>
    <cellStyle name="SAPBEXexcCritical4 2 2 2 3" xfId="5636"/>
    <cellStyle name="SAPBEXexcCritical4 2 2 2 3 2" xfId="5637"/>
    <cellStyle name="SAPBEXexcCritical4 2 2 2 4" xfId="5638"/>
    <cellStyle name="SAPBEXexcCritical4 2 2 2 4 2" xfId="5639"/>
    <cellStyle name="SAPBEXexcCritical4 2 2 2 5" xfId="5640"/>
    <cellStyle name="SAPBEXexcCritical4 2 2 2 5 2" xfId="5641"/>
    <cellStyle name="SAPBEXexcCritical4 2 2 2 6" xfId="5642"/>
    <cellStyle name="SAPBEXexcCritical4 2 2 3" xfId="5643"/>
    <cellStyle name="SAPBEXexcCritical4 2 2 3 2" xfId="5644"/>
    <cellStyle name="SAPBEXexcCritical4 2 2 3 2 2" xfId="5645"/>
    <cellStyle name="SAPBEXexcCritical4 2 2 3 2 2 2" xfId="5646"/>
    <cellStyle name="SAPBEXexcCritical4 2 2 3 2 3" xfId="5647"/>
    <cellStyle name="SAPBEXexcCritical4 2 2 3 2 3 2" xfId="5648"/>
    <cellStyle name="SAPBEXexcCritical4 2 2 3 2 4" xfId="5649"/>
    <cellStyle name="SAPBEXexcCritical4 2 2 3 2 4 2" xfId="5650"/>
    <cellStyle name="SAPBEXexcCritical4 2 2 3 2 5" xfId="5651"/>
    <cellStyle name="SAPBEXexcCritical4 2 2 3 3" xfId="5652"/>
    <cellStyle name="SAPBEXexcCritical4 2 2 3 3 2" xfId="5653"/>
    <cellStyle name="SAPBEXexcCritical4 2 2 3 4" xfId="5654"/>
    <cellStyle name="SAPBEXexcCritical4 2 2 3 4 2" xfId="5655"/>
    <cellStyle name="SAPBEXexcCritical4 2 2 3 5" xfId="5656"/>
    <cellStyle name="SAPBEXexcCritical4 2 2 3 5 2" xfId="5657"/>
    <cellStyle name="SAPBEXexcCritical4 2 2 3 6" xfId="5658"/>
    <cellStyle name="SAPBEXexcCritical4 2 2 4" xfId="5659"/>
    <cellStyle name="SAPBEXexcCritical4 2 2 4 2" xfId="5660"/>
    <cellStyle name="SAPBEXexcCritical4 2 2 4 2 2" xfId="5661"/>
    <cellStyle name="SAPBEXexcCritical4 2 2 4 3" xfId="5662"/>
    <cellStyle name="SAPBEXexcCritical4 2 2 4 3 2" xfId="5663"/>
    <cellStyle name="SAPBEXexcCritical4 2 2 4 4" xfId="5664"/>
    <cellStyle name="SAPBEXexcCritical4 2 2 4 4 2" xfId="5665"/>
    <cellStyle name="SAPBEXexcCritical4 2 2 4 5" xfId="5666"/>
    <cellStyle name="SAPBEXexcCritical4 2 2 5" xfId="5667"/>
    <cellStyle name="SAPBEXexcCritical4 2 2 5 2" xfId="5668"/>
    <cellStyle name="SAPBEXexcCritical4 2 2 6" xfId="5669"/>
    <cellStyle name="SAPBEXexcCritical4 2 2 6 2" xfId="5670"/>
    <cellStyle name="SAPBEXexcCritical4 2 2 7" xfId="5671"/>
    <cellStyle name="SAPBEXexcCritical4 2 2 7 2" xfId="5672"/>
    <cellStyle name="SAPBEXexcCritical4 2 2 8" xfId="5673"/>
    <cellStyle name="SAPBEXexcCritical4 2 2 8 2" xfId="5674"/>
    <cellStyle name="SAPBEXexcCritical4 2 2 9" xfId="5675"/>
    <cellStyle name="SAPBEXexcCritical4 2 3" xfId="5676"/>
    <cellStyle name="SAPBEXexcCritical4 2 3 2" xfId="5677"/>
    <cellStyle name="SAPBEXexcCritical4 2 3 2 2" xfId="5678"/>
    <cellStyle name="SAPBEXexcCritical4 2 3 2 2 2" xfId="5679"/>
    <cellStyle name="SAPBEXexcCritical4 2 3 2 3" xfId="5680"/>
    <cellStyle name="SAPBEXexcCritical4 2 3 2 3 2" xfId="5681"/>
    <cellStyle name="SAPBEXexcCritical4 2 3 2 4" xfId="5682"/>
    <cellStyle name="SAPBEXexcCritical4 2 3 2 4 2" xfId="5683"/>
    <cellStyle name="SAPBEXexcCritical4 2 3 2 5" xfId="5684"/>
    <cellStyle name="SAPBEXexcCritical4 2 3 3" xfId="5685"/>
    <cellStyle name="SAPBEXexcCritical4 2 3 3 2" xfId="5686"/>
    <cellStyle name="SAPBEXexcCritical4 2 3 4" xfId="5687"/>
    <cellStyle name="SAPBEXexcCritical4 2 3 4 2" xfId="5688"/>
    <cellStyle name="SAPBEXexcCritical4 2 3 5" xfId="5689"/>
    <cellStyle name="SAPBEXexcCritical4 2 3 5 2" xfId="5690"/>
    <cellStyle name="SAPBEXexcCritical4 2 3 6" xfId="5691"/>
    <cellStyle name="SAPBEXexcCritical4 2 4" xfId="5692"/>
    <cellStyle name="SAPBEXexcCritical4 2 4 2" xfId="5693"/>
    <cellStyle name="SAPBEXexcCritical4 2 4 2 2" xfId="5694"/>
    <cellStyle name="SAPBEXexcCritical4 2 4 2 2 2" xfId="5695"/>
    <cellStyle name="SAPBEXexcCritical4 2 4 2 3" xfId="5696"/>
    <cellStyle name="SAPBEXexcCritical4 2 4 2 3 2" xfId="5697"/>
    <cellStyle name="SAPBEXexcCritical4 2 4 2 4" xfId="5698"/>
    <cellStyle name="SAPBEXexcCritical4 2 4 2 4 2" xfId="5699"/>
    <cellStyle name="SAPBEXexcCritical4 2 4 2 5" xfId="5700"/>
    <cellStyle name="SAPBEXexcCritical4 2 4 3" xfId="5701"/>
    <cellStyle name="SAPBEXexcCritical4 2 4 3 2" xfId="5702"/>
    <cellStyle name="SAPBEXexcCritical4 2 4 4" xfId="5703"/>
    <cellStyle name="SAPBEXexcCritical4 2 4 4 2" xfId="5704"/>
    <cellStyle name="SAPBEXexcCritical4 2 4 5" xfId="5705"/>
    <cellStyle name="SAPBEXexcCritical4 2 4 5 2" xfId="5706"/>
    <cellStyle name="SAPBEXexcCritical4 2 4 6" xfId="5707"/>
    <cellStyle name="SAPBEXexcCritical4 2 5" xfId="5708"/>
    <cellStyle name="SAPBEXexcCritical4 2 5 2" xfId="5709"/>
    <cellStyle name="SAPBEXexcCritical4 2 5 2 2" xfId="5710"/>
    <cellStyle name="SAPBEXexcCritical4 2 5 3" xfId="5711"/>
    <cellStyle name="SAPBEXexcCritical4 2 5 3 2" xfId="5712"/>
    <cellStyle name="SAPBEXexcCritical4 2 5 4" xfId="5713"/>
    <cellStyle name="SAPBEXexcCritical4 2 5 4 2" xfId="5714"/>
    <cellStyle name="SAPBEXexcCritical4 2 5 5" xfId="5715"/>
    <cellStyle name="SAPBEXexcCritical4 2 6" xfId="5716"/>
    <cellStyle name="SAPBEXexcCritical4 2 6 2" xfId="5717"/>
    <cellStyle name="SAPBEXexcCritical4 2 7" xfId="5718"/>
    <cellStyle name="SAPBEXexcCritical4 2 7 2" xfId="5719"/>
    <cellStyle name="SAPBEXexcCritical4 2 8" xfId="5720"/>
    <cellStyle name="SAPBEXexcCritical4 2 8 2" xfId="5721"/>
    <cellStyle name="SAPBEXexcCritical4 2 9" xfId="5722"/>
    <cellStyle name="SAPBEXexcCritical4 3" xfId="5723"/>
    <cellStyle name="SAPBEXexcCritical4 3 2" xfId="5724"/>
    <cellStyle name="SAPBEXexcCritical4 3 2 2" xfId="5725"/>
    <cellStyle name="SAPBEXexcCritical4 3 2 2 2" xfId="5726"/>
    <cellStyle name="SAPBEXexcCritical4 3 2 2 2 2" xfId="5727"/>
    <cellStyle name="SAPBEXexcCritical4 3 2 2 3" xfId="5728"/>
    <cellStyle name="SAPBEXexcCritical4 3 2 2 3 2" xfId="5729"/>
    <cellStyle name="SAPBEXexcCritical4 3 2 2 4" xfId="5730"/>
    <cellStyle name="SAPBEXexcCritical4 3 2 2 4 2" xfId="5731"/>
    <cellStyle name="SAPBEXexcCritical4 3 2 2 5" xfId="5732"/>
    <cellStyle name="SAPBEXexcCritical4 3 2 3" xfId="5733"/>
    <cellStyle name="SAPBEXexcCritical4 3 2 3 2" xfId="5734"/>
    <cellStyle name="SAPBEXexcCritical4 3 2 4" xfId="5735"/>
    <cellStyle name="SAPBEXexcCritical4 3 2 4 2" xfId="5736"/>
    <cellStyle name="SAPBEXexcCritical4 3 2 5" xfId="5737"/>
    <cellStyle name="SAPBEXexcCritical4 3 2 5 2" xfId="5738"/>
    <cellStyle name="SAPBEXexcCritical4 3 2 6" xfId="5739"/>
    <cellStyle name="SAPBEXexcCritical4 3 3" xfId="5740"/>
    <cellStyle name="SAPBEXexcCritical4 3 3 2" xfId="5741"/>
    <cellStyle name="SAPBEXexcCritical4 3 3 2 2" xfId="5742"/>
    <cellStyle name="SAPBEXexcCritical4 3 3 2 2 2" xfId="5743"/>
    <cellStyle name="SAPBEXexcCritical4 3 3 2 3" xfId="5744"/>
    <cellStyle name="SAPBEXexcCritical4 3 3 2 3 2" xfId="5745"/>
    <cellStyle name="SAPBEXexcCritical4 3 3 2 4" xfId="5746"/>
    <cellStyle name="SAPBEXexcCritical4 3 3 2 4 2" xfId="5747"/>
    <cellStyle name="SAPBEXexcCritical4 3 3 2 5" xfId="5748"/>
    <cellStyle name="SAPBEXexcCritical4 3 3 3" xfId="5749"/>
    <cellStyle name="SAPBEXexcCritical4 3 3 3 2" xfId="5750"/>
    <cellStyle name="SAPBEXexcCritical4 3 3 4" xfId="5751"/>
    <cellStyle name="SAPBEXexcCritical4 3 3 4 2" xfId="5752"/>
    <cellStyle name="SAPBEXexcCritical4 3 3 5" xfId="5753"/>
    <cellStyle name="SAPBEXexcCritical4 3 3 5 2" xfId="5754"/>
    <cellStyle name="SAPBEXexcCritical4 3 3 6" xfId="5755"/>
    <cellStyle name="SAPBEXexcCritical4 3 4" xfId="5756"/>
    <cellStyle name="SAPBEXexcCritical4 3 4 2" xfId="5757"/>
    <cellStyle name="SAPBEXexcCritical4 3 4 2 2" xfId="5758"/>
    <cellStyle name="SAPBEXexcCritical4 3 4 3" xfId="5759"/>
    <cellStyle name="SAPBEXexcCritical4 3 4 3 2" xfId="5760"/>
    <cellStyle name="SAPBEXexcCritical4 3 4 4" xfId="5761"/>
    <cellStyle name="SAPBEXexcCritical4 3 4 4 2" xfId="5762"/>
    <cellStyle name="SAPBEXexcCritical4 3 4 5" xfId="5763"/>
    <cellStyle name="SAPBEXexcCritical4 3 5" xfId="5764"/>
    <cellStyle name="SAPBEXexcCritical4 3 5 2" xfId="5765"/>
    <cellStyle name="SAPBEXexcCritical4 3 6" xfId="5766"/>
    <cellStyle name="SAPBEXexcCritical4 3 6 2" xfId="5767"/>
    <cellStyle name="SAPBEXexcCritical4 3 7" xfId="5768"/>
    <cellStyle name="SAPBEXexcCritical4 3 7 2" xfId="5769"/>
    <cellStyle name="SAPBEXexcCritical4 3 8" xfId="5770"/>
    <cellStyle name="SAPBEXexcCritical4 3 8 2" xfId="5771"/>
    <cellStyle name="SAPBEXexcCritical4 3 9" xfId="5772"/>
    <cellStyle name="SAPBEXexcCritical4 4" xfId="5773"/>
    <cellStyle name="SAPBEXexcCritical4 4 2" xfId="5774"/>
    <cellStyle name="SAPBEXexcCritical4 4 2 2" xfId="5775"/>
    <cellStyle name="SAPBEXexcCritical4 4 2 2 2" xfId="5776"/>
    <cellStyle name="SAPBEXexcCritical4 4 2 3" xfId="5777"/>
    <cellStyle name="SAPBEXexcCritical4 4 2 3 2" xfId="5778"/>
    <cellStyle name="SAPBEXexcCritical4 4 2 4" xfId="5779"/>
    <cellStyle name="SAPBEXexcCritical4 4 2 4 2" xfId="5780"/>
    <cellStyle name="SAPBEXexcCritical4 4 2 5" xfId="5781"/>
    <cellStyle name="SAPBEXexcCritical4 4 3" xfId="5782"/>
    <cellStyle name="SAPBEXexcCritical4 4 3 2" xfId="5783"/>
    <cellStyle name="SAPBEXexcCritical4 4 4" xfId="5784"/>
    <cellStyle name="SAPBEXexcCritical4 4 4 2" xfId="5785"/>
    <cellStyle name="SAPBEXexcCritical4 4 5" xfId="5786"/>
    <cellStyle name="SAPBEXexcCritical4 4 5 2" xfId="5787"/>
    <cellStyle name="SAPBEXexcCritical4 4 6" xfId="5788"/>
    <cellStyle name="SAPBEXexcCritical4 5" xfId="5789"/>
    <cellStyle name="SAPBEXexcCritical4 5 2" xfId="5790"/>
    <cellStyle name="SAPBEXexcCritical4 5 2 2" xfId="5791"/>
    <cellStyle name="SAPBEXexcCritical4 5 2 2 2" xfId="5792"/>
    <cellStyle name="SAPBEXexcCritical4 5 2 3" xfId="5793"/>
    <cellStyle name="SAPBEXexcCritical4 5 2 3 2" xfId="5794"/>
    <cellStyle name="SAPBEXexcCritical4 5 2 4" xfId="5795"/>
    <cellStyle name="SAPBEXexcCritical4 5 2 4 2" xfId="5796"/>
    <cellStyle name="SAPBEXexcCritical4 5 2 5" xfId="5797"/>
    <cellStyle name="SAPBEXexcCritical4 5 3" xfId="5798"/>
    <cellStyle name="SAPBEXexcCritical4 5 3 2" xfId="5799"/>
    <cellStyle name="SAPBEXexcCritical4 5 4" xfId="5800"/>
    <cellStyle name="SAPBEXexcCritical4 5 4 2" xfId="5801"/>
    <cellStyle name="SAPBEXexcCritical4 5 5" xfId="5802"/>
    <cellStyle name="SAPBEXexcCritical4 5 5 2" xfId="5803"/>
    <cellStyle name="SAPBEXexcCritical4 5 6" xfId="5804"/>
    <cellStyle name="SAPBEXexcCritical4 6" xfId="5805"/>
    <cellStyle name="SAPBEXexcCritical4 6 2" xfId="5806"/>
    <cellStyle name="SAPBEXexcCritical4 6 2 2" xfId="5807"/>
    <cellStyle name="SAPBEXexcCritical4 6 3" xfId="5808"/>
    <cellStyle name="SAPBEXexcCritical4 6 3 2" xfId="5809"/>
    <cellStyle name="SAPBEXexcCritical4 6 4" xfId="5810"/>
    <cellStyle name="SAPBEXexcCritical4 6 4 2" xfId="5811"/>
    <cellStyle name="SAPBEXexcCritical4 6 5" xfId="5812"/>
    <cellStyle name="SAPBEXexcCritical4 7" xfId="5813"/>
    <cellStyle name="SAPBEXexcCritical4 7 2" xfId="5814"/>
    <cellStyle name="SAPBEXexcCritical4 8" xfId="5815"/>
    <cellStyle name="SAPBEXexcCritical4 8 2" xfId="5816"/>
    <cellStyle name="SAPBEXexcCritical4 9" xfId="5817"/>
    <cellStyle name="SAPBEXexcCritical4 9 2" xfId="5818"/>
    <cellStyle name="SAPBEXexcCritical5" xfId="5819"/>
    <cellStyle name="SAPBEXexcCritical5 10" xfId="5820"/>
    <cellStyle name="SAPBEXexcCritical5 2" xfId="5821"/>
    <cellStyle name="SAPBEXexcCritical5 2 2" xfId="5822"/>
    <cellStyle name="SAPBEXexcCritical5 2 2 2" xfId="5823"/>
    <cellStyle name="SAPBEXexcCritical5 2 2 2 2" xfId="5824"/>
    <cellStyle name="SAPBEXexcCritical5 2 2 2 2 2" xfId="5825"/>
    <cellStyle name="SAPBEXexcCritical5 2 2 2 2 2 2" xfId="5826"/>
    <cellStyle name="SAPBEXexcCritical5 2 2 2 2 3" xfId="5827"/>
    <cellStyle name="SAPBEXexcCritical5 2 2 2 2 3 2" xfId="5828"/>
    <cellStyle name="SAPBEXexcCritical5 2 2 2 2 4" xfId="5829"/>
    <cellStyle name="SAPBEXexcCritical5 2 2 2 2 4 2" xfId="5830"/>
    <cellStyle name="SAPBEXexcCritical5 2 2 2 2 5" xfId="5831"/>
    <cellStyle name="SAPBEXexcCritical5 2 2 2 3" xfId="5832"/>
    <cellStyle name="SAPBEXexcCritical5 2 2 2 3 2" xfId="5833"/>
    <cellStyle name="SAPBEXexcCritical5 2 2 2 4" xfId="5834"/>
    <cellStyle name="SAPBEXexcCritical5 2 2 2 4 2" xfId="5835"/>
    <cellStyle name="SAPBEXexcCritical5 2 2 2 5" xfId="5836"/>
    <cellStyle name="SAPBEXexcCritical5 2 2 2 5 2" xfId="5837"/>
    <cellStyle name="SAPBEXexcCritical5 2 2 2 6" xfId="5838"/>
    <cellStyle name="SAPBEXexcCritical5 2 2 3" xfId="5839"/>
    <cellStyle name="SAPBEXexcCritical5 2 2 3 2" xfId="5840"/>
    <cellStyle name="SAPBEXexcCritical5 2 2 3 2 2" xfId="5841"/>
    <cellStyle name="SAPBEXexcCritical5 2 2 3 2 2 2" xfId="5842"/>
    <cellStyle name="SAPBEXexcCritical5 2 2 3 2 3" xfId="5843"/>
    <cellStyle name="SAPBEXexcCritical5 2 2 3 2 3 2" xfId="5844"/>
    <cellStyle name="SAPBEXexcCritical5 2 2 3 2 4" xfId="5845"/>
    <cellStyle name="SAPBEXexcCritical5 2 2 3 2 4 2" xfId="5846"/>
    <cellStyle name="SAPBEXexcCritical5 2 2 3 2 5" xfId="5847"/>
    <cellStyle name="SAPBEXexcCritical5 2 2 3 3" xfId="5848"/>
    <cellStyle name="SAPBEXexcCritical5 2 2 3 3 2" xfId="5849"/>
    <cellStyle name="SAPBEXexcCritical5 2 2 3 4" xfId="5850"/>
    <cellStyle name="SAPBEXexcCritical5 2 2 3 4 2" xfId="5851"/>
    <cellStyle name="SAPBEXexcCritical5 2 2 3 5" xfId="5852"/>
    <cellStyle name="SAPBEXexcCritical5 2 2 3 5 2" xfId="5853"/>
    <cellStyle name="SAPBEXexcCritical5 2 2 3 6" xfId="5854"/>
    <cellStyle name="SAPBEXexcCritical5 2 2 4" xfId="5855"/>
    <cellStyle name="SAPBEXexcCritical5 2 2 4 2" xfId="5856"/>
    <cellStyle name="SAPBEXexcCritical5 2 2 4 2 2" xfId="5857"/>
    <cellStyle name="SAPBEXexcCritical5 2 2 4 3" xfId="5858"/>
    <cellStyle name="SAPBEXexcCritical5 2 2 4 3 2" xfId="5859"/>
    <cellStyle name="SAPBEXexcCritical5 2 2 4 4" xfId="5860"/>
    <cellStyle name="SAPBEXexcCritical5 2 2 4 4 2" xfId="5861"/>
    <cellStyle name="SAPBEXexcCritical5 2 2 4 5" xfId="5862"/>
    <cellStyle name="SAPBEXexcCritical5 2 2 5" xfId="5863"/>
    <cellStyle name="SAPBEXexcCritical5 2 2 5 2" xfId="5864"/>
    <cellStyle name="SAPBEXexcCritical5 2 2 6" xfId="5865"/>
    <cellStyle name="SAPBEXexcCritical5 2 2 6 2" xfId="5866"/>
    <cellStyle name="SAPBEXexcCritical5 2 2 7" xfId="5867"/>
    <cellStyle name="SAPBEXexcCritical5 2 2 7 2" xfId="5868"/>
    <cellStyle name="SAPBEXexcCritical5 2 2 8" xfId="5869"/>
    <cellStyle name="SAPBEXexcCritical5 2 2 8 2" xfId="5870"/>
    <cellStyle name="SAPBEXexcCritical5 2 2 9" xfId="5871"/>
    <cellStyle name="SAPBEXexcCritical5 2 3" xfId="5872"/>
    <cellStyle name="SAPBEXexcCritical5 2 3 2" xfId="5873"/>
    <cellStyle name="SAPBEXexcCritical5 2 3 2 2" xfId="5874"/>
    <cellStyle name="SAPBEXexcCritical5 2 3 2 2 2" xfId="5875"/>
    <cellStyle name="SAPBEXexcCritical5 2 3 2 3" xfId="5876"/>
    <cellStyle name="SAPBEXexcCritical5 2 3 2 3 2" xfId="5877"/>
    <cellStyle name="SAPBEXexcCritical5 2 3 2 4" xfId="5878"/>
    <cellStyle name="SAPBEXexcCritical5 2 3 2 4 2" xfId="5879"/>
    <cellStyle name="SAPBEXexcCritical5 2 3 2 5" xfId="5880"/>
    <cellStyle name="SAPBEXexcCritical5 2 3 3" xfId="5881"/>
    <cellStyle name="SAPBEXexcCritical5 2 3 3 2" xfId="5882"/>
    <cellStyle name="SAPBEXexcCritical5 2 3 4" xfId="5883"/>
    <cellStyle name="SAPBEXexcCritical5 2 3 4 2" xfId="5884"/>
    <cellStyle name="SAPBEXexcCritical5 2 3 5" xfId="5885"/>
    <cellStyle name="SAPBEXexcCritical5 2 3 5 2" xfId="5886"/>
    <cellStyle name="SAPBEXexcCritical5 2 3 6" xfId="5887"/>
    <cellStyle name="SAPBEXexcCritical5 2 4" xfId="5888"/>
    <cellStyle name="SAPBEXexcCritical5 2 4 2" xfId="5889"/>
    <cellStyle name="SAPBEXexcCritical5 2 4 2 2" xfId="5890"/>
    <cellStyle name="SAPBEXexcCritical5 2 4 2 2 2" xfId="5891"/>
    <cellStyle name="SAPBEXexcCritical5 2 4 2 3" xfId="5892"/>
    <cellStyle name="SAPBEXexcCritical5 2 4 2 3 2" xfId="5893"/>
    <cellStyle name="SAPBEXexcCritical5 2 4 2 4" xfId="5894"/>
    <cellStyle name="SAPBEXexcCritical5 2 4 2 4 2" xfId="5895"/>
    <cellStyle name="SAPBEXexcCritical5 2 4 2 5" xfId="5896"/>
    <cellStyle name="SAPBEXexcCritical5 2 4 3" xfId="5897"/>
    <cellStyle name="SAPBEXexcCritical5 2 4 3 2" xfId="5898"/>
    <cellStyle name="SAPBEXexcCritical5 2 4 4" xfId="5899"/>
    <cellStyle name="SAPBEXexcCritical5 2 4 4 2" xfId="5900"/>
    <cellStyle name="SAPBEXexcCritical5 2 4 5" xfId="5901"/>
    <cellStyle name="SAPBEXexcCritical5 2 4 5 2" xfId="5902"/>
    <cellStyle name="SAPBEXexcCritical5 2 4 6" xfId="5903"/>
    <cellStyle name="SAPBEXexcCritical5 2 5" xfId="5904"/>
    <cellStyle name="SAPBEXexcCritical5 2 5 2" xfId="5905"/>
    <cellStyle name="SAPBEXexcCritical5 2 5 2 2" xfId="5906"/>
    <cellStyle name="SAPBEXexcCritical5 2 5 3" xfId="5907"/>
    <cellStyle name="SAPBEXexcCritical5 2 5 3 2" xfId="5908"/>
    <cellStyle name="SAPBEXexcCritical5 2 5 4" xfId="5909"/>
    <cellStyle name="SAPBEXexcCritical5 2 5 4 2" xfId="5910"/>
    <cellStyle name="SAPBEXexcCritical5 2 5 5" xfId="5911"/>
    <cellStyle name="SAPBEXexcCritical5 2 6" xfId="5912"/>
    <cellStyle name="SAPBEXexcCritical5 2 6 2" xfId="5913"/>
    <cellStyle name="SAPBEXexcCritical5 2 7" xfId="5914"/>
    <cellStyle name="SAPBEXexcCritical5 2 7 2" xfId="5915"/>
    <cellStyle name="SAPBEXexcCritical5 2 8" xfId="5916"/>
    <cellStyle name="SAPBEXexcCritical5 2 8 2" xfId="5917"/>
    <cellStyle name="SAPBEXexcCritical5 2 9" xfId="5918"/>
    <cellStyle name="SAPBEXexcCritical5 3" xfId="5919"/>
    <cellStyle name="SAPBEXexcCritical5 3 2" xfId="5920"/>
    <cellStyle name="SAPBEXexcCritical5 3 2 2" xfId="5921"/>
    <cellStyle name="SAPBEXexcCritical5 3 2 2 2" xfId="5922"/>
    <cellStyle name="SAPBEXexcCritical5 3 2 2 2 2" xfId="5923"/>
    <cellStyle name="SAPBEXexcCritical5 3 2 2 3" xfId="5924"/>
    <cellStyle name="SAPBEXexcCritical5 3 2 2 3 2" xfId="5925"/>
    <cellStyle name="SAPBEXexcCritical5 3 2 2 4" xfId="5926"/>
    <cellStyle name="SAPBEXexcCritical5 3 2 2 4 2" xfId="5927"/>
    <cellStyle name="SAPBEXexcCritical5 3 2 2 5" xfId="5928"/>
    <cellStyle name="SAPBEXexcCritical5 3 2 3" xfId="5929"/>
    <cellStyle name="SAPBEXexcCritical5 3 2 3 2" xfId="5930"/>
    <cellStyle name="SAPBEXexcCritical5 3 2 4" xfId="5931"/>
    <cellStyle name="SAPBEXexcCritical5 3 2 4 2" xfId="5932"/>
    <cellStyle name="SAPBEXexcCritical5 3 2 5" xfId="5933"/>
    <cellStyle name="SAPBEXexcCritical5 3 2 5 2" xfId="5934"/>
    <cellStyle name="SAPBEXexcCritical5 3 2 6" xfId="5935"/>
    <cellStyle name="SAPBEXexcCritical5 3 3" xfId="5936"/>
    <cellStyle name="SAPBEXexcCritical5 3 3 2" xfId="5937"/>
    <cellStyle name="SAPBEXexcCritical5 3 3 2 2" xfId="5938"/>
    <cellStyle name="SAPBEXexcCritical5 3 3 2 2 2" xfId="5939"/>
    <cellStyle name="SAPBEXexcCritical5 3 3 2 3" xfId="5940"/>
    <cellStyle name="SAPBEXexcCritical5 3 3 2 3 2" xfId="5941"/>
    <cellStyle name="SAPBEXexcCritical5 3 3 2 4" xfId="5942"/>
    <cellStyle name="SAPBEXexcCritical5 3 3 2 4 2" xfId="5943"/>
    <cellStyle name="SAPBEXexcCritical5 3 3 2 5" xfId="5944"/>
    <cellStyle name="SAPBEXexcCritical5 3 3 3" xfId="5945"/>
    <cellStyle name="SAPBEXexcCritical5 3 3 3 2" xfId="5946"/>
    <cellStyle name="SAPBEXexcCritical5 3 3 4" xfId="5947"/>
    <cellStyle name="SAPBEXexcCritical5 3 3 4 2" xfId="5948"/>
    <cellStyle name="SAPBEXexcCritical5 3 3 5" xfId="5949"/>
    <cellStyle name="SAPBEXexcCritical5 3 3 5 2" xfId="5950"/>
    <cellStyle name="SAPBEXexcCritical5 3 3 6" xfId="5951"/>
    <cellStyle name="SAPBEXexcCritical5 3 4" xfId="5952"/>
    <cellStyle name="SAPBEXexcCritical5 3 4 2" xfId="5953"/>
    <cellStyle name="SAPBEXexcCritical5 3 4 2 2" xfId="5954"/>
    <cellStyle name="SAPBEXexcCritical5 3 4 3" xfId="5955"/>
    <cellStyle name="SAPBEXexcCritical5 3 4 3 2" xfId="5956"/>
    <cellStyle name="SAPBEXexcCritical5 3 4 4" xfId="5957"/>
    <cellStyle name="SAPBEXexcCritical5 3 4 4 2" xfId="5958"/>
    <cellStyle name="SAPBEXexcCritical5 3 4 5" xfId="5959"/>
    <cellStyle name="SAPBEXexcCritical5 3 5" xfId="5960"/>
    <cellStyle name="SAPBEXexcCritical5 3 5 2" xfId="5961"/>
    <cellStyle name="SAPBEXexcCritical5 3 6" xfId="5962"/>
    <cellStyle name="SAPBEXexcCritical5 3 6 2" xfId="5963"/>
    <cellStyle name="SAPBEXexcCritical5 3 7" xfId="5964"/>
    <cellStyle name="SAPBEXexcCritical5 3 7 2" xfId="5965"/>
    <cellStyle name="SAPBEXexcCritical5 3 8" xfId="5966"/>
    <cellStyle name="SAPBEXexcCritical5 3 8 2" xfId="5967"/>
    <cellStyle name="SAPBEXexcCritical5 3 9" xfId="5968"/>
    <cellStyle name="SAPBEXexcCritical5 4" xfId="5969"/>
    <cellStyle name="SAPBEXexcCritical5 4 2" xfId="5970"/>
    <cellStyle name="SAPBEXexcCritical5 4 2 2" xfId="5971"/>
    <cellStyle name="SAPBEXexcCritical5 4 2 2 2" xfId="5972"/>
    <cellStyle name="SAPBEXexcCritical5 4 2 3" xfId="5973"/>
    <cellStyle name="SAPBEXexcCritical5 4 2 3 2" xfId="5974"/>
    <cellStyle name="SAPBEXexcCritical5 4 2 4" xfId="5975"/>
    <cellStyle name="SAPBEXexcCritical5 4 2 4 2" xfId="5976"/>
    <cellStyle name="SAPBEXexcCritical5 4 2 5" xfId="5977"/>
    <cellStyle name="SAPBEXexcCritical5 4 3" xfId="5978"/>
    <cellStyle name="SAPBEXexcCritical5 4 3 2" xfId="5979"/>
    <cellStyle name="SAPBEXexcCritical5 4 4" xfId="5980"/>
    <cellStyle name="SAPBEXexcCritical5 4 4 2" xfId="5981"/>
    <cellStyle name="SAPBEXexcCritical5 4 5" xfId="5982"/>
    <cellStyle name="SAPBEXexcCritical5 4 5 2" xfId="5983"/>
    <cellStyle name="SAPBEXexcCritical5 4 6" xfId="5984"/>
    <cellStyle name="SAPBEXexcCritical5 5" xfId="5985"/>
    <cellStyle name="SAPBEXexcCritical5 5 2" xfId="5986"/>
    <cellStyle name="SAPBEXexcCritical5 5 2 2" xfId="5987"/>
    <cellStyle name="SAPBEXexcCritical5 5 2 2 2" xfId="5988"/>
    <cellStyle name="SAPBEXexcCritical5 5 2 3" xfId="5989"/>
    <cellStyle name="SAPBEXexcCritical5 5 2 3 2" xfId="5990"/>
    <cellStyle name="SAPBEXexcCritical5 5 2 4" xfId="5991"/>
    <cellStyle name="SAPBEXexcCritical5 5 2 4 2" xfId="5992"/>
    <cellStyle name="SAPBEXexcCritical5 5 2 5" xfId="5993"/>
    <cellStyle name="SAPBEXexcCritical5 5 3" xfId="5994"/>
    <cellStyle name="SAPBEXexcCritical5 5 3 2" xfId="5995"/>
    <cellStyle name="SAPBEXexcCritical5 5 4" xfId="5996"/>
    <cellStyle name="SAPBEXexcCritical5 5 4 2" xfId="5997"/>
    <cellStyle name="SAPBEXexcCritical5 5 5" xfId="5998"/>
    <cellStyle name="SAPBEXexcCritical5 5 5 2" xfId="5999"/>
    <cellStyle name="SAPBEXexcCritical5 5 6" xfId="6000"/>
    <cellStyle name="SAPBEXexcCritical5 6" xfId="6001"/>
    <cellStyle name="SAPBEXexcCritical5 6 2" xfId="6002"/>
    <cellStyle name="SAPBEXexcCritical5 6 2 2" xfId="6003"/>
    <cellStyle name="SAPBEXexcCritical5 6 3" xfId="6004"/>
    <cellStyle name="SAPBEXexcCritical5 6 3 2" xfId="6005"/>
    <cellStyle name="SAPBEXexcCritical5 6 4" xfId="6006"/>
    <cellStyle name="SAPBEXexcCritical5 6 4 2" xfId="6007"/>
    <cellStyle name="SAPBEXexcCritical5 6 5" xfId="6008"/>
    <cellStyle name="SAPBEXexcCritical5 7" xfId="6009"/>
    <cellStyle name="SAPBEXexcCritical5 7 2" xfId="6010"/>
    <cellStyle name="SAPBEXexcCritical5 8" xfId="6011"/>
    <cellStyle name="SAPBEXexcCritical5 8 2" xfId="6012"/>
    <cellStyle name="SAPBEXexcCritical5 9" xfId="6013"/>
    <cellStyle name="SAPBEXexcCritical5 9 2" xfId="6014"/>
    <cellStyle name="SAPBEXexcCritical6" xfId="6015"/>
    <cellStyle name="SAPBEXexcCritical6 10" xfId="6016"/>
    <cellStyle name="SAPBEXexcCritical6 2" xfId="6017"/>
    <cellStyle name="SAPBEXexcCritical6 2 2" xfId="6018"/>
    <cellStyle name="SAPBEXexcCritical6 2 2 2" xfId="6019"/>
    <cellStyle name="SAPBEXexcCritical6 2 2 2 2" xfId="6020"/>
    <cellStyle name="SAPBEXexcCritical6 2 2 2 2 2" xfId="6021"/>
    <cellStyle name="SAPBEXexcCritical6 2 2 2 2 2 2" xfId="6022"/>
    <cellStyle name="SAPBEXexcCritical6 2 2 2 2 3" xfId="6023"/>
    <cellStyle name="SAPBEXexcCritical6 2 2 2 2 3 2" xfId="6024"/>
    <cellStyle name="SAPBEXexcCritical6 2 2 2 2 4" xfId="6025"/>
    <cellStyle name="SAPBEXexcCritical6 2 2 2 2 4 2" xfId="6026"/>
    <cellStyle name="SAPBEXexcCritical6 2 2 2 2 5" xfId="6027"/>
    <cellStyle name="SAPBEXexcCritical6 2 2 2 3" xfId="6028"/>
    <cellStyle name="SAPBEXexcCritical6 2 2 2 3 2" xfId="6029"/>
    <cellStyle name="SAPBEXexcCritical6 2 2 2 4" xfId="6030"/>
    <cellStyle name="SAPBEXexcCritical6 2 2 2 4 2" xfId="6031"/>
    <cellStyle name="SAPBEXexcCritical6 2 2 2 5" xfId="6032"/>
    <cellStyle name="SAPBEXexcCritical6 2 2 2 5 2" xfId="6033"/>
    <cellStyle name="SAPBEXexcCritical6 2 2 2 6" xfId="6034"/>
    <cellStyle name="SAPBEXexcCritical6 2 2 3" xfId="6035"/>
    <cellStyle name="SAPBEXexcCritical6 2 2 3 2" xfId="6036"/>
    <cellStyle name="SAPBEXexcCritical6 2 2 3 2 2" xfId="6037"/>
    <cellStyle name="SAPBEXexcCritical6 2 2 3 2 2 2" xfId="6038"/>
    <cellStyle name="SAPBEXexcCritical6 2 2 3 2 3" xfId="6039"/>
    <cellStyle name="SAPBEXexcCritical6 2 2 3 2 3 2" xfId="6040"/>
    <cellStyle name="SAPBEXexcCritical6 2 2 3 2 4" xfId="6041"/>
    <cellStyle name="SAPBEXexcCritical6 2 2 3 2 4 2" xfId="6042"/>
    <cellStyle name="SAPBEXexcCritical6 2 2 3 2 5" xfId="6043"/>
    <cellStyle name="SAPBEXexcCritical6 2 2 3 3" xfId="6044"/>
    <cellStyle name="SAPBEXexcCritical6 2 2 3 3 2" xfId="6045"/>
    <cellStyle name="SAPBEXexcCritical6 2 2 3 4" xfId="6046"/>
    <cellStyle name="SAPBEXexcCritical6 2 2 3 4 2" xfId="6047"/>
    <cellStyle name="SAPBEXexcCritical6 2 2 3 5" xfId="6048"/>
    <cellStyle name="SAPBEXexcCritical6 2 2 3 5 2" xfId="6049"/>
    <cellStyle name="SAPBEXexcCritical6 2 2 3 6" xfId="6050"/>
    <cellStyle name="SAPBEXexcCritical6 2 2 4" xfId="6051"/>
    <cellStyle name="SAPBEXexcCritical6 2 2 4 2" xfId="6052"/>
    <cellStyle name="SAPBEXexcCritical6 2 2 4 2 2" xfId="6053"/>
    <cellStyle name="SAPBEXexcCritical6 2 2 4 3" xfId="6054"/>
    <cellStyle name="SAPBEXexcCritical6 2 2 4 3 2" xfId="6055"/>
    <cellStyle name="SAPBEXexcCritical6 2 2 4 4" xfId="6056"/>
    <cellStyle name="SAPBEXexcCritical6 2 2 4 4 2" xfId="6057"/>
    <cellStyle name="SAPBEXexcCritical6 2 2 4 5" xfId="6058"/>
    <cellStyle name="SAPBEXexcCritical6 2 2 5" xfId="6059"/>
    <cellStyle name="SAPBEXexcCritical6 2 2 5 2" xfId="6060"/>
    <cellStyle name="SAPBEXexcCritical6 2 2 6" xfId="6061"/>
    <cellStyle name="SAPBEXexcCritical6 2 2 6 2" xfId="6062"/>
    <cellStyle name="SAPBEXexcCritical6 2 2 7" xfId="6063"/>
    <cellStyle name="SAPBEXexcCritical6 2 2 7 2" xfId="6064"/>
    <cellStyle name="SAPBEXexcCritical6 2 2 8" xfId="6065"/>
    <cellStyle name="SAPBEXexcCritical6 2 2 8 2" xfId="6066"/>
    <cellStyle name="SAPBEXexcCritical6 2 2 9" xfId="6067"/>
    <cellStyle name="SAPBEXexcCritical6 2 3" xfId="6068"/>
    <cellStyle name="SAPBEXexcCritical6 2 3 2" xfId="6069"/>
    <cellStyle name="SAPBEXexcCritical6 2 3 2 2" xfId="6070"/>
    <cellStyle name="SAPBEXexcCritical6 2 3 2 2 2" xfId="6071"/>
    <cellStyle name="SAPBEXexcCritical6 2 3 2 3" xfId="6072"/>
    <cellStyle name="SAPBEXexcCritical6 2 3 2 3 2" xfId="6073"/>
    <cellStyle name="SAPBEXexcCritical6 2 3 2 4" xfId="6074"/>
    <cellStyle name="SAPBEXexcCritical6 2 3 2 4 2" xfId="6075"/>
    <cellStyle name="SAPBEXexcCritical6 2 3 2 5" xfId="6076"/>
    <cellStyle name="SAPBEXexcCritical6 2 3 3" xfId="6077"/>
    <cellStyle name="SAPBEXexcCritical6 2 3 3 2" xfId="6078"/>
    <cellStyle name="SAPBEXexcCritical6 2 3 4" xfId="6079"/>
    <cellStyle name="SAPBEXexcCritical6 2 3 4 2" xfId="6080"/>
    <cellStyle name="SAPBEXexcCritical6 2 3 5" xfId="6081"/>
    <cellStyle name="SAPBEXexcCritical6 2 3 5 2" xfId="6082"/>
    <cellStyle name="SAPBEXexcCritical6 2 3 6" xfId="6083"/>
    <cellStyle name="SAPBEXexcCritical6 2 4" xfId="6084"/>
    <cellStyle name="SAPBEXexcCritical6 2 4 2" xfId="6085"/>
    <cellStyle name="SAPBEXexcCritical6 2 4 2 2" xfId="6086"/>
    <cellStyle name="SAPBEXexcCritical6 2 4 2 2 2" xfId="6087"/>
    <cellStyle name="SAPBEXexcCritical6 2 4 2 3" xfId="6088"/>
    <cellStyle name="SAPBEXexcCritical6 2 4 2 3 2" xfId="6089"/>
    <cellStyle name="SAPBEXexcCritical6 2 4 2 4" xfId="6090"/>
    <cellStyle name="SAPBEXexcCritical6 2 4 2 4 2" xfId="6091"/>
    <cellStyle name="SAPBEXexcCritical6 2 4 2 5" xfId="6092"/>
    <cellStyle name="SAPBEXexcCritical6 2 4 3" xfId="6093"/>
    <cellStyle name="SAPBEXexcCritical6 2 4 3 2" xfId="6094"/>
    <cellStyle name="SAPBEXexcCritical6 2 4 4" xfId="6095"/>
    <cellStyle name="SAPBEXexcCritical6 2 4 4 2" xfId="6096"/>
    <cellStyle name="SAPBEXexcCritical6 2 4 5" xfId="6097"/>
    <cellStyle name="SAPBEXexcCritical6 2 4 5 2" xfId="6098"/>
    <cellStyle name="SAPBEXexcCritical6 2 4 6" xfId="6099"/>
    <cellStyle name="SAPBEXexcCritical6 2 5" xfId="6100"/>
    <cellStyle name="SAPBEXexcCritical6 2 5 2" xfId="6101"/>
    <cellStyle name="SAPBEXexcCritical6 2 5 2 2" xfId="6102"/>
    <cellStyle name="SAPBEXexcCritical6 2 5 3" xfId="6103"/>
    <cellStyle name="SAPBEXexcCritical6 2 5 3 2" xfId="6104"/>
    <cellStyle name="SAPBEXexcCritical6 2 5 4" xfId="6105"/>
    <cellStyle name="SAPBEXexcCritical6 2 5 4 2" xfId="6106"/>
    <cellStyle name="SAPBEXexcCritical6 2 5 5" xfId="6107"/>
    <cellStyle name="SAPBEXexcCritical6 2 6" xfId="6108"/>
    <cellStyle name="SAPBEXexcCritical6 2 6 2" xfId="6109"/>
    <cellStyle name="SAPBEXexcCritical6 2 7" xfId="6110"/>
    <cellStyle name="SAPBEXexcCritical6 2 7 2" xfId="6111"/>
    <cellStyle name="SAPBEXexcCritical6 2 8" xfId="6112"/>
    <cellStyle name="SAPBEXexcCritical6 2 8 2" xfId="6113"/>
    <cellStyle name="SAPBEXexcCritical6 2 9" xfId="6114"/>
    <cellStyle name="SAPBEXexcCritical6 3" xfId="6115"/>
    <cellStyle name="SAPBEXexcCritical6 3 2" xfId="6116"/>
    <cellStyle name="SAPBEXexcCritical6 3 2 2" xfId="6117"/>
    <cellStyle name="SAPBEXexcCritical6 3 2 2 2" xfId="6118"/>
    <cellStyle name="SAPBEXexcCritical6 3 2 2 2 2" xfId="6119"/>
    <cellStyle name="SAPBEXexcCritical6 3 2 2 3" xfId="6120"/>
    <cellStyle name="SAPBEXexcCritical6 3 2 2 3 2" xfId="6121"/>
    <cellStyle name="SAPBEXexcCritical6 3 2 2 4" xfId="6122"/>
    <cellStyle name="SAPBEXexcCritical6 3 2 2 4 2" xfId="6123"/>
    <cellStyle name="SAPBEXexcCritical6 3 2 2 5" xfId="6124"/>
    <cellStyle name="SAPBEXexcCritical6 3 2 3" xfId="6125"/>
    <cellStyle name="SAPBEXexcCritical6 3 2 3 2" xfId="6126"/>
    <cellStyle name="SAPBEXexcCritical6 3 2 4" xfId="6127"/>
    <cellStyle name="SAPBEXexcCritical6 3 2 4 2" xfId="6128"/>
    <cellStyle name="SAPBEXexcCritical6 3 2 5" xfId="6129"/>
    <cellStyle name="SAPBEXexcCritical6 3 2 5 2" xfId="6130"/>
    <cellStyle name="SAPBEXexcCritical6 3 2 6" xfId="6131"/>
    <cellStyle name="SAPBEXexcCritical6 3 3" xfId="6132"/>
    <cellStyle name="SAPBEXexcCritical6 3 3 2" xfId="6133"/>
    <cellStyle name="SAPBEXexcCritical6 3 3 2 2" xfId="6134"/>
    <cellStyle name="SAPBEXexcCritical6 3 3 2 2 2" xfId="6135"/>
    <cellStyle name="SAPBEXexcCritical6 3 3 2 3" xfId="6136"/>
    <cellStyle name="SAPBEXexcCritical6 3 3 2 3 2" xfId="6137"/>
    <cellStyle name="SAPBEXexcCritical6 3 3 2 4" xfId="6138"/>
    <cellStyle name="SAPBEXexcCritical6 3 3 2 4 2" xfId="6139"/>
    <cellStyle name="SAPBEXexcCritical6 3 3 2 5" xfId="6140"/>
    <cellStyle name="SAPBEXexcCritical6 3 3 3" xfId="6141"/>
    <cellStyle name="SAPBEXexcCritical6 3 3 3 2" xfId="6142"/>
    <cellStyle name="SAPBEXexcCritical6 3 3 4" xfId="6143"/>
    <cellStyle name="SAPBEXexcCritical6 3 3 4 2" xfId="6144"/>
    <cellStyle name="SAPBEXexcCritical6 3 3 5" xfId="6145"/>
    <cellStyle name="SAPBEXexcCritical6 3 3 5 2" xfId="6146"/>
    <cellStyle name="SAPBEXexcCritical6 3 3 6" xfId="6147"/>
    <cellStyle name="SAPBEXexcCritical6 3 4" xfId="6148"/>
    <cellStyle name="SAPBEXexcCritical6 3 4 2" xfId="6149"/>
    <cellStyle name="SAPBEXexcCritical6 3 4 2 2" xfId="6150"/>
    <cellStyle name="SAPBEXexcCritical6 3 4 3" xfId="6151"/>
    <cellStyle name="SAPBEXexcCritical6 3 4 3 2" xfId="6152"/>
    <cellStyle name="SAPBEXexcCritical6 3 4 4" xfId="6153"/>
    <cellStyle name="SAPBEXexcCritical6 3 4 4 2" xfId="6154"/>
    <cellStyle name="SAPBEXexcCritical6 3 4 5" xfId="6155"/>
    <cellStyle name="SAPBEXexcCritical6 3 5" xfId="6156"/>
    <cellStyle name="SAPBEXexcCritical6 3 5 2" xfId="6157"/>
    <cellStyle name="SAPBEXexcCritical6 3 6" xfId="6158"/>
    <cellStyle name="SAPBEXexcCritical6 3 6 2" xfId="6159"/>
    <cellStyle name="SAPBEXexcCritical6 3 7" xfId="6160"/>
    <cellStyle name="SAPBEXexcCritical6 3 7 2" xfId="6161"/>
    <cellStyle name="SAPBEXexcCritical6 3 8" xfId="6162"/>
    <cellStyle name="SAPBEXexcCritical6 3 8 2" xfId="6163"/>
    <cellStyle name="SAPBEXexcCritical6 3 9" xfId="6164"/>
    <cellStyle name="SAPBEXexcCritical6 4" xfId="6165"/>
    <cellStyle name="SAPBEXexcCritical6 4 2" xfId="6166"/>
    <cellStyle name="SAPBEXexcCritical6 4 2 2" xfId="6167"/>
    <cellStyle name="SAPBEXexcCritical6 4 2 2 2" xfId="6168"/>
    <cellStyle name="SAPBEXexcCritical6 4 2 3" xfId="6169"/>
    <cellStyle name="SAPBEXexcCritical6 4 2 3 2" xfId="6170"/>
    <cellStyle name="SAPBEXexcCritical6 4 2 4" xfId="6171"/>
    <cellStyle name="SAPBEXexcCritical6 4 2 4 2" xfId="6172"/>
    <cellStyle name="SAPBEXexcCritical6 4 2 5" xfId="6173"/>
    <cellStyle name="SAPBEXexcCritical6 4 3" xfId="6174"/>
    <cellStyle name="SAPBEXexcCritical6 4 3 2" xfId="6175"/>
    <cellStyle name="SAPBEXexcCritical6 4 4" xfId="6176"/>
    <cellStyle name="SAPBEXexcCritical6 4 4 2" xfId="6177"/>
    <cellStyle name="SAPBEXexcCritical6 4 5" xfId="6178"/>
    <cellStyle name="SAPBEXexcCritical6 4 5 2" xfId="6179"/>
    <cellStyle name="SAPBEXexcCritical6 4 6" xfId="6180"/>
    <cellStyle name="SAPBEXexcCritical6 5" xfId="6181"/>
    <cellStyle name="SAPBEXexcCritical6 5 2" xfId="6182"/>
    <cellStyle name="SAPBEXexcCritical6 5 2 2" xfId="6183"/>
    <cellStyle name="SAPBEXexcCritical6 5 2 2 2" xfId="6184"/>
    <cellStyle name="SAPBEXexcCritical6 5 2 3" xfId="6185"/>
    <cellStyle name="SAPBEXexcCritical6 5 2 3 2" xfId="6186"/>
    <cellStyle name="SAPBEXexcCritical6 5 2 4" xfId="6187"/>
    <cellStyle name="SAPBEXexcCritical6 5 2 4 2" xfId="6188"/>
    <cellStyle name="SAPBEXexcCritical6 5 2 5" xfId="6189"/>
    <cellStyle name="SAPBEXexcCritical6 5 3" xfId="6190"/>
    <cellStyle name="SAPBEXexcCritical6 5 3 2" xfId="6191"/>
    <cellStyle name="SAPBEXexcCritical6 5 4" xfId="6192"/>
    <cellStyle name="SAPBEXexcCritical6 5 4 2" xfId="6193"/>
    <cellStyle name="SAPBEXexcCritical6 5 5" xfId="6194"/>
    <cellStyle name="SAPBEXexcCritical6 5 5 2" xfId="6195"/>
    <cellStyle name="SAPBEXexcCritical6 5 6" xfId="6196"/>
    <cellStyle name="SAPBEXexcCritical6 6" xfId="6197"/>
    <cellStyle name="SAPBEXexcCritical6 6 2" xfId="6198"/>
    <cellStyle name="SAPBEXexcCritical6 6 2 2" xfId="6199"/>
    <cellStyle name="SAPBEXexcCritical6 6 3" xfId="6200"/>
    <cellStyle name="SAPBEXexcCritical6 6 3 2" xfId="6201"/>
    <cellStyle name="SAPBEXexcCritical6 6 4" xfId="6202"/>
    <cellStyle name="SAPBEXexcCritical6 6 4 2" xfId="6203"/>
    <cellStyle name="SAPBEXexcCritical6 6 5" xfId="6204"/>
    <cellStyle name="SAPBEXexcCritical6 7" xfId="6205"/>
    <cellStyle name="SAPBEXexcCritical6 7 2" xfId="6206"/>
    <cellStyle name="SAPBEXexcCritical6 8" xfId="6207"/>
    <cellStyle name="SAPBEXexcCritical6 8 2" xfId="6208"/>
    <cellStyle name="SAPBEXexcCritical6 9" xfId="6209"/>
    <cellStyle name="SAPBEXexcCritical6 9 2" xfId="6210"/>
    <cellStyle name="SAPBEXexcGood1" xfId="6211"/>
    <cellStyle name="SAPBEXexcGood1 10" xfId="6212"/>
    <cellStyle name="SAPBEXexcGood1 2" xfId="6213"/>
    <cellStyle name="SAPBEXexcGood1 2 2" xfId="6214"/>
    <cellStyle name="SAPBEXexcGood1 2 2 2" xfId="6215"/>
    <cellStyle name="SAPBEXexcGood1 2 2 2 2" xfId="6216"/>
    <cellStyle name="SAPBEXexcGood1 2 2 2 2 2" xfId="6217"/>
    <cellStyle name="SAPBEXexcGood1 2 2 2 2 2 2" xfId="6218"/>
    <cellStyle name="SAPBEXexcGood1 2 2 2 2 3" xfId="6219"/>
    <cellStyle name="SAPBEXexcGood1 2 2 2 2 3 2" xfId="6220"/>
    <cellStyle name="SAPBEXexcGood1 2 2 2 2 4" xfId="6221"/>
    <cellStyle name="SAPBEXexcGood1 2 2 2 2 4 2" xfId="6222"/>
    <cellStyle name="SAPBEXexcGood1 2 2 2 2 5" xfId="6223"/>
    <cellStyle name="SAPBEXexcGood1 2 2 2 3" xfId="6224"/>
    <cellStyle name="SAPBEXexcGood1 2 2 2 3 2" xfId="6225"/>
    <cellStyle name="SAPBEXexcGood1 2 2 2 4" xfId="6226"/>
    <cellStyle name="SAPBEXexcGood1 2 2 2 4 2" xfId="6227"/>
    <cellStyle name="SAPBEXexcGood1 2 2 2 5" xfId="6228"/>
    <cellStyle name="SAPBEXexcGood1 2 2 2 5 2" xfId="6229"/>
    <cellStyle name="SAPBEXexcGood1 2 2 2 6" xfId="6230"/>
    <cellStyle name="SAPBEXexcGood1 2 2 3" xfId="6231"/>
    <cellStyle name="SAPBEXexcGood1 2 2 3 2" xfId="6232"/>
    <cellStyle name="SAPBEXexcGood1 2 2 3 2 2" xfId="6233"/>
    <cellStyle name="SAPBEXexcGood1 2 2 3 2 2 2" xfId="6234"/>
    <cellStyle name="SAPBEXexcGood1 2 2 3 2 3" xfId="6235"/>
    <cellStyle name="SAPBEXexcGood1 2 2 3 2 3 2" xfId="6236"/>
    <cellStyle name="SAPBEXexcGood1 2 2 3 2 4" xfId="6237"/>
    <cellStyle name="SAPBEXexcGood1 2 2 3 2 4 2" xfId="6238"/>
    <cellStyle name="SAPBEXexcGood1 2 2 3 2 5" xfId="6239"/>
    <cellStyle name="SAPBEXexcGood1 2 2 3 3" xfId="6240"/>
    <cellStyle name="SAPBEXexcGood1 2 2 3 3 2" xfId="6241"/>
    <cellStyle name="SAPBEXexcGood1 2 2 3 4" xfId="6242"/>
    <cellStyle name="SAPBEXexcGood1 2 2 3 4 2" xfId="6243"/>
    <cellStyle name="SAPBEXexcGood1 2 2 3 5" xfId="6244"/>
    <cellStyle name="SAPBEXexcGood1 2 2 3 5 2" xfId="6245"/>
    <cellStyle name="SAPBEXexcGood1 2 2 3 6" xfId="6246"/>
    <cellStyle name="SAPBEXexcGood1 2 2 4" xfId="6247"/>
    <cellStyle name="SAPBEXexcGood1 2 2 4 2" xfId="6248"/>
    <cellStyle name="SAPBEXexcGood1 2 2 4 2 2" xfId="6249"/>
    <cellStyle name="SAPBEXexcGood1 2 2 4 3" xfId="6250"/>
    <cellStyle name="SAPBEXexcGood1 2 2 4 3 2" xfId="6251"/>
    <cellStyle name="SAPBEXexcGood1 2 2 4 4" xfId="6252"/>
    <cellStyle name="SAPBEXexcGood1 2 2 4 4 2" xfId="6253"/>
    <cellStyle name="SAPBEXexcGood1 2 2 4 5" xfId="6254"/>
    <cellStyle name="SAPBEXexcGood1 2 2 5" xfId="6255"/>
    <cellStyle name="SAPBEXexcGood1 2 2 5 2" xfId="6256"/>
    <cellStyle name="SAPBEXexcGood1 2 2 6" xfId="6257"/>
    <cellStyle name="SAPBEXexcGood1 2 2 6 2" xfId="6258"/>
    <cellStyle name="SAPBEXexcGood1 2 2 7" xfId="6259"/>
    <cellStyle name="SAPBEXexcGood1 2 2 7 2" xfId="6260"/>
    <cellStyle name="SAPBEXexcGood1 2 2 8" xfId="6261"/>
    <cellStyle name="SAPBEXexcGood1 2 2 8 2" xfId="6262"/>
    <cellStyle name="SAPBEXexcGood1 2 2 9" xfId="6263"/>
    <cellStyle name="SAPBEXexcGood1 2 3" xfId="6264"/>
    <cellStyle name="SAPBEXexcGood1 2 3 2" xfId="6265"/>
    <cellStyle name="SAPBEXexcGood1 2 3 2 2" xfId="6266"/>
    <cellStyle name="SAPBEXexcGood1 2 3 2 2 2" xfId="6267"/>
    <cellStyle name="SAPBEXexcGood1 2 3 2 3" xfId="6268"/>
    <cellStyle name="SAPBEXexcGood1 2 3 2 3 2" xfId="6269"/>
    <cellStyle name="SAPBEXexcGood1 2 3 2 4" xfId="6270"/>
    <cellStyle name="SAPBEXexcGood1 2 3 2 4 2" xfId="6271"/>
    <cellStyle name="SAPBEXexcGood1 2 3 2 5" xfId="6272"/>
    <cellStyle name="SAPBEXexcGood1 2 3 3" xfId="6273"/>
    <cellStyle name="SAPBEXexcGood1 2 3 3 2" xfId="6274"/>
    <cellStyle name="SAPBEXexcGood1 2 3 4" xfId="6275"/>
    <cellStyle name="SAPBEXexcGood1 2 3 4 2" xfId="6276"/>
    <cellStyle name="SAPBEXexcGood1 2 3 5" xfId="6277"/>
    <cellStyle name="SAPBEXexcGood1 2 3 5 2" xfId="6278"/>
    <cellStyle name="SAPBEXexcGood1 2 3 6" xfId="6279"/>
    <cellStyle name="SAPBEXexcGood1 2 4" xfId="6280"/>
    <cellStyle name="SAPBEXexcGood1 2 4 2" xfId="6281"/>
    <cellStyle name="SAPBEXexcGood1 2 4 2 2" xfId="6282"/>
    <cellStyle name="SAPBEXexcGood1 2 4 2 2 2" xfId="6283"/>
    <cellStyle name="SAPBEXexcGood1 2 4 2 3" xfId="6284"/>
    <cellStyle name="SAPBEXexcGood1 2 4 2 3 2" xfId="6285"/>
    <cellStyle name="SAPBEXexcGood1 2 4 2 4" xfId="6286"/>
    <cellStyle name="SAPBEXexcGood1 2 4 2 4 2" xfId="6287"/>
    <cellStyle name="SAPBEXexcGood1 2 4 2 5" xfId="6288"/>
    <cellStyle name="SAPBEXexcGood1 2 4 3" xfId="6289"/>
    <cellStyle name="SAPBEXexcGood1 2 4 3 2" xfId="6290"/>
    <cellStyle name="SAPBEXexcGood1 2 4 4" xfId="6291"/>
    <cellStyle name="SAPBEXexcGood1 2 4 4 2" xfId="6292"/>
    <cellStyle name="SAPBEXexcGood1 2 4 5" xfId="6293"/>
    <cellStyle name="SAPBEXexcGood1 2 4 5 2" xfId="6294"/>
    <cellStyle name="SAPBEXexcGood1 2 4 6" xfId="6295"/>
    <cellStyle name="SAPBEXexcGood1 2 5" xfId="6296"/>
    <cellStyle name="SAPBEXexcGood1 2 5 2" xfId="6297"/>
    <cellStyle name="SAPBEXexcGood1 2 5 2 2" xfId="6298"/>
    <cellStyle name="SAPBEXexcGood1 2 5 3" xfId="6299"/>
    <cellStyle name="SAPBEXexcGood1 2 5 3 2" xfId="6300"/>
    <cellStyle name="SAPBEXexcGood1 2 5 4" xfId="6301"/>
    <cellStyle name="SAPBEXexcGood1 2 5 4 2" xfId="6302"/>
    <cellStyle name="SAPBEXexcGood1 2 5 5" xfId="6303"/>
    <cellStyle name="SAPBEXexcGood1 2 6" xfId="6304"/>
    <cellStyle name="SAPBEXexcGood1 2 6 2" xfId="6305"/>
    <cellStyle name="SAPBEXexcGood1 2 7" xfId="6306"/>
    <cellStyle name="SAPBEXexcGood1 2 7 2" xfId="6307"/>
    <cellStyle name="SAPBEXexcGood1 2 8" xfId="6308"/>
    <cellStyle name="SAPBEXexcGood1 2 8 2" xfId="6309"/>
    <cellStyle name="SAPBEXexcGood1 2 9" xfId="6310"/>
    <cellStyle name="SAPBEXexcGood1 3" xfId="6311"/>
    <cellStyle name="SAPBEXexcGood1 3 2" xfId="6312"/>
    <cellStyle name="SAPBEXexcGood1 3 2 2" xfId="6313"/>
    <cellStyle name="SAPBEXexcGood1 3 2 2 2" xfId="6314"/>
    <cellStyle name="SAPBEXexcGood1 3 2 2 2 2" xfId="6315"/>
    <cellStyle name="SAPBEXexcGood1 3 2 2 3" xfId="6316"/>
    <cellStyle name="SAPBEXexcGood1 3 2 2 3 2" xfId="6317"/>
    <cellStyle name="SAPBEXexcGood1 3 2 2 4" xfId="6318"/>
    <cellStyle name="SAPBEXexcGood1 3 2 2 4 2" xfId="6319"/>
    <cellStyle name="SAPBEXexcGood1 3 2 2 5" xfId="6320"/>
    <cellStyle name="SAPBEXexcGood1 3 2 3" xfId="6321"/>
    <cellStyle name="SAPBEXexcGood1 3 2 3 2" xfId="6322"/>
    <cellStyle name="SAPBEXexcGood1 3 2 4" xfId="6323"/>
    <cellStyle name="SAPBEXexcGood1 3 2 4 2" xfId="6324"/>
    <cellStyle name="SAPBEXexcGood1 3 2 5" xfId="6325"/>
    <cellStyle name="SAPBEXexcGood1 3 2 5 2" xfId="6326"/>
    <cellStyle name="SAPBEXexcGood1 3 2 6" xfId="6327"/>
    <cellStyle name="SAPBEXexcGood1 3 3" xfId="6328"/>
    <cellStyle name="SAPBEXexcGood1 3 3 2" xfId="6329"/>
    <cellStyle name="SAPBEXexcGood1 3 3 2 2" xfId="6330"/>
    <cellStyle name="SAPBEXexcGood1 3 3 2 2 2" xfId="6331"/>
    <cellStyle name="SAPBEXexcGood1 3 3 2 3" xfId="6332"/>
    <cellStyle name="SAPBEXexcGood1 3 3 2 3 2" xfId="6333"/>
    <cellStyle name="SAPBEXexcGood1 3 3 2 4" xfId="6334"/>
    <cellStyle name="SAPBEXexcGood1 3 3 2 4 2" xfId="6335"/>
    <cellStyle name="SAPBEXexcGood1 3 3 2 5" xfId="6336"/>
    <cellStyle name="SAPBEXexcGood1 3 3 3" xfId="6337"/>
    <cellStyle name="SAPBEXexcGood1 3 3 3 2" xfId="6338"/>
    <cellStyle name="SAPBEXexcGood1 3 3 4" xfId="6339"/>
    <cellStyle name="SAPBEXexcGood1 3 3 4 2" xfId="6340"/>
    <cellStyle name="SAPBEXexcGood1 3 3 5" xfId="6341"/>
    <cellStyle name="SAPBEXexcGood1 3 3 5 2" xfId="6342"/>
    <cellStyle name="SAPBEXexcGood1 3 3 6" xfId="6343"/>
    <cellStyle name="SAPBEXexcGood1 3 4" xfId="6344"/>
    <cellStyle name="SAPBEXexcGood1 3 4 2" xfId="6345"/>
    <cellStyle name="SAPBEXexcGood1 3 4 2 2" xfId="6346"/>
    <cellStyle name="SAPBEXexcGood1 3 4 3" xfId="6347"/>
    <cellStyle name="SAPBEXexcGood1 3 4 3 2" xfId="6348"/>
    <cellStyle name="SAPBEXexcGood1 3 4 4" xfId="6349"/>
    <cellStyle name="SAPBEXexcGood1 3 4 4 2" xfId="6350"/>
    <cellStyle name="SAPBEXexcGood1 3 4 5" xfId="6351"/>
    <cellStyle name="SAPBEXexcGood1 3 5" xfId="6352"/>
    <cellStyle name="SAPBEXexcGood1 3 5 2" xfId="6353"/>
    <cellStyle name="SAPBEXexcGood1 3 6" xfId="6354"/>
    <cellStyle name="SAPBEXexcGood1 3 6 2" xfId="6355"/>
    <cellStyle name="SAPBEXexcGood1 3 7" xfId="6356"/>
    <cellStyle name="SAPBEXexcGood1 3 7 2" xfId="6357"/>
    <cellStyle name="SAPBEXexcGood1 3 8" xfId="6358"/>
    <cellStyle name="SAPBEXexcGood1 3 8 2" xfId="6359"/>
    <cellStyle name="SAPBEXexcGood1 3 9" xfId="6360"/>
    <cellStyle name="SAPBEXexcGood1 4" xfId="6361"/>
    <cellStyle name="SAPBEXexcGood1 4 2" xfId="6362"/>
    <cellStyle name="SAPBEXexcGood1 4 2 2" xfId="6363"/>
    <cellStyle name="SAPBEXexcGood1 4 2 2 2" xfId="6364"/>
    <cellStyle name="SAPBEXexcGood1 4 2 3" xfId="6365"/>
    <cellStyle name="SAPBEXexcGood1 4 2 3 2" xfId="6366"/>
    <cellStyle name="SAPBEXexcGood1 4 2 4" xfId="6367"/>
    <cellStyle name="SAPBEXexcGood1 4 2 4 2" xfId="6368"/>
    <cellStyle name="SAPBEXexcGood1 4 2 5" xfId="6369"/>
    <cellStyle name="SAPBEXexcGood1 4 3" xfId="6370"/>
    <cellStyle name="SAPBEXexcGood1 4 3 2" xfId="6371"/>
    <cellStyle name="SAPBEXexcGood1 4 4" xfId="6372"/>
    <cellStyle name="SAPBEXexcGood1 4 4 2" xfId="6373"/>
    <cellStyle name="SAPBEXexcGood1 4 5" xfId="6374"/>
    <cellStyle name="SAPBEXexcGood1 4 5 2" xfId="6375"/>
    <cellStyle name="SAPBEXexcGood1 4 6" xfId="6376"/>
    <cellStyle name="SAPBEXexcGood1 5" xfId="6377"/>
    <cellStyle name="SAPBEXexcGood1 5 2" xfId="6378"/>
    <cellStyle name="SAPBEXexcGood1 5 2 2" xfId="6379"/>
    <cellStyle name="SAPBEXexcGood1 5 2 2 2" xfId="6380"/>
    <cellStyle name="SAPBEXexcGood1 5 2 3" xfId="6381"/>
    <cellStyle name="SAPBEXexcGood1 5 2 3 2" xfId="6382"/>
    <cellStyle name="SAPBEXexcGood1 5 2 4" xfId="6383"/>
    <cellStyle name="SAPBEXexcGood1 5 2 4 2" xfId="6384"/>
    <cellStyle name="SAPBEXexcGood1 5 2 5" xfId="6385"/>
    <cellStyle name="SAPBEXexcGood1 5 3" xfId="6386"/>
    <cellStyle name="SAPBEXexcGood1 5 3 2" xfId="6387"/>
    <cellStyle name="SAPBEXexcGood1 5 4" xfId="6388"/>
    <cellStyle name="SAPBEXexcGood1 5 4 2" xfId="6389"/>
    <cellStyle name="SAPBEXexcGood1 5 5" xfId="6390"/>
    <cellStyle name="SAPBEXexcGood1 5 5 2" xfId="6391"/>
    <cellStyle name="SAPBEXexcGood1 5 6" xfId="6392"/>
    <cellStyle name="SAPBEXexcGood1 6" xfId="6393"/>
    <cellStyle name="SAPBEXexcGood1 6 2" xfId="6394"/>
    <cellStyle name="SAPBEXexcGood1 6 2 2" xfId="6395"/>
    <cellStyle name="SAPBEXexcGood1 6 3" xfId="6396"/>
    <cellStyle name="SAPBEXexcGood1 6 3 2" xfId="6397"/>
    <cellStyle name="SAPBEXexcGood1 6 4" xfId="6398"/>
    <cellStyle name="SAPBEXexcGood1 6 4 2" xfId="6399"/>
    <cellStyle name="SAPBEXexcGood1 6 5" xfId="6400"/>
    <cellStyle name="SAPBEXexcGood1 7" xfId="6401"/>
    <cellStyle name="SAPBEXexcGood1 7 2" xfId="6402"/>
    <cellStyle name="SAPBEXexcGood1 8" xfId="6403"/>
    <cellStyle name="SAPBEXexcGood1 8 2" xfId="6404"/>
    <cellStyle name="SAPBEXexcGood1 9" xfId="6405"/>
    <cellStyle name="SAPBEXexcGood1 9 2" xfId="6406"/>
    <cellStyle name="SAPBEXexcGood2" xfId="6407"/>
    <cellStyle name="SAPBEXexcGood2 10" xfId="6408"/>
    <cellStyle name="SAPBEXexcGood2 2" xfId="6409"/>
    <cellStyle name="SAPBEXexcGood2 2 2" xfId="6410"/>
    <cellStyle name="SAPBEXexcGood2 2 2 2" xfId="6411"/>
    <cellStyle name="SAPBEXexcGood2 2 2 2 2" xfId="6412"/>
    <cellStyle name="SAPBEXexcGood2 2 2 2 2 2" xfId="6413"/>
    <cellStyle name="SAPBEXexcGood2 2 2 2 2 2 2" xfId="6414"/>
    <cellStyle name="SAPBEXexcGood2 2 2 2 2 3" xfId="6415"/>
    <cellStyle name="SAPBEXexcGood2 2 2 2 2 3 2" xfId="6416"/>
    <cellStyle name="SAPBEXexcGood2 2 2 2 2 4" xfId="6417"/>
    <cellStyle name="SAPBEXexcGood2 2 2 2 2 4 2" xfId="6418"/>
    <cellStyle name="SAPBEXexcGood2 2 2 2 2 5" xfId="6419"/>
    <cellStyle name="SAPBEXexcGood2 2 2 2 3" xfId="6420"/>
    <cellStyle name="SAPBEXexcGood2 2 2 2 3 2" xfId="6421"/>
    <cellStyle name="SAPBEXexcGood2 2 2 2 4" xfId="6422"/>
    <cellStyle name="SAPBEXexcGood2 2 2 2 4 2" xfId="6423"/>
    <cellStyle name="SAPBEXexcGood2 2 2 2 5" xfId="6424"/>
    <cellStyle name="SAPBEXexcGood2 2 2 2 5 2" xfId="6425"/>
    <cellStyle name="SAPBEXexcGood2 2 2 2 6" xfId="6426"/>
    <cellStyle name="SAPBEXexcGood2 2 2 3" xfId="6427"/>
    <cellStyle name="SAPBEXexcGood2 2 2 3 2" xfId="6428"/>
    <cellStyle name="SAPBEXexcGood2 2 2 3 2 2" xfId="6429"/>
    <cellStyle name="SAPBEXexcGood2 2 2 3 2 2 2" xfId="6430"/>
    <cellStyle name="SAPBEXexcGood2 2 2 3 2 3" xfId="6431"/>
    <cellStyle name="SAPBEXexcGood2 2 2 3 2 3 2" xfId="6432"/>
    <cellStyle name="SAPBEXexcGood2 2 2 3 2 4" xfId="6433"/>
    <cellStyle name="SAPBEXexcGood2 2 2 3 2 4 2" xfId="6434"/>
    <cellStyle name="SAPBEXexcGood2 2 2 3 2 5" xfId="6435"/>
    <cellStyle name="SAPBEXexcGood2 2 2 3 3" xfId="6436"/>
    <cellStyle name="SAPBEXexcGood2 2 2 3 3 2" xfId="6437"/>
    <cellStyle name="SAPBEXexcGood2 2 2 3 4" xfId="6438"/>
    <cellStyle name="SAPBEXexcGood2 2 2 3 4 2" xfId="6439"/>
    <cellStyle name="SAPBEXexcGood2 2 2 3 5" xfId="6440"/>
    <cellStyle name="SAPBEXexcGood2 2 2 3 5 2" xfId="6441"/>
    <cellStyle name="SAPBEXexcGood2 2 2 3 6" xfId="6442"/>
    <cellStyle name="SAPBEXexcGood2 2 2 4" xfId="6443"/>
    <cellStyle name="SAPBEXexcGood2 2 2 4 2" xfId="6444"/>
    <cellStyle name="SAPBEXexcGood2 2 2 4 2 2" xfId="6445"/>
    <cellStyle name="SAPBEXexcGood2 2 2 4 3" xfId="6446"/>
    <cellStyle name="SAPBEXexcGood2 2 2 4 3 2" xfId="6447"/>
    <cellStyle name="SAPBEXexcGood2 2 2 4 4" xfId="6448"/>
    <cellStyle name="SAPBEXexcGood2 2 2 4 4 2" xfId="6449"/>
    <cellStyle name="SAPBEXexcGood2 2 2 4 5" xfId="6450"/>
    <cellStyle name="SAPBEXexcGood2 2 2 5" xfId="6451"/>
    <cellStyle name="SAPBEXexcGood2 2 2 5 2" xfId="6452"/>
    <cellStyle name="SAPBEXexcGood2 2 2 6" xfId="6453"/>
    <cellStyle name="SAPBEXexcGood2 2 2 6 2" xfId="6454"/>
    <cellStyle name="SAPBEXexcGood2 2 2 7" xfId="6455"/>
    <cellStyle name="SAPBEXexcGood2 2 2 7 2" xfId="6456"/>
    <cellStyle name="SAPBEXexcGood2 2 2 8" xfId="6457"/>
    <cellStyle name="SAPBEXexcGood2 2 2 8 2" xfId="6458"/>
    <cellStyle name="SAPBEXexcGood2 2 2 9" xfId="6459"/>
    <cellStyle name="SAPBEXexcGood2 2 3" xfId="6460"/>
    <cellStyle name="SAPBEXexcGood2 2 3 2" xfId="6461"/>
    <cellStyle name="SAPBEXexcGood2 2 3 2 2" xfId="6462"/>
    <cellStyle name="SAPBEXexcGood2 2 3 2 2 2" xfId="6463"/>
    <cellStyle name="SAPBEXexcGood2 2 3 2 3" xfId="6464"/>
    <cellStyle name="SAPBEXexcGood2 2 3 2 3 2" xfId="6465"/>
    <cellStyle name="SAPBEXexcGood2 2 3 2 4" xfId="6466"/>
    <cellStyle name="SAPBEXexcGood2 2 3 2 4 2" xfId="6467"/>
    <cellStyle name="SAPBEXexcGood2 2 3 2 5" xfId="6468"/>
    <cellStyle name="SAPBEXexcGood2 2 3 3" xfId="6469"/>
    <cellStyle name="SAPBEXexcGood2 2 3 3 2" xfId="6470"/>
    <cellStyle name="SAPBEXexcGood2 2 3 4" xfId="6471"/>
    <cellStyle name="SAPBEXexcGood2 2 3 4 2" xfId="6472"/>
    <cellStyle name="SAPBEXexcGood2 2 3 5" xfId="6473"/>
    <cellStyle name="SAPBEXexcGood2 2 3 5 2" xfId="6474"/>
    <cellStyle name="SAPBEXexcGood2 2 3 6" xfId="6475"/>
    <cellStyle name="SAPBEXexcGood2 2 4" xfId="6476"/>
    <cellStyle name="SAPBEXexcGood2 2 4 2" xfId="6477"/>
    <cellStyle name="SAPBEXexcGood2 2 4 2 2" xfId="6478"/>
    <cellStyle name="SAPBEXexcGood2 2 4 2 2 2" xfId="6479"/>
    <cellStyle name="SAPBEXexcGood2 2 4 2 3" xfId="6480"/>
    <cellStyle name="SAPBEXexcGood2 2 4 2 3 2" xfId="6481"/>
    <cellStyle name="SAPBEXexcGood2 2 4 2 4" xfId="6482"/>
    <cellStyle name="SAPBEXexcGood2 2 4 2 4 2" xfId="6483"/>
    <cellStyle name="SAPBEXexcGood2 2 4 2 5" xfId="6484"/>
    <cellStyle name="SAPBEXexcGood2 2 4 3" xfId="6485"/>
    <cellStyle name="SAPBEXexcGood2 2 4 3 2" xfId="6486"/>
    <cellStyle name="SAPBEXexcGood2 2 4 4" xfId="6487"/>
    <cellStyle name="SAPBEXexcGood2 2 4 4 2" xfId="6488"/>
    <cellStyle name="SAPBEXexcGood2 2 4 5" xfId="6489"/>
    <cellStyle name="SAPBEXexcGood2 2 4 5 2" xfId="6490"/>
    <cellStyle name="SAPBEXexcGood2 2 4 6" xfId="6491"/>
    <cellStyle name="SAPBEXexcGood2 2 5" xfId="6492"/>
    <cellStyle name="SAPBEXexcGood2 2 5 2" xfId="6493"/>
    <cellStyle name="SAPBEXexcGood2 2 5 2 2" xfId="6494"/>
    <cellStyle name="SAPBEXexcGood2 2 5 3" xfId="6495"/>
    <cellStyle name="SAPBEXexcGood2 2 5 3 2" xfId="6496"/>
    <cellStyle name="SAPBEXexcGood2 2 5 4" xfId="6497"/>
    <cellStyle name="SAPBEXexcGood2 2 5 4 2" xfId="6498"/>
    <cellStyle name="SAPBEXexcGood2 2 5 5" xfId="6499"/>
    <cellStyle name="SAPBEXexcGood2 2 6" xfId="6500"/>
    <cellStyle name="SAPBEXexcGood2 2 6 2" xfId="6501"/>
    <cellStyle name="SAPBEXexcGood2 2 7" xfId="6502"/>
    <cellStyle name="SAPBEXexcGood2 2 7 2" xfId="6503"/>
    <cellStyle name="SAPBEXexcGood2 2 8" xfId="6504"/>
    <cellStyle name="SAPBEXexcGood2 2 8 2" xfId="6505"/>
    <cellStyle name="SAPBEXexcGood2 2 9" xfId="6506"/>
    <cellStyle name="SAPBEXexcGood2 3" xfId="6507"/>
    <cellStyle name="SAPBEXexcGood2 3 2" xfId="6508"/>
    <cellStyle name="SAPBEXexcGood2 3 2 2" xfId="6509"/>
    <cellStyle name="SAPBEXexcGood2 3 2 2 2" xfId="6510"/>
    <cellStyle name="SAPBEXexcGood2 3 2 2 2 2" xfId="6511"/>
    <cellStyle name="SAPBEXexcGood2 3 2 2 3" xfId="6512"/>
    <cellStyle name="SAPBEXexcGood2 3 2 2 3 2" xfId="6513"/>
    <cellStyle name="SAPBEXexcGood2 3 2 2 4" xfId="6514"/>
    <cellStyle name="SAPBEXexcGood2 3 2 2 4 2" xfId="6515"/>
    <cellStyle name="SAPBEXexcGood2 3 2 2 5" xfId="6516"/>
    <cellStyle name="SAPBEXexcGood2 3 2 3" xfId="6517"/>
    <cellStyle name="SAPBEXexcGood2 3 2 3 2" xfId="6518"/>
    <cellStyle name="SAPBEXexcGood2 3 2 4" xfId="6519"/>
    <cellStyle name="SAPBEXexcGood2 3 2 4 2" xfId="6520"/>
    <cellStyle name="SAPBEXexcGood2 3 2 5" xfId="6521"/>
    <cellStyle name="SAPBEXexcGood2 3 2 5 2" xfId="6522"/>
    <cellStyle name="SAPBEXexcGood2 3 2 6" xfId="6523"/>
    <cellStyle name="SAPBEXexcGood2 3 3" xfId="6524"/>
    <cellStyle name="SAPBEXexcGood2 3 3 2" xfId="6525"/>
    <cellStyle name="SAPBEXexcGood2 3 3 2 2" xfId="6526"/>
    <cellStyle name="SAPBEXexcGood2 3 3 2 2 2" xfId="6527"/>
    <cellStyle name="SAPBEXexcGood2 3 3 2 3" xfId="6528"/>
    <cellStyle name="SAPBEXexcGood2 3 3 2 3 2" xfId="6529"/>
    <cellStyle name="SAPBEXexcGood2 3 3 2 4" xfId="6530"/>
    <cellStyle name="SAPBEXexcGood2 3 3 2 4 2" xfId="6531"/>
    <cellStyle name="SAPBEXexcGood2 3 3 2 5" xfId="6532"/>
    <cellStyle name="SAPBEXexcGood2 3 3 3" xfId="6533"/>
    <cellStyle name="SAPBEXexcGood2 3 3 3 2" xfId="6534"/>
    <cellStyle name="SAPBEXexcGood2 3 3 4" xfId="6535"/>
    <cellStyle name="SAPBEXexcGood2 3 3 4 2" xfId="6536"/>
    <cellStyle name="SAPBEXexcGood2 3 3 5" xfId="6537"/>
    <cellStyle name="SAPBEXexcGood2 3 3 5 2" xfId="6538"/>
    <cellStyle name="SAPBEXexcGood2 3 3 6" xfId="6539"/>
    <cellStyle name="SAPBEXexcGood2 3 4" xfId="6540"/>
    <cellStyle name="SAPBEXexcGood2 3 4 2" xfId="6541"/>
    <cellStyle name="SAPBEXexcGood2 3 4 2 2" xfId="6542"/>
    <cellStyle name="SAPBEXexcGood2 3 4 3" xfId="6543"/>
    <cellStyle name="SAPBEXexcGood2 3 4 3 2" xfId="6544"/>
    <cellStyle name="SAPBEXexcGood2 3 4 4" xfId="6545"/>
    <cellStyle name="SAPBEXexcGood2 3 4 4 2" xfId="6546"/>
    <cellStyle name="SAPBEXexcGood2 3 4 5" xfId="6547"/>
    <cellStyle name="SAPBEXexcGood2 3 5" xfId="6548"/>
    <cellStyle name="SAPBEXexcGood2 3 5 2" xfId="6549"/>
    <cellStyle name="SAPBEXexcGood2 3 6" xfId="6550"/>
    <cellStyle name="SAPBEXexcGood2 3 6 2" xfId="6551"/>
    <cellStyle name="SAPBEXexcGood2 3 7" xfId="6552"/>
    <cellStyle name="SAPBEXexcGood2 3 7 2" xfId="6553"/>
    <cellStyle name="SAPBEXexcGood2 3 8" xfId="6554"/>
    <cellStyle name="SAPBEXexcGood2 3 8 2" xfId="6555"/>
    <cellStyle name="SAPBEXexcGood2 3 9" xfId="6556"/>
    <cellStyle name="SAPBEXexcGood2 4" xfId="6557"/>
    <cellStyle name="SAPBEXexcGood2 4 2" xfId="6558"/>
    <cellStyle name="SAPBEXexcGood2 4 2 2" xfId="6559"/>
    <cellStyle name="SAPBEXexcGood2 4 2 2 2" xfId="6560"/>
    <cellStyle name="SAPBEXexcGood2 4 2 3" xfId="6561"/>
    <cellStyle name="SAPBEXexcGood2 4 2 3 2" xfId="6562"/>
    <cellStyle name="SAPBEXexcGood2 4 2 4" xfId="6563"/>
    <cellStyle name="SAPBEXexcGood2 4 2 4 2" xfId="6564"/>
    <cellStyle name="SAPBEXexcGood2 4 2 5" xfId="6565"/>
    <cellStyle name="SAPBEXexcGood2 4 3" xfId="6566"/>
    <cellStyle name="SAPBEXexcGood2 4 3 2" xfId="6567"/>
    <cellStyle name="SAPBEXexcGood2 4 4" xfId="6568"/>
    <cellStyle name="SAPBEXexcGood2 4 4 2" xfId="6569"/>
    <cellStyle name="SAPBEXexcGood2 4 5" xfId="6570"/>
    <cellStyle name="SAPBEXexcGood2 4 5 2" xfId="6571"/>
    <cellStyle name="SAPBEXexcGood2 4 6" xfId="6572"/>
    <cellStyle name="SAPBEXexcGood2 5" xfId="6573"/>
    <cellStyle name="SAPBEXexcGood2 5 2" xfId="6574"/>
    <cellStyle name="SAPBEXexcGood2 5 2 2" xfId="6575"/>
    <cellStyle name="SAPBEXexcGood2 5 2 2 2" xfId="6576"/>
    <cellStyle name="SAPBEXexcGood2 5 2 3" xfId="6577"/>
    <cellStyle name="SAPBEXexcGood2 5 2 3 2" xfId="6578"/>
    <cellStyle name="SAPBEXexcGood2 5 2 4" xfId="6579"/>
    <cellStyle name="SAPBEXexcGood2 5 2 4 2" xfId="6580"/>
    <cellStyle name="SAPBEXexcGood2 5 2 5" xfId="6581"/>
    <cellStyle name="SAPBEXexcGood2 5 3" xfId="6582"/>
    <cellStyle name="SAPBEXexcGood2 5 3 2" xfId="6583"/>
    <cellStyle name="SAPBEXexcGood2 5 4" xfId="6584"/>
    <cellStyle name="SAPBEXexcGood2 5 4 2" xfId="6585"/>
    <cellStyle name="SAPBEXexcGood2 5 5" xfId="6586"/>
    <cellStyle name="SAPBEXexcGood2 5 5 2" xfId="6587"/>
    <cellStyle name="SAPBEXexcGood2 5 6" xfId="6588"/>
    <cellStyle name="SAPBEXexcGood2 6" xfId="6589"/>
    <cellStyle name="SAPBEXexcGood2 6 2" xfId="6590"/>
    <cellStyle name="SAPBEXexcGood2 6 2 2" xfId="6591"/>
    <cellStyle name="SAPBEXexcGood2 6 3" xfId="6592"/>
    <cellStyle name="SAPBEXexcGood2 6 3 2" xfId="6593"/>
    <cellStyle name="SAPBEXexcGood2 6 4" xfId="6594"/>
    <cellStyle name="SAPBEXexcGood2 6 4 2" xfId="6595"/>
    <cellStyle name="SAPBEXexcGood2 6 5" xfId="6596"/>
    <cellStyle name="SAPBEXexcGood2 7" xfId="6597"/>
    <cellStyle name="SAPBEXexcGood2 7 2" xfId="6598"/>
    <cellStyle name="SAPBEXexcGood2 8" xfId="6599"/>
    <cellStyle name="SAPBEXexcGood2 8 2" xfId="6600"/>
    <cellStyle name="SAPBEXexcGood2 9" xfId="6601"/>
    <cellStyle name="SAPBEXexcGood2 9 2" xfId="6602"/>
    <cellStyle name="SAPBEXexcGood3" xfId="6603"/>
    <cellStyle name="SAPBEXexcGood3 10" xfId="6604"/>
    <cellStyle name="SAPBEXexcGood3 2" xfId="6605"/>
    <cellStyle name="SAPBEXexcGood3 2 2" xfId="6606"/>
    <cellStyle name="SAPBEXexcGood3 2 2 2" xfId="6607"/>
    <cellStyle name="SAPBEXexcGood3 2 2 2 2" xfId="6608"/>
    <cellStyle name="SAPBEXexcGood3 2 2 2 2 2" xfId="6609"/>
    <cellStyle name="SAPBEXexcGood3 2 2 2 2 2 2" xfId="6610"/>
    <cellStyle name="SAPBEXexcGood3 2 2 2 2 3" xfId="6611"/>
    <cellStyle name="SAPBEXexcGood3 2 2 2 2 3 2" xfId="6612"/>
    <cellStyle name="SAPBEXexcGood3 2 2 2 2 4" xfId="6613"/>
    <cellStyle name="SAPBEXexcGood3 2 2 2 2 4 2" xfId="6614"/>
    <cellStyle name="SAPBEXexcGood3 2 2 2 2 5" xfId="6615"/>
    <cellStyle name="SAPBEXexcGood3 2 2 2 3" xfId="6616"/>
    <cellStyle name="SAPBEXexcGood3 2 2 2 3 2" xfId="6617"/>
    <cellStyle name="SAPBEXexcGood3 2 2 2 4" xfId="6618"/>
    <cellStyle name="SAPBEXexcGood3 2 2 2 4 2" xfId="6619"/>
    <cellStyle name="SAPBEXexcGood3 2 2 2 5" xfId="6620"/>
    <cellStyle name="SAPBEXexcGood3 2 2 2 5 2" xfId="6621"/>
    <cellStyle name="SAPBEXexcGood3 2 2 2 6" xfId="6622"/>
    <cellStyle name="SAPBEXexcGood3 2 2 3" xfId="6623"/>
    <cellStyle name="SAPBEXexcGood3 2 2 3 2" xfId="6624"/>
    <cellStyle name="SAPBEXexcGood3 2 2 3 2 2" xfId="6625"/>
    <cellStyle name="SAPBEXexcGood3 2 2 3 2 2 2" xfId="6626"/>
    <cellStyle name="SAPBEXexcGood3 2 2 3 2 3" xfId="6627"/>
    <cellStyle name="SAPBEXexcGood3 2 2 3 2 3 2" xfId="6628"/>
    <cellStyle name="SAPBEXexcGood3 2 2 3 2 4" xfId="6629"/>
    <cellStyle name="SAPBEXexcGood3 2 2 3 2 4 2" xfId="6630"/>
    <cellStyle name="SAPBEXexcGood3 2 2 3 2 5" xfId="6631"/>
    <cellStyle name="SAPBEXexcGood3 2 2 3 3" xfId="6632"/>
    <cellStyle name="SAPBEXexcGood3 2 2 3 3 2" xfId="6633"/>
    <cellStyle name="SAPBEXexcGood3 2 2 3 4" xfId="6634"/>
    <cellStyle name="SAPBEXexcGood3 2 2 3 4 2" xfId="6635"/>
    <cellStyle name="SAPBEXexcGood3 2 2 3 5" xfId="6636"/>
    <cellStyle name="SAPBEXexcGood3 2 2 3 5 2" xfId="6637"/>
    <cellStyle name="SAPBEXexcGood3 2 2 3 6" xfId="6638"/>
    <cellStyle name="SAPBEXexcGood3 2 2 4" xfId="6639"/>
    <cellStyle name="SAPBEXexcGood3 2 2 4 2" xfId="6640"/>
    <cellStyle name="SAPBEXexcGood3 2 2 4 2 2" xfId="6641"/>
    <cellStyle name="SAPBEXexcGood3 2 2 4 3" xfId="6642"/>
    <cellStyle name="SAPBEXexcGood3 2 2 4 3 2" xfId="6643"/>
    <cellStyle name="SAPBEXexcGood3 2 2 4 4" xfId="6644"/>
    <cellStyle name="SAPBEXexcGood3 2 2 4 4 2" xfId="6645"/>
    <cellStyle name="SAPBEXexcGood3 2 2 4 5" xfId="6646"/>
    <cellStyle name="SAPBEXexcGood3 2 2 5" xfId="6647"/>
    <cellStyle name="SAPBEXexcGood3 2 2 5 2" xfId="6648"/>
    <cellStyle name="SAPBEXexcGood3 2 2 6" xfId="6649"/>
    <cellStyle name="SAPBEXexcGood3 2 2 6 2" xfId="6650"/>
    <cellStyle name="SAPBEXexcGood3 2 2 7" xfId="6651"/>
    <cellStyle name="SAPBEXexcGood3 2 2 7 2" xfId="6652"/>
    <cellStyle name="SAPBEXexcGood3 2 2 8" xfId="6653"/>
    <cellStyle name="SAPBEXexcGood3 2 2 8 2" xfId="6654"/>
    <cellStyle name="SAPBEXexcGood3 2 2 9" xfId="6655"/>
    <cellStyle name="SAPBEXexcGood3 2 3" xfId="6656"/>
    <cellStyle name="SAPBEXexcGood3 2 3 2" xfId="6657"/>
    <cellStyle name="SAPBEXexcGood3 2 3 2 2" xfId="6658"/>
    <cellStyle name="SAPBEXexcGood3 2 3 2 2 2" xfId="6659"/>
    <cellStyle name="SAPBEXexcGood3 2 3 2 3" xfId="6660"/>
    <cellStyle name="SAPBEXexcGood3 2 3 2 3 2" xfId="6661"/>
    <cellStyle name="SAPBEXexcGood3 2 3 2 4" xfId="6662"/>
    <cellStyle name="SAPBEXexcGood3 2 3 2 4 2" xfId="6663"/>
    <cellStyle name="SAPBEXexcGood3 2 3 2 5" xfId="6664"/>
    <cellStyle name="SAPBEXexcGood3 2 3 3" xfId="6665"/>
    <cellStyle name="SAPBEXexcGood3 2 3 3 2" xfId="6666"/>
    <cellStyle name="SAPBEXexcGood3 2 3 4" xfId="6667"/>
    <cellStyle name="SAPBEXexcGood3 2 3 4 2" xfId="6668"/>
    <cellStyle name="SAPBEXexcGood3 2 3 5" xfId="6669"/>
    <cellStyle name="SAPBEXexcGood3 2 3 5 2" xfId="6670"/>
    <cellStyle name="SAPBEXexcGood3 2 3 6" xfId="6671"/>
    <cellStyle name="SAPBEXexcGood3 2 4" xfId="6672"/>
    <cellStyle name="SAPBEXexcGood3 2 4 2" xfId="6673"/>
    <cellStyle name="SAPBEXexcGood3 2 4 2 2" xfId="6674"/>
    <cellStyle name="SAPBEXexcGood3 2 4 2 2 2" xfId="6675"/>
    <cellStyle name="SAPBEXexcGood3 2 4 2 3" xfId="6676"/>
    <cellStyle name="SAPBEXexcGood3 2 4 2 3 2" xfId="6677"/>
    <cellStyle name="SAPBEXexcGood3 2 4 2 4" xfId="6678"/>
    <cellStyle name="SAPBEXexcGood3 2 4 2 4 2" xfId="6679"/>
    <cellStyle name="SAPBEXexcGood3 2 4 2 5" xfId="6680"/>
    <cellStyle name="SAPBEXexcGood3 2 4 3" xfId="6681"/>
    <cellStyle name="SAPBEXexcGood3 2 4 3 2" xfId="6682"/>
    <cellStyle name="SAPBEXexcGood3 2 4 4" xfId="6683"/>
    <cellStyle name="SAPBEXexcGood3 2 4 4 2" xfId="6684"/>
    <cellStyle name="SAPBEXexcGood3 2 4 5" xfId="6685"/>
    <cellStyle name="SAPBEXexcGood3 2 4 5 2" xfId="6686"/>
    <cellStyle name="SAPBEXexcGood3 2 4 6" xfId="6687"/>
    <cellStyle name="SAPBEXexcGood3 2 5" xfId="6688"/>
    <cellStyle name="SAPBEXexcGood3 2 5 2" xfId="6689"/>
    <cellStyle name="SAPBEXexcGood3 2 5 2 2" xfId="6690"/>
    <cellStyle name="SAPBEXexcGood3 2 5 3" xfId="6691"/>
    <cellStyle name="SAPBEXexcGood3 2 5 3 2" xfId="6692"/>
    <cellStyle name="SAPBEXexcGood3 2 5 4" xfId="6693"/>
    <cellStyle name="SAPBEXexcGood3 2 5 4 2" xfId="6694"/>
    <cellStyle name="SAPBEXexcGood3 2 5 5" xfId="6695"/>
    <cellStyle name="SAPBEXexcGood3 2 6" xfId="6696"/>
    <cellStyle name="SAPBEXexcGood3 2 6 2" xfId="6697"/>
    <cellStyle name="SAPBEXexcGood3 2 7" xfId="6698"/>
    <cellStyle name="SAPBEXexcGood3 2 7 2" xfId="6699"/>
    <cellStyle name="SAPBEXexcGood3 2 8" xfId="6700"/>
    <cellStyle name="SAPBEXexcGood3 2 8 2" xfId="6701"/>
    <cellStyle name="SAPBEXexcGood3 2 9" xfId="6702"/>
    <cellStyle name="SAPBEXexcGood3 3" xfId="6703"/>
    <cellStyle name="SAPBEXexcGood3 3 2" xfId="6704"/>
    <cellStyle name="SAPBEXexcGood3 3 2 2" xfId="6705"/>
    <cellStyle name="SAPBEXexcGood3 3 2 2 2" xfId="6706"/>
    <cellStyle name="SAPBEXexcGood3 3 2 2 2 2" xfId="6707"/>
    <cellStyle name="SAPBEXexcGood3 3 2 2 3" xfId="6708"/>
    <cellStyle name="SAPBEXexcGood3 3 2 2 3 2" xfId="6709"/>
    <cellStyle name="SAPBEXexcGood3 3 2 2 4" xfId="6710"/>
    <cellStyle name="SAPBEXexcGood3 3 2 2 4 2" xfId="6711"/>
    <cellStyle name="SAPBEXexcGood3 3 2 2 5" xfId="6712"/>
    <cellStyle name="SAPBEXexcGood3 3 2 3" xfId="6713"/>
    <cellStyle name="SAPBEXexcGood3 3 2 3 2" xfId="6714"/>
    <cellStyle name="SAPBEXexcGood3 3 2 4" xfId="6715"/>
    <cellStyle name="SAPBEXexcGood3 3 2 4 2" xfId="6716"/>
    <cellStyle name="SAPBEXexcGood3 3 2 5" xfId="6717"/>
    <cellStyle name="SAPBEXexcGood3 3 2 5 2" xfId="6718"/>
    <cellStyle name="SAPBEXexcGood3 3 2 6" xfId="6719"/>
    <cellStyle name="SAPBEXexcGood3 3 3" xfId="6720"/>
    <cellStyle name="SAPBEXexcGood3 3 3 2" xfId="6721"/>
    <cellStyle name="SAPBEXexcGood3 3 3 2 2" xfId="6722"/>
    <cellStyle name="SAPBEXexcGood3 3 3 2 2 2" xfId="6723"/>
    <cellStyle name="SAPBEXexcGood3 3 3 2 3" xfId="6724"/>
    <cellStyle name="SAPBEXexcGood3 3 3 2 3 2" xfId="6725"/>
    <cellStyle name="SAPBEXexcGood3 3 3 2 4" xfId="6726"/>
    <cellStyle name="SAPBEXexcGood3 3 3 2 4 2" xfId="6727"/>
    <cellStyle name="SAPBEXexcGood3 3 3 2 5" xfId="6728"/>
    <cellStyle name="SAPBEXexcGood3 3 3 3" xfId="6729"/>
    <cellStyle name="SAPBEXexcGood3 3 3 3 2" xfId="6730"/>
    <cellStyle name="SAPBEXexcGood3 3 3 4" xfId="6731"/>
    <cellStyle name="SAPBEXexcGood3 3 3 4 2" xfId="6732"/>
    <cellStyle name="SAPBEXexcGood3 3 3 5" xfId="6733"/>
    <cellStyle name="SAPBEXexcGood3 3 3 5 2" xfId="6734"/>
    <cellStyle name="SAPBEXexcGood3 3 3 6" xfId="6735"/>
    <cellStyle name="SAPBEXexcGood3 3 4" xfId="6736"/>
    <cellStyle name="SAPBEXexcGood3 3 4 2" xfId="6737"/>
    <cellStyle name="SAPBEXexcGood3 3 4 2 2" xfId="6738"/>
    <cellStyle name="SAPBEXexcGood3 3 4 3" xfId="6739"/>
    <cellStyle name="SAPBEXexcGood3 3 4 3 2" xfId="6740"/>
    <cellStyle name="SAPBEXexcGood3 3 4 4" xfId="6741"/>
    <cellStyle name="SAPBEXexcGood3 3 4 4 2" xfId="6742"/>
    <cellStyle name="SAPBEXexcGood3 3 4 5" xfId="6743"/>
    <cellStyle name="SAPBEXexcGood3 3 5" xfId="6744"/>
    <cellStyle name="SAPBEXexcGood3 3 5 2" xfId="6745"/>
    <cellStyle name="SAPBEXexcGood3 3 6" xfId="6746"/>
    <cellStyle name="SAPBEXexcGood3 3 6 2" xfId="6747"/>
    <cellStyle name="SAPBEXexcGood3 3 7" xfId="6748"/>
    <cellStyle name="SAPBEXexcGood3 3 7 2" xfId="6749"/>
    <cellStyle name="SAPBEXexcGood3 3 8" xfId="6750"/>
    <cellStyle name="SAPBEXexcGood3 3 8 2" xfId="6751"/>
    <cellStyle name="SAPBEXexcGood3 3 9" xfId="6752"/>
    <cellStyle name="SAPBEXexcGood3 4" xfId="6753"/>
    <cellStyle name="SAPBEXexcGood3 4 2" xfId="6754"/>
    <cellStyle name="SAPBEXexcGood3 4 2 2" xfId="6755"/>
    <cellStyle name="SAPBEXexcGood3 4 2 2 2" xfId="6756"/>
    <cellStyle name="SAPBEXexcGood3 4 2 3" xfId="6757"/>
    <cellStyle name="SAPBEXexcGood3 4 2 3 2" xfId="6758"/>
    <cellStyle name="SAPBEXexcGood3 4 2 4" xfId="6759"/>
    <cellStyle name="SAPBEXexcGood3 4 2 4 2" xfId="6760"/>
    <cellStyle name="SAPBEXexcGood3 4 2 5" xfId="6761"/>
    <cellStyle name="SAPBEXexcGood3 4 3" xfId="6762"/>
    <cellStyle name="SAPBEXexcGood3 4 3 2" xfId="6763"/>
    <cellStyle name="SAPBEXexcGood3 4 4" xfId="6764"/>
    <cellStyle name="SAPBEXexcGood3 4 4 2" xfId="6765"/>
    <cellStyle name="SAPBEXexcGood3 4 5" xfId="6766"/>
    <cellStyle name="SAPBEXexcGood3 4 5 2" xfId="6767"/>
    <cellStyle name="SAPBEXexcGood3 4 6" xfId="6768"/>
    <cellStyle name="SAPBEXexcGood3 5" xfId="6769"/>
    <cellStyle name="SAPBEXexcGood3 5 2" xfId="6770"/>
    <cellStyle name="SAPBEXexcGood3 5 2 2" xfId="6771"/>
    <cellStyle name="SAPBEXexcGood3 5 2 2 2" xfId="6772"/>
    <cellStyle name="SAPBEXexcGood3 5 2 3" xfId="6773"/>
    <cellStyle name="SAPBEXexcGood3 5 2 3 2" xfId="6774"/>
    <cellStyle name="SAPBEXexcGood3 5 2 4" xfId="6775"/>
    <cellStyle name="SAPBEXexcGood3 5 2 4 2" xfId="6776"/>
    <cellStyle name="SAPBEXexcGood3 5 2 5" xfId="6777"/>
    <cellStyle name="SAPBEXexcGood3 5 3" xfId="6778"/>
    <cellStyle name="SAPBEXexcGood3 5 3 2" xfId="6779"/>
    <cellStyle name="SAPBEXexcGood3 5 4" xfId="6780"/>
    <cellStyle name="SAPBEXexcGood3 5 4 2" xfId="6781"/>
    <cellStyle name="SAPBEXexcGood3 5 5" xfId="6782"/>
    <cellStyle name="SAPBEXexcGood3 5 5 2" xfId="6783"/>
    <cellStyle name="SAPBEXexcGood3 5 6" xfId="6784"/>
    <cellStyle name="SAPBEXexcGood3 6" xfId="6785"/>
    <cellStyle name="SAPBEXexcGood3 6 2" xfId="6786"/>
    <cellStyle name="SAPBEXexcGood3 6 2 2" xfId="6787"/>
    <cellStyle name="SAPBEXexcGood3 6 3" xfId="6788"/>
    <cellStyle name="SAPBEXexcGood3 6 3 2" xfId="6789"/>
    <cellStyle name="SAPBEXexcGood3 6 4" xfId="6790"/>
    <cellStyle name="SAPBEXexcGood3 6 4 2" xfId="6791"/>
    <cellStyle name="SAPBEXexcGood3 6 5" xfId="6792"/>
    <cellStyle name="SAPBEXexcGood3 7" xfId="6793"/>
    <cellStyle name="SAPBEXexcGood3 7 2" xfId="6794"/>
    <cellStyle name="SAPBEXexcGood3 8" xfId="6795"/>
    <cellStyle name="SAPBEXexcGood3 8 2" xfId="6796"/>
    <cellStyle name="SAPBEXexcGood3 9" xfId="6797"/>
    <cellStyle name="SAPBEXexcGood3 9 2" xfId="6798"/>
    <cellStyle name="SAPBEXfilterDrill" xfId="6799"/>
    <cellStyle name="SAPBEXfilterDrill 10" xfId="6800"/>
    <cellStyle name="SAPBEXfilterDrill 10 2" xfId="6801"/>
    <cellStyle name="SAPBEXfilterDrill 11" xfId="6802"/>
    <cellStyle name="SAPBEXfilterDrill 11 2" xfId="6803"/>
    <cellStyle name="SAPBEXfilterDrill 12" xfId="6804"/>
    <cellStyle name="SAPBEXfilterDrill 12 2" xfId="6805"/>
    <cellStyle name="SAPBEXfilterDrill 13" xfId="6806"/>
    <cellStyle name="SAPBEXfilterDrill 13 2" xfId="6807"/>
    <cellStyle name="SAPBEXfilterDrill 14" xfId="6808"/>
    <cellStyle name="SAPBEXfilterDrill 14 2" xfId="6809"/>
    <cellStyle name="SAPBEXfilterDrill 2" xfId="6810"/>
    <cellStyle name="SAPBEXfilterDrill 2 10" xfId="6811"/>
    <cellStyle name="SAPBEXfilterDrill 2 10 2" xfId="6812"/>
    <cellStyle name="SAPBEXfilterDrill 2 11" xfId="6813"/>
    <cellStyle name="SAPBEXfilterDrill 2 11 2" xfId="6814"/>
    <cellStyle name="SAPBEXfilterDrill 2 12" xfId="6815"/>
    <cellStyle name="SAPBEXfilterDrill 2 2" xfId="6816"/>
    <cellStyle name="SAPBEXfilterDrill 2 2 10" xfId="6817"/>
    <cellStyle name="SAPBEXfilterDrill 2 2 2" xfId="6818"/>
    <cellStyle name="SAPBEXfilterDrill 2 2 2 2" xfId="6819"/>
    <cellStyle name="SAPBEXfilterDrill 2 2 2 2 2" xfId="6820"/>
    <cellStyle name="SAPBEXfilterDrill 2 2 2 3" xfId="6821"/>
    <cellStyle name="SAPBEXfilterDrill 2 2 2 3 2" xfId="6822"/>
    <cellStyle name="SAPBEXfilterDrill 2 2 2 4" xfId="6823"/>
    <cellStyle name="SAPBEXfilterDrill 2 2 2 4 2" xfId="6824"/>
    <cellStyle name="SAPBEXfilterDrill 2 2 2 5" xfId="6825"/>
    <cellStyle name="SAPBEXfilterDrill 2 2 2 5 2" xfId="6826"/>
    <cellStyle name="SAPBEXfilterDrill 2 2 2 6" xfId="6827"/>
    <cellStyle name="SAPBEXfilterDrill 2 2 2 6 2" xfId="6828"/>
    <cellStyle name="SAPBEXfilterDrill 2 2 2 7" xfId="6829"/>
    <cellStyle name="SAPBEXfilterDrill 2 2 3" xfId="6830"/>
    <cellStyle name="SAPBEXfilterDrill 2 2 3 2" xfId="6831"/>
    <cellStyle name="SAPBEXfilterDrill 2 2 3 2 2" xfId="6832"/>
    <cellStyle name="SAPBEXfilterDrill 2 2 3 3" xfId="6833"/>
    <cellStyle name="SAPBEXfilterDrill 2 2 3 3 2" xfId="6834"/>
    <cellStyle name="SAPBEXfilterDrill 2 2 3 4" xfId="6835"/>
    <cellStyle name="SAPBEXfilterDrill 2 2 3 4 2" xfId="6836"/>
    <cellStyle name="SAPBEXfilterDrill 2 2 3 5" xfId="6837"/>
    <cellStyle name="SAPBEXfilterDrill 2 2 3 5 2" xfId="6838"/>
    <cellStyle name="SAPBEXfilterDrill 2 2 3 6" xfId="6839"/>
    <cellStyle name="SAPBEXfilterDrill 2 2 3 6 2" xfId="6840"/>
    <cellStyle name="SAPBEXfilterDrill 2 2 3 7" xfId="6841"/>
    <cellStyle name="SAPBEXfilterDrill 2 2 4" xfId="6842"/>
    <cellStyle name="SAPBEXfilterDrill 2 2 4 2" xfId="6843"/>
    <cellStyle name="SAPBEXfilterDrill 2 2 4 2 2" xfId="6844"/>
    <cellStyle name="SAPBEXfilterDrill 2 2 4 3" xfId="6845"/>
    <cellStyle name="SAPBEXfilterDrill 2 2 4 3 2" xfId="6846"/>
    <cellStyle name="SAPBEXfilterDrill 2 2 4 4" xfId="6847"/>
    <cellStyle name="SAPBEXfilterDrill 2 2 4 4 2" xfId="6848"/>
    <cellStyle name="SAPBEXfilterDrill 2 2 4 5" xfId="6849"/>
    <cellStyle name="SAPBEXfilterDrill 2 2 4 5 2" xfId="6850"/>
    <cellStyle name="SAPBEXfilterDrill 2 2 4 6" xfId="6851"/>
    <cellStyle name="SAPBEXfilterDrill 2 2 5" xfId="6852"/>
    <cellStyle name="SAPBEXfilterDrill 2 2 5 2" xfId="6853"/>
    <cellStyle name="SAPBEXfilterDrill 2 2 6" xfId="6854"/>
    <cellStyle name="SAPBEXfilterDrill 2 2 6 2" xfId="6855"/>
    <cellStyle name="SAPBEXfilterDrill 2 2 7" xfId="6856"/>
    <cellStyle name="SAPBEXfilterDrill 2 2 7 2" xfId="6857"/>
    <cellStyle name="SAPBEXfilterDrill 2 2 8" xfId="6858"/>
    <cellStyle name="SAPBEXfilterDrill 2 2 8 2" xfId="6859"/>
    <cellStyle name="SAPBEXfilterDrill 2 2 9" xfId="6860"/>
    <cellStyle name="SAPBEXfilterDrill 2 2 9 2" xfId="6861"/>
    <cellStyle name="SAPBEXfilterDrill 2 3" xfId="6862"/>
    <cellStyle name="SAPBEXfilterDrill 2 3 10" xfId="6863"/>
    <cellStyle name="SAPBEXfilterDrill 2 3 2" xfId="6864"/>
    <cellStyle name="SAPBEXfilterDrill 2 3 2 2" xfId="6865"/>
    <cellStyle name="SAPBEXfilterDrill 2 3 2 2 2" xfId="6866"/>
    <cellStyle name="SAPBEXfilterDrill 2 3 2 3" xfId="6867"/>
    <cellStyle name="SAPBEXfilterDrill 2 3 2 3 2" xfId="6868"/>
    <cellStyle name="SAPBEXfilterDrill 2 3 2 4" xfId="6869"/>
    <cellStyle name="SAPBEXfilterDrill 2 3 2 4 2" xfId="6870"/>
    <cellStyle name="SAPBEXfilterDrill 2 3 2 5" xfId="6871"/>
    <cellStyle name="SAPBEXfilterDrill 2 3 2 5 2" xfId="6872"/>
    <cellStyle name="SAPBEXfilterDrill 2 3 2 6" xfId="6873"/>
    <cellStyle name="SAPBEXfilterDrill 2 3 2 6 2" xfId="6874"/>
    <cellStyle name="SAPBEXfilterDrill 2 3 2 7" xfId="6875"/>
    <cellStyle name="SAPBEXfilterDrill 2 3 3" xfId="6876"/>
    <cellStyle name="SAPBEXfilterDrill 2 3 3 2" xfId="6877"/>
    <cellStyle name="SAPBEXfilterDrill 2 3 3 2 2" xfId="6878"/>
    <cellStyle name="SAPBEXfilterDrill 2 3 3 3" xfId="6879"/>
    <cellStyle name="SAPBEXfilterDrill 2 3 3 3 2" xfId="6880"/>
    <cellStyle name="SAPBEXfilterDrill 2 3 3 4" xfId="6881"/>
    <cellStyle name="SAPBEXfilterDrill 2 3 3 4 2" xfId="6882"/>
    <cellStyle name="SAPBEXfilterDrill 2 3 3 5" xfId="6883"/>
    <cellStyle name="SAPBEXfilterDrill 2 3 3 5 2" xfId="6884"/>
    <cellStyle name="SAPBEXfilterDrill 2 3 3 6" xfId="6885"/>
    <cellStyle name="SAPBEXfilterDrill 2 3 3 6 2" xfId="6886"/>
    <cellStyle name="SAPBEXfilterDrill 2 3 3 7" xfId="6887"/>
    <cellStyle name="SAPBEXfilterDrill 2 3 4" xfId="6888"/>
    <cellStyle name="SAPBEXfilterDrill 2 3 4 2" xfId="6889"/>
    <cellStyle name="SAPBEXfilterDrill 2 3 4 2 2" xfId="6890"/>
    <cellStyle name="SAPBEXfilterDrill 2 3 4 3" xfId="6891"/>
    <cellStyle name="SAPBEXfilterDrill 2 3 4 3 2" xfId="6892"/>
    <cellStyle name="SAPBEXfilterDrill 2 3 4 4" xfId="6893"/>
    <cellStyle name="SAPBEXfilterDrill 2 3 4 4 2" xfId="6894"/>
    <cellStyle name="SAPBEXfilterDrill 2 3 4 5" xfId="6895"/>
    <cellStyle name="SAPBEXfilterDrill 2 3 4 5 2" xfId="6896"/>
    <cellStyle name="SAPBEXfilterDrill 2 3 4 6" xfId="6897"/>
    <cellStyle name="SAPBEXfilterDrill 2 3 5" xfId="6898"/>
    <cellStyle name="SAPBEXfilterDrill 2 3 5 2" xfId="6899"/>
    <cellStyle name="SAPBEXfilterDrill 2 3 6" xfId="6900"/>
    <cellStyle name="SAPBEXfilterDrill 2 3 6 2" xfId="6901"/>
    <cellStyle name="SAPBEXfilterDrill 2 3 7" xfId="6902"/>
    <cellStyle name="SAPBEXfilterDrill 2 3 7 2" xfId="6903"/>
    <cellStyle name="SAPBEXfilterDrill 2 3 8" xfId="6904"/>
    <cellStyle name="SAPBEXfilterDrill 2 3 8 2" xfId="6905"/>
    <cellStyle name="SAPBEXfilterDrill 2 3 9" xfId="6906"/>
    <cellStyle name="SAPBEXfilterDrill 2 3 9 2" xfId="6907"/>
    <cellStyle name="SAPBEXfilterDrill 2 4" xfId="6908"/>
    <cellStyle name="SAPBEXfilterDrill 2 4 2" xfId="6909"/>
    <cellStyle name="SAPBEXfilterDrill 2 4 2 2" xfId="6910"/>
    <cellStyle name="SAPBEXfilterDrill 2 4 3" xfId="6911"/>
    <cellStyle name="SAPBEXfilterDrill 2 4 3 2" xfId="6912"/>
    <cellStyle name="SAPBEXfilterDrill 2 4 4" xfId="6913"/>
    <cellStyle name="SAPBEXfilterDrill 2 4 4 2" xfId="6914"/>
    <cellStyle name="SAPBEXfilterDrill 2 4 5" xfId="6915"/>
    <cellStyle name="SAPBEXfilterDrill 2 4 5 2" xfId="6916"/>
    <cellStyle name="SAPBEXfilterDrill 2 4 6" xfId="6917"/>
    <cellStyle name="SAPBEXfilterDrill 2 4 6 2" xfId="6918"/>
    <cellStyle name="SAPBEXfilterDrill 2 4 7" xfId="6919"/>
    <cellStyle name="SAPBEXfilterDrill 2 5" xfId="6920"/>
    <cellStyle name="SAPBEXfilterDrill 2 5 2" xfId="6921"/>
    <cellStyle name="SAPBEXfilterDrill 2 5 2 2" xfId="6922"/>
    <cellStyle name="SAPBEXfilterDrill 2 5 3" xfId="6923"/>
    <cellStyle name="SAPBEXfilterDrill 2 5 3 2" xfId="6924"/>
    <cellStyle name="SAPBEXfilterDrill 2 5 4" xfId="6925"/>
    <cellStyle name="SAPBEXfilterDrill 2 5 4 2" xfId="6926"/>
    <cellStyle name="SAPBEXfilterDrill 2 5 5" xfId="6927"/>
    <cellStyle name="SAPBEXfilterDrill 2 5 5 2" xfId="6928"/>
    <cellStyle name="SAPBEXfilterDrill 2 5 6" xfId="6929"/>
    <cellStyle name="SAPBEXfilterDrill 2 5 6 2" xfId="6930"/>
    <cellStyle name="SAPBEXfilterDrill 2 5 7" xfId="6931"/>
    <cellStyle name="SAPBEXfilterDrill 2 6" xfId="6932"/>
    <cellStyle name="SAPBEXfilterDrill 2 6 2" xfId="6933"/>
    <cellStyle name="SAPBEXfilterDrill 2 6 2 2" xfId="6934"/>
    <cellStyle name="SAPBEXfilterDrill 2 6 3" xfId="6935"/>
    <cellStyle name="SAPBEXfilterDrill 2 6 3 2" xfId="6936"/>
    <cellStyle name="SAPBEXfilterDrill 2 6 4" xfId="6937"/>
    <cellStyle name="SAPBEXfilterDrill 2 6 4 2" xfId="6938"/>
    <cellStyle name="SAPBEXfilterDrill 2 6 5" xfId="6939"/>
    <cellStyle name="SAPBEXfilterDrill 2 6 5 2" xfId="6940"/>
    <cellStyle name="SAPBEXfilterDrill 2 6 6" xfId="6941"/>
    <cellStyle name="SAPBEXfilterDrill 2 7" xfId="6942"/>
    <cellStyle name="SAPBEXfilterDrill 2 7 2" xfId="6943"/>
    <cellStyle name="SAPBEXfilterDrill 2 8" xfId="6944"/>
    <cellStyle name="SAPBEXfilterDrill 2 8 2" xfId="6945"/>
    <cellStyle name="SAPBEXfilterDrill 2 9" xfId="6946"/>
    <cellStyle name="SAPBEXfilterDrill 2 9 2" xfId="6947"/>
    <cellStyle name="SAPBEXfilterDrill 3" xfId="6948"/>
    <cellStyle name="SAPBEXfilterDrill 3 10" xfId="6949"/>
    <cellStyle name="SAPBEXfilterDrill 3 2" xfId="6950"/>
    <cellStyle name="SAPBEXfilterDrill 3 2 2" xfId="6951"/>
    <cellStyle name="SAPBEXfilterDrill 3 2 2 2" xfId="6952"/>
    <cellStyle name="SAPBEXfilterDrill 3 2 3" xfId="6953"/>
    <cellStyle name="SAPBEXfilterDrill 3 2 3 2" xfId="6954"/>
    <cellStyle name="SAPBEXfilterDrill 3 2 4" xfId="6955"/>
    <cellStyle name="SAPBEXfilterDrill 3 2 4 2" xfId="6956"/>
    <cellStyle name="SAPBEXfilterDrill 3 2 5" xfId="6957"/>
    <cellStyle name="SAPBEXfilterDrill 3 2 5 2" xfId="6958"/>
    <cellStyle name="SAPBEXfilterDrill 3 2 6" xfId="6959"/>
    <cellStyle name="SAPBEXfilterDrill 3 2 6 2" xfId="6960"/>
    <cellStyle name="SAPBEXfilterDrill 3 2 7" xfId="6961"/>
    <cellStyle name="SAPBEXfilterDrill 3 3" xfId="6962"/>
    <cellStyle name="SAPBEXfilterDrill 3 3 2" xfId="6963"/>
    <cellStyle name="SAPBEXfilterDrill 3 3 2 2" xfId="6964"/>
    <cellStyle name="SAPBEXfilterDrill 3 3 3" xfId="6965"/>
    <cellStyle name="SAPBEXfilterDrill 3 3 3 2" xfId="6966"/>
    <cellStyle name="SAPBEXfilterDrill 3 3 4" xfId="6967"/>
    <cellStyle name="SAPBEXfilterDrill 3 3 4 2" xfId="6968"/>
    <cellStyle name="SAPBEXfilterDrill 3 3 5" xfId="6969"/>
    <cellStyle name="SAPBEXfilterDrill 3 3 5 2" xfId="6970"/>
    <cellStyle name="SAPBEXfilterDrill 3 3 6" xfId="6971"/>
    <cellStyle name="SAPBEXfilterDrill 3 3 6 2" xfId="6972"/>
    <cellStyle name="SAPBEXfilterDrill 3 3 7" xfId="6973"/>
    <cellStyle name="SAPBEXfilterDrill 3 4" xfId="6974"/>
    <cellStyle name="SAPBEXfilterDrill 3 4 2" xfId="6975"/>
    <cellStyle name="SAPBEXfilterDrill 3 4 2 2" xfId="6976"/>
    <cellStyle name="SAPBEXfilterDrill 3 4 3" xfId="6977"/>
    <cellStyle name="SAPBEXfilterDrill 3 4 3 2" xfId="6978"/>
    <cellStyle name="SAPBEXfilterDrill 3 4 4" xfId="6979"/>
    <cellStyle name="SAPBEXfilterDrill 3 4 4 2" xfId="6980"/>
    <cellStyle name="SAPBEXfilterDrill 3 4 5" xfId="6981"/>
    <cellStyle name="SAPBEXfilterDrill 3 4 5 2" xfId="6982"/>
    <cellStyle name="SAPBEXfilterDrill 3 4 6" xfId="6983"/>
    <cellStyle name="SAPBEXfilterDrill 3 5" xfId="6984"/>
    <cellStyle name="SAPBEXfilterDrill 3 5 2" xfId="6985"/>
    <cellStyle name="SAPBEXfilterDrill 3 6" xfId="6986"/>
    <cellStyle name="SAPBEXfilterDrill 3 6 2" xfId="6987"/>
    <cellStyle name="SAPBEXfilterDrill 3 7" xfId="6988"/>
    <cellStyle name="SAPBEXfilterDrill 3 7 2" xfId="6989"/>
    <cellStyle name="SAPBEXfilterDrill 3 8" xfId="6990"/>
    <cellStyle name="SAPBEXfilterDrill 3 8 2" xfId="6991"/>
    <cellStyle name="SAPBEXfilterDrill 3 9" xfId="6992"/>
    <cellStyle name="SAPBEXfilterDrill 3 9 2" xfId="6993"/>
    <cellStyle name="SAPBEXfilterDrill 4" xfId="6994"/>
    <cellStyle name="SAPBEXfilterDrill 4 10" xfId="6995"/>
    <cellStyle name="SAPBEXfilterDrill 4 2" xfId="6996"/>
    <cellStyle name="SAPBEXfilterDrill 4 2 2" xfId="6997"/>
    <cellStyle name="SAPBEXfilterDrill 4 2 2 2" xfId="6998"/>
    <cellStyle name="SAPBEXfilterDrill 4 2 3" xfId="6999"/>
    <cellStyle name="SAPBEXfilterDrill 4 2 3 2" xfId="7000"/>
    <cellStyle name="SAPBEXfilterDrill 4 2 4" xfId="7001"/>
    <cellStyle name="SAPBEXfilterDrill 4 2 4 2" xfId="7002"/>
    <cellStyle name="SAPBEXfilterDrill 4 2 5" xfId="7003"/>
    <cellStyle name="SAPBEXfilterDrill 4 2 5 2" xfId="7004"/>
    <cellStyle name="SAPBEXfilterDrill 4 2 6" xfId="7005"/>
    <cellStyle name="SAPBEXfilterDrill 4 2 6 2" xfId="7006"/>
    <cellStyle name="SAPBEXfilterDrill 4 2 7" xfId="7007"/>
    <cellStyle name="SAPBEXfilterDrill 4 3" xfId="7008"/>
    <cellStyle name="SAPBEXfilterDrill 4 3 2" xfId="7009"/>
    <cellStyle name="SAPBEXfilterDrill 4 3 2 2" xfId="7010"/>
    <cellStyle name="SAPBEXfilterDrill 4 3 3" xfId="7011"/>
    <cellStyle name="SAPBEXfilterDrill 4 3 3 2" xfId="7012"/>
    <cellStyle name="SAPBEXfilterDrill 4 3 4" xfId="7013"/>
    <cellStyle name="SAPBEXfilterDrill 4 3 4 2" xfId="7014"/>
    <cellStyle name="SAPBEXfilterDrill 4 3 5" xfId="7015"/>
    <cellStyle name="SAPBEXfilterDrill 4 3 5 2" xfId="7016"/>
    <cellStyle name="SAPBEXfilterDrill 4 3 6" xfId="7017"/>
    <cellStyle name="SAPBEXfilterDrill 4 3 6 2" xfId="7018"/>
    <cellStyle name="SAPBEXfilterDrill 4 3 7" xfId="7019"/>
    <cellStyle name="SAPBEXfilterDrill 4 4" xfId="7020"/>
    <cellStyle name="SAPBEXfilterDrill 4 4 2" xfId="7021"/>
    <cellStyle name="SAPBEXfilterDrill 4 4 2 2" xfId="7022"/>
    <cellStyle name="SAPBEXfilterDrill 4 4 3" xfId="7023"/>
    <cellStyle name="SAPBEXfilterDrill 4 4 3 2" xfId="7024"/>
    <cellStyle name="SAPBEXfilterDrill 4 4 4" xfId="7025"/>
    <cellStyle name="SAPBEXfilterDrill 4 4 4 2" xfId="7026"/>
    <cellStyle name="SAPBEXfilterDrill 4 4 5" xfId="7027"/>
    <cellStyle name="SAPBEXfilterDrill 4 4 5 2" xfId="7028"/>
    <cellStyle name="SAPBEXfilterDrill 4 4 6" xfId="7029"/>
    <cellStyle name="SAPBEXfilterDrill 4 5" xfId="7030"/>
    <cellStyle name="SAPBEXfilterDrill 4 5 2" xfId="7031"/>
    <cellStyle name="SAPBEXfilterDrill 4 6" xfId="7032"/>
    <cellStyle name="SAPBEXfilterDrill 4 6 2" xfId="7033"/>
    <cellStyle name="SAPBEXfilterDrill 4 7" xfId="7034"/>
    <cellStyle name="SAPBEXfilterDrill 4 7 2" xfId="7035"/>
    <cellStyle name="SAPBEXfilterDrill 4 8" xfId="7036"/>
    <cellStyle name="SAPBEXfilterDrill 4 8 2" xfId="7037"/>
    <cellStyle name="SAPBEXfilterDrill 4 9" xfId="7038"/>
    <cellStyle name="SAPBEXfilterDrill 4 9 2" xfId="7039"/>
    <cellStyle name="SAPBEXfilterDrill 5" xfId="7040"/>
    <cellStyle name="SAPBEXfilterDrill 5 10" xfId="7041"/>
    <cellStyle name="SAPBEXfilterDrill 5 2" xfId="7042"/>
    <cellStyle name="SAPBEXfilterDrill 5 2 2" xfId="7043"/>
    <cellStyle name="SAPBEXfilterDrill 5 2 2 2" xfId="7044"/>
    <cellStyle name="SAPBEXfilterDrill 5 2 3" xfId="7045"/>
    <cellStyle name="SAPBEXfilterDrill 5 2 3 2" xfId="7046"/>
    <cellStyle name="SAPBEXfilterDrill 5 2 4" xfId="7047"/>
    <cellStyle name="SAPBEXfilterDrill 5 2 4 2" xfId="7048"/>
    <cellStyle name="SAPBEXfilterDrill 5 2 5" xfId="7049"/>
    <cellStyle name="SAPBEXfilterDrill 5 2 5 2" xfId="7050"/>
    <cellStyle name="SAPBEXfilterDrill 5 2 6" xfId="7051"/>
    <cellStyle name="SAPBEXfilterDrill 5 2 6 2" xfId="7052"/>
    <cellStyle name="SAPBEXfilterDrill 5 2 7" xfId="7053"/>
    <cellStyle name="SAPBEXfilterDrill 5 3" xfId="7054"/>
    <cellStyle name="SAPBEXfilterDrill 5 3 2" xfId="7055"/>
    <cellStyle name="SAPBEXfilterDrill 5 3 2 2" xfId="7056"/>
    <cellStyle name="SAPBEXfilterDrill 5 3 3" xfId="7057"/>
    <cellStyle name="SAPBEXfilterDrill 5 3 3 2" xfId="7058"/>
    <cellStyle name="SAPBEXfilterDrill 5 3 4" xfId="7059"/>
    <cellStyle name="SAPBEXfilterDrill 5 3 4 2" xfId="7060"/>
    <cellStyle name="SAPBEXfilterDrill 5 3 5" xfId="7061"/>
    <cellStyle name="SAPBEXfilterDrill 5 3 5 2" xfId="7062"/>
    <cellStyle name="SAPBEXfilterDrill 5 3 6" xfId="7063"/>
    <cellStyle name="SAPBEXfilterDrill 5 3 6 2" xfId="7064"/>
    <cellStyle name="SAPBEXfilterDrill 5 3 7" xfId="7065"/>
    <cellStyle name="SAPBEXfilterDrill 5 4" xfId="7066"/>
    <cellStyle name="SAPBEXfilterDrill 5 4 2" xfId="7067"/>
    <cellStyle name="SAPBEXfilterDrill 5 4 2 2" xfId="7068"/>
    <cellStyle name="SAPBEXfilterDrill 5 4 3" xfId="7069"/>
    <cellStyle name="SAPBEXfilterDrill 5 4 3 2" xfId="7070"/>
    <cellStyle name="SAPBEXfilterDrill 5 4 4" xfId="7071"/>
    <cellStyle name="SAPBEXfilterDrill 5 4 4 2" xfId="7072"/>
    <cellStyle name="SAPBEXfilterDrill 5 4 5" xfId="7073"/>
    <cellStyle name="SAPBEXfilterDrill 5 4 5 2" xfId="7074"/>
    <cellStyle name="SAPBEXfilterDrill 5 4 6" xfId="7075"/>
    <cellStyle name="SAPBEXfilterDrill 5 5" xfId="7076"/>
    <cellStyle name="SAPBEXfilterDrill 5 5 2" xfId="7077"/>
    <cellStyle name="SAPBEXfilterDrill 5 6" xfId="7078"/>
    <cellStyle name="SAPBEXfilterDrill 5 6 2" xfId="7079"/>
    <cellStyle name="SAPBEXfilterDrill 5 7" xfId="7080"/>
    <cellStyle name="SAPBEXfilterDrill 5 7 2" xfId="7081"/>
    <cellStyle name="SAPBEXfilterDrill 5 8" xfId="7082"/>
    <cellStyle name="SAPBEXfilterDrill 5 8 2" xfId="7083"/>
    <cellStyle name="SAPBEXfilterDrill 5 9" xfId="7084"/>
    <cellStyle name="SAPBEXfilterDrill 5 9 2" xfId="7085"/>
    <cellStyle name="SAPBEXfilterDrill 6" xfId="7086"/>
    <cellStyle name="SAPBEXfilterDrill 6 2" xfId="7087"/>
    <cellStyle name="SAPBEXfilterDrill 6 2 2" xfId="7088"/>
    <cellStyle name="SAPBEXfilterDrill 6 3" xfId="7089"/>
    <cellStyle name="SAPBEXfilterDrill 6 3 2" xfId="7090"/>
    <cellStyle name="SAPBEXfilterDrill 6 4" xfId="7091"/>
    <cellStyle name="SAPBEXfilterDrill 6 4 2" xfId="7092"/>
    <cellStyle name="SAPBEXfilterDrill 6 5" xfId="7093"/>
    <cellStyle name="SAPBEXfilterDrill 6 5 2" xfId="7094"/>
    <cellStyle name="SAPBEXfilterDrill 6 6" xfId="7095"/>
    <cellStyle name="SAPBEXfilterDrill 6 6 2" xfId="7096"/>
    <cellStyle name="SAPBEXfilterDrill 6 7" xfId="7097"/>
    <cellStyle name="SAPBEXfilterDrill 7" xfId="7098"/>
    <cellStyle name="SAPBEXfilterDrill 7 2" xfId="7099"/>
    <cellStyle name="SAPBEXfilterDrill 7 2 2" xfId="7100"/>
    <cellStyle name="SAPBEXfilterDrill 7 3" xfId="7101"/>
    <cellStyle name="SAPBEXfilterDrill 7 3 2" xfId="7102"/>
    <cellStyle name="SAPBEXfilterDrill 7 4" xfId="7103"/>
    <cellStyle name="SAPBEXfilterDrill 7 4 2" xfId="7104"/>
    <cellStyle name="SAPBEXfilterDrill 7 5" xfId="7105"/>
    <cellStyle name="SAPBEXfilterDrill 7 5 2" xfId="7106"/>
    <cellStyle name="SAPBEXfilterDrill 7 6" xfId="7107"/>
    <cellStyle name="SAPBEXfilterDrill 7 6 2" xfId="7108"/>
    <cellStyle name="SAPBEXfilterDrill 7 7" xfId="7109"/>
    <cellStyle name="SAPBEXfilterDrill 8" xfId="7110"/>
    <cellStyle name="SAPBEXfilterDrill 8 2" xfId="7111"/>
    <cellStyle name="SAPBEXfilterDrill 8 2 2" xfId="7112"/>
    <cellStyle name="SAPBEXfilterDrill 8 3" xfId="7113"/>
    <cellStyle name="SAPBEXfilterDrill 8 3 2" xfId="7114"/>
    <cellStyle name="SAPBEXfilterDrill 8 4" xfId="7115"/>
    <cellStyle name="SAPBEXfilterDrill 8 4 2" xfId="7116"/>
    <cellStyle name="SAPBEXfilterDrill 8 5" xfId="7117"/>
    <cellStyle name="SAPBEXfilterDrill 8 5 2" xfId="7118"/>
    <cellStyle name="SAPBEXfilterDrill 8 6" xfId="7119"/>
    <cellStyle name="SAPBEXfilterDrill 8 6 2" xfId="7120"/>
    <cellStyle name="SAPBEXfilterDrill 8 7" xfId="7121"/>
    <cellStyle name="SAPBEXfilterDrill 9" xfId="7122"/>
    <cellStyle name="SAPBEXfilterDrill 9 2" xfId="7123"/>
    <cellStyle name="SAPBEXfilterDrill 9 2 2" xfId="7124"/>
    <cellStyle name="SAPBEXfilterDrill 9 3" xfId="7125"/>
    <cellStyle name="SAPBEXfilterDrill 9 3 2" xfId="7126"/>
    <cellStyle name="SAPBEXfilterDrill 9 4" xfId="7127"/>
    <cellStyle name="SAPBEXfilterDrill 9 4 2" xfId="7128"/>
    <cellStyle name="SAPBEXfilterDrill 9 5" xfId="7129"/>
    <cellStyle name="SAPBEXfilterDrill 9 5 2" xfId="7130"/>
    <cellStyle name="SAPBEXfilterDrill 9 6" xfId="7131"/>
    <cellStyle name="SAPBEXfilterItem" xfId="7132"/>
    <cellStyle name="SAPBEXfilterText" xfId="7133"/>
    <cellStyle name="SAPBEXformats" xfId="7134"/>
    <cellStyle name="SAPBEXformats 10" xfId="7135"/>
    <cellStyle name="SAPBEXformats 2" xfId="7136"/>
    <cellStyle name="SAPBEXformats 2 2" xfId="7137"/>
    <cellStyle name="SAPBEXformats 2 2 2" xfId="7138"/>
    <cellStyle name="SAPBEXformats 2 2 2 2" xfId="7139"/>
    <cellStyle name="SAPBEXformats 2 2 2 2 2" xfId="7140"/>
    <cellStyle name="SAPBEXformats 2 2 2 2 2 2" xfId="7141"/>
    <cellStyle name="SAPBEXformats 2 2 2 2 3" xfId="7142"/>
    <cellStyle name="SAPBEXformats 2 2 2 2 3 2" xfId="7143"/>
    <cellStyle name="SAPBEXformats 2 2 2 2 4" xfId="7144"/>
    <cellStyle name="SAPBEXformats 2 2 2 2 4 2" xfId="7145"/>
    <cellStyle name="SAPBEXformats 2 2 2 2 5" xfId="7146"/>
    <cellStyle name="SAPBEXformats 2 2 2 3" xfId="7147"/>
    <cellStyle name="SAPBEXformats 2 2 2 3 2" xfId="7148"/>
    <cellStyle name="SAPBEXformats 2 2 2 4" xfId="7149"/>
    <cellStyle name="SAPBEXformats 2 2 2 4 2" xfId="7150"/>
    <cellStyle name="SAPBEXformats 2 2 2 5" xfId="7151"/>
    <cellStyle name="SAPBEXformats 2 2 2 5 2" xfId="7152"/>
    <cellStyle name="SAPBEXformats 2 2 2 6" xfId="7153"/>
    <cellStyle name="SAPBEXformats 2 2 3" xfId="7154"/>
    <cellStyle name="SAPBEXformats 2 2 3 2" xfId="7155"/>
    <cellStyle name="SAPBEXformats 2 2 3 2 2" xfId="7156"/>
    <cellStyle name="SAPBEXformats 2 2 3 2 2 2" xfId="7157"/>
    <cellStyle name="SAPBEXformats 2 2 3 2 3" xfId="7158"/>
    <cellStyle name="SAPBEXformats 2 2 3 2 3 2" xfId="7159"/>
    <cellStyle name="SAPBEXformats 2 2 3 2 4" xfId="7160"/>
    <cellStyle name="SAPBEXformats 2 2 3 2 4 2" xfId="7161"/>
    <cellStyle name="SAPBEXformats 2 2 3 2 5" xfId="7162"/>
    <cellStyle name="SAPBEXformats 2 2 3 3" xfId="7163"/>
    <cellStyle name="SAPBEXformats 2 2 3 3 2" xfId="7164"/>
    <cellStyle name="SAPBEXformats 2 2 3 4" xfId="7165"/>
    <cellStyle name="SAPBEXformats 2 2 3 4 2" xfId="7166"/>
    <cellStyle name="SAPBEXformats 2 2 3 5" xfId="7167"/>
    <cellStyle name="SAPBEXformats 2 2 3 5 2" xfId="7168"/>
    <cellStyle name="SAPBEXformats 2 2 3 6" xfId="7169"/>
    <cellStyle name="SAPBEXformats 2 2 4" xfId="7170"/>
    <cellStyle name="SAPBEXformats 2 2 4 2" xfId="7171"/>
    <cellStyle name="SAPBEXformats 2 2 4 2 2" xfId="7172"/>
    <cellStyle name="SAPBEXformats 2 2 4 3" xfId="7173"/>
    <cellStyle name="SAPBEXformats 2 2 4 3 2" xfId="7174"/>
    <cellStyle name="SAPBEXformats 2 2 4 4" xfId="7175"/>
    <cellStyle name="SAPBEXformats 2 2 4 4 2" xfId="7176"/>
    <cellStyle name="SAPBEXformats 2 2 4 5" xfId="7177"/>
    <cellStyle name="SAPBEXformats 2 2 5" xfId="7178"/>
    <cellStyle name="SAPBEXformats 2 2 5 2" xfId="7179"/>
    <cellStyle name="SAPBEXformats 2 2 6" xfId="7180"/>
    <cellStyle name="SAPBEXformats 2 2 6 2" xfId="7181"/>
    <cellStyle name="SAPBEXformats 2 2 7" xfId="7182"/>
    <cellStyle name="SAPBEXformats 2 2 7 2" xfId="7183"/>
    <cellStyle name="SAPBEXformats 2 2 8" xfId="7184"/>
    <cellStyle name="SAPBEXformats 2 2 8 2" xfId="7185"/>
    <cellStyle name="SAPBEXformats 2 2 9" xfId="7186"/>
    <cellStyle name="SAPBEXformats 2 3" xfId="7187"/>
    <cellStyle name="SAPBEXformats 2 3 2" xfId="7188"/>
    <cellStyle name="SAPBEXformats 2 3 2 2" xfId="7189"/>
    <cellStyle name="SAPBEXformats 2 3 2 2 2" xfId="7190"/>
    <cellStyle name="SAPBEXformats 2 3 2 3" xfId="7191"/>
    <cellStyle name="SAPBEXformats 2 3 2 3 2" xfId="7192"/>
    <cellStyle name="SAPBEXformats 2 3 2 4" xfId="7193"/>
    <cellStyle name="SAPBEXformats 2 3 2 4 2" xfId="7194"/>
    <cellStyle name="SAPBEXformats 2 3 2 5" xfId="7195"/>
    <cellStyle name="SAPBEXformats 2 3 3" xfId="7196"/>
    <cellStyle name="SAPBEXformats 2 3 3 2" xfId="7197"/>
    <cellStyle name="SAPBEXformats 2 3 4" xfId="7198"/>
    <cellStyle name="SAPBEXformats 2 3 4 2" xfId="7199"/>
    <cellStyle name="SAPBEXformats 2 3 5" xfId="7200"/>
    <cellStyle name="SAPBEXformats 2 3 5 2" xfId="7201"/>
    <cellStyle name="SAPBEXformats 2 3 6" xfId="7202"/>
    <cellStyle name="SAPBEXformats 2 4" xfId="7203"/>
    <cellStyle name="SAPBEXformats 2 4 2" xfId="7204"/>
    <cellStyle name="SAPBEXformats 2 4 2 2" xfId="7205"/>
    <cellStyle name="SAPBEXformats 2 4 2 2 2" xfId="7206"/>
    <cellStyle name="SAPBEXformats 2 4 2 3" xfId="7207"/>
    <cellStyle name="SAPBEXformats 2 4 2 3 2" xfId="7208"/>
    <cellStyle name="SAPBEXformats 2 4 2 4" xfId="7209"/>
    <cellStyle name="SAPBEXformats 2 4 2 4 2" xfId="7210"/>
    <cellStyle name="SAPBEXformats 2 4 2 5" xfId="7211"/>
    <cellStyle name="SAPBEXformats 2 4 3" xfId="7212"/>
    <cellStyle name="SAPBEXformats 2 4 3 2" xfId="7213"/>
    <cellStyle name="SAPBEXformats 2 4 4" xfId="7214"/>
    <cellStyle name="SAPBEXformats 2 4 4 2" xfId="7215"/>
    <cellStyle name="SAPBEXformats 2 4 5" xfId="7216"/>
    <cellStyle name="SAPBEXformats 2 4 5 2" xfId="7217"/>
    <cellStyle name="SAPBEXformats 2 4 6" xfId="7218"/>
    <cellStyle name="SAPBEXformats 2 5" xfId="7219"/>
    <cellStyle name="SAPBEXformats 2 5 2" xfId="7220"/>
    <cellStyle name="SAPBEXformats 2 5 2 2" xfId="7221"/>
    <cellStyle name="SAPBEXformats 2 5 3" xfId="7222"/>
    <cellStyle name="SAPBEXformats 2 5 3 2" xfId="7223"/>
    <cellStyle name="SAPBEXformats 2 5 4" xfId="7224"/>
    <cellStyle name="SAPBEXformats 2 5 4 2" xfId="7225"/>
    <cellStyle name="SAPBEXformats 2 5 5" xfId="7226"/>
    <cellStyle name="SAPBEXformats 2 6" xfId="7227"/>
    <cellStyle name="SAPBEXformats 2 6 2" xfId="7228"/>
    <cellStyle name="SAPBEXformats 2 7" xfId="7229"/>
    <cellStyle name="SAPBEXformats 2 7 2" xfId="7230"/>
    <cellStyle name="SAPBEXformats 2 8" xfId="7231"/>
    <cellStyle name="SAPBEXformats 2 8 2" xfId="7232"/>
    <cellStyle name="SAPBEXformats 2 9" xfId="7233"/>
    <cellStyle name="SAPBEXformats 3" xfId="7234"/>
    <cellStyle name="SAPBEXformats 3 2" xfId="7235"/>
    <cellStyle name="SAPBEXformats 3 2 2" xfId="7236"/>
    <cellStyle name="SAPBEXformats 3 2 2 2" xfId="7237"/>
    <cellStyle name="SAPBEXformats 3 2 2 2 2" xfId="7238"/>
    <cellStyle name="SAPBEXformats 3 2 2 3" xfId="7239"/>
    <cellStyle name="SAPBEXformats 3 2 2 3 2" xfId="7240"/>
    <cellStyle name="SAPBEXformats 3 2 2 4" xfId="7241"/>
    <cellStyle name="SAPBEXformats 3 2 2 4 2" xfId="7242"/>
    <cellStyle name="SAPBEXformats 3 2 2 5" xfId="7243"/>
    <cellStyle name="SAPBEXformats 3 2 3" xfId="7244"/>
    <cellStyle name="SAPBEXformats 3 2 3 2" xfId="7245"/>
    <cellStyle name="SAPBEXformats 3 2 4" xfId="7246"/>
    <cellStyle name="SAPBEXformats 3 2 4 2" xfId="7247"/>
    <cellStyle name="SAPBEXformats 3 2 5" xfId="7248"/>
    <cellStyle name="SAPBEXformats 3 2 5 2" xfId="7249"/>
    <cellStyle name="SAPBEXformats 3 2 6" xfId="7250"/>
    <cellStyle name="SAPBEXformats 3 3" xfId="7251"/>
    <cellStyle name="SAPBEXformats 3 3 2" xfId="7252"/>
    <cellStyle name="SAPBEXformats 3 3 2 2" xfId="7253"/>
    <cellStyle name="SAPBEXformats 3 3 2 2 2" xfId="7254"/>
    <cellStyle name="SAPBEXformats 3 3 2 3" xfId="7255"/>
    <cellStyle name="SAPBEXformats 3 3 2 3 2" xfId="7256"/>
    <cellStyle name="SAPBEXformats 3 3 2 4" xfId="7257"/>
    <cellStyle name="SAPBEXformats 3 3 2 4 2" xfId="7258"/>
    <cellStyle name="SAPBEXformats 3 3 2 5" xfId="7259"/>
    <cellStyle name="SAPBEXformats 3 3 3" xfId="7260"/>
    <cellStyle name="SAPBEXformats 3 3 3 2" xfId="7261"/>
    <cellStyle name="SAPBEXformats 3 3 4" xfId="7262"/>
    <cellStyle name="SAPBEXformats 3 3 4 2" xfId="7263"/>
    <cellStyle name="SAPBEXformats 3 3 5" xfId="7264"/>
    <cellStyle name="SAPBEXformats 3 3 5 2" xfId="7265"/>
    <cellStyle name="SAPBEXformats 3 3 6" xfId="7266"/>
    <cellStyle name="SAPBEXformats 3 4" xfId="7267"/>
    <cellStyle name="SAPBEXformats 3 4 2" xfId="7268"/>
    <cellStyle name="SAPBEXformats 3 4 2 2" xfId="7269"/>
    <cellStyle name="SAPBEXformats 3 4 3" xfId="7270"/>
    <cellStyle name="SAPBEXformats 3 4 3 2" xfId="7271"/>
    <cellStyle name="SAPBEXformats 3 4 4" xfId="7272"/>
    <cellStyle name="SAPBEXformats 3 4 4 2" xfId="7273"/>
    <cellStyle name="SAPBEXformats 3 4 5" xfId="7274"/>
    <cellStyle name="SAPBEXformats 3 5" xfId="7275"/>
    <cellStyle name="SAPBEXformats 3 5 2" xfId="7276"/>
    <cellStyle name="SAPBEXformats 3 6" xfId="7277"/>
    <cellStyle name="SAPBEXformats 3 6 2" xfId="7278"/>
    <cellStyle name="SAPBEXformats 3 7" xfId="7279"/>
    <cellStyle name="SAPBEXformats 3 7 2" xfId="7280"/>
    <cellStyle name="SAPBEXformats 3 8" xfId="7281"/>
    <cellStyle name="SAPBEXformats 3 8 2" xfId="7282"/>
    <cellStyle name="SAPBEXformats 3 9" xfId="7283"/>
    <cellStyle name="SAPBEXformats 4" xfId="7284"/>
    <cellStyle name="SAPBEXformats 4 2" xfId="7285"/>
    <cellStyle name="SAPBEXformats 4 2 2" xfId="7286"/>
    <cellStyle name="SAPBEXformats 4 2 2 2" xfId="7287"/>
    <cellStyle name="SAPBEXformats 4 2 3" xfId="7288"/>
    <cellStyle name="SAPBEXformats 4 2 3 2" xfId="7289"/>
    <cellStyle name="SAPBEXformats 4 2 4" xfId="7290"/>
    <cellStyle name="SAPBEXformats 4 2 4 2" xfId="7291"/>
    <cellStyle name="SAPBEXformats 4 2 5" xfId="7292"/>
    <cellStyle name="SAPBEXformats 4 3" xfId="7293"/>
    <cellStyle name="SAPBEXformats 4 3 2" xfId="7294"/>
    <cellStyle name="SAPBEXformats 4 4" xfId="7295"/>
    <cellStyle name="SAPBEXformats 4 4 2" xfId="7296"/>
    <cellStyle name="SAPBEXformats 4 5" xfId="7297"/>
    <cellStyle name="SAPBEXformats 4 5 2" xfId="7298"/>
    <cellStyle name="SAPBEXformats 4 6" xfId="7299"/>
    <cellStyle name="SAPBEXformats 5" xfId="7300"/>
    <cellStyle name="SAPBEXformats 5 2" xfId="7301"/>
    <cellStyle name="SAPBEXformats 5 2 2" xfId="7302"/>
    <cellStyle name="SAPBEXformats 5 2 2 2" xfId="7303"/>
    <cellStyle name="SAPBEXformats 5 2 3" xfId="7304"/>
    <cellStyle name="SAPBEXformats 5 2 3 2" xfId="7305"/>
    <cellStyle name="SAPBEXformats 5 2 4" xfId="7306"/>
    <cellStyle name="SAPBEXformats 5 2 4 2" xfId="7307"/>
    <cellStyle name="SAPBEXformats 5 2 5" xfId="7308"/>
    <cellStyle name="SAPBEXformats 5 3" xfId="7309"/>
    <cellStyle name="SAPBEXformats 5 3 2" xfId="7310"/>
    <cellStyle name="SAPBEXformats 5 4" xfId="7311"/>
    <cellStyle name="SAPBEXformats 5 4 2" xfId="7312"/>
    <cellStyle name="SAPBEXformats 5 5" xfId="7313"/>
    <cellStyle name="SAPBEXformats 5 5 2" xfId="7314"/>
    <cellStyle name="SAPBEXformats 5 6" xfId="7315"/>
    <cellStyle name="SAPBEXformats 6" xfId="7316"/>
    <cellStyle name="SAPBEXformats 6 2" xfId="7317"/>
    <cellStyle name="SAPBEXformats 6 2 2" xfId="7318"/>
    <cellStyle name="SAPBEXformats 6 3" xfId="7319"/>
    <cellStyle name="SAPBEXformats 6 3 2" xfId="7320"/>
    <cellStyle name="SAPBEXformats 6 4" xfId="7321"/>
    <cellStyle name="SAPBEXformats 6 4 2" xfId="7322"/>
    <cellStyle name="SAPBEXformats 6 5" xfId="7323"/>
    <cellStyle name="SAPBEXformats 7" xfId="7324"/>
    <cellStyle name="SAPBEXformats 7 2" xfId="7325"/>
    <cellStyle name="SAPBEXformats 8" xfId="7326"/>
    <cellStyle name="SAPBEXformats 8 2" xfId="7327"/>
    <cellStyle name="SAPBEXformats 9" xfId="7328"/>
    <cellStyle name="SAPBEXformats 9 2" xfId="7329"/>
    <cellStyle name="SAPBEXheaderItem" xfId="7330"/>
    <cellStyle name="SAPBEXheaderText" xfId="7331"/>
    <cellStyle name="SAPBEXHLevel0" xfId="7332"/>
    <cellStyle name="SAPBEXHLevel0 10" xfId="7333"/>
    <cellStyle name="SAPBEXHLevel0 2" xfId="7334"/>
    <cellStyle name="SAPBEXHLevel0 2 2" xfId="7335"/>
    <cellStyle name="SAPBEXHLevel0 2 2 2" xfId="7336"/>
    <cellStyle name="SAPBEXHLevel0 2 2 2 2" xfId="7337"/>
    <cellStyle name="SAPBEXHLevel0 2 2 2 2 2" xfId="7338"/>
    <cellStyle name="SAPBEXHLevel0 2 2 2 2 2 2" xfId="7339"/>
    <cellStyle name="SAPBEXHLevel0 2 2 2 2 3" xfId="7340"/>
    <cellStyle name="SAPBEXHLevel0 2 2 2 2 3 2" xfId="7341"/>
    <cellStyle name="SAPBEXHLevel0 2 2 2 2 4" xfId="7342"/>
    <cellStyle name="SAPBEXHLevel0 2 2 2 2 4 2" xfId="7343"/>
    <cellStyle name="SAPBEXHLevel0 2 2 2 2 5" xfId="7344"/>
    <cellStyle name="SAPBEXHLevel0 2 2 2 3" xfId="7345"/>
    <cellStyle name="SAPBEXHLevel0 2 2 2 3 2" xfId="7346"/>
    <cellStyle name="SAPBEXHLevel0 2 2 2 4" xfId="7347"/>
    <cellStyle name="SAPBEXHLevel0 2 2 2 4 2" xfId="7348"/>
    <cellStyle name="SAPBEXHLevel0 2 2 2 5" xfId="7349"/>
    <cellStyle name="SAPBEXHLevel0 2 2 2 5 2" xfId="7350"/>
    <cellStyle name="SAPBEXHLevel0 2 2 2 6" xfId="7351"/>
    <cellStyle name="SAPBEXHLevel0 2 2 3" xfId="7352"/>
    <cellStyle name="SAPBEXHLevel0 2 2 3 2" xfId="7353"/>
    <cellStyle name="SAPBEXHLevel0 2 2 3 2 2" xfId="7354"/>
    <cellStyle name="SAPBEXHLevel0 2 2 3 2 2 2" xfId="7355"/>
    <cellStyle name="SAPBEXHLevel0 2 2 3 2 3" xfId="7356"/>
    <cellStyle name="SAPBEXHLevel0 2 2 3 2 3 2" xfId="7357"/>
    <cellStyle name="SAPBEXHLevel0 2 2 3 2 4" xfId="7358"/>
    <cellStyle name="SAPBEXHLevel0 2 2 3 2 4 2" xfId="7359"/>
    <cellStyle name="SAPBEXHLevel0 2 2 3 2 5" xfId="7360"/>
    <cellStyle name="SAPBEXHLevel0 2 2 3 3" xfId="7361"/>
    <cellStyle name="SAPBEXHLevel0 2 2 3 3 2" xfId="7362"/>
    <cellStyle name="SAPBEXHLevel0 2 2 3 4" xfId="7363"/>
    <cellStyle name="SAPBEXHLevel0 2 2 3 4 2" xfId="7364"/>
    <cellStyle name="SAPBEXHLevel0 2 2 3 5" xfId="7365"/>
    <cellStyle name="SAPBEXHLevel0 2 2 3 5 2" xfId="7366"/>
    <cellStyle name="SAPBEXHLevel0 2 2 3 6" xfId="7367"/>
    <cellStyle name="SAPBEXHLevel0 2 2 4" xfId="7368"/>
    <cellStyle name="SAPBEXHLevel0 2 2 4 2" xfId="7369"/>
    <cellStyle name="SAPBEXHLevel0 2 2 4 2 2" xfId="7370"/>
    <cellStyle name="SAPBEXHLevel0 2 2 4 3" xfId="7371"/>
    <cellStyle name="SAPBEXHLevel0 2 2 4 3 2" xfId="7372"/>
    <cellStyle name="SAPBEXHLevel0 2 2 4 4" xfId="7373"/>
    <cellStyle name="SAPBEXHLevel0 2 2 4 4 2" xfId="7374"/>
    <cellStyle name="SAPBEXHLevel0 2 2 4 5" xfId="7375"/>
    <cellStyle name="SAPBEXHLevel0 2 2 5" xfId="7376"/>
    <cellStyle name="SAPBEXHLevel0 2 2 5 2" xfId="7377"/>
    <cellStyle name="SAPBEXHLevel0 2 2 6" xfId="7378"/>
    <cellStyle name="SAPBEXHLevel0 2 2 6 2" xfId="7379"/>
    <cellStyle name="SAPBEXHLevel0 2 2 7" xfId="7380"/>
    <cellStyle name="SAPBEXHLevel0 2 2 7 2" xfId="7381"/>
    <cellStyle name="SAPBEXHLevel0 2 2 8" xfId="7382"/>
    <cellStyle name="SAPBEXHLevel0 2 2 8 2" xfId="7383"/>
    <cellStyle name="SAPBEXHLevel0 2 2 9" xfId="7384"/>
    <cellStyle name="SAPBEXHLevel0 2 3" xfId="7385"/>
    <cellStyle name="SAPBEXHLevel0 2 3 2" xfId="7386"/>
    <cellStyle name="SAPBEXHLevel0 2 3 2 2" xfId="7387"/>
    <cellStyle name="SAPBEXHLevel0 2 3 2 2 2" xfId="7388"/>
    <cellStyle name="SAPBEXHLevel0 2 3 2 3" xfId="7389"/>
    <cellStyle name="SAPBEXHLevel0 2 3 2 3 2" xfId="7390"/>
    <cellStyle name="SAPBEXHLevel0 2 3 2 4" xfId="7391"/>
    <cellStyle name="SAPBEXHLevel0 2 3 2 4 2" xfId="7392"/>
    <cellStyle name="SAPBEXHLevel0 2 3 2 5" xfId="7393"/>
    <cellStyle name="SAPBEXHLevel0 2 3 3" xfId="7394"/>
    <cellStyle name="SAPBEXHLevel0 2 3 3 2" xfId="7395"/>
    <cellStyle name="SAPBEXHLevel0 2 3 4" xfId="7396"/>
    <cellStyle name="SAPBEXHLevel0 2 3 4 2" xfId="7397"/>
    <cellStyle name="SAPBEXHLevel0 2 3 5" xfId="7398"/>
    <cellStyle name="SAPBEXHLevel0 2 3 5 2" xfId="7399"/>
    <cellStyle name="SAPBEXHLevel0 2 3 6" xfId="7400"/>
    <cellStyle name="SAPBEXHLevel0 2 4" xfId="7401"/>
    <cellStyle name="SAPBEXHLevel0 2 4 2" xfId="7402"/>
    <cellStyle name="SAPBEXHLevel0 2 4 2 2" xfId="7403"/>
    <cellStyle name="SAPBEXHLevel0 2 4 2 2 2" xfId="7404"/>
    <cellStyle name="SAPBEXHLevel0 2 4 2 3" xfId="7405"/>
    <cellStyle name="SAPBEXHLevel0 2 4 2 3 2" xfId="7406"/>
    <cellStyle name="SAPBEXHLevel0 2 4 2 4" xfId="7407"/>
    <cellStyle name="SAPBEXHLevel0 2 4 2 4 2" xfId="7408"/>
    <cellStyle name="SAPBEXHLevel0 2 4 2 5" xfId="7409"/>
    <cellStyle name="SAPBEXHLevel0 2 4 3" xfId="7410"/>
    <cellStyle name="SAPBEXHLevel0 2 4 3 2" xfId="7411"/>
    <cellStyle name="SAPBEXHLevel0 2 4 4" xfId="7412"/>
    <cellStyle name="SAPBEXHLevel0 2 4 4 2" xfId="7413"/>
    <cellStyle name="SAPBEXHLevel0 2 4 5" xfId="7414"/>
    <cellStyle name="SAPBEXHLevel0 2 4 5 2" xfId="7415"/>
    <cellStyle name="SAPBEXHLevel0 2 4 6" xfId="7416"/>
    <cellStyle name="SAPBEXHLevel0 2 5" xfId="7417"/>
    <cellStyle name="SAPBEXHLevel0 2 5 2" xfId="7418"/>
    <cellStyle name="SAPBEXHLevel0 2 5 2 2" xfId="7419"/>
    <cellStyle name="SAPBEXHLevel0 2 5 3" xfId="7420"/>
    <cellStyle name="SAPBEXHLevel0 2 5 3 2" xfId="7421"/>
    <cellStyle name="SAPBEXHLevel0 2 5 4" xfId="7422"/>
    <cellStyle name="SAPBEXHLevel0 2 5 4 2" xfId="7423"/>
    <cellStyle name="SAPBEXHLevel0 2 5 5" xfId="7424"/>
    <cellStyle name="SAPBEXHLevel0 2 6" xfId="7425"/>
    <cellStyle name="SAPBEXHLevel0 2 6 2" xfId="7426"/>
    <cellStyle name="SAPBEXHLevel0 2 7" xfId="7427"/>
    <cellStyle name="SAPBEXHLevel0 2 7 2" xfId="7428"/>
    <cellStyle name="SAPBEXHLevel0 2 8" xfId="7429"/>
    <cellStyle name="SAPBEXHLevel0 2 8 2" xfId="7430"/>
    <cellStyle name="SAPBEXHLevel0 2 9" xfId="7431"/>
    <cellStyle name="SAPBEXHLevel0 3" xfId="7432"/>
    <cellStyle name="SAPBEXHLevel0 3 2" xfId="7433"/>
    <cellStyle name="SAPBEXHLevel0 3 2 2" xfId="7434"/>
    <cellStyle name="SAPBEXHLevel0 3 2 2 2" xfId="7435"/>
    <cellStyle name="SAPBEXHLevel0 3 2 2 2 2" xfId="7436"/>
    <cellStyle name="SAPBEXHLevel0 3 2 2 3" xfId="7437"/>
    <cellStyle name="SAPBEXHLevel0 3 2 2 3 2" xfId="7438"/>
    <cellStyle name="SAPBEXHLevel0 3 2 2 4" xfId="7439"/>
    <cellStyle name="SAPBEXHLevel0 3 2 2 4 2" xfId="7440"/>
    <cellStyle name="SAPBEXHLevel0 3 2 2 5" xfId="7441"/>
    <cellStyle name="SAPBEXHLevel0 3 2 3" xfId="7442"/>
    <cellStyle name="SAPBEXHLevel0 3 2 3 2" xfId="7443"/>
    <cellStyle name="SAPBEXHLevel0 3 2 4" xfId="7444"/>
    <cellStyle name="SAPBEXHLevel0 3 2 4 2" xfId="7445"/>
    <cellStyle name="SAPBEXHLevel0 3 2 5" xfId="7446"/>
    <cellStyle name="SAPBEXHLevel0 3 2 5 2" xfId="7447"/>
    <cellStyle name="SAPBEXHLevel0 3 2 6" xfId="7448"/>
    <cellStyle name="SAPBEXHLevel0 3 3" xfId="7449"/>
    <cellStyle name="SAPBEXHLevel0 3 3 2" xfId="7450"/>
    <cellStyle name="SAPBEXHLevel0 3 3 2 2" xfId="7451"/>
    <cellStyle name="SAPBEXHLevel0 3 3 2 2 2" xfId="7452"/>
    <cellStyle name="SAPBEXHLevel0 3 3 2 3" xfId="7453"/>
    <cellStyle name="SAPBEXHLevel0 3 3 2 3 2" xfId="7454"/>
    <cellStyle name="SAPBEXHLevel0 3 3 2 4" xfId="7455"/>
    <cellStyle name="SAPBEXHLevel0 3 3 2 4 2" xfId="7456"/>
    <cellStyle name="SAPBEXHLevel0 3 3 2 5" xfId="7457"/>
    <cellStyle name="SAPBEXHLevel0 3 3 3" xfId="7458"/>
    <cellStyle name="SAPBEXHLevel0 3 3 3 2" xfId="7459"/>
    <cellStyle name="SAPBEXHLevel0 3 3 4" xfId="7460"/>
    <cellStyle name="SAPBEXHLevel0 3 3 4 2" xfId="7461"/>
    <cellStyle name="SAPBEXHLevel0 3 3 5" xfId="7462"/>
    <cellStyle name="SAPBEXHLevel0 3 3 5 2" xfId="7463"/>
    <cellStyle name="SAPBEXHLevel0 3 3 6" xfId="7464"/>
    <cellStyle name="SAPBEXHLevel0 3 4" xfId="7465"/>
    <cellStyle name="SAPBEXHLevel0 3 4 2" xfId="7466"/>
    <cellStyle name="SAPBEXHLevel0 3 4 2 2" xfId="7467"/>
    <cellStyle name="SAPBEXHLevel0 3 4 3" xfId="7468"/>
    <cellStyle name="SAPBEXHLevel0 3 4 3 2" xfId="7469"/>
    <cellStyle name="SAPBEXHLevel0 3 4 4" xfId="7470"/>
    <cellStyle name="SAPBEXHLevel0 3 4 4 2" xfId="7471"/>
    <cellStyle name="SAPBEXHLevel0 3 4 5" xfId="7472"/>
    <cellStyle name="SAPBEXHLevel0 3 5" xfId="7473"/>
    <cellStyle name="SAPBEXHLevel0 3 5 2" xfId="7474"/>
    <cellStyle name="SAPBEXHLevel0 3 6" xfId="7475"/>
    <cellStyle name="SAPBEXHLevel0 3 6 2" xfId="7476"/>
    <cellStyle name="SAPBEXHLevel0 3 7" xfId="7477"/>
    <cellStyle name="SAPBEXHLevel0 3 7 2" xfId="7478"/>
    <cellStyle name="SAPBEXHLevel0 3 8" xfId="7479"/>
    <cellStyle name="SAPBEXHLevel0 3 8 2" xfId="7480"/>
    <cellStyle name="SAPBEXHLevel0 3 9" xfId="7481"/>
    <cellStyle name="SAPBEXHLevel0 4" xfId="7482"/>
    <cellStyle name="SAPBEXHLevel0 4 2" xfId="7483"/>
    <cellStyle name="SAPBEXHLevel0 4 2 2" xfId="7484"/>
    <cellStyle name="SAPBEXHLevel0 4 2 2 2" xfId="7485"/>
    <cellStyle name="SAPBEXHLevel0 4 2 3" xfId="7486"/>
    <cellStyle name="SAPBEXHLevel0 4 2 3 2" xfId="7487"/>
    <cellStyle name="SAPBEXHLevel0 4 2 4" xfId="7488"/>
    <cellStyle name="SAPBEXHLevel0 4 2 4 2" xfId="7489"/>
    <cellStyle name="SAPBEXHLevel0 4 2 5" xfId="7490"/>
    <cellStyle name="SAPBEXHLevel0 4 3" xfId="7491"/>
    <cellStyle name="SAPBEXHLevel0 4 3 2" xfId="7492"/>
    <cellStyle name="SAPBEXHLevel0 4 4" xfId="7493"/>
    <cellStyle name="SAPBEXHLevel0 4 4 2" xfId="7494"/>
    <cellStyle name="SAPBEXHLevel0 4 5" xfId="7495"/>
    <cellStyle name="SAPBEXHLevel0 4 5 2" xfId="7496"/>
    <cellStyle name="SAPBEXHLevel0 4 6" xfId="7497"/>
    <cellStyle name="SAPBEXHLevel0 5" xfId="7498"/>
    <cellStyle name="SAPBEXHLevel0 5 2" xfId="7499"/>
    <cellStyle name="SAPBEXHLevel0 5 2 2" xfId="7500"/>
    <cellStyle name="SAPBEXHLevel0 5 2 2 2" xfId="7501"/>
    <cellStyle name="SAPBEXHLevel0 5 2 3" xfId="7502"/>
    <cellStyle name="SAPBEXHLevel0 5 2 3 2" xfId="7503"/>
    <cellStyle name="SAPBEXHLevel0 5 2 4" xfId="7504"/>
    <cellStyle name="SAPBEXHLevel0 5 2 4 2" xfId="7505"/>
    <cellStyle name="SAPBEXHLevel0 5 2 5" xfId="7506"/>
    <cellStyle name="SAPBEXHLevel0 5 3" xfId="7507"/>
    <cellStyle name="SAPBEXHLevel0 5 3 2" xfId="7508"/>
    <cellStyle name="SAPBEXHLevel0 5 4" xfId="7509"/>
    <cellStyle name="SAPBEXHLevel0 5 4 2" xfId="7510"/>
    <cellStyle name="SAPBEXHLevel0 5 5" xfId="7511"/>
    <cellStyle name="SAPBEXHLevel0 5 5 2" xfId="7512"/>
    <cellStyle name="SAPBEXHLevel0 5 6" xfId="7513"/>
    <cellStyle name="SAPBEXHLevel0 6" xfId="7514"/>
    <cellStyle name="SAPBEXHLevel0 6 2" xfId="7515"/>
    <cellStyle name="SAPBEXHLevel0 6 2 2" xfId="7516"/>
    <cellStyle name="SAPBEXHLevel0 6 3" xfId="7517"/>
    <cellStyle name="SAPBEXHLevel0 6 3 2" xfId="7518"/>
    <cellStyle name="SAPBEXHLevel0 6 4" xfId="7519"/>
    <cellStyle name="SAPBEXHLevel0 6 4 2" xfId="7520"/>
    <cellStyle name="SAPBEXHLevel0 6 5" xfId="7521"/>
    <cellStyle name="SAPBEXHLevel0 7" xfId="7522"/>
    <cellStyle name="SAPBEXHLevel0 7 2" xfId="7523"/>
    <cellStyle name="SAPBEXHLevel0 8" xfId="7524"/>
    <cellStyle name="SAPBEXHLevel0 8 2" xfId="7525"/>
    <cellStyle name="SAPBEXHLevel0 9" xfId="7526"/>
    <cellStyle name="SAPBEXHLevel0 9 2" xfId="7527"/>
    <cellStyle name="SAPBEXHLevel0X" xfId="7528"/>
    <cellStyle name="SAPBEXHLevel0X 10" xfId="7529"/>
    <cellStyle name="SAPBEXHLevel0X 2" xfId="7530"/>
    <cellStyle name="SAPBEXHLevel0X 2 2" xfId="7531"/>
    <cellStyle name="SAPBEXHLevel0X 2 2 2" xfId="7532"/>
    <cellStyle name="SAPBEXHLevel0X 2 2 2 2" xfId="7533"/>
    <cellStyle name="SAPBEXHLevel0X 2 2 2 2 2" xfId="7534"/>
    <cellStyle name="SAPBEXHLevel0X 2 2 2 2 2 2" xfId="7535"/>
    <cellStyle name="SAPBEXHLevel0X 2 2 2 2 3" xfId="7536"/>
    <cellStyle name="SAPBEXHLevel0X 2 2 2 2 3 2" xfId="7537"/>
    <cellStyle name="SAPBEXHLevel0X 2 2 2 2 4" xfId="7538"/>
    <cellStyle name="SAPBEXHLevel0X 2 2 2 2 4 2" xfId="7539"/>
    <cellStyle name="SAPBEXHLevel0X 2 2 2 2 5" xfId="7540"/>
    <cellStyle name="SAPBEXHLevel0X 2 2 2 3" xfId="7541"/>
    <cellStyle name="SAPBEXHLevel0X 2 2 2 3 2" xfId="7542"/>
    <cellStyle name="SAPBEXHLevel0X 2 2 2 4" xfId="7543"/>
    <cellStyle name="SAPBEXHLevel0X 2 2 2 4 2" xfId="7544"/>
    <cellStyle name="SAPBEXHLevel0X 2 2 2 5" xfId="7545"/>
    <cellStyle name="SAPBEXHLevel0X 2 2 2 5 2" xfId="7546"/>
    <cellStyle name="SAPBEXHLevel0X 2 2 2 6" xfId="7547"/>
    <cellStyle name="SAPBEXHLevel0X 2 2 3" xfId="7548"/>
    <cellStyle name="SAPBEXHLevel0X 2 2 3 2" xfId="7549"/>
    <cellStyle name="SAPBEXHLevel0X 2 2 3 2 2" xfId="7550"/>
    <cellStyle name="SAPBEXHLevel0X 2 2 3 2 2 2" xfId="7551"/>
    <cellStyle name="SAPBEXHLevel0X 2 2 3 2 3" xfId="7552"/>
    <cellStyle name="SAPBEXHLevel0X 2 2 3 2 3 2" xfId="7553"/>
    <cellStyle name="SAPBEXHLevel0X 2 2 3 2 4" xfId="7554"/>
    <cellStyle name="SAPBEXHLevel0X 2 2 3 2 4 2" xfId="7555"/>
    <cellStyle name="SAPBEXHLevel0X 2 2 3 2 5" xfId="7556"/>
    <cellStyle name="SAPBEXHLevel0X 2 2 3 3" xfId="7557"/>
    <cellStyle name="SAPBEXHLevel0X 2 2 3 3 2" xfId="7558"/>
    <cellStyle name="SAPBEXHLevel0X 2 2 3 4" xfId="7559"/>
    <cellStyle name="SAPBEXHLevel0X 2 2 3 4 2" xfId="7560"/>
    <cellStyle name="SAPBEXHLevel0X 2 2 3 5" xfId="7561"/>
    <cellStyle name="SAPBEXHLevel0X 2 2 3 5 2" xfId="7562"/>
    <cellStyle name="SAPBEXHLevel0X 2 2 3 6" xfId="7563"/>
    <cellStyle name="SAPBEXHLevel0X 2 2 4" xfId="7564"/>
    <cellStyle name="SAPBEXHLevel0X 2 2 4 2" xfId="7565"/>
    <cellStyle name="SAPBEXHLevel0X 2 2 4 2 2" xfId="7566"/>
    <cellStyle name="SAPBEXHLevel0X 2 2 4 3" xfId="7567"/>
    <cellStyle name="SAPBEXHLevel0X 2 2 4 3 2" xfId="7568"/>
    <cellStyle name="SAPBEXHLevel0X 2 2 4 4" xfId="7569"/>
    <cellStyle name="SAPBEXHLevel0X 2 2 4 4 2" xfId="7570"/>
    <cellStyle name="SAPBEXHLevel0X 2 2 4 5" xfId="7571"/>
    <cellStyle name="SAPBEXHLevel0X 2 2 5" xfId="7572"/>
    <cellStyle name="SAPBEXHLevel0X 2 2 5 2" xfId="7573"/>
    <cellStyle name="SAPBEXHLevel0X 2 2 6" xfId="7574"/>
    <cellStyle name="SAPBEXHLevel0X 2 2 6 2" xfId="7575"/>
    <cellStyle name="SAPBEXHLevel0X 2 2 7" xfId="7576"/>
    <cellStyle name="SAPBEXHLevel0X 2 2 7 2" xfId="7577"/>
    <cellStyle name="SAPBEXHLevel0X 2 2 8" xfId="7578"/>
    <cellStyle name="SAPBEXHLevel0X 2 2 8 2" xfId="7579"/>
    <cellStyle name="SAPBEXHLevel0X 2 2 9" xfId="7580"/>
    <cellStyle name="SAPBEXHLevel0X 2 3" xfId="7581"/>
    <cellStyle name="SAPBEXHLevel0X 2 3 2" xfId="7582"/>
    <cellStyle name="SAPBEXHLevel0X 2 3 2 2" xfId="7583"/>
    <cellStyle name="SAPBEXHLevel0X 2 3 2 2 2" xfId="7584"/>
    <cellStyle name="SAPBEXHLevel0X 2 3 2 3" xfId="7585"/>
    <cellStyle name="SAPBEXHLevel0X 2 3 2 3 2" xfId="7586"/>
    <cellStyle name="SAPBEXHLevel0X 2 3 2 4" xfId="7587"/>
    <cellStyle name="SAPBEXHLevel0X 2 3 2 4 2" xfId="7588"/>
    <cellStyle name="SAPBEXHLevel0X 2 3 2 5" xfId="7589"/>
    <cellStyle name="SAPBEXHLevel0X 2 3 3" xfId="7590"/>
    <cellStyle name="SAPBEXHLevel0X 2 3 3 2" xfId="7591"/>
    <cellStyle name="SAPBEXHLevel0X 2 3 4" xfId="7592"/>
    <cellStyle name="SAPBEXHLevel0X 2 3 4 2" xfId="7593"/>
    <cellStyle name="SAPBEXHLevel0X 2 3 5" xfId="7594"/>
    <cellStyle name="SAPBEXHLevel0X 2 3 5 2" xfId="7595"/>
    <cellStyle name="SAPBEXHLevel0X 2 3 6" xfId="7596"/>
    <cellStyle name="SAPBEXHLevel0X 2 4" xfId="7597"/>
    <cellStyle name="SAPBEXHLevel0X 2 4 2" xfId="7598"/>
    <cellStyle name="SAPBEXHLevel0X 2 4 2 2" xfId="7599"/>
    <cellStyle name="SAPBEXHLevel0X 2 4 2 2 2" xfId="7600"/>
    <cellStyle name="SAPBEXHLevel0X 2 4 2 3" xfId="7601"/>
    <cellStyle name="SAPBEXHLevel0X 2 4 2 3 2" xfId="7602"/>
    <cellStyle name="SAPBEXHLevel0X 2 4 2 4" xfId="7603"/>
    <cellStyle name="SAPBEXHLevel0X 2 4 2 4 2" xfId="7604"/>
    <cellStyle name="SAPBEXHLevel0X 2 4 2 5" xfId="7605"/>
    <cellStyle name="SAPBEXHLevel0X 2 4 3" xfId="7606"/>
    <cellStyle name="SAPBEXHLevel0X 2 4 3 2" xfId="7607"/>
    <cellStyle name="SAPBEXHLevel0X 2 4 4" xfId="7608"/>
    <cellStyle name="SAPBEXHLevel0X 2 4 4 2" xfId="7609"/>
    <cellStyle name="SAPBEXHLevel0X 2 4 5" xfId="7610"/>
    <cellStyle name="SAPBEXHLevel0X 2 4 5 2" xfId="7611"/>
    <cellStyle name="SAPBEXHLevel0X 2 4 6" xfId="7612"/>
    <cellStyle name="SAPBEXHLevel0X 2 5" xfId="7613"/>
    <cellStyle name="SAPBEXHLevel0X 2 5 2" xfId="7614"/>
    <cellStyle name="SAPBEXHLevel0X 2 5 2 2" xfId="7615"/>
    <cellStyle name="SAPBEXHLevel0X 2 5 3" xfId="7616"/>
    <cellStyle name="SAPBEXHLevel0X 2 5 3 2" xfId="7617"/>
    <cellStyle name="SAPBEXHLevel0X 2 5 4" xfId="7618"/>
    <cellStyle name="SAPBEXHLevel0X 2 5 4 2" xfId="7619"/>
    <cellStyle name="SAPBEXHLevel0X 2 5 5" xfId="7620"/>
    <cellStyle name="SAPBEXHLevel0X 2 6" xfId="7621"/>
    <cellStyle name="SAPBEXHLevel0X 2 6 2" xfId="7622"/>
    <cellStyle name="SAPBEXHLevel0X 2 7" xfId="7623"/>
    <cellStyle name="SAPBEXHLevel0X 2 7 2" xfId="7624"/>
    <cellStyle name="SAPBEXHLevel0X 2 8" xfId="7625"/>
    <cellStyle name="SAPBEXHLevel0X 2 8 2" xfId="7626"/>
    <cellStyle name="SAPBEXHLevel0X 2 9" xfId="7627"/>
    <cellStyle name="SAPBEXHLevel0X 3" xfId="7628"/>
    <cellStyle name="SAPBEXHLevel0X 3 2" xfId="7629"/>
    <cellStyle name="SAPBEXHLevel0X 3 2 2" xfId="7630"/>
    <cellStyle name="SAPBEXHLevel0X 3 2 2 2" xfId="7631"/>
    <cellStyle name="SAPBEXHLevel0X 3 2 2 2 2" xfId="7632"/>
    <cellStyle name="SAPBEXHLevel0X 3 2 2 3" xfId="7633"/>
    <cellStyle name="SAPBEXHLevel0X 3 2 2 3 2" xfId="7634"/>
    <cellStyle name="SAPBEXHLevel0X 3 2 2 4" xfId="7635"/>
    <cellStyle name="SAPBEXHLevel0X 3 2 2 4 2" xfId="7636"/>
    <cellStyle name="SAPBEXHLevel0X 3 2 2 5" xfId="7637"/>
    <cellStyle name="SAPBEXHLevel0X 3 2 3" xfId="7638"/>
    <cellStyle name="SAPBEXHLevel0X 3 2 3 2" xfId="7639"/>
    <cellStyle name="SAPBEXHLevel0X 3 2 4" xfId="7640"/>
    <cellStyle name="SAPBEXHLevel0X 3 2 4 2" xfId="7641"/>
    <cellStyle name="SAPBEXHLevel0X 3 2 5" xfId="7642"/>
    <cellStyle name="SAPBEXHLevel0X 3 2 5 2" xfId="7643"/>
    <cellStyle name="SAPBEXHLevel0X 3 2 6" xfId="7644"/>
    <cellStyle name="SAPBEXHLevel0X 3 3" xfId="7645"/>
    <cellStyle name="SAPBEXHLevel0X 3 3 2" xfId="7646"/>
    <cellStyle name="SAPBEXHLevel0X 3 3 2 2" xfId="7647"/>
    <cellStyle name="SAPBEXHLevel0X 3 3 2 2 2" xfId="7648"/>
    <cellStyle name="SAPBEXHLevel0X 3 3 2 3" xfId="7649"/>
    <cellStyle name="SAPBEXHLevel0X 3 3 2 3 2" xfId="7650"/>
    <cellStyle name="SAPBEXHLevel0X 3 3 2 4" xfId="7651"/>
    <cellStyle name="SAPBEXHLevel0X 3 3 2 4 2" xfId="7652"/>
    <cellStyle name="SAPBEXHLevel0X 3 3 2 5" xfId="7653"/>
    <cellStyle name="SAPBEXHLevel0X 3 3 3" xfId="7654"/>
    <cellStyle name="SAPBEXHLevel0X 3 3 3 2" xfId="7655"/>
    <cellStyle name="SAPBEXHLevel0X 3 3 4" xfId="7656"/>
    <cellStyle name="SAPBEXHLevel0X 3 3 4 2" xfId="7657"/>
    <cellStyle name="SAPBEXHLevel0X 3 3 5" xfId="7658"/>
    <cellStyle name="SAPBEXHLevel0X 3 3 5 2" xfId="7659"/>
    <cellStyle name="SAPBEXHLevel0X 3 3 6" xfId="7660"/>
    <cellStyle name="SAPBEXHLevel0X 3 4" xfId="7661"/>
    <cellStyle name="SAPBEXHLevel0X 3 4 2" xfId="7662"/>
    <cellStyle name="SAPBEXHLevel0X 3 4 2 2" xfId="7663"/>
    <cellStyle name="SAPBEXHLevel0X 3 4 3" xfId="7664"/>
    <cellStyle name="SAPBEXHLevel0X 3 4 3 2" xfId="7665"/>
    <cellStyle name="SAPBEXHLevel0X 3 4 4" xfId="7666"/>
    <cellStyle name="SAPBEXHLevel0X 3 4 4 2" xfId="7667"/>
    <cellStyle name="SAPBEXHLevel0X 3 4 5" xfId="7668"/>
    <cellStyle name="SAPBEXHLevel0X 3 5" xfId="7669"/>
    <cellStyle name="SAPBEXHLevel0X 3 5 2" xfId="7670"/>
    <cellStyle name="SAPBEXHLevel0X 3 6" xfId="7671"/>
    <cellStyle name="SAPBEXHLevel0X 3 6 2" xfId="7672"/>
    <cellStyle name="SAPBEXHLevel0X 3 7" xfId="7673"/>
    <cellStyle name="SAPBEXHLevel0X 3 7 2" xfId="7674"/>
    <cellStyle name="SAPBEXHLevel0X 3 8" xfId="7675"/>
    <cellStyle name="SAPBEXHLevel0X 3 8 2" xfId="7676"/>
    <cellStyle name="SAPBEXHLevel0X 3 9" xfId="7677"/>
    <cellStyle name="SAPBEXHLevel0X 4" xfId="7678"/>
    <cellStyle name="SAPBEXHLevel0X 4 2" xfId="7679"/>
    <cellStyle name="SAPBEXHLevel0X 4 2 2" xfId="7680"/>
    <cellStyle name="SAPBEXHLevel0X 4 2 2 2" xfId="7681"/>
    <cellStyle name="SAPBEXHLevel0X 4 2 3" xfId="7682"/>
    <cellStyle name="SAPBEXHLevel0X 4 2 3 2" xfId="7683"/>
    <cellStyle name="SAPBEXHLevel0X 4 2 4" xfId="7684"/>
    <cellStyle name="SAPBEXHLevel0X 4 2 4 2" xfId="7685"/>
    <cellStyle name="SAPBEXHLevel0X 4 2 5" xfId="7686"/>
    <cellStyle name="SAPBEXHLevel0X 4 3" xfId="7687"/>
    <cellStyle name="SAPBEXHLevel0X 4 3 2" xfId="7688"/>
    <cellStyle name="SAPBEXHLevel0X 4 4" xfId="7689"/>
    <cellStyle name="SAPBEXHLevel0X 4 4 2" xfId="7690"/>
    <cellStyle name="SAPBEXHLevel0X 4 5" xfId="7691"/>
    <cellStyle name="SAPBEXHLevel0X 4 5 2" xfId="7692"/>
    <cellStyle name="SAPBEXHLevel0X 4 6" xfId="7693"/>
    <cellStyle name="SAPBEXHLevel0X 5" xfId="7694"/>
    <cellStyle name="SAPBEXHLevel0X 5 2" xfId="7695"/>
    <cellStyle name="SAPBEXHLevel0X 5 2 2" xfId="7696"/>
    <cellStyle name="SAPBEXHLevel0X 5 2 2 2" xfId="7697"/>
    <cellStyle name="SAPBEXHLevel0X 5 2 3" xfId="7698"/>
    <cellStyle name="SAPBEXHLevel0X 5 2 3 2" xfId="7699"/>
    <cellStyle name="SAPBEXHLevel0X 5 2 4" xfId="7700"/>
    <cellStyle name="SAPBEXHLevel0X 5 2 4 2" xfId="7701"/>
    <cellStyle name="SAPBEXHLevel0X 5 2 5" xfId="7702"/>
    <cellStyle name="SAPBEXHLevel0X 5 3" xfId="7703"/>
    <cellStyle name="SAPBEXHLevel0X 5 3 2" xfId="7704"/>
    <cellStyle name="SAPBEXHLevel0X 5 4" xfId="7705"/>
    <cellStyle name="SAPBEXHLevel0X 5 4 2" xfId="7706"/>
    <cellStyle name="SAPBEXHLevel0X 5 5" xfId="7707"/>
    <cellStyle name="SAPBEXHLevel0X 5 5 2" xfId="7708"/>
    <cellStyle name="SAPBEXHLevel0X 5 6" xfId="7709"/>
    <cellStyle name="SAPBEXHLevel0X 6" xfId="7710"/>
    <cellStyle name="SAPBEXHLevel0X 6 2" xfId="7711"/>
    <cellStyle name="SAPBEXHLevel0X 6 2 2" xfId="7712"/>
    <cellStyle name="SAPBEXHLevel0X 6 3" xfId="7713"/>
    <cellStyle name="SAPBEXHLevel0X 6 3 2" xfId="7714"/>
    <cellStyle name="SAPBEXHLevel0X 6 4" xfId="7715"/>
    <cellStyle name="SAPBEXHLevel0X 6 4 2" xfId="7716"/>
    <cellStyle name="SAPBEXHLevel0X 6 5" xfId="7717"/>
    <cellStyle name="SAPBEXHLevel0X 7" xfId="7718"/>
    <cellStyle name="SAPBEXHLevel0X 7 2" xfId="7719"/>
    <cellStyle name="SAPBEXHLevel0X 8" xfId="7720"/>
    <cellStyle name="SAPBEXHLevel0X 8 2" xfId="7721"/>
    <cellStyle name="SAPBEXHLevel0X 9" xfId="7722"/>
    <cellStyle name="SAPBEXHLevel0X 9 2" xfId="7723"/>
    <cellStyle name="SAPBEXHLevel1" xfId="7724"/>
    <cellStyle name="SAPBEXHLevel1 10" xfId="7725"/>
    <cellStyle name="SAPBEXHLevel1 2" xfId="7726"/>
    <cellStyle name="SAPBEXHLevel1 2 2" xfId="7727"/>
    <cellStyle name="SAPBEXHLevel1 2 2 2" xfId="7728"/>
    <cellStyle name="SAPBEXHLevel1 2 2 2 2" xfId="7729"/>
    <cellStyle name="SAPBEXHLevel1 2 2 2 2 2" xfId="7730"/>
    <cellStyle name="SAPBEXHLevel1 2 2 2 2 2 2" xfId="7731"/>
    <cellStyle name="SAPBEXHLevel1 2 2 2 2 3" xfId="7732"/>
    <cellStyle name="SAPBEXHLevel1 2 2 2 2 3 2" xfId="7733"/>
    <cellStyle name="SAPBEXHLevel1 2 2 2 2 4" xfId="7734"/>
    <cellStyle name="SAPBEXHLevel1 2 2 2 2 4 2" xfId="7735"/>
    <cellStyle name="SAPBEXHLevel1 2 2 2 2 5" xfId="7736"/>
    <cellStyle name="SAPBEXHLevel1 2 2 2 3" xfId="7737"/>
    <cellStyle name="SAPBEXHLevel1 2 2 2 3 2" xfId="7738"/>
    <cellStyle name="SAPBEXHLevel1 2 2 2 4" xfId="7739"/>
    <cellStyle name="SAPBEXHLevel1 2 2 2 4 2" xfId="7740"/>
    <cellStyle name="SAPBEXHLevel1 2 2 2 5" xfId="7741"/>
    <cellStyle name="SAPBEXHLevel1 2 2 2 5 2" xfId="7742"/>
    <cellStyle name="SAPBEXHLevel1 2 2 2 6" xfId="7743"/>
    <cellStyle name="SAPBEXHLevel1 2 2 3" xfId="7744"/>
    <cellStyle name="SAPBEXHLevel1 2 2 3 2" xfId="7745"/>
    <cellStyle name="SAPBEXHLevel1 2 2 3 2 2" xfId="7746"/>
    <cellStyle name="SAPBEXHLevel1 2 2 3 2 2 2" xfId="7747"/>
    <cellStyle name="SAPBEXHLevel1 2 2 3 2 3" xfId="7748"/>
    <cellStyle name="SAPBEXHLevel1 2 2 3 2 3 2" xfId="7749"/>
    <cellStyle name="SAPBEXHLevel1 2 2 3 2 4" xfId="7750"/>
    <cellStyle name="SAPBEXHLevel1 2 2 3 2 4 2" xfId="7751"/>
    <cellStyle name="SAPBEXHLevel1 2 2 3 2 5" xfId="7752"/>
    <cellStyle name="SAPBEXHLevel1 2 2 3 3" xfId="7753"/>
    <cellStyle name="SAPBEXHLevel1 2 2 3 3 2" xfId="7754"/>
    <cellStyle name="SAPBEXHLevel1 2 2 3 4" xfId="7755"/>
    <cellStyle name="SAPBEXHLevel1 2 2 3 4 2" xfId="7756"/>
    <cellStyle name="SAPBEXHLevel1 2 2 3 5" xfId="7757"/>
    <cellStyle name="SAPBEXHLevel1 2 2 3 5 2" xfId="7758"/>
    <cellStyle name="SAPBEXHLevel1 2 2 3 6" xfId="7759"/>
    <cellStyle name="SAPBEXHLevel1 2 2 4" xfId="7760"/>
    <cellStyle name="SAPBEXHLevel1 2 2 4 2" xfId="7761"/>
    <cellStyle name="SAPBEXHLevel1 2 2 4 2 2" xfId="7762"/>
    <cellStyle name="SAPBEXHLevel1 2 2 4 3" xfId="7763"/>
    <cellStyle name="SAPBEXHLevel1 2 2 4 3 2" xfId="7764"/>
    <cellStyle name="SAPBEXHLevel1 2 2 4 4" xfId="7765"/>
    <cellStyle name="SAPBEXHLevel1 2 2 4 4 2" xfId="7766"/>
    <cellStyle name="SAPBEXHLevel1 2 2 4 5" xfId="7767"/>
    <cellStyle name="SAPBEXHLevel1 2 2 5" xfId="7768"/>
    <cellStyle name="SAPBEXHLevel1 2 2 5 2" xfId="7769"/>
    <cellStyle name="SAPBEXHLevel1 2 2 6" xfId="7770"/>
    <cellStyle name="SAPBEXHLevel1 2 2 6 2" xfId="7771"/>
    <cellStyle name="SAPBEXHLevel1 2 2 7" xfId="7772"/>
    <cellStyle name="SAPBEXHLevel1 2 2 7 2" xfId="7773"/>
    <cellStyle name="SAPBEXHLevel1 2 2 8" xfId="7774"/>
    <cellStyle name="SAPBEXHLevel1 2 2 8 2" xfId="7775"/>
    <cellStyle name="SAPBEXHLevel1 2 2 9" xfId="7776"/>
    <cellStyle name="SAPBEXHLevel1 2 3" xfId="7777"/>
    <cellStyle name="SAPBEXHLevel1 2 3 2" xfId="7778"/>
    <cellStyle name="SAPBEXHLevel1 2 3 2 2" xfId="7779"/>
    <cellStyle name="SAPBEXHLevel1 2 3 2 2 2" xfId="7780"/>
    <cellStyle name="SAPBEXHLevel1 2 3 2 3" xfId="7781"/>
    <cellStyle name="SAPBEXHLevel1 2 3 2 3 2" xfId="7782"/>
    <cellStyle name="SAPBEXHLevel1 2 3 2 4" xfId="7783"/>
    <cellStyle name="SAPBEXHLevel1 2 3 2 4 2" xfId="7784"/>
    <cellStyle name="SAPBEXHLevel1 2 3 2 5" xfId="7785"/>
    <cellStyle name="SAPBEXHLevel1 2 3 3" xfId="7786"/>
    <cellStyle name="SAPBEXHLevel1 2 3 3 2" xfId="7787"/>
    <cellStyle name="SAPBEXHLevel1 2 3 4" xfId="7788"/>
    <cellStyle name="SAPBEXHLevel1 2 3 4 2" xfId="7789"/>
    <cellStyle name="SAPBEXHLevel1 2 3 5" xfId="7790"/>
    <cellStyle name="SAPBEXHLevel1 2 3 5 2" xfId="7791"/>
    <cellStyle name="SAPBEXHLevel1 2 3 6" xfId="7792"/>
    <cellStyle name="SAPBEXHLevel1 2 4" xfId="7793"/>
    <cellStyle name="SAPBEXHLevel1 2 4 2" xfId="7794"/>
    <cellStyle name="SAPBEXHLevel1 2 4 2 2" xfId="7795"/>
    <cellStyle name="SAPBEXHLevel1 2 4 2 2 2" xfId="7796"/>
    <cellStyle name="SAPBEXHLevel1 2 4 2 3" xfId="7797"/>
    <cellStyle name="SAPBEXHLevel1 2 4 2 3 2" xfId="7798"/>
    <cellStyle name="SAPBEXHLevel1 2 4 2 4" xfId="7799"/>
    <cellStyle name="SAPBEXHLevel1 2 4 2 4 2" xfId="7800"/>
    <cellStyle name="SAPBEXHLevel1 2 4 2 5" xfId="7801"/>
    <cellStyle name="SAPBEXHLevel1 2 4 3" xfId="7802"/>
    <cellStyle name="SAPBEXHLevel1 2 4 3 2" xfId="7803"/>
    <cellStyle name="SAPBEXHLevel1 2 4 4" xfId="7804"/>
    <cellStyle name="SAPBEXHLevel1 2 4 4 2" xfId="7805"/>
    <cellStyle name="SAPBEXHLevel1 2 4 5" xfId="7806"/>
    <cellStyle name="SAPBEXHLevel1 2 4 5 2" xfId="7807"/>
    <cellStyle name="SAPBEXHLevel1 2 4 6" xfId="7808"/>
    <cellStyle name="SAPBEXHLevel1 2 5" xfId="7809"/>
    <cellStyle name="SAPBEXHLevel1 2 5 2" xfId="7810"/>
    <cellStyle name="SAPBEXHLevel1 2 5 2 2" xfId="7811"/>
    <cellStyle name="SAPBEXHLevel1 2 5 3" xfId="7812"/>
    <cellStyle name="SAPBEXHLevel1 2 5 3 2" xfId="7813"/>
    <cellStyle name="SAPBEXHLevel1 2 5 4" xfId="7814"/>
    <cellStyle name="SAPBEXHLevel1 2 5 4 2" xfId="7815"/>
    <cellStyle name="SAPBEXHLevel1 2 5 5" xfId="7816"/>
    <cellStyle name="SAPBEXHLevel1 2 6" xfId="7817"/>
    <cellStyle name="SAPBEXHLevel1 2 6 2" xfId="7818"/>
    <cellStyle name="SAPBEXHLevel1 2 7" xfId="7819"/>
    <cellStyle name="SAPBEXHLevel1 2 7 2" xfId="7820"/>
    <cellStyle name="SAPBEXHLevel1 2 8" xfId="7821"/>
    <cellStyle name="SAPBEXHLevel1 2 8 2" xfId="7822"/>
    <cellStyle name="SAPBEXHLevel1 2 9" xfId="7823"/>
    <cellStyle name="SAPBEXHLevel1 3" xfId="7824"/>
    <cellStyle name="SAPBEXHLevel1 3 2" xfId="7825"/>
    <cellStyle name="SAPBEXHLevel1 3 2 2" xfId="7826"/>
    <cellStyle name="SAPBEXHLevel1 3 2 2 2" xfId="7827"/>
    <cellStyle name="SAPBEXHLevel1 3 2 2 2 2" xfId="7828"/>
    <cellStyle name="SAPBEXHLevel1 3 2 2 3" xfId="7829"/>
    <cellStyle name="SAPBEXHLevel1 3 2 2 3 2" xfId="7830"/>
    <cellStyle name="SAPBEXHLevel1 3 2 2 4" xfId="7831"/>
    <cellStyle name="SAPBEXHLevel1 3 2 2 4 2" xfId="7832"/>
    <cellStyle name="SAPBEXHLevel1 3 2 2 5" xfId="7833"/>
    <cellStyle name="SAPBEXHLevel1 3 2 3" xfId="7834"/>
    <cellStyle name="SAPBEXHLevel1 3 2 3 2" xfId="7835"/>
    <cellStyle name="SAPBEXHLevel1 3 2 4" xfId="7836"/>
    <cellStyle name="SAPBEXHLevel1 3 2 4 2" xfId="7837"/>
    <cellStyle name="SAPBEXHLevel1 3 2 5" xfId="7838"/>
    <cellStyle name="SAPBEXHLevel1 3 2 5 2" xfId="7839"/>
    <cellStyle name="SAPBEXHLevel1 3 2 6" xfId="7840"/>
    <cellStyle name="SAPBEXHLevel1 3 3" xfId="7841"/>
    <cellStyle name="SAPBEXHLevel1 3 3 2" xfId="7842"/>
    <cellStyle name="SAPBEXHLevel1 3 3 2 2" xfId="7843"/>
    <cellStyle name="SAPBEXHLevel1 3 3 2 2 2" xfId="7844"/>
    <cellStyle name="SAPBEXHLevel1 3 3 2 3" xfId="7845"/>
    <cellStyle name="SAPBEXHLevel1 3 3 2 3 2" xfId="7846"/>
    <cellStyle name="SAPBEXHLevel1 3 3 2 4" xfId="7847"/>
    <cellStyle name="SAPBEXHLevel1 3 3 2 4 2" xfId="7848"/>
    <cellStyle name="SAPBEXHLevel1 3 3 2 5" xfId="7849"/>
    <cellStyle name="SAPBEXHLevel1 3 3 3" xfId="7850"/>
    <cellStyle name="SAPBEXHLevel1 3 3 3 2" xfId="7851"/>
    <cellStyle name="SAPBEXHLevel1 3 3 4" xfId="7852"/>
    <cellStyle name="SAPBEXHLevel1 3 3 4 2" xfId="7853"/>
    <cellStyle name="SAPBEXHLevel1 3 3 5" xfId="7854"/>
    <cellStyle name="SAPBEXHLevel1 3 3 5 2" xfId="7855"/>
    <cellStyle name="SAPBEXHLevel1 3 3 6" xfId="7856"/>
    <cellStyle name="SAPBEXHLevel1 3 4" xfId="7857"/>
    <cellStyle name="SAPBEXHLevel1 3 4 2" xfId="7858"/>
    <cellStyle name="SAPBEXHLevel1 3 4 2 2" xfId="7859"/>
    <cellStyle name="SAPBEXHLevel1 3 4 3" xfId="7860"/>
    <cellStyle name="SAPBEXHLevel1 3 4 3 2" xfId="7861"/>
    <cellStyle name="SAPBEXHLevel1 3 4 4" xfId="7862"/>
    <cellStyle name="SAPBEXHLevel1 3 4 4 2" xfId="7863"/>
    <cellStyle name="SAPBEXHLevel1 3 4 5" xfId="7864"/>
    <cellStyle name="SAPBEXHLevel1 3 5" xfId="7865"/>
    <cellStyle name="SAPBEXHLevel1 3 5 2" xfId="7866"/>
    <cellStyle name="SAPBEXHLevel1 3 6" xfId="7867"/>
    <cellStyle name="SAPBEXHLevel1 3 6 2" xfId="7868"/>
    <cellStyle name="SAPBEXHLevel1 3 7" xfId="7869"/>
    <cellStyle name="SAPBEXHLevel1 3 7 2" xfId="7870"/>
    <cellStyle name="SAPBEXHLevel1 3 8" xfId="7871"/>
    <cellStyle name="SAPBEXHLevel1 3 8 2" xfId="7872"/>
    <cellStyle name="SAPBEXHLevel1 3 9" xfId="7873"/>
    <cellStyle name="SAPBEXHLevel1 4" xfId="7874"/>
    <cellStyle name="SAPBEXHLevel1 4 2" xfId="7875"/>
    <cellStyle name="SAPBEXHLevel1 4 2 2" xfId="7876"/>
    <cellStyle name="SAPBEXHLevel1 4 2 2 2" xfId="7877"/>
    <cellStyle name="SAPBEXHLevel1 4 2 3" xfId="7878"/>
    <cellStyle name="SAPBEXHLevel1 4 2 3 2" xfId="7879"/>
    <cellStyle name="SAPBEXHLevel1 4 2 4" xfId="7880"/>
    <cellStyle name="SAPBEXHLevel1 4 2 4 2" xfId="7881"/>
    <cellStyle name="SAPBEXHLevel1 4 2 5" xfId="7882"/>
    <cellStyle name="SAPBEXHLevel1 4 3" xfId="7883"/>
    <cellStyle name="SAPBEXHLevel1 4 3 2" xfId="7884"/>
    <cellStyle name="SAPBEXHLevel1 4 4" xfId="7885"/>
    <cellStyle name="SAPBEXHLevel1 4 4 2" xfId="7886"/>
    <cellStyle name="SAPBEXHLevel1 4 5" xfId="7887"/>
    <cellStyle name="SAPBEXHLevel1 4 5 2" xfId="7888"/>
    <cellStyle name="SAPBEXHLevel1 4 6" xfId="7889"/>
    <cellStyle name="SAPBEXHLevel1 5" xfId="7890"/>
    <cellStyle name="SAPBEXHLevel1 5 2" xfId="7891"/>
    <cellStyle name="SAPBEXHLevel1 5 2 2" xfId="7892"/>
    <cellStyle name="SAPBEXHLevel1 5 2 2 2" xfId="7893"/>
    <cellStyle name="SAPBEXHLevel1 5 2 3" xfId="7894"/>
    <cellStyle name="SAPBEXHLevel1 5 2 3 2" xfId="7895"/>
    <cellStyle name="SAPBEXHLevel1 5 2 4" xfId="7896"/>
    <cellStyle name="SAPBEXHLevel1 5 2 4 2" xfId="7897"/>
    <cellStyle name="SAPBEXHLevel1 5 2 5" xfId="7898"/>
    <cellStyle name="SAPBEXHLevel1 5 3" xfId="7899"/>
    <cellStyle name="SAPBEXHLevel1 5 3 2" xfId="7900"/>
    <cellStyle name="SAPBEXHLevel1 5 4" xfId="7901"/>
    <cellStyle name="SAPBEXHLevel1 5 4 2" xfId="7902"/>
    <cellStyle name="SAPBEXHLevel1 5 5" xfId="7903"/>
    <cellStyle name="SAPBEXHLevel1 5 5 2" xfId="7904"/>
    <cellStyle name="SAPBEXHLevel1 5 6" xfId="7905"/>
    <cellStyle name="SAPBEXHLevel1 6" xfId="7906"/>
    <cellStyle name="SAPBEXHLevel1 6 2" xfId="7907"/>
    <cellStyle name="SAPBEXHLevel1 6 2 2" xfId="7908"/>
    <cellStyle name="SAPBEXHLevel1 6 3" xfId="7909"/>
    <cellStyle name="SAPBEXHLevel1 6 3 2" xfId="7910"/>
    <cellStyle name="SAPBEXHLevel1 6 4" xfId="7911"/>
    <cellStyle name="SAPBEXHLevel1 6 4 2" xfId="7912"/>
    <cellStyle name="SAPBEXHLevel1 6 5" xfId="7913"/>
    <cellStyle name="SAPBEXHLevel1 7" xfId="7914"/>
    <cellStyle name="SAPBEXHLevel1 7 2" xfId="7915"/>
    <cellStyle name="SAPBEXHLevel1 8" xfId="7916"/>
    <cellStyle name="SAPBEXHLevel1 8 2" xfId="7917"/>
    <cellStyle name="SAPBEXHLevel1 9" xfId="7918"/>
    <cellStyle name="SAPBEXHLevel1 9 2" xfId="7919"/>
    <cellStyle name="SAPBEXHLevel1X" xfId="7920"/>
    <cellStyle name="SAPBEXHLevel1X 10" xfId="7921"/>
    <cellStyle name="SAPBEXHLevel1X 2" xfId="7922"/>
    <cellStyle name="SAPBEXHLevel1X 2 2" xfId="7923"/>
    <cellStyle name="SAPBEXHLevel1X 2 2 2" xfId="7924"/>
    <cellStyle name="SAPBEXHLevel1X 2 2 2 2" xfId="7925"/>
    <cellStyle name="SAPBEXHLevel1X 2 2 2 2 2" xfId="7926"/>
    <cellStyle name="SAPBEXHLevel1X 2 2 2 2 2 2" xfId="7927"/>
    <cellStyle name="SAPBEXHLevel1X 2 2 2 2 3" xfId="7928"/>
    <cellStyle name="SAPBEXHLevel1X 2 2 2 2 3 2" xfId="7929"/>
    <cellStyle name="SAPBEXHLevel1X 2 2 2 2 4" xfId="7930"/>
    <cellStyle name="SAPBEXHLevel1X 2 2 2 2 4 2" xfId="7931"/>
    <cellStyle name="SAPBEXHLevel1X 2 2 2 2 5" xfId="7932"/>
    <cellStyle name="SAPBEXHLevel1X 2 2 2 3" xfId="7933"/>
    <cellStyle name="SAPBEXHLevel1X 2 2 2 3 2" xfId="7934"/>
    <cellStyle name="SAPBEXHLevel1X 2 2 2 4" xfId="7935"/>
    <cellStyle name="SAPBEXHLevel1X 2 2 2 4 2" xfId="7936"/>
    <cellStyle name="SAPBEXHLevel1X 2 2 2 5" xfId="7937"/>
    <cellStyle name="SAPBEXHLevel1X 2 2 2 5 2" xfId="7938"/>
    <cellStyle name="SAPBEXHLevel1X 2 2 2 6" xfId="7939"/>
    <cellStyle name="SAPBEXHLevel1X 2 2 3" xfId="7940"/>
    <cellStyle name="SAPBEXHLevel1X 2 2 3 2" xfId="7941"/>
    <cellStyle name="SAPBEXHLevel1X 2 2 3 2 2" xfId="7942"/>
    <cellStyle name="SAPBEXHLevel1X 2 2 3 2 2 2" xfId="7943"/>
    <cellStyle name="SAPBEXHLevel1X 2 2 3 2 3" xfId="7944"/>
    <cellStyle name="SAPBEXHLevel1X 2 2 3 2 3 2" xfId="7945"/>
    <cellStyle name="SAPBEXHLevel1X 2 2 3 2 4" xfId="7946"/>
    <cellStyle name="SAPBEXHLevel1X 2 2 3 2 4 2" xfId="7947"/>
    <cellStyle name="SAPBEXHLevel1X 2 2 3 2 5" xfId="7948"/>
    <cellStyle name="SAPBEXHLevel1X 2 2 3 3" xfId="7949"/>
    <cellStyle name="SAPBEXHLevel1X 2 2 3 3 2" xfId="7950"/>
    <cellStyle name="SAPBEXHLevel1X 2 2 3 4" xfId="7951"/>
    <cellStyle name="SAPBEXHLevel1X 2 2 3 4 2" xfId="7952"/>
    <cellStyle name="SAPBEXHLevel1X 2 2 3 5" xfId="7953"/>
    <cellStyle name="SAPBEXHLevel1X 2 2 3 5 2" xfId="7954"/>
    <cellStyle name="SAPBEXHLevel1X 2 2 3 6" xfId="7955"/>
    <cellStyle name="SAPBEXHLevel1X 2 2 4" xfId="7956"/>
    <cellStyle name="SAPBEXHLevel1X 2 2 4 2" xfId="7957"/>
    <cellStyle name="SAPBEXHLevel1X 2 2 4 2 2" xfId="7958"/>
    <cellStyle name="SAPBEXHLevel1X 2 2 4 3" xfId="7959"/>
    <cellStyle name="SAPBEXHLevel1X 2 2 4 3 2" xfId="7960"/>
    <cellStyle name="SAPBEXHLevel1X 2 2 4 4" xfId="7961"/>
    <cellStyle name="SAPBEXHLevel1X 2 2 4 4 2" xfId="7962"/>
    <cellStyle name="SAPBEXHLevel1X 2 2 4 5" xfId="7963"/>
    <cellStyle name="SAPBEXHLevel1X 2 2 5" xfId="7964"/>
    <cellStyle name="SAPBEXHLevel1X 2 2 5 2" xfId="7965"/>
    <cellStyle name="SAPBEXHLevel1X 2 2 6" xfId="7966"/>
    <cellStyle name="SAPBEXHLevel1X 2 2 6 2" xfId="7967"/>
    <cellStyle name="SAPBEXHLevel1X 2 2 7" xfId="7968"/>
    <cellStyle name="SAPBEXHLevel1X 2 2 7 2" xfId="7969"/>
    <cellStyle name="SAPBEXHLevel1X 2 2 8" xfId="7970"/>
    <cellStyle name="SAPBEXHLevel1X 2 2 8 2" xfId="7971"/>
    <cellStyle name="SAPBEXHLevel1X 2 2 9" xfId="7972"/>
    <cellStyle name="SAPBEXHLevel1X 2 3" xfId="7973"/>
    <cellStyle name="SAPBEXHLevel1X 2 3 2" xfId="7974"/>
    <cellStyle name="SAPBEXHLevel1X 2 3 2 2" xfId="7975"/>
    <cellStyle name="SAPBEXHLevel1X 2 3 2 2 2" xfId="7976"/>
    <cellStyle name="SAPBEXHLevel1X 2 3 2 3" xfId="7977"/>
    <cellStyle name="SAPBEXHLevel1X 2 3 2 3 2" xfId="7978"/>
    <cellStyle name="SAPBEXHLevel1X 2 3 2 4" xfId="7979"/>
    <cellStyle name="SAPBEXHLevel1X 2 3 2 4 2" xfId="7980"/>
    <cellStyle name="SAPBEXHLevel1X 2 3 2 5" xfId="7981"/>
    <cellStyle name="SAPBEXHLevel1X 2 3 3" xfId="7982"/>
    <cellStyle name="SAPBEXHLevel1X 2 3 3 2" xfId="7983"/>
    <cellStyle name="SAPBEXHLevel1X 2 3 4" xfId="7984"/>
    <cellStyle name="SAPBEXHLevel1X 2 3 4 2" xfId="7985"/>
    <cellStyle name="SAPBEXHLevel1X 2 3 5" xfId="7986"/>
    <cellStyle name="SAPBEXHLevel1X 2 3 5 2" xfId="7987"/>
    <cellStyle name="SAPBEXHLevel1X 2 3 6" xfId="7988"/>
    <cellStyle name="SAPBEXHLevel1X 2 4" xfId="7989"/>
    <cellStyle name="SAPBEXHLevel1X 2 4 2" xfId="7990"/>
    <cellStyle name="SAPBEXHLevel1X 2 4 2 2" xfId="7991"/>
    <cellStyle name="SAPBEXHLevel1X 2 4 2 2 2" xfId="7992"/>
    <cellStyle name="SAPBEXHLevel1X 2 4 2 3" xfId="7993"/>
    <cellStyle name="SAPBEXHLevel1X 2 4 2 3 2" xfId="7994"/>
    <cellStyle name="SAPBEXHLevel1X 2 4 2 4" xfId="7995"/>
    <cellStyle name="SAPBEXHLevel1X 2 4 2 4 2" xfId="7996"/>
    <cellStyle name="SAPBEXHLevel1X 2 4 2 5" xfId="7997"/>
    <cellStyle name="SAPBEXHLevel1X 2 4 3" xfId="7998"/>
    <cellStyle name="SAPBEXHLevel1X 2 4 3 2" xfId="7999"/>
    <cellStyle name="SAPBEXHLevel1X 2 4 4" xfId="8000"/>
    <cellStyle name="SAPBEXHLevel1X 2 4 4 2" xfId="8001"/>
    <cellStyle name="SAPBEXHLevel1X 2 4 5" xfId="8002"/>
    <cellStyle name="SAPBEXHLevel1X 2 4 5 2" xfId="8003"/>
    <cellStyle name="SAPBEXHLevel1X 2 4 6" xfId="8004"/>
    <cellStyle name="SAPBEXHLevel1X 2 5" xfId="8005"/>
    <cellStyle name="SAPBEXHLevel1X 2 5 2" xfId="8006"/>
    <cellStyle name="SAPBEXHLevel1X 2 5 2 2" xfId="8007"/>
    <cellStyle name="SAPBEXHLevel1X 2 5 3" xfId="8008"/>
    <cellStyle name="SAPBEXHLevel1X 2 5 3 2" xfId="8009"/>
    <cellStyle name="SAPBEXHLevel1X 2 5 4" xfId="8010"/>
    <cellStyle name="SAPBEXHLevel1X 2 5 4 2" xfId="8011"/>
    <cellStyle name="SAPBEXHLevel1X 2 5 5" xfId="8012"/>
    <cellStyle name="SAPBEXHLevel1X 2 6" xfId="8013"/>
    <cellStyle name="SAPBEXHLevel1X 2 6 2" xfId="8014"/>
    <cellStyle name="SAPBEXHLevel1X 2 7" xfId="8015"/>
    <cellStyle name="SAPBEXHLevel1X 2 7 2" xfId="8016"/>
    <cellStyle name="SAPBEXHLevel1X 2 8" xfId="8017"/>
    <cellStyle name="SAPBEXHLevel1X 2 8 2" xfId="8018"/>
    <cellStyle name="SAPBEXHLevel1X 2 9" xfId="8019"/>
    <cellStyle name="SAPBEXHLevel1X 3" xfId="8020"/>
    <cellStyle name="SAPBEXHLevel1X 3 2" xfId="8021"/>
    <cellStyle name="SAPBEXHLevel1X 3 2 2" xfId="8022"/>
    <cellStyle name="SAPBEXHLevel1X 3 2 2 2" xfId="8023"/>
    <cellStyle name="SAPBEXHLevel1X 3 2 2 2 2" xfId="8024"/>
    <cellStyle name="SAPBEXHLevel1X 3 2 2 3" xfId="8025"/>
    <cellStyle name="SAPBEXHLevel1X 3 2 2 3 2" xfId="8026"/>
    <cellStyle name="SAPBEXHLevel1X 3 2 2 4" xfId="8027"/>
    <cellStyle name="SAPBEXHLevel1X 3 2 2 4 2" xfId="8028"/>
    <cellStyle name="SAPBEXHLevel1X 3 2 2 5" xfId="8029"/>
    <cellStyle name="SAPBEXHLevel1X 3 2 3" xfId="8030"/>
    <cellStyle name="SAPBEXHLevel1X 3 2 3 2" xfId="8031"/>
    <cellStyle name="SAPBEXHLevel1X 3 2 4" xfId="8032"/>
    <cellStyle name="SAPBEXHLevel1X 3 2 4 2" xfId="8033"/>
    <cellStyle name="SAPBEXHLevel1X 3 2 5" xfId="8034"/>
    <cellStyle name="SAPBEXHLevel1X 3 2 5 2" xfId="8035"/>
    <cellStyle name="SAPBEXHLevel1X 3 2 6" xfId="8036"/>
    <cellStyle name="SAPBEXHLevel1X 3 3" xfId="8037"/>
    <cellStyle name="SAPBEXHLevel1X 3 3 2" xfId="8038"/>
    <cellStyle name="SAPBEXHLevel1X 3 3 2 2" xfId="8039"/>
    <cellStyle name="SAPBEXHLevel1X 3 3 2 2 2" xfId="8040"/>
    <cellStyle name="SAPBEXHLevel1X 3 3 2 3" xfId="8041"/>
    <cellStyle name="SAPBEXHLevel1X 3 3 2 3 2" xfId="8042"/>
    <cellStyle name="SAPBEXHLevel1X 3 3 2 4" xfId="8043"/>
    <cellStyle name="SAPBEXHLevel1X 3 3 2 4 2" xfId="8044"/>
    <cellStyle name="SAPBEXHLevel1X 3 3 2 5" xfId="8045"/>
    <cellStyle name="SAPBEXHLevel1X 3 3 3" xfId="8046"/>
    <cellStyle name="SAPBEXHLevel1X 3 3 3 2" xfId="8047"/>
    <cellStyle name="SAPBEXHLevel1X 3 3 4" xfId="8048"/>
    <cellStyle name="SAPBEXHLevel1X 3 3 4 2" xfId="8049"/>
    <cellStyle name="SAPBEXHLevel1X 3 3 5" xfId="8050"/>
    <cellStyle name="SAPBEXHLevel1X 3 3 5 2" xfId="8051"/>
    <cellStyle name="SAPBEXHLevel1X 3 3 6" xfId="8052"/>
    <cellStyle name="SAPBEXHLevel1X 3 4" xfId="8053"/>
    <cellStyle name="SAPBEXHLevel1X 3 4 2" xfId="8054"/>
    <cellStyle name="SAPBEXHLevel1X 3 4 2 2" xfId="8055"/>
    <cellStyle name="SAPBEXHLevel1X 3 4 3" xfId="8056"/>
    <cellStyle name="SAPBEXHLevel1X 3 4 3 2" xfId="8057"/>
    <cellStyle name="SAPBEXHLevel1X 3 4 4" xfId="8058"/>
    <cellStyle name="SAPBEXHLevel1X 3 4 4 2" xfId="8059"/>
    <cellStyle name="SAPBEXHLevel1X 3 4 5" xfId="8060"/>
    <cellStyle name="SAPBEXHLevel1X 3 5" xfId="8061"/>
    <cellStyle name="SAPBEXHLevel1X 3 5 2" xfId="8062"/>
    <cellStyle name="SAPBEXHLevel1X 3 6" xfId="8063"/>
    <cellStyle name="SAPBEXHLevel1X 3 6 2" xfId="8064"/>
    <cellStyle name="SAPBEXHLevel1X 3 7" xfId="8065"/>
    <cellStyle name="SAPBEXHLevel1X 3 7 2" xfId="8066"/>
    <cellStyle name="SAPBEXHLevel1X 3 8" xfId="8067"/>
    <cellStyle name="SAPBEXHLevel1X 3 8 2" xfId="8068"/>
    <cellStyle name="SAPBEXHLevel1X 3 9" xfId="8069"/>
    <cellStyle name="SAPBEXHLevel1X 4" xfId="8070"/>
    <cellStyle name="SAPBEXHLevel1X 4 2" xfId="8071"/>
    <cellStyle name="SAPBEXHLevel1X 4 2 2" xfId="8072"/>
    <cellStyle name="SAPBEXHLevel1X 4 2 2 2" xfId="8073"/>
    <cellStyle name="SAPBEXHLevel1X 4 2 3" xfId="8074"/>
    <cellStyle name="SAPBEXHLevel1X 4 2 3 2" xfId="8075"/>
    <cellStyle name="SAPBEXHLevel1X 4 2 4" xfId="8076"/>
    <cellStyle name="SAPBEXHLevel1X 4 2 4 2" xfId="8077"/>
    <cellStyle name="SAPBEXHLevel1X 4 2 5" xfId="8078"/>
    <cellStyle name="SAPBEXHLevel1X 4 3" xfId="8079"/>
    <cellStyle name="SAPBEXHLevel1X 4 3 2" xfId="8080"/>
    <cellStyle name="SAPBEXHLevel1X 4 4" xfId="8081"/>
    <cellStyle name="SAPBEXHLevel1X 4 4 2" xfId="8082"/>
    <cellStyle name="SAPBEXHLevel1X 4 5" xfId="8083"/>
    <cellStyle name="SAPBEXHLevel1X 4 5 2" xfId="8084"/>
    <cellStyle name="SAPBEXHLevel1X 4 6" xfId="8085"/>
    <cellStyle name="SAPBEXHLevel1X 5" xfId="8086"/>
    <cellStyle name="SAPBEXHLevel1X 5 2" xfId="8087"/>
    <cellStyle name="SAPBEXHLevel1X 5 2 2" xfId="8088"/>
    <cellStyle name="SAPBEXHLevel1X 5 2 2 2" xfId="8089"/>
    <cellStyle name="SAPBEXHLevel1X 5 2 3" xfId="8090"/>
    <cellStyle name="SAPBEXHLevel1X 5 2 3 2" xfId="8091"/>
    <cellStyle name="SAPBEXHLevel1X 5 2 4" xfId="8092"/>
    <cellStyle name="SAPBEXHLevel1X 5 2 4 2" xfId="8093"/>
    <cellStyle name="SAPBEXHLevel1X 5 2 5" xfId="8094"/>
    <cellStyle name="SAPBEXHLevel1X 5 3" xfId="8095"/>
    <cellStyle name="SAPBEXHLevel1X 5 3 2" xfId="8096"/>
    <cellStyle name="SAPBEXHLevel1X 5 4" xfId="8097"/>
    <cellStyle name="SAPBEXHLevel1X 5 4 2" xfId="8098"/>
    <cellStyle name="SAPBEXHLevel1X 5 5" xfId="8099"/>
    <cellStyle name="SAPBEXHLevel1X 5 5 2" xfId="8100"/>
    <cellStyle name="SAPBEXHLevel1X 5 6" xfId="8101"/>
    <cellStyle name="SAPBEXHLevel1X 6" xfId="8102"/>
    <cellStyle name="SAPBEXHLevel1X 6 2" xfId="8103"/>
    <cellStyle name="SAPBEXHLevel1X 6 2 2" xfId="8104"/>
    <cellStyle name="SAPBEXHLevel1X 6 3" xfId="8105"/>
    <cellStyle name="SAPBEXHLevel1X 6 3 2" xfId="8106"/>
    <cellStyle name="SAPBEXHLevel1X 6 4" xfId="8107"/>
    <cellStyle name="SAPBEXHLevel1X 6 4 2" xfId="8108"/>
    <cellStyle name="SAPBEXHLevel1X 6 5" xfId="8109"/>
    <cellStyle name="SAPBEXHLevel1X 7" xfId="8110"/>
    <cellStyle name="SAPBEXHLevel1X 7 2" xfId="8111"/>
    <cellStyle name="SAPBEXHLevel1X 8" xfId="8112"/>
    <cellStyle name="SAPBEXHLevel1X 8 2" xfId="8113"/>
    <cellStyle name="SAPBEXHLevel1X 9" xfId="8114"/>
    <cellStyle name="SAPBEXHLevel1X 9 2" xfId="8115"/>
    <cellStyle name="SAPBEXHLevel2" xfId="8116"/>
    <cellStyle name="SAPBEXHLevel2 10" xfId="8117"/>
    <cellStyle name="SAPBEXHLevel2 2" xfId="8118"/>
    <cellStyle name="SAPBEXHLevel2 2 2" xfId="8119"/>
    <cellStyle name="SAPBEXHLevel2 2 2 2" xfId="8120"/>
    <cellStyle name="SAPBEXHLevel2 2 2 2 2" xfId="8121"/>
    <cellStyle name="SAPBEXHLevel2 2 2 2 2 2" xfId="8122"/>
    <cellStyle name="SAPBEXHLevel2 2 2 2 2 2 2" xfId="8123"/>
    <cellStyle name="SAPBEXHLevel2 2 2 2 2 3" xfId="8124"/>
    <cellStyle name="SAPBEXHLevel2 2 2 2 2 3 2" xfId="8125"/>
    <cellStyle name="SAPBEXHLevel2 2 2 2 2 4" xfId="8126"/>
    <cellStyle name="SAPBEXHLevel2 2 2 2 2 4 2" xfId="8127"/>
    <cellStyle name="SAPBEXHLevel2 2 2 2 2 5" xfId="8128"/>
    <cellStyle name="SAPBEXHLevel2 2 2 2 3" xfId="8129"/>
    <cellStyle name="SAPBEXHLevel2 2 2 2 3 2" xfId="8130"/>
    <cellStyle name="SAPBEXHLevel2 2 2 2 4" xfId="8131"/>
    <cellStyle name="SAPBEXHLevel2 2 2 2 4 2" xfId="8132"/>
    <cellStyle name="SAPBEXHLevel2 2 2 2 5" xfId="8133"/>
    <cellStyle name="SAPBEXHLevel2 2 2 2 5 2" xfId="8134"/>
    <cellStyle name="SAPBEXHLevel2 2 2 2 6" xfId="8135"/>
    <cellStyle name="SAPBEXHLevel2 2 2 3" xfId="8136"/>
    <cellStyle name="SAPBEXHLevel2 2 2 3 2" xfId="8137"/>
    <cellStyle name="SAPBEXHLevel2 2 2 3 2 2" xfId="8138"/>
    <cellStyle name="SAPBEXHLevel2 2 2 3 2 2 2" xfId="8139"/>
    <cellStyle name="SAPBEXHLevel2 2 2 3 2 3" xfId="8140"/>
    <cellStyle name="SAPBEXHLevel2 2 2 3 2 3 2" xfId="8141"/>
    <cellStyle name="SAPBEXHLevel2 2 2 3 2 4" xfId="8142"/>
    <cellStyle name="SAPBEXHLevel2 2 2 3 2 4 2" xfId="8143"/>
    <cellStyle name="SAPBEXHLevel2 2 2 3 2 5" xfId="8144"/>
    <cellStyle name="SAPBEXHLevel2 2 2 3 3" xfId="8145"/>
    <cellStyle name="SAPBEXHLevel2 2 2 3 3 2" xfId="8146"/>
    <cellStyle name="SAPBEXHLevel2 2 2 3 4" xfId="8147"/>
    <cellStyle name="SAPBEXHLevel2 2 2 3 4 2" xfId="8148"/>
    <cellStyle name="SAPBEXHLevel2 2 2 3 5" xfId="8149"/>
    <cellStyle name="SAPBEXHLevel2 2 2 3 5 2" xfId="8150"/>
    <cellStyle name="SAPBEXHLevel2 2 2 3 6" xfId="8151"/>
    <cellStyle name="SAPBEXHLevel2 2 2 4" xfId="8152"/>
    <cellStyle name="SAPBEXHLevel2 2 2 4 2" xfId="8153"/>
    <cellStyle name="SAPBEXHLevel2 2 2 4 2 2" xfId="8154"/>
    <cellStyle name="SAPBEXHLevel2 2 2 4 3" xfId="8155"/>
    <cellStyle name="SAPBEXHLevel2 2 2 4 3 2" xfId="8156"/>
    <cellStyle name="SAPBEXHLevel2 2 2 4 4" xfId="8157"/>
    <cellStyle name="SAPBEXHLevel2 2 2 4 4 2" xfId="8158"/>
    <cellStyle name="SAPBEXHLevel2 2 2 4 5" xfId="8159"/>
    <cellStyle name="SAPBEXHLevel2 2 2 5" xfId="8160"/>
    <cellStyle name="SAPBEXHLevel2 2 2 5 2" xfId="8161"/>
    <cellStyle name="SAPBEXHLevel2 2 2 6" xfId="8162"/>
    <cellStyle name="SAPBEXHLevel2 2 2 6 2" xfId="8163"/>
    <cellStyle name="SAPBEXHLevel2 2 2 7" xfId="8164"/>
    <cellStyle name="SAPBEXHLevel2 2 2 7 2" xfId="8165"/>
    <cellStyle name="SAPBEXHLevel2 2 2 8" xfId="8166"/>
    <cellStyle name="SAPBEXHLevel2 2 2 8 2" xfId="8167"/>
    <cellStyle name="SAPBEXHLevel2 2 2 9" xfId="8168"/>
    <cellStyle name="SAPBEXHLevel2 2 3" xfId="8169"/>
    <cellStyle name="SAPBEXHLevel2 2 3 2" xfId="8170"/>
    <cellStyle name="SAPBEXHLevel2 2 3 2 2" xfId="8171"/>
    <cellStyle name="SAPBEXHLevel2 2 3 2 2 2" xfId="8172"/>
    <cellStyle name="SAPBEXHLevel2 2 3 2 3" xfId="8173"/>
    <cellStyle name="SAPBEXHLevel2 2 3 2 3 2" xfId="8174"/>
    <cellStyle name="SAPBEXHLevel2 2 3 2 4" xfId="8175"/>
    <cellStyle name="SAPBEXHLevel2 2 3 2 4 2" xfId="8176"/>
    <cellStyle name="SAPBEXHLevel2 2 3 2 5" xfId="8177"/>
    <cellStyle name="SAPBEXHLevel2 2 3 3" xfId="8178"/>
    <cellStyle name="SAPBEXHLevel2 2 3 3 2" xfId="8179"/>
    <cellStyle name="SAPBEXHLevel2 2 3 4" xfId="8180"/>
    <cellStyle name="SAPBEXHLevel2 2 3 4 2" xfId="8181"/>
    <cellStyle name="SAPBEXHLevel2 2 3 5" xfId="8182"/>
    <cellStyle name="SAPBEXHLevel2 2 3 5 2" xfId="8183"/>
    <cellStyle name="SAPBEXHLevel2 2 3 6" xfId="8184"/>
    <cellStyle name="SAPBEXHLevel2 2 4" xfId="8185"/>
    <cellStyle name="SAPBEXHLevel2 2 4 2" xfId="8186"/>
    <cellStyle name="SAPBEXHLevel2 2 4 2 2" xfId="8187"/>
    <cellStyle name="SAPBEXHLevel2 2 4 2 2 2" xfId="8188"/>
    <cellStyle name="SAPBEXHLevel2 2 4 2 3" xfId="8189"/>
    <cellStyle name="SAPBEXHLevel2 2 4 2 3 2" xfId="8190"/>
    <cellStyle name="SAPBEXHLevel2 2 4 2 4" xfId="8191"/>
    <cellStyle name="SAPBEXHLevel2 2 4 2 4 2" xfId="8192"/>
    <cellStyle name="SAPBEXHLevel2 2 4 2 5" xfId="8193"/>
    <cellStyle name="SAPBEXHLevel2 2 4 3" xfId="8194"/>
    <cellStyle name="SAPBEXHLevel2 2 4 3 2" xfId="8195"/>
    <cellStyle name="SAPBEXHLevel2 2 4 4" xfId="8196"/>
    <cellStyle name="SAPBEXHLevel2 2 4 4 2" xfId="8197"/>
    <cellStyle name="SAPBEXHLevel2 2 4 5" xfId="8198"/>
    <cellStyle name="SAPBEXHLevel2 2 4 5 2" xfId="8199"/>
    <cellStyle name="SAPBEXHLevel2 2 4 6" xfId="8200"/>
    <cellStyle name="SAPBEXHLevel2 2 5" xfId="8201"/>
    <cellStyle name="SAPBEXHLevel2 2 5 2" xfId="8202"/>
    <cellStyle name="SAPBEXHLevel2 2 5 2 2" xfId="8203"/>
    <cellStyle name="SAPBEXHLevel2 2 5 3" xfId="8204"/>
    <cellStyle name="SAPBEXHLevel2 2 5 3 2" xfId="8205"/>
    <cellStyle name="SAPBEXHLevel2 2 5 4" xfId="8206"/>
    <cellStyle name="SAPBEXHLevel2 2 5 4 2" xfId="8207"/>
    <cellStyle name="SAPBEXHLevel2 2 5 5" xfId="8208"/>
    <cellStyle name="SAPBEXHLevel2 2 6" xfId="8209"/>
    <cellStyle name="SAPBEXHLevel2 2 6 2" xfId="8210"/>
    <cellStyle name="SAPBEXHLevel2 2 7" xfId="8211"/>
    <cellStyle name="SAPBEXHLevel2 2 7 2" xfId="8212"/>
    <cellStyle name="SAPBEXHLevel2 2 8" xfId="8213"/>
    <cellStyle name="SAPBEXHLevel2 2 8 2" xfId="8214"/>
    <cellStyle name="SAPBEXHLevel2 2 9" xfId="8215"/>
    <cellStyle name="SAPBEXHLevel2 3" xfId="8216"/>
    <cellStyle name="SAPBEXHLevel2 3 2" xfId="8217"/>
    <cellStyle name="SAPBEXHLevel2 3 2 2" xfId="8218"/>
    <cellStyle name="SAPBEXHLevel2 3 2 2 2" xfId="8219"/>
    <cellStyle name="SAPBEXHLevel2 3 2 2 2 2" xfId="8220"/>
    <cellStyle name="SAPBEXHLevel2 3 2 2 3" xfId="8221"/>
    <cellStyle name="SAPBEXHLevel2 3 2 2 3 2" xfId="8222"/>
    <cellStyle name="SAPBEXHLevel2 3 2 2 4" xfId="8223"/>
    <cellStyle name="SAPBEXHLevel2 3 2 2 4 2" xfId="8224"/>
    <cellStyle name="SAPBEXHLevel2 3 2 2 5" xfId="8225"/>
    <cellStyle name="SAPBEXHLevel2 3 2 3" xfId="8226"/>
    <cellStyle name="SAPBEXHLevel2 3 2 3 2" xfId="8227"/>
    <cellStyle name="SAPBEXHLevel2 3 2 4" xfId="8228"/>
    <cellStyle name="SAPBEXHLevel2 3 2 4 2" xfId="8229"/>
    <cellStyle name="SAPBEXHLevel2 3 2 5" xfId="8230"/>
    <cellStyle name="SAPBEXHLevel2 3 2 5 2" xfId="8231"/>
    <cellStyle name="SAPBEXHLevel2 3 2 6" xfId="8232"/>
    <cellStyle name="SAPBEXHLevel2 3 3" xfId="8233"/>
    <cellStyle name="SAPBEXHLevel2 3 3 2" xfId="8234"/>
    <cellStyle name="SAPBEXHLevel2 3 3 2 2" xfId="8235"/>
    <cellStyle name="SAPBEXHLevel2 3 3 2 2 2" xfId="8236"/>
    <cellStyle name="SAPBEXHLevel2 3 3 2 3" xfId="8237"/>
    <cellStyle name="SAPBEXHLevel2 3 3 2 3 2" xfId="8238"/>
    <cellStyle name="SAPBEXHLevel2 3 3 2 4" xfId="8239"/>
    <cellStyle name="SAPBEXHLevel2 3 3 2 4 2" xfId="8240"/>
    <cellStyle name="SAPBEXHLevel2 3 3 2 5" xfId="8241"/>
    <cellStyle name="SAPBEXHLevel2 3 3 3" xfId="8242"/>
    <cellStyle name="SAPBEXHLevel2 3 3 3 2" xfId="8243"/>
    <cellStyle name="SAPBEXHLevel2 3 3 4" xfId="8244"/>
    <cellStyle name="SAPBEXHLevel2 3 3 4 2" xfId="8245"/>
    <cellStyle name="SAPBEXHLevel2 3 3 5" xfId="8246"/>
    <cellStyle name="SAPBEXHLevel2 3 3 5 2" xfId="8247"/>
    <cellStyle name="SAPBEXHLevel2 3 3 6" xfId="8248"/>
    <cellStyle name="SAPBEXHLevel2 3 4" xfId="8249"/>
    <cellStyle name="SAPBEXHLevel2 3 4 2" xfId="8250"/>
    <cellStyle name="SAPBEXHLevel2 3 4 2 2" xfId="8251"/>
    <cellStyle name="SAPBEXHLevel2 3 4 3" xfId="8252"/>
    <cellStyle name="SAPBEXHLevel2 3 4 3 2" xfId="8253"/>
    <cellStyle name="SAPBEXHLevel2 3 4 4" xfId="8254"/>
    <cellStyle name="SAPBEXHLevel2 3 4 4 2" xfId="8255"/>
    <cellStyle name="SAPBEXHLevel2 3 4 5" xfId="8256"/>
    <cellStyle name="SAPBEXHLevel2 3 5" xfId="8257"/>
    <cellStyle name="SAPBEXHLevel2 3 5 2" xfId="8258"/>
    <cellStyle name="SAPBEXHLevel2 3 6" xfId="8259"/>
    <cellStyle name="SAPBEXHLevel2 3 6 2" xfId="8260"/>
    <cellStyle name="SAPBEXHLevel2 3 7" xfId="8261"/>
    <cellStyle name="SAPBEXHLevel2 3 7 2" xfId="8262"/>
    <cellStyle name="SAPBEXHLevel2 3 8" xfId="8263"/>
    <cellStyle name="SAPBEXHLevel2 3 8 2" xfId="8264"/>
    <cellStyle name="SAPBEXHLevel2 3 9" xfId="8265"/>
    <cellStyle name="SAPBEXHLevel2 4" xfId="8266"/>
    <cellStyle name="SAPBEXHLevel2 4 2" xfId="8267"/>
    <cellStyle name="SAPBEXHLevel2 4 2 2" xfId="8268"/>
    <cellStyle name="SAPBEXHLevel2 4 2 2 2" xfId="8269"/>
    <cellStyle name="SAPBEXHLevel2 4 2 3" xfId="8270"/>
    <cellStyle name="SAPBEXHLevel2 4 2 3 2" xfId="8271"/>
    <cellStyle name="SAPBEXHLevel2 4 2 4" xfId="8272"/>
    <cellStyle name="SAPBEXHLevel2 4 2 4 2" xfId="8273"/>
    <cellStyle name="SAPBEXHLevel2 4 2 5" xfId="8274"/>
    <cellStyle name="SAPBEXHLevel2 4 3" xfId="8275"/>
    <cellStyle name="SAPBEXHLevel2 4 3 2" xfId="8276"/>
    <cellStyle name="SAPBEXHLevel2 4 4" xfId="8277"/>
    <cellStyle name="SAPBEXHLevel2 4 4 2" xfId="8278"/>
    <cellStyle name="SAPBEXHLevel2 4 5" xfId="8279"/>
    <cellStyle name="SAPBEXHLevel2 4 5 2" xfId="8280"/>
    <cellStyle name="SAPBEXHLevel2 4 6" xfId="8281"/>
    <cellStyle name="SAPBEXHLevel2 5" xfId="8282"/>
    <cellStyle name="SAPBEXHLevel2 5 2" xfId="8283"/>
    <cellStyle name="SAPBEXHLevel2 5 2 2" xfId="8284"/>
    <cellStyle name="SAPBEXHLevel2 5 2 2 2" xfId="8285"/>
    <cellStyle name="SAPBEXHLevel2 5 2 3" xfId="8286"/>
    <cellStyle name="SAPBEXHLevel2 5 2 3 2" xfId="8287"/>
    <cellStyle name="SAPBEXHLevel2 5 2 4" xfId="8288"/>
    <cellStyle name="SAPBEXHLevel2 5 2 4 2" xfId="8289"/>
    <cellStyle name="SAPBEXHLevel2 5 2 5" xfId="8290"/>
    <cellStyle name="SAPBEXHLevel2 5 3" xfId="8291"/>
    <cellStyle name="SAPBEXHLevel2 5 3 2" xfId="8292"/>
    <cellStyle name="SAPBEXHLevel2 5 4" xfId="8293"/>
    <cellStyle name="SAPBEXHLevel2 5 4 2" xfId="8294"/>
    <cellStyle name="SAPBEXHLevel2 5 5" xfId="8295"/>
    <cellStyle name="SAPBEXHLevel2 5 5 2" xfId="8296"/>
    <cellStyle name="SAPBEXHLevel2 5 6" xfId="8297"/>
    <cellStyle name="SAPBEXHLevel2 6" xfId="8298"/>
    <cellStyle name="SAPBEXHLevel2 6 2" xfId="8299"/>
    <cellStyle name="SAPBEXHLevel2 6 2 2" xfId="8300"/>
    <cellStyle name="SAPBEXHLevel2 6 3" xfId="8301"/>
    <cellStyle name="SAPBEXHLevel2 6 3 2" xfId="8302"/>
    <cellStyle name="SAPBEXHLevel2 6 4" xfId="8303"/>
    <cellStyle name="SAPBEXHLevel2 6 4 2" xfId="8304"/>
    <cellStyle name="SAPBEXHLevel2 6 5" xfId="8305"/>
    <cellStyle name="SAPBEXHLevel2 7" xfId="8306"/>
    <cellStyle name="SAPBEXHLevel2 7 2" xfId="8307"/>
    <cellStyle name="SAPBEXHLevel2 8" xfId="8308"/>
    <cellStyle name="SAPBEXHLevel2 8 2" xfId="8309"/>
    <cellStyle name="SAPBEXHLevel2 9" xfId="8310"/>
    <cellStyle name="SAPBEXHLevel2 9 2" xfId="8311"/>
    <cellStyle name="SAPBEXHLevel2X" xfId="8312"/>
    <cellStyle name="SAPBEXHLevel2X 10" xfId="8313"/>
    <cellStyle name="SAPBEXHLevel2X 2" xfId="8314"/>
    <cellStyle name="SAPBEXHLevel2X 2 2" xfId="8315"/>
    <cellStyle name="SAPBEXHLevel2X 2 2 2" xfId="8316"/>
    <cellStyle name="SAPBEXHLevel2X 2 2 2 2" xfId="8317"/>
    <cellStyle name="SAPBEXHLevel2X 2 2 2 2 2" xfId="8318"/>
    <cellStyle name="SAPBEXHLevel2X 2 2 2 2 2 2" xfId="8319"/>
    <cellStyle name="SAPBEXHLevel2X 2 2 2 2 3" xfId="8320"/>
    <cellStyle name="SAPBEXHLevel2X 2 2 2 2 3 2" xfId="8321"/>
    <cellStyle name="SAPBEXHLevel2X 2 2 2 2 4" xfId="8322"/>
    <cellStyle name="SAPBEXHLevel2X 2 2 2 2 4 2" xfId="8323"/>
    <cellStyle name="SAPBEXHLevel2X 2 2 2 2 5" xfId="8324"/>
    <cellStyle name="SAPBEXHLevel2X 2 2 2 3" xfId="8325"/>
    <cellStyle name="SAPBEXHLevel2X 2 2 2 3 2" xfId="8326"/>
    <cellStyle name="SAPBEXHLevel2X 2 2 2 4" xfId="8327"/>
    <cellStyle name="SAPBEXHLevel2X 2 2 2 4 2" xfId="8328"/>
    <cellStyle name="SAPBEXHLevel2X 2 2 2 5" xfId="8329"/>
    <cellStyle name="SAPBEXHLevel2X 2 2 2 5 2" xfId="8330"/>
    <cellStyle name="SAPBEXHLevel2X 2 2 2 6" xfId="8331"/>
    <cellStyle name="SAPBEXHLevel2X 2 2 3" xfId="8332"/>
    <cellStyle name="SAPBEXHLevel2X 2 2 3 2" xfId="8333"/>
    <cellStyle name="SAPBEXHLevel2X 2 2 3 2 2" xfId="8334"/>
    <cellStyle name="SAPBEXHLevel2X 2 2 3 2 2 2" xfId="8335"/>
    <cellStyle name="SAPBEXHLevel2X 2 2 3 2 3" xfId="8336"/>
    <cellStyle name="SAPBEXHLevel2X 2 2 3 2 3 2" xfId="8337"/>
    <cellStyle name="SAPBEXHLevel2X 2 2 3 2 4" xfId="8338"/>
    <cellStyle name="SAPBEXHLevel2X 2 2 3 2 4 2" xfId="8339"/>
    <cellStyle name="SAPBEXHLevel2X 2 2 3 2 5" xfId="8340"/>
    <cellStyle name="SAPBEXHLevel2X 2 2 3 3" xfId="8341"/>
    <cellStyle name="SAPBEXHLevel2X 2 2 3 3 2" xfId="8342"/>
    <cellStyle name="SAPBEXHLevel2X 2 2 3 4" xfId="8343"/>
    <cellStyle name="SAPBEXHLevel2X 2 2 3 4 2" xfId="8344"/>
    <cellStyle name="SAPBEXHLevel2X 2 2 3 5" xfId="8345"/>
    <cellStyle name="SAPBEXHLevel2X 2 2 3 5 2" xfId="8346"/>
    <cellStyle name="SAPBEXHLevel2X 2 2 3 6" xfId="8347"/>
    <cellStyle name="SAPBEXHLevel2X 2 2 4" xfId="8348"/>
    <cellStyle name="SAPBEXHLevel2X 2 2 4 2" xfId="8349"/>
    <cellStyle name="SAPBEXHLevel2X 2 2 4 2 2" xfId="8350"/>
    <cellStyle name="SAPBEXHLevel2X 2 2 4 3" xfId="8351"/>
    <cellStyle name="SAPBEXHLevel2X 2 2 4 3 2" xfId="8352"/>
    <cellStyle name="SAPBEXHLevel2X 2 2 4 4" xfId="8353"/>
    <cellStyle name="SAPBEXHLevel2X 2 2 4 4 2" xfId="8354"/>
    <cellStyle name="SAPBEXHLevel2X 2 2 4 5" xfId="8355"/>
    <cellStyle name="SAPBEXHLevel2X 2 2 5" xfId="8356"/>
    <cellStyle name="SAPBEXHLevel2X 2 2 5 2" xfId="8357"/>
    <cellStyle name="SAPBEXHLevel2X 2 2 6" xfId="8358"/>
    <cellStyle name="SAPBEXHLevel2X 2 2 6 2" xfId="8359"/>
    <cellStyle name="SAPBEXHLevel2X 2 2 7" xfId="8360"/>
    <cellStyle name="SAPBEXHLevel2X 2 2 7 2" xfId="8361"/>
    <cellStyle name="SAPBEXHLevel2X 2 2 8" xfId="8362"/>
    <cellStyle name="SAPBEXHLevel2X 2 2 8 2" xfId="8363"/>
    <cellStyle name="SAPBEXHLevel2X 2 2 9" xfId="8364"/>
    <cellStyle name="SAPBEXHLevel2X 2 3" xfId="8365"/>
    <cellStyle name="SAPBEXHLevel2X 2 3 2" xfId="8366"/>
    <cellStyle name="SAPBEXHLevel2X 2 3 2 2" xfId="8367"/>
    <cellStyle name="SAPBEXHLevel2X 2 3 2 2 2" xfId="8368"/>
    <cellStyle name="SAPBEXHLevel2X 2 3 2 3" xfId="8369"/>
    <cellStyle name="SAPBEXHLevel2X 2 3 2 3 2" xfId="8370"/>
    <cellStyle name="SAPBEXHLevel2X 2 3 2 4" xfId="8371"/>
    <cellStyle name="SAPBEXHLevel2X 2 3 2 4 2" xfId="8372"/>
    <cellStyle name="SAPBEXHLevel2X 2 3 2 5" xfId="8373"/>
    <cellStyle name="SAPBEXHLevel2X 2 3 3" xfId="8374"/>
    <cellStyle name="SAPBEXHLevel2X 2 3 3 2" xfId="8375"/>
    <cellStyle name="SAPBEXHLevel2X 2 3 4" xfId="8376"/>
    <cellStyle name="SAPBEXHLevel2X 2 3 4 2" xfId="8377"/>
    <cellStyle name="SAPBEXHLevel2X 2 3 5" xfId="8378"/>
    <cellStyle name="SAPBEXHLevel2X 2 3 5 2" xfId="8379"/>
    <cellStyle name="SAPBEXHLevel2X 2 3 6" xfId="8380"/>
    <cellStyle name="SAPBEXHLevel2X 2 4" xfId="8381"/>
    <cellStyle name="SAPBEXHLevel2X 2 4 2" xfId="8382"/>
    <cellStyle name="SAPBEXHLevel2X 2 4 2 2" xfId="8383"/>
    <cellStyle name="SAPBEXHLevel2X 2 4 2 2 2" xfId="8384"/>
    <cellStyle name="SAPBEXHLevel2X 2 4 2 3" xfId="8385"/>
    <cellStyle name="SAPBEXHLevel2X 2 4 2 3 2" xfId="8386"/>
    <cellStyle name="SAPBEXHLevel2X 2 4 2 4" xfId="8387"/>
    <cellStyle name="SAPBEXHLevel2X 2 4 2 4 2" xfId="8388"/>
    <cellStyle name="SAPBEXHLevel2X 2 4 2 5" xfId="8389"/>
    <cellStyle name="SAPBEXHLevel2X 2 4 3" xfId="8390"/>
    <cellStyle name="SAPBEXHLevel2X 2 4 3 2" xfId="8391"/>
    <cellStyle name="SAPBEXHLevel2X 2 4 4" xfId="8392"/>
    <cellStyle name="SAPBEXHLevel2X 2 4 4 2" xfId="8393"/>
    <cellStyle name="SAPBEXHLevel2X 2 4 5" xfId="8394"/>
    <cellStyle name="SAPBEXHLevel2X 2 4 5 2" xfId="8395"/>
    <cellStyle name="SAPBEXHLevel2X 2 4 6" xfId="8396"/>
    <cellStyle name="SAPBEXHLevel2X 2 5" xfId="8397"/>
    <cellStyle name="SAPBEXHLevel2X 2 5 2" xfId="8398"/>
    <cellStyle name="SAPBEXHLevel2X 2 5 2 2" xfId="8399"/>
    <cellStyle name="SAPBEXHLevel2X 2 5 3" xfId="8400"/>
    <cellStyle name="SAPBEXHLevel2X 2 5 3 2" xfId="8401"/>
    <cellStyle name="SAPBEXHLevel2X 2 5 4" xfId="8402"/>
    <cellStyle name="SAPBEXHLevel2X 2 5 4 2" xfId="8403"/>
    <cellStyle name="SAPBEXHLevel2X 2 5 5" xfId="8404"/>
    <cellStyle name="SAPBEXHLevel2X 2 6" xfId="8405"/>
    <cellStyle name="SAPBEXHLevel2X 2 6 2" xfId="8406"/>
    <cellStyle name="SAPBEXHLevel2X 2 7" xfId="8407"/>
    <cellStyle name="SAPBEXHLevel2X 2 7 2" xfId="8408"/>
    <cellStyle name="SAPBEXHLevel2X 2 8" xfId="8409"/>
    <cellStyle name="SAPBEXHLevel2X 2 8 2" xfId="8410"/>
    <cellStyle name="SAPBEXHLevel2X 2 9" xfId="8411"/>
    <cellStyle name="SAPBEXHLevel2X 3" xfId="8412"/>
    <cellStyle name="SAPBEXHLevel2X 3 2" xfId="8413"/>
    <cellStyle name="SAPBEXHLevel2X 3 2 2" xfId="8414"/>
    <cellStyle name="SAPBEXHLevel2X 3 2 2 2" xfId="8415"/>
    <cellStyle name="SAPBEXHLevel2X 3 2 2 2 2" xfId="8416"/>
    <cellStyle name="SAPBEXHLevel2X 3 2 2 3" xfId="8417"/>
    <cellStyle name="SAPBEXHLevel2X 3 2 2 3 2" xfId="8418"/>
    <cellStyle name="SAPBEXHLevel2X 3 2 2 4" xfId="8419"/>
    <cellStyle name="SAPBEXHLevel2X 3 2 2 4 2" xfId="8420"/>
    <cellStyle name="SAPBEXHLevel2X 3 2 2 5" xfId="8421"/>
    <cellStyle name="SAPBEXHLevel2X 3 2 3" xfId="8422"/>
    <cellStyle name="SAPBEXHLevel2X 3 2 3 2" xfId="8423"/>
    <cellStyle name="SAPBEXHLevel2X 3 2 4" xfId="8424"/>
    <cellStyle name="SAPBEXHLevel2X 3 2 4 2" xfId="8425"/>
    <cellStyle name="SAPBEXHLevel2X 3 2 5" xfId="8426"/>
    <cellStyle name="SAPBEXHLevel2X 3 2 5 2" xfId="8427"/>
    <cellStyle name="SAPBEXHLevel2X 3 2 6" xfId="8428"/>
    <cellStyle name="SAPBEXHLevel2X 3 3" xfId="8429"/>
    <cellStyle name="SAPBEXHLevel2X 3 3 2" xfId="8430"/>
    <cellStyle name="SAPBEXHLevel2X 3 3 2 2" xfId="8431"/>
    <cellStyle name="SAPBEXHLevel2X 3 3 2 2 2" xfId="8432"/>
    <cellStyle name="SAPBEXHLevel2X 3 3 2 3" xfId="8433"/>
    <cellStyle name="SAPBEXHLevel2X 3 3 2 3 2" xfId="8434"/>
    <cellStyle name="SAPBEXHLevel2X 3 3 2 4" xfId="8435"/>
    <cellStyle name="SAPBEXHLevel2X 3 3 2 4 2" xfId="8436"/>
    <cellStyle name="SAPBEXHLevel2X 3 3 2 5" xfId="8437"/>
    <cellStyle name="SAPBEXHLevel2X 3 3 3" xfId="8438"/>
    <cellStyle name="SAPBEXHLevel2X 3 3 3 2" xfId="8439"/>
    <cellStyle name="SAPBEXHLevel2X 3 3 4" xfId="8440"/>
    <cellStyle name="SAPBEXHLevel2X 3 3 4 2" xfId="8441"/>
    <cellStyle name="SAPBEXHLevel2X 3 3 5" xfId="8442"/>
    <cellStyle name="SAPBEXHLevel2X 3 3 5 2" xfId="8443"/>
    <cellStyle name="SAPBEXHLevel2X 3 3 6" xfId="8444"/>
    <cellStyle name="SAPBEXHLevel2X 3 4" xfId="8445"/>
    <cellStyle name="SAPBEXHLevel2X 3 4 2" xfId="8446"/>
    <cellStyle name="SAPBEXHLevel2X 3 4 2 2" xfId="8447"/>
    <cellStyle name="SAPBEXHLevel2X 3 4 3" xfId="8448"/>
    <cellStyle name="SAPBEXHLevel2X 3 4 3 2" xfId="8449"/>
    <cellStyle name="SAPBEXHLevel2X 3 4 4" xfId="8450"/>
    <cellStyle name="SAPBEXHLevel2X 3 4 4 2" xfId="8451"/>
    <cellStyle name="SAPBEXHLevel2X 3 4 5" xfId="8452"/>
    <cellStyle name="SAPBEXHLevel2X 3 5" xfId="8453"/>
    <cellStyle name="SAPBEXHLevel2X 3 5 2" xfId="8454"/>
    <cellStyle name="SAPBEXHLevel2X 3 6" xfId="8455"/>
    <cellStyle name="SAPBEXHLevel2X 3 6 2" xfId="8456"/>
    <cellStyle name="SAPBEXHLevel2X 3 7" xfId="8457"/>
    <cellStyle name="SAPBEXHLevel2X 3 7 2" xfId="8458"/>
    <cellStyle name="SAPBEXHLevel2X 3 8" xfId="8459"/>
    <cellStyle name="SAPBEXHLevel2X 3 8 2" xfId="8460"/>
    <cellStyle name="SAPBEXHLevel2X 3 9" xfId="8461"/>
    <cellStyle name="SAPBEXHLevel2X 4" xfId="8462"/>
    <cellStyle name="SAPBEXHLevel2X 4 2" xfId="8463"/>
    <cellStyle name="SAPBEXHLevel2X 4 2 2" xfId="8464"/>
    <cellStyle name="SAPBEXHLevel2X 4 2 2 2" xfId="8465"/>
    <cellStyle name="SAPBEXHLevel2X 4 2 3" xfId="8466"/>
    <cellStyle name="SAPBEXHLevel2X 4 2 3 2" xfId="8467"/>
    <cellStyle name="SAPBEXHLevel2X 4 2 4" xfId="8468"/>
    <cellStyle name="SAPBEXHLevel2X 4 2 4 2" xfId="8469"/>
    <cellStyle name="SAPBEXHLevel2X 4 2 5" xfId="8470"/>
    <cellStyle name="SAPBEXHLevel2X 4 3" xfId="8471"/>
    <cellStyle name="SAPBEXHLevel2X 4 3 2" xfId="8472"/>
    <cellStyle name="SAPBEXHLevel2X 4 4" xfId="8473"/>
    <cellStyle name="SAPBEXHLevel2X 4 4 2" xfId="8474"/>
    <cellStyle name="SAPBEXHLevel2X 4 5" xfId="8475"/>
    <cellStyle name="SAPBEXHLevel2X 4 5 2" xfId="8476"/>
    <cellStyle name="SAPBEXHLevel2X 4 6" xfId="8477"/>
    <cellStyle name="SAPBEXHLevel2X 5" xfId="8478"/>
    <cellStyle name="SAPBEXHLevel2X 5 2" xfId="8479"/>
    <cellStyle name="SAPBEXHLevel2X 5 2 2" xfId="8480"/>
    <cellStyle name="SAPBEXHLevel2X 5 2 2 2" xfId="8481"/>
    <cellStyle name="SAPBEXHLevel2X 5 2 3" xfId="8482"/>
    <cellStyle name="SAPBEXHLevel2X 5 2 3 2" xfId="8483"/>
    <cellStyle name="SAPBEXHLevel2X 5 2 4" xfId="8484"/>
    <cellStyle name="SAPBEXHLevel2X 5 2 4 2" xfId="8485"/>
    <cellStyle name="SAPBEXHLevel2X 5 2 5" xfId="8486"/>
    <cellStyle name="SAPBEXHLevel2X 5 3" xfId="8487"/>
    <cellStyle name="SAPBEXHLevel2X 5 3 2" xfId="8488"/>
    <cellStyle name="SAPBEXHLevel2X 5 4" xfId="8489"/>
    <cellStyle name="SAPBEXHLevel2X 5 4 2" xfId="8490"/>
    <cellStyle name="SAPBEXHLevel2X 5 5" xfId="8491"/>
    <cellStyle name="SAPBEXHLevel2X 5 5 2" xfId="8492"/>
    <cellStyle name="SAPBEXHLevel2X 5 6" xfId="8493"/>
    <cellStyle name="SAPBEXHLevel2X 6" xfId="8494"/>
    <cellStyle name="SAPBEXHLevel2X 6 2" xfId="8495"/>
    <cellStyle name="SAPBEXHLevel2X 6 2 2" xfId="8496"/>
    <cellStyle name="SAPBEXHLevel2X 6 3" xfId="8497"/>
    <cellStyle name="SAPBEXHLevel2X 6 3 2" xfId="8498"/>
    <cellStyle name="SAPBEXHLevel2X 6 4" xfId="8499"/>
    <cellStyle name="SAPBEXHLevel2X 6 4 2" xfId="8500"/>
    <cellStyle name="SAPBEXHLevel2X 6 5" xfId="8501"/>
    <cellStyle name="SAPBEXHLevel2X 7" xfId="8502"/>
    <cellStyle name="SAPBEXHLevel2X 7 2" xfId="8503"/>
    <cellStyle name="SAPBEXHLevel2X 8" xfId="8504"/>
    <cellStyle name="SAPBEXHLevel2X 8 2" xfId="8505"/>
    <cellStyle name="SAPBEXHLevel2X 9" xfId="8506"/>
    <cellStyle name="SAPBEXHLevel2X 9 2" xfId="8507"/>
    <cellStyle name="SAPBEXHLevel3" xfId="8508"/>
    <cellStyle name="SAPBEXHLevel3 10" xfId="8509"/>
    <cellStyle name="SAPBEXHLevel3 2" xfId="8510"/>
    <cellStyle name="SAPBEXHLevel3 2 2" xfId="8511"/>
    <cellStyle name="SAPBEXHLevel3 2 2 2" xfId="8512"/>
    <cellStyle name="SAPBEXHLevel3 2 2 2 2" xfId="8513"/>
    <cellStyle name="SAPBEXHLevel3 2 2 2 2 2" xfId="8514"/>
    <cellStyle name="SAPBEXHLevel3 2 2 2 2 2 2" xfId="8515"/>
    <cellStyle name="SAPBEXHLevel3 2 2 2 2 3" xfId="8516"/>
    <cellStyle name="SAPBEXHLevel3 2 2 2 2 3 2" xfId="8517"/>
    <cellStyle name="SAPBEXHLevel3 2 2 2 2 4" xfId="8518"/>
    <cellStyle name="SAPBEXHLevel3 2 2 2 2 4 2" xfId="8519"/>
    <cellStyle name="SAPBEXHLevel3 2 2 2 2 5" xfId="8520"/>
    <cellStyle name="SAPBEXHLevel3 2 2 2 3" xfId="8521"/>
    <cellStyle name="SAPBEXHLevel3 2 2 2 3 2" xfId="8522"/>
    <cellStyle name="SAPBEXHLevel3 2 2 2 4" xfId="8523"/>
    <cellStyle name="SAPBEXHLevel3 2 2 2 4 2" xfId="8524"/>
    <cellStyle name="SAPBEXHLevel3 2 2 2 5" xfId="8525"/>
    <cellStyle name="SAPBEXHLevel3 2 2 2 5 2" xfId="8526"/>
    <cellStyle name="SAPBEXHLevel3 2 2 2 6" xfId="8527"/>
    <cellStyle name="SAPBEXHLevel3 2 2 3" xfId="8528"/>
    <cellStyle name="SAPBEXHLevel3 2 2 3 2" xfId="8529"/>
    <cellStyle name="SAPBEXHLevel3 2 2 3 2 2" xfId="8530"/>
    <cellStyle name="SAPBEXHLevel3 2 2 3 2 2 2" xfId="8531"/>
    <cellStyle name="SAPBEXHLevel3 2 2 3 2 3" xfId="8532"/>
    <cellStyle name="SAPBEXHLevel3 2 2 3 2 3 2" xfId="8533"/>
    <cellStyle name="SAPBEXHLevel3 2 2 3 2 4" xfId="8534"/>
    <cellStyle name="SAPBEXHLevel3 2 2 3 2 4 2" xfId="8535"/>
    <cellStyle name="SAPBEXHLevel3 2 2 3 2 5" xfId="8536"/>
    <cellStyle name="SAPBEXHLevel3 2 2 3 3" xfId="8537"/>
    <cellStyle name="SAPBEXHLevel3 2 2 3 3 2" xfId="8538"/>
    <cellStyle name="SAPBEXHLevel3 2 2 3 4" xfId="8539"/>
    <cellStyle name="SAPBEXHLevel3 2 2 3 4 2" xfId="8540"/>
    <cellStyle name="SAPBEXHLevel3 2 2 3 5" xfId="8541"/>
    <cellStyle name="SAPBEXHLevel3 2 2 3 5 2" xfId="8542"/>
    <cellStyle name="SAPBEXHLevel3 2 2 3 6" xfId="8543"/>
    <cellStyle name="SAPBEXHLevel3 2 2 4" xfId="8544"/>
    <cellStyle name="SAPBEXHLevel3 2 2 4 2" xfId="8545"/>
    <cellStyle name="SAPBEXHLevel3 2 2 4 2 2" xfId="8546"/>
    <cellStyle name="SAPBEXHLevel3 2 2 4 3" xfId="8547"/>
    <cellStyle name="SAPBEXHLevel3 2 2 4 3 2" xfId="8548"/>
    <cellStyle name="SAPBEXHLevel3 2 2 4 4" xfId="8549"/>
    <cellStyle name="SAPBEXHLevel3 2 2 4 4 2" xfId="8550"/>
    <cellStyle name="SAPBEXHLevel3 2 2 4 5" xfId="8551"/>
    <cellStyle name="SAPBEXHLevel3 2 2 5" xfId="8552"/>
    <cellStyle name="SAPBEXHLevel3 2 2 5 2" xfId="8553"/>
    <cellStyle name="SAPBEXHLevel3 2 2 6" xfId="8554"/>
    <cellStyle name="SAPBEXHLevel3 2 2 6 2" xfId="8555"/>
    <cellStyle name="SAPBEXHLevel3 2 2 7" xfId="8556"/>
    <cellStyle name="SAPBEXHLevel3 2 2 7 2" xfId="8557"/>
    <cellStyle name="SAPBEXHLevel3 2 2 8" xfId="8558"/>
    <cellStyle name="SAPBEXHLevel3 2 2 8 2" xfId="8559"/>
    <cellStyle name="SAPBEXHLevel3 2 2 9" xfId="8560"/>
    <cellStyle name="SAPBEXHLevel3 2 3" xfId="8561"/>
    <cellStyle name="SAPBEXHLevel3 2 3 2" xfId="8562"/>
    <cellStyle name="SAPBEXHLevel3 2 3 2 2" xfId="8563"/>
    <cellStyle name="SAPBEXHLevel3 2 3 2 2 2" xfId="8564"/>
    <cellStyle name="SAPBEXHLevel3 2 3 2 3" xfId="8565"/>
    <cellStyle name="SAPBEXHLevel3 2 3 2 3 2" xfId="8566"/>
    <cellStyle name="SAPBEXHLevel3 2 3 2 4" xfId="8567"/>
    <cellStyle name="SAPBEXHLevel3 2 3 2 4 2" xfId="8568"/>
    <cellStyle name="SAPBEXHLevel3 2 3 2 5" xfId="8569"/>
    <cellStyle name="SAPBEXHLevel3 2 3 3" xfId="8570"/>
    <cellStyle name="SAPBEXHLevel3 2 3 3 2" xfId="8571"/>
    <cellStyle name="SAPBEXHLevel3 2 3 4" xfId="8572"/>
    <cellStyle name="SAPBEXHLevel3 2 3 4 2" xfId="8573"/>
    <cellStyle name="SAPBEXHLevel3 2 3 5" xfId="8574"/>
    <cellStyle name="SAPBEXHLevel3 2 3 5 2" xfId="8575"/>
    <cellStyle name="SAPBEXHLevel3 2 3 6" xfId="8576"/>
    <cellStyle name="SAPBEXHLevel3 2 4" xfId="8577"/>
    <cellStyle name="SAPBEXHLevel3 2 4 2" xfId="8578"/>
    <cellStyle name="SAPBEXHLevel3 2 4 2 2" xfId="8579"/>
    <cellStyle name="SAPBEXHLevel3 2 4 2 2 2" xfId="8580"/>
    <cellStyle name="SAPBEXHLevel3 2 4 2 3" xfId="8581"/>
    <cellStyle name="SAPBEXHLevel3 2 4 2 3 2" xfId="8582"/>
    <cellStyle name="SAPBEXHLevel3 2 4 2 4" xfId="8583"/>
    <cellStyle name="SAPBEXHLevel3 2 4 2 4 2" xfId="8584"/>
    <cellStyle name="SAPBEXHLevel3 2 4 2 5" xfId="8585"/>
    <cellStyle name="SAPBEXHLevel3 2 4 3" xfId="8586"/>
    <cellStyle name="SAPBEXHLevel3 2 4 3 2" xfId="8587"/>
    <cellStyle name="SAPBEXHLevel3 2 4 4" xfId="8588"/>
    <cellStyle name="SAPBEXHLevel3 2 4 4 2" xfId="8589"/>
    <cellStyle name="SAPBEXHLevel3 2 4 5" xfId="8590"/>
    <cellStyle name="SAPBEXHLevel3 2 4 5 2" xfId="8591"/>
    <cellStyle name="SAPBEXHLevel3 2 4 6" xfId="8592"/>
    <cellStyle name="SAPBEXHLevel3 2 5" xfId="8593"/>
    <cellStyle name="SAPBEXHLevel3 2 5 2" xfId="8594"/>
    <cellStyle name="SAPBEXHLevel3 2 5 2 2" xfId="8595"/>
    <cellStyle name="SAPBEXHLevel3 2 5 3" xfId="8596"/>
    <cellStyle name="SAPBEXHLevel3 2 5 3 2" xfId="8597"/>
    <cellStyle name="SAPBEXHLevel3 2 5 4" xfId="8598"/>
    <cellStyle name="SAPBEXHLevel3 2 5 4 2" xfId="8599"/>
    <cellStyle name="SAPBEXHLevel3 2 5 5" xfId="8600"/>
    <cellStyle name="SAPBEXHLevel3 2 6" xfId="8601"/>
    <cellStyle name="SAPBEXHLevel3 2 6 2" xfId="8602"/>
    <cellStyle name="SAPBEXHLevel3 2 7" xfId="8603"/>
    <cellStyle name="SAPBEXHLevel3 2 7 2" xfId="8604"/>
    <cellStyle name="SAPBEXHLevel3 2 8" xfId="8605"/>
    <cellStyle name="SAPBEXHLevel3 2 8 2" xfId="8606"/>
    <cellStyle name="SAPBEXHLevel3 2 9" xfId="8607"/>
    <cellStyle name="SAPBEXHLevel3 3" xfId="8608"/>
    <cellStyle name="SAPBEXHLevel3 3 2" xfId="8609"/>
    <cellStyle name="SAPBEXHLevel3 3 2 2" xfId="8610"/>
    <cellStyle name="SAPBEXHLevel3 3 2 2 2" xfId="8611"/>
    <cellStyle name="SAPBEXHLevel3 3 2 2 2 2" xfId="8612"/>
    <cellStyle name="SAPBEXHLevel3 3 2 2 3" xfId="8613"/>
    <cellStyle name="SAPBEXHLevel3 3 2 2 3 2" xfId="8614"/>
    <cellStyle name="SAPBEXHLevel3 3 2 2 4" xfId="8615"/>
    <cellStyle name="SAPBEXHLevel3 3 2 2 4 2" xfId="8616"/>
    <cellStyle name="SAPBEXHLevel3 3 2 2 5" xfId="8617"/>
    <cellStyle name="SAPBEXHLevel3 3 2 3" xfId="8618"/>
    <cellStyle name="SAPBEXHLevel3 3 2 3 2" xfId="8619"/>
    <cellStyle name="SAPBEXHLevel3 3 2 4" xfId="8620"/>
    <cellStyle name="SAPBEXHLevel3 3 2 4 2" xfId="8621"/>
    <cellStyle name="SAPBEXHLevel3 3 2 5" xfId="8622"/>
    <cellStyle name="SAPBEXHLevel3 3 2 5 2" xfId="8623"/>
    <cellStyle name="SAPBEXHLevel3 3 2 6" xfId="8624"/>
    <cellStyle name="SAPBEXHLevel3 3 3" xfId="8625"/>
    <cellStyle name="SAPBEXHLevel3 3 3 2" xfId="8626"/>
    <cellStyle name="SAPBEXHLevel3 3 3 2 2" xfId="8627"/>
    <cellStyle name="SAPBEXHLevel3 3 3 2 2 2" xfId="8628"/>
    <cellStyle name="SAPBEXHLevel3 3 3 2 3" xfId="8629"/>
    <cellStyle name="SAPBEXHLevel3 3 3 2 3 2" xfId="8630"/>
    <cellStyle name="SAPBEXHLevel3 3 3 2 4" xfId="8631"/>
    <cellStyle name="SAPBEXHLevel3 3 3 2 4 2" xfId="8632"/>
    <cellStyle name="SAPBEXHLevel3 3 3 2 5" xfId="8633"/>
    <cellStyle name="SAPBEXHLevel3 3 3 3" xfId="8634"/>
    <cellStyle name="SAPBEXHLevel3 3 3 3 2" xfId="8635"/>
    <cellStyle name="SAPBEXHLevel3 3 3 4" xfId="8636"/>
    <cellStyle name="SAPBEXHLevel3 3 3 4 2" xfId="8637"/>
    <cellStyle name="SAPBEXHLevel3 3 3 5" xfId="8638"/>
    <cellStyle name="SAPBEXHLevel3 3 3 5 2" xfId="8639"/>
    <cellStyle name="SAPBEXHLevel3 3 3 6" xfId="8640"/>
    <cellStyle name="SAPBEXHLevel3 3 4" xfId="8641"/>
    <cellStyle name="SAPBEXHLevel3 3 4 2" xfId="8642"/>
    <cellStyle name="SAPBEXHLevel3 3 4 2 2" xfId="8643"/>
    <cellStyle name="SAPBEXHLevel3 3 4 3" xfId="8644"/>
    <cellStyle name="SAPBEXHLevel3 3 4 3 2" xfId="8645"/>
    <cellStyle name="SAPBEXHLevel3 3 4 4" xfId="8646"/>
    <cellStyle name="SAPBEXHLevel3 3 4 4 2" xfId="8647"/>
    <cellStyle name="SAPBEXHLevel3 3 4 5" xfId="8648"/>
    <cellStyle name="SAPBEXHLevel3 3 5" xfId="8649"/>
    <cellStyle name="SAPBEXHLevel3 3 5 2" xfId="8650"/>
    <cellStyle name="SAPBEXHLevel3 3 6" xfId="8651"/>
    <cellStyle name="SAPBEXHLevel3 3 6 2" xfId="8652"/>
    <cellStyle name="SAPBEXHLevel3 3 7" xfId="8653"/>
    <cellStyle name="SAPBEXHLevel3 3 7 2" xfId="8654"/>
    <cellStyle name="SAPBEXHLevel3 3 8" xfId="8655"/>
    <cellStyle name="SAPBEXHLevel3 3 8 2" xfId="8656"/>
    <cellStyle name="SAPBEXHLevel3 3 9" xfId="8657"/>
    <cellStyle name="SAPBEXHLevel3 4" xfId="8658"/>
    <cellStyle name="SAPBEXHLevel3 4 2" xfId="8659"/>
    <cellStyle name="SAPBEXHLevel3 4 2 2" xfId="8660"/>
    <cellStyle name="SAPBEXHLevel3 4 2 2 2" xfId="8661"/>
    <cellStyle name="SAPBEXHLevel3 4 2 3" xfId="8662"/>
    <cellStyle name="SAPBEXHLevel3 4 2 3 2" xfId="8663"/>
    <cellStyle name="SAPBEXHLevel3 4 2 4" xfId="8664"/>
    <cellStyle name="SAPBEXHLevel3 4 2 4 2" xfId="8665"/>
    <cellStyle name="SAPBEXHLevel3 4 2 5" xfId="8666"/>
    <cellStyle name="SAPBEXHLevel3 4 3" xfId="8667"/>
    <cellStyle name="SAPBEXHLevel3 4 3 2" xfId="8668"/>
    <cellStyle name="SAPBEXHLevel3 4 4" xfId="8669"/>
    <cellStyle name="SAPBEXHLevel3 4 4 2" xfId="8670"/>
    <cellStyle name="SAPBEXHLevel3 4 5" xfId="8671"/>
    <cellStyle name="SAPBEXHLevel3 4 5 2" xfId="8672"/>
    <cellStyle name="SAPBEXHLevel3 4 6" xfId="8673"/>
    <cellStyle name="SAPBEXHLevel3 5" xfId="8674"/>
    <cellStyle name="SAPBEXHLevel3 5 2" xfId="8675"/>
    <cellStyle name="SAPBEXHLevel3 5 2 2" xfId="8676"/>
    <cellStyle name="SAPBEXHLevel3 5 2 2 2" xfId="8677"/>
    <cellStyle name="SAPBEXHLevel3 5 2 3" xfId="8678"/>
    <cellStyle name="SAPBEXHLevel3 5 2 3 2" xfId="8679"/>
    <cellStyle name="SAPBEXHLevel3 5 2 4" xfId="8680"/>
    <cellStyle name="SAPBEXHLevel3 5 2 4 2" xfId="8681"/>
    <cellStyle name="SAPBEXHLevel3 5 2 5" xfId="8682"/>
    <cellStyle name="SAPBEXHLevel3 5 3" xfId="8683"/>
    <cellStyle name="SAPBEXHLevel3 5 3 2" xfId="8684"/>
    <cellStyle name="SAPBEXHLevel3 5 4" xfId="8685"/>
    <cellStyle name="SAPBEXHLevel3 5 4 2" xfId="8686"/>
    <cellStyle name="SAPBEXHLevel3 5 5" xfId="8687"/>
    <cellStyle name="SAPBEXHLevel3 5 5 2" xfId="8688"/>
    <cellStyle name="SAPBEXHLevel3 5 6" xfId="8689"/>
    <cellStyle name="SAPBEXHLevel3 6" xfId="8690"/>
    <cellStyle name="SAPBEXHLevel3 6 2" xfId="8691"/>
    <cellStyle name="SAPBEXHLevel3 6 2 2" xfId="8692"/>
    <cellStyle name="SAPBEXHLevel3 6 3" xfId="8693"/>
    <cellStyle name="SAPBEXHLevel3 6 3 2" xfId="8694"/>
    <cellStyle name="SAPBEXHLevel3 6 4" xfId="8695"/>
    <cellStyle name="SAPBEXHLevel3 6 4 2" xfId="8696"/>
    <cellStyle name="SAPBEXHLevel3 6 5" xfId="8697"/>
    <cellStyle name="SAPBEXHLevel3 7" xfId="8698"/>
    <cellStyle name="SAPBEXHLevel3 7 2" xfId="8699"/>
    <cellStyle name="SAPBEXHLevel3 8" xfId="8700"/>
    <cellStyle name="SAPBEXHLevel3 8 2" xfId="8701"/>
    <cellStyle name="SAPBEXHLevel3 9" xfId="8702"/>
    <cellStyle name="SAPBEXHLevel3 9 2" xfId="8703"/>
    <cellStyle name="SAPBEXHLevel3X" xfId="8704"/>
    <cellStyle name="SAPBEXHLevel3X 10" xfId="8705"/>
    <cellStyle name="SAPBEXHLevel3X 2" xfId="8706"/>
    <cellStyle name="SAPBEXHLevel3X 2 2" xfId="8707"/>
    <cellStyle name="SAPBEXHLevel3X 2 2 2" xfId="8708"/>
    <cellStyle name="SAPBEXHLevel3X 2 2 2 2" xfId="8709"/>
    <cellStyle name="SAPBEXHLevel3X 2 2 2 2 2" xfId="8710"/>
    <cellStyle name="SAPBEXHLevel3X 2 2 2 2 2 2" xfId="8711"/>
    <cellStyle name="SAPBEXHLevel3X 2 2 2 2 3" xfId="8712"/>
    <cellStyle name="SAPBEXHLevel3X 2 2 2 2 3 2" xfId="8713"/>
    <cellStyle name="SAPBEXHLevel3X 2 2 2 2 4" xfId="8714"/>
    <cellStyle name="SAPBEXHLevel3X 2 2 2 2 4 2" xfId="8715"/>
    <cellStyle name="SAPBEXHLevel3X 2 2 2 2 5" xfId="8716"/>
    <cellStyle name="SAPBEXHLevel3X 2 2 2 3" xfId="8717"/>
    <cellStyle name="SAPBEXHLevel3X 2 2 2 3 2" xfId="8718"/>
    <cellStyle name="SAPBEXHLevel3X 2 2 2 4" xfId="8719"/>
    <cellStyle name="SAPBEXHLevel3X 2 2 2 4 2" xfId="8720"/>
    <cellStyle name="SAPBEXHLevel3X 2 2 2 5" xfId="8721"/>
    <cellStyle name="SAPBEXHLevel3X 2 2 2 5 2" xfId="8722"/>
    <cellStyle name="SAPBEXHLevel3X 2 2 2 6" xfId="8723"/>
    <cellStyle name="SAPBEXHLevel3X 2 2 3" xfId="8724"/>
    <cellStyle name="SAPBEXHLevel3X 2 2 3 2" xfId="8725"/>
    <cellStyle name="SAPBEXHLevel3X 2 2 3 2 2" xfId="8726"/>
    <cellStyle name="SAPBEXHLevel3X 2 2 3 2 2 2" xfId="8727"/>
    <cellStyle name="SAPBEXHLevel3X 2 2 3 2 3" xfId="8728"/>
    <cellStyle name="SAPBEXHLevel3X 2 2 3 2 3 2" xfId="8729"/>
    <cellStyle name="SAPBEXHLevel3X 2 2 3 2 4" xfId="8730"/>
    <cellStyle name="SAPBEXHLevel3X 2 2 3 2 4 2" xfId="8731"/>
    <cellStyle name="SAPBEXHLevel3X 2 2 3 2 5" xfId="8732"/>
    <cellStyle name="SAPBEXHLevel3X 2 2 3 3" xfId="8733"/>
    <cellStyle name="SAPBEXHLevel3X 2 2 3 3 2" xfId="8734"/>
    <cellStyle name="SAPBEXHLevel3X 2 2 3 4" xfId="8735"/>
    <cellStyle name="SAPBEXHLevel3X 2 2 3 4 2" xfId="8736"/>
    <cellStyle name="SAPBEXHLevel3X 2 2 3 5" xfId="8737"/>
    <cellStyle name="SAPBEXHLevel3X 2 2 3 5 2" xfId="8738"/>
    <cellStyle name="SAPBEXHLevel3X 2 2 3 6" xfId="8739"/>
    <cellStyle name="SAPBEXHLevel3X 2 2 4" xfId="8740"/>
    <cellStyle name="SAPBEXHLevel3X 2 2 4 2" xfId="8741"/>
    <cellStyle name="SAPBEXHLevel3X 2 2 4 2 2" xfId="8742"/>
    <cellStyle name="SAPBEXHLevel3X 2 2 4 3" xfId="8743"/>
    <cellStyle name="SAPBEXHLevel3X 2 2 4 3 2" xfId="8744"/>
    <cellStyle name="SAPBEXHLevel3X 2 2 4 4" xfId="8745"/>
    <cellStyle name="SAPBEXHLevel3X 2 2 4 4 2" xfId="8746"/>
    <cellStyle name="SAPBEXHLevel3X 2 2 4 5" xfId="8747"/>
    <cellStyle name="SAPBEXHLevel3X 2 2 5" xfId="8748"/>
    <cellStyle name="SAPBEXHLevel3X 2 2 5 2" xfId="8749"/>
    <cellStyle name="SAPBEXHLevel3X 2 2 6" xfId="8750"/>
    <cellStyle name="SAPBEXHLevel3X 2 2 6 2" xfId="8751"/>
    <cellStyle name="SAPBEXHLevel3X 2 2 7" xfId="8752"/>
    <cellStyle name="SAPBEXHLevel3X 2 2 7 2" xfId="8753"/>
    <cellStyle name="SAPBEXHLevel3X 2 2 8" xfId="8754"/>
    <cellStyle name="SAPBEXHLevel3X 2 2 8 2" xfId="8755"/>
    <cellStyle name="SAPBEXHLevel3X 2 2 9" xfId="8756"/>
    <cellStyle name="SAPBEXHLevel3X 2 3" xfId="8757"/>
    <cellStyle name="SAPBEXHLevel3X 2 3 2" xfId="8758"/>
    <cellStyle name="SAPBEXHLevel3X 2 3 2 2" xfId="8759"/>
    <cellStyle name="SAPBEXHLevel3X 2 3 2 2 2" xfId="8760"/>
    <cellStyle name="SAPBEXHLevel3X 2 3 2 3" xfId="8761"/>
    <cellStyle name="SAPBEXHLevel3X 2 3 2 3 2" xfId="8762"/>
    <cellStyle name="SAPBEXHLevel3X 2 3 2 4" xfId="8763"/>
    <cellStyle name="SAPBEXHLevel3X 2 3 2 4 2" xfId="8764"/>
    <cellStyle name="SAPBEXHLevel3X 2 3 2 5" xfId="8765"/>
    <cellStyle name="SAPBEXHLevel3X 2 3 3" xfId="8766"/>
    <cellStyle name="SAPBEXHLevel3X 2 3 3 2" xfId="8767"/>
    <cellStyle name="SAPBEXHLevel3X 2 3 4" xfId="8768"/>
    <cellStyle name="SAPBEXHLevel3X 2 3 4 2" xfId="8769"/>
    <cellStyle name="SAPBEXHLevel3X 2 3 5" xfId="8770"/>
    <cellStyle name="SAPBEXHLevel3X 2 3 5 2" xfId="8771"/>
    <cellStyle name="SAPBEXHLevel3X 2 3 6" xfId="8772"/>
    <cellStyle name="SAPBEXHLevel3X 2 4" xfId="8773"/>
    <cellStyle name="SAPBEXHLevel3X 2 4 2" xfId="8774"/>
    <cellStyle name="SAPBEXHLevel3X 2 4 2 2" xfId="8775"/>
    <cellStyle name="SAPBEXHLevel3X 2 4 2 2 2" xfId="8776"/>
    <cellStyle name="SAPBEXHLevel3X 2 4 2 3" xfId="8777"/>
    <cellStyle name="SAPBEXHLevel3X 2 4 2 3 2" xfId="8778"/>
    <cellStyle name="SAPBEXHLevel3X 2 4 2 4" xfId="8779"/>
    <cellStyle name="SAPBEXHLevel3X 2 4 2 4 2" xfId="8780"/>
    <cellStyle name="SAPBEXHLevel3X 2 4 2 5" xfId="8781"/>
    <cellStyle name="SAPBEXHLevel3X 2 4 3" xfId="8782"/>
    <cellStyle name="SAPBEXHLevel3X 2 4 3 2" xfId="8783"/>
    <cellStyle name="SAPBEXHLevel3X 2 4 4" xfId="8784"/>
    <cellStyle name="SAPBEXHLevel3X 2 4 4 2" xfId="8785"/>
    <cellStyle name="SAPBEXHLevel3X 2 4 5" xfId="8786"/>
    <cellStyle name="SAPBEXHLevel3X 2 4 5 2" xfId="8787"/>
    <cellStyle name="SAPBEXHLevel3X 2 4 6" xfId="8788"/>
    <cellStyle name="SAPBEXHLevel3X 2 5" xfId="8789"/>
    <cellStyle name="SAPBEXHLevel3X 2 5 2" xfId="8790"/>
    <cellStyle name="SAPBEXHLevel3X 2 5 2 2" xfId="8791"/>
    <cellStyle name="SAPBEXHLevel3X 2 5 3" xfId="8792"/>
    <cellStyle name="SAPBEXHLevel3X 2 5 3 2" xfId="8793"/>
    <cellStyle name="SAPBEXHLevel3X 2 5 4" xfId="8794"/>
    <cellStyle name="SAPBEXHLevel3X 2 5 4 2" xfId="8795"/>
    <cellStyle name="SAPBEXHLevel3X 2 5 5" xfId="8796"/>
    <cellStyle name="SAPBEXHLevel3X 2 6" xfId="8797"/>
    <cellStyle name="SAPBEXHLevel3X 2 6 2" xfId="8798"/>
    <cellStyle name="SAPBEXHLevel3X 2 7" xfId="8799"/>
    <cellStyle name="SAPBEXHLevel3X 2 7 2" xfId="8800"/>
    <cellStyle name="SAPBEXHLevel3X 2 8" xfId="8801"/>
    <cellStyle name="SAPBEXHLevel3X 2 8 2" xfId="8802"/>
    <cellStyle name="SAPBEXHLevel3X 2 9" xfId="8803"/>
    <cellStyle name="SAPBEXHLevel3X 3" xfId="8804"/>
    <cellStyle name="SAPBEXHLevel3X 3 2" xfId="8805"/>
    <cellStyle name="SAPBEXHLevel3X 3 2 2" xfId="8806"/>
    <cellStyle name="SAPBEXHLevel3X 3 2 2 2" xfId="8807"/>
    <cellStyle name="SAPBEXHLevel3X 3 2 2 2 2" xfId="8808"/>
    <cellStyle name="SAPBEXHLevel3X 3 2 2 3" xfId="8809"/>
    <cellStyle name="SAPBEXHLevel3X 3 2 2 3 2" xfId="8810"/>
    <cellStyle name="SAPBEXHLevel3X 3 2 2 4" xfId="8811"/>
    <cellStyle name="SAPBEXHLevel3X 3 2 2 4 2" xfId="8812"/>
    <cellStyle name="SAPBEXHLevel3X 3 2 2 5" xfId="8813"/>
    <cellStyle name="SAPBEXHLevel3X 3 2 3" xfId="8814"/>
    <cellStyle name="SAPBEXHLevel3X 3 2 3 2" xfId="8815"/>
    <cellStyle name="SAPBEXHLevel3X 3 2 4" xfId="8816"/>
    <cellStyle name="SAPBEXHLevel3X 3 2 4 2" xfId="8817"/>
    <cellStyle name="SAPBEXHLevel3X 3 2 5" xfId="8818"/>
    <cellStyle name="SAPBEXHLevel3X 3 2 5 2" xfId="8819"/>
    <cellStyle name="SAPBEXHLevel3X 3 2 6" xfId="8820"/>
    <cellStyle name="SAPBEXHLevel3X 3 3" xfId="8821"/>
    <cellStyle name="SAPBEXHLevel3X 3 3 2" xfId="8822"/>
    <cellStyle name="SAPBEXHLevel3X 3 3 2 2" xfId="8823"/>
    <cellStyle name="SAPBEXHLevel3X 3 3 2 2 2" xfId="8824"/>
    <cellStyle name="SAPBEXHLevel3X 3 3 2 3" xfId="8825"/>
    <cellStyle name="SAPBEXHLevel3X 3 3 2 3 2" xfId="8826"/>
    <cellStyle name="SAPBEXHLevel3X 3 3 2 4" xfId="8827"/>
    <cellStyle name="SAPBEXHLevel3X 3 3 2 4 2" xfId="8828"/>
    <cellStyle name="SAPBEXHLevel3X 3 3 2 5" xfId="8829"/>
    <cellStyle name="SAPBEXHLevel3X 3 3 3" xfId="8830"/>
    <cellStyle name="SAPBEXHLevel3X 3 3 3 2" xfId="8831"/>
    <cellStyle name="SAPBEXHLevel3X 3 3 4" xfId="8832"/>
    <cellStyle name="SAPBEXHLevel3X 3 3 4 2" xfId="8833"/>
    <cellStyle name="SAPBEXHLevel3X 3 3 5" xfId="8834"/>
    <cellStyle name="SAPBEXHLevel3X 3 3 5 2" xfId="8835"/>
    <cellStyle name="SAPBEXHLevel3X 3 3 6" xfId="8836"/>
    <cellStyle name="SAPBEXHLevel3X 3 4" xfId="8837"/>
    <cellStyle name="SAPBEXHLevel3X 3 4 2" xfId="8838"/>
    <cellStyle name="SAPBEXHLevel3X 3 4 2 2" xfId="8839"/>
    <cellStyle name="SAPBEXHLevel3X 3 4 3" xfId="8840"/>
    <cellStyle name="SAPBEXHLevel3X 3 4 3 2" xfId="8841"/>
    <cellStyle name="SAPBEXHLevel3X 3 4 4" xfId="8842"/>
    <cellStyle name="SAPBEXHLevel3X 3 4 4 2" xfId="8843"/>
    <cellStyle name="SAPBEXHLevel3X 3 4 5" xfId="8844"/>
    <cellStyle name="SAPBEXHLevel3X 3 5" xfId="8845"/>
    <cellStyle name="SAPBEXHLevel3X 3 5 2" xfId="8846"/>
    <cellStyle name="SAPBEXHLevel3X 3 6" xfId="8847"/>
    <cellStyle name="SAPBEXHLevel3X 3 6 2" xfId="8848"/>
    <cellStyle name="SAPBEXHLevel3X 3 7" xfId="8849"/>
    <cellStyle name="SAPBEXHLevel3X 3 7 2" xfId="8850"/>
    <cellStyle name="SAPBEXHLevel3X 3 8" xfId="8851"/>
    <cellStyle name="SAPBEXHLevel3X 3 8 2" xfId="8852"/>
    <cellStyle name="SAPBEXHLevel3X 3 9" xfId="8853"/>
    <cellStyle name="SAPBEXHLevel3X 4" xfId="8854"/>
    <cellStyle name="SAPBEXHLevel3X 4 2" xfId="8855"/>
    <cellStyle name="SAPBEXHLevel3X 4 2 2" xfId="8856"/>
    <cellStyle name="SAPBEXHLevel3X 4 2 2 2" xfId="8857"/>
    <cellStyle name="SAPBEXHLevel3X 4 2 3" xfId="8858"/>
    <cellStyle name="SAPBEXHLevel3X 4 2 3 2" xfId="8859"/>
    <cellStyle name="SAPBEXHLevel3X 4 2 4" xfId="8860"/>
    <cellStyle name="SAPBEXHLevel3X 4 2 4 2" xfId="8861"/>
    <cellStyle name="SAPBEXHLevel3X 4 2 5" xfId="8862"/>
    <cellStyle name="SAPBEXHLevel3X 4 3" xfId="8863"/>
    <cellStyle name="SAPBEXHLevel3X 4 3 2" xfId="8864"/>
    <cellStyle name="SAPBEXHLevel3X 4 4" xfId="8865"/>
    <cellStyle name="SAPBEXHLevel3X 4 4 2" xfId="8866"/>
    <cellStyle name="SAPBEXHLevel3X 4 5" xfId="8867"/>
    <cellStyle name="SAPBEXHLevel3X 4 5 2" xfId="8868"/>
    <cellStyle name="SAPBEXHLevel3X 4 6" xfId="8869"/>
    <cellStyle name="SAPBEXHLevel3X 5" xfId="8870"/>
    <cellStyle name="SAPBEXHLevel3X 5 2" xfId="8871"/>
    <cellStyle name="SAPBEXHLevel3X 5 2 2" xfId="8872"/>
    <cellStyle name="SAPBEXHLevel3X 5 2 2 2" xfId="8873"/>
    <cellStyle name="SAPBEXHLevel3X 5 2 3" xfId="8874"/>
    <cellStyle name="SAPBEXHLevel3X 5 2 3 2" xfId="8875"/>
    <cellStyle name="SAPBEXHLevel3X 5 2 4" xfId="8876"/>
    <cellStyle name="SAPBEXHLevel3X 5 2 4 2" xfId="8877"/>
    <cellStyle name="SAPBEXHLevel3X 5 2 5" xfId="8878"/>
    <cellStyle name="SAPBEXHLevel3X 5 3" xfId="8879"/>
    <cellStyle name="SAPBEXHLevel3X 5 3 2" xfId="8880"/>
    <cellStyle name="SAPBEXHLevel3X 5 4" xfId="8881"/>
    <cellStyle name="SAPBEXHLevel3X 5 4 2" xfId="8882"/>
    <cellStyle name="SAPBEXHLevel3X 5 5" xfId="8883"/>
    <cellStyle name="SAPBEXHLevel3X 5 5 2" xfId="8884"/>
    <cellStyle name="SAPBEXHLevel3X 5 6" xfId="8885"/>
    <cellStyle name="SAPBEXHLevel3X 6" xfId="8886"/>
    <cellStyle name="SAPBEXHLevel3X 6 2" xfId="8887"/>
    <cellStyle name="SAPBEXHLevel3X 6 2 2" xfId="8888"/>
    <cellStyle name="SAPBEXHLevel3X 6 3" xfId="8889"/>
    <cellStyle name="SAPBEXHLevel3X 6 3 2" xfId="8890"/>
    <cellStyle name="SAPBEXHLevel3X 6 4" xfId="8891"/>
    <cellStyle name="SAPBEXHLevel3X 6 4 2" xfId="8892"/>
    <cellStyle name="SAPBEXHLevel3X 6 5" xfId="8893"/>
    <cellStyle name="SAPBEXHLevel3X 7" xfId="8894"/>
    <cellStyle name="SAPBEXHLevel3X 7 2" xfId="8895"/>
    <cellStyle name="SAPBEXHLevel3X 8" xfId="8896"/>
    <cellStyle name="SAPBEXHLevel3X 8 2" xfId="8897"/>
    <cellStyle name="SAPBEXHLevel3X 9" xfId="8898"/>
    <cellStyle name="SAPBEXHLevel3X 9 2" xfId="8899"/>
    <cellStyle name="SAPBEXresData" xfId="8900"/>
    <cellStyle name="SAPBEXresData 10" xfId="8901"/>
    <cellStyle name="SAPBEXresData 2" xfId="8902"/>
    <cellStyle name="SAPBEXresData 2 2" xfId="8903"/>
    <cellStyle name="SAPBEXresData 2 2 2" xfId="8904"/>
    <cellStyle name="SAPBEXresData 2 2 2 2" xfId="8905"/>
    <cellStyle name="SAPBEXresData 2 2 2 2 2" xfId="8906"/>
    <cellStyle name="SAPBEXresData 2 2 2 2 2 2" xfId="8907"/>
    <cellStyle name="SAPBEXresData 2 2 2 2 3" xfId="8908"/>
    <cellStyle name="SAPBEXresData 2 2 2 2 3 2" xfId="8909"/>
    <cellStyle name="SAPBEXresData 2 2 2 2 4" xfId="8910"/>
    <cellStyle name="SAPBEXresData 2 2 2 2 4 2" xfId="8911"/>
    <cellStyle name="SAPBEXresData 2 2 2 2 5" xfId="8912"/>
    <cellStyle name="SAPBEXresData 2 2 2 3" xfId="8913"/>
    <cellStyle name="SAPBEXresData 2 2 2 3 2" xfId="8914"/>
    <cellStyle name="SAPBEXresData 2 2 2 4" xfId="8915"/>
    <cellStyle name="SAPBEXresData 2 2 2 4 2" xfId="8916"/>
    <cellStyle name="SAPBEXresData 2 2 2 5" xfId="8917"/>
    <cellStyle name="SAPBEXresData 2 2 2 5 2" xfId="8918"/>
    <cellStyle name="SAPBEXresData 2 2 2 6" xfId="8919"/>
    <cellStyle name="SAPBEXresData 2 2 3" xfId="8920"/>
    <cellStyle name="SAPBEXresData 2 2 3 2" xfId="8921"/>
    <cellStyle name="SAPBEXresData 2 2 3 2 2" xfId="8922"/>
    <cellStyle name="SAPBEXresData 2 2 3 2 2 2" xfId="8923"/>
    <cellStyle name="SAPBEXresData 2 2 3 2 3" xfId="8924"/>
    <cellStyle name="SAPBEXresData 2 2 3 2 3 2" xfId="8925"/>
    <cellStyle name="SAPBEXresData 2 2 3 2 4" xfId="8926"/>
    <cellStyle name="SAPBEXresData 2 2 3 2 4 2" xfId="8927"/>
    <cellStyle name="SAPBEXresData 2 2 3 2 5" xfId="8928"/>
    <cellStyle name="SAPBEXresData 2 2 3 3" xfId="8929"/>
    <cellStyle name="SAPBEXresData 2 2 3 3 2" xfId="8930"/>
    <cellStyle name="SAPBEXresData 2 2 3 4" xfId="8931"/>
    <cellStyle name="SAPBEXresData 2 2 3 4 2" xfId="8932"/>
    <cellStyle name="SAPBEXresData 2 2 3 5" xfId="8933"/>
    <cellStyle name="SAPBEXresData 2 2 3 5 2" xfId="8934"/>
    <cellStyle name="SAPBEXresData 2 2 3 6" xfId="8935"/>
    <cellStyle name="SAPBEXresData 2 2 4" xfId="8936"/>
    <cellStyle name="SAPBEXresData 2 2 4 2" xfId="8937"/>
    <cellStyle name="SAPBEXresData 2 2 4 2 2" xfId="8938"/>
    <cellStyle name="SAPBEXresData 2 2 4 3" xfId="8939"/>
    <cellStyle name="SAPBEXresData 2 2 4 3 2" xfId="8940"/>
    <cellStyle name="SAPBEXresData 2 2 4 4" xfId="8941"/>
    <cellStyle name="SAPBEXresData 2 2 4 4 2" xfId="8942"/>
    <cellStyle name="SAPBEXresData 2 2 4 5" xfId="8943"/>
    <cellStyle name="SAPBEXresData 2 2 5" xfId="8944"/>
    <cellStyle name="SAPBEXresData 2 2 5 2" xfId="8945"/>
    <cellStyle name="SAPBEXresData 2 2 6" xfId="8946"/>
    <cellStyle name="SAPBEXresData 2 2 6 2" xfId="8947"/>
    <cellStyle name="SAPBEXresData 2 2 7" xfId="8948"/>
    <cellStyle name="SAPBEXresData 2 2 7 2" xfId="8949"/>
    <cellStyle name="SAPBEXresData 2 2 8" xfId="8950"/>
    <cellStyle name="SAPBEXresData 2 2 8 2" xfId="8951"/>
    <cellStyle name="SAPBEXresData 2 2 9" xfId="8952"/>
    <cellStyle name="SAPBEXresData 2 3" xfId="8953"/>
    <cellStyle name="SAPBEXresData 2 3 2" xfId="8954"/>
    <cellStyle name="SAPBEXresData 2 3 2 2" xfId="8955"/>
    <cellStyle name="SAPBEXresData 2 3 2 2 2" xfId="8956"/>
    <cellStyle name="SAPBEXresData 2 3 2 3" xfId="8957"/>
    <cellStyle name="SAPBEXresData 2 3 2 3 2" xfId="8958"/>
    <cellStyle name="SAPBEXresData 2 3 2 4" xfId="8959"/>
    <cellStyle name="SAPBEXresData 2 3 2 4 2" xfId="8960"/>
    <cellStyle name="SAPBEXresData 2 3 2 5" xfId="8961"/>
    <cellStyle name="SAPBEXresData 2 3 3" xfId="8962"/>
    <cellStyle name="SAPBEXresData 2 3 3 2" xfId="8963"/>
    <cellStyle name="SAPBEXresData 2 3 4" xfId="8964"/>
    <cellStyle name="SAPBEXresData 2 3 4 2" xfId="8965"/>
    <cellStyle name="SAPBEXresData 2 3 5" xfId="8966"/>
    <cellStyle name="SAPBEXresData 2 3 5 2" xfId="8967"/>
    <cellStyle name="SAPBEXresData 2 3 6" xfId="8968"/>
    <cellStyle name="SAPBEXresData 2 4" xfId="8969"/>
    <cellStyle name="SAPBEXresData 2 4 2" xfId="8970"/>
    <cellStyle name="SAPBEXresData 2 4 2 2" xfId="8971"/>
    <cellStyle name="SAPBEXresData 2 4 2 2 2" xfId="8972"/>
    <cellStyle name="SAPBEXresData 2 4 2 3" xfId="8973"/>
    <cellStyle name="SAPBEXresData 2 4 2 3 2" xfId="8974"/>
    <cellStyle name="SAPBEXresData 2 4 2 4" xfId="8975"/>
    <cellStyle name="SAPBEXresData 2 4 2 4 2" xfId="8976"/>
    <cellStyle name="SAPBEXresData 2 4 2 5" xfId="8977"/>
    <cellStyle name="SAPBEXresData 2 4 3" xfId="8978"/>
    <cellStyle name="SAPBEXresData 2 4 3 2" xfId="8979"/>
    <cellStyle name="SAPBEXresData 2 4 4" xfId="8980"/>
    <cellStyle name="SAPBEXresData 2 4 4 2" xfId="8981"/>
    <cellStyle name="SAPBEXresData 2 4 5" xfId="8982"/>
    <cellStyle name="SAPBEXresData 2 4 5 2" xfId="8983"/>
    <cellStyle name="SAPBEXresData 2 4 6" xfId="8984"/>
    <cellStyle name="SAPBEXresData 2 5" xfId="8985"/>
    <cellStyle name="SAPBEXresData 2 5 2" xfId="8986"/>
    <cellStyle name="SAPBEXresData 2 5 2 2" xfId="8987"/>
    <cellStyle name="SAPBEXresData 2 5 3" xfId="8988"/>
    <cellStyle name="SAPBEXresData 2 5 3 2" xfId="8989"/>
    <cellStyle name="SAPBEXresData 2 5 4" xfId="8990"/>
    <cellStyle name="SAPBEXresData 2 5 4 2" xfId="8991"/>
    <cellStyle name="SAPBEXresData 2 5 5" xfId="8992"/>
    <cellStyle name="SAPBEXresData 2 6" xfId="8993"/>
    <cellStyle name="SAPBEXresData 2 6 2" xfId="8994"/>
    <cellStyle name="SAPBEXresData 2 7" xfId="8995"/>
    <cellStyle name="SAPBEXresData 2 7 2" xfId="8996"/>
    <cellStyle name="SAPBEXresData 2 8" xfId="8997"/>
    <cellStyle name="SAPBEXresData 2 8 2" xfId="8998"/>
    <cellStyle name="SAPBEXresData 2 9" xfId="8999"/>
    <cellStyle name="SAPBEXresData 3" xfId="9000"/>
    <cellStyle name="SAPBEXresData 3 2" xfId="9001"/>
    <cellStyle name="SAPBEXresData 3 2 2" xfId="9002"/>
    <cellStyle name="SAPBEXresData 3 2 2 2" xfId="9003"/>
    <cellStyle name="SAPBEXresData 3 2 2 2 2" xfId="9004"/>
    <cellStyle name="SAPBEXresData 3 2 2 3" xfId="9005"/>
    <cellStyle name="SAPBEXresData 3 2 2 3 2" xfId="9006"/>
    <cellStyle name="SAPBEXresData 3 2 2 4" xfId="9007"/>
    <cellStyle name="SAPBEXresData 3 2 2 4 2" xfId="9008"/>
    <cellStyle name="SAPBEXresData 3 2 2 5" xfId="9009"/>
    <cellStyle name="SAPBEXresData 3 2 3" xfId="9010"/>
    <cellStyle name="SAPBEXresData 3 2 3 2" xfId="9011"/>
    <cellStyle name="SAPBEXresData 3 2 4" xfId="9012"/>
    <cellStyle name="SAPBEXresData 3 2 4 2" xfId="9013"/>
    <cellStyle name="SAPBEXresData 3 2 5" xfId="9014"/>
    <cellStyle name="SAPBEXresData 3 2 5 2" xfId="9015"/>
    <cellStyle name="SAPBEXresData 3 2 6" xfId="9016"/>
    <cellStyle name="SAPBEXresData 3 3" xfId="9017"/>
    <cellStyle name="SAPBEXresData 3 3 2" xfId="9018"/>
    <cellStyle name="SAPBEXresData 3 3 2 2" xfId="9019"/>
    <cellStyle name="SAPBEXresData 3 3 2 2 2" xfId="9020"/>
    <cellStyle name="SAPBEXresData 3 3 2 3" xfId="9021"/>
    <cellStyle name="SAPBEXresData 3 3 2 3 2" xfId="9022"/>
    <cellStyle name="SAPBEXresData 3 3 2 4" xfId="9023"/>
    <cellStyle name="SAPBEXresData 3 3 2 4 2" xfId="9024"/>
    <cellStyle name="SAPBEXresData 3 3 2 5" xfId="9025"/>
    <cellStyle name="SAPBEXresData 3 3 3" xfId="9026"/>
    <cellStyle name="SAPBEXresData 3 3 3 2" xfId="9027"/>
    <cellStyle name="SAPBEXresData 3 3 4" xfId="9028"/>
    <cellStyle name="SAPBEXresData 3 3 4 2" xfId="9029"/>
    <cellStyle name="SAPBEXresData 3 3 5" xfId="9030"/>
    <cellStyle name="SAPBEXresData 3 3 5 2" xfId="9031"/>
    <cellStyle name="SAPBEXresData 3 3 6" xfId="9032"/>
    <cellStyle name="SAPBEXresData 3 4" xfId="9033"/>
    <cellStyle name="SAPBEXresData 3 4 2" xfId="9034"/>
    <cellStyle name="SAPBEXresData 3 4 2 2" xfId="9035"/>
    <cellStyle name="SAPBEXresData 3 4 3" xfId="9036"/>
    <cellStyle name="SAPBEXresData 3 4 3 2" xfId="9037"/>
    <cellStyle name="SAPBEXresData 3 4 4" xfId="9038"/>
    <cellStyle name="SAPBEXresData 3 4 4 2" xfId="9039"/>
    <cellStyle name="SAPBEXresData 3 4 5" xfId="9040"/>
    <cellStyle name="SAPBEXresData 3 5" xfId="9041"/>
    <cellStyle name="SAPBEXresData 3 5 2" xfId="9042"/>
    <cellStyle name="SAPBEXresData 3 6" xfId="9043"/>
    <cellStyle name="SAPBEXresData 3 6 2" xfId="9044"/>
    <cellStyle name="SAPBEXresData 3 7" xfId="9045"/>
    <cellStyle name="SAPBEXresData 3 7 2" xfId="9046"/>
    <cellStyle name="SAPBEXresData 3 8" xfId="9047"/>
    <cellStyle name="SAPBEXresData 3 8 2" xfId="9048"/>
    <cellStyle name="SAPBEXresData 3 9" xfId="9049"/>
    <cellStyle name="SAPBEXresData 4" xfId="9050"/>
    <cellStyle name="SAPBEXresData 4 2" xfId="9051"/>
    <cellStyle name="SAPBEXresData 4 2 2" xfId="9052"/>
    <cellStyle name="SAPBEXresData 4 2 2 2" xfId="9053"/>
    <cellStyle name="SAPBEXresData 4 2 3" xfId="9054"/>
    <cellStyle name="SAPBEXresData 4 2 3 2" xfId="9055"/>
    <cellStyle name="SAPBEXresData 4 2 4" xfId="9056"/>
    <cellStyle name="SAPBEXresData 4 2 4 2" xfId="9057"/>
    <cellStyle name="SAPBEXresData 4 2 5" xfId="9058"/>
    <cellStyle name="SAPBEXresData 4 3" xfId="9059"/>
    <cellStyle name="SAPBEXresData 4 3 2" xfId="9060"/>
    <cellStyle name="SAPBEXresData 4 4" xfId="9061"/>
    <cellStyle name="SAPBEXresData 4 4 2" xfId="9062"/>
    <cellStyle name="SAPBEXresData 4 5" xfId="9063"/>
    <cellStyle name="SAPBEXresData 4 5 2" xfId="9064"/>
    <cellStyle name="SAPBEXresData 4 6" xfId="9065"/>
    <cellStyle name="SAPBEXresData 5" xfId="9066"/>
    <cellStyle name="SAPBEXresData 5 2" xfId="9067"/>
    <cellStyle name="SAPBEXresData 5 2 2" xfId="9068"/>
    <cellStyle name="SAPBEXresData 5 2 2 2" xfId="9069"/>
    <cellStyle name="SAPBEXresData 5 2 3" xfId="9070"/>
    <cellStyle name="SAPBEXresData 5 2 3 2" xfId="9071"/>
    <cellStyle name="SAPBEXresData 5 2 4" xfId="9072"/>
    <cellStyle name="SAPBEXresData 5 2 4 2" xfId="9073"/>
    <cellStyle name="SAPBEXresData 5 2 5" xfId="9074"/>
    <cellStyle name="SAPBEXresData 5 3" xfId="9075"/>
    <cellStyle name="SAPBEXresData 5 3 2" xfId="9076"/>
    <cellStyle name="SAPBEXresData 5 4" xfId="9077"/>
    <cellStyle name="SAPBEXresData 5 4 2" xfId="9078"/>
    <cellStyle name="SAPBEXresData 5 5" xfId="9079"/>
    <cellStyle name="SAPBEXresData 5 5 2" xfId="9080"/>
    <cellStyle name="SAPBEXresData 5 6" xfId="9081"/>
    <cellStyle name="SAPBEXresData 6" xfId="9082"/>
    <cellStyle name="SAPBEXresData 6 2" xfId="9083"/>
    <cellStyle name="SAPBEXresData 6 2 2" xfId="9084"/>
    <cellStyle name="SAPBEXresData 6 3" xfId="9085"/>
    <cellStyle name="SAPBEXresData 6 3 2" xfId="9086"/>
    <cellStyle name="SAPBEXresData 6 4" xfId="9087"/>
    <cellStyle name="SAPBEXresData 6 4 2" xfId="9088"/>
    <cellStyle name="SAPBEXresData 6 5" xfId="9089"/>
    <cellStyle name="SAPBEXresData 7" xfId="9090"/>
    <cellStyle name="SAPBEXresData 7 2" xfId="9091"/>
    <cellStyle name="SAPBEXresData 8" xfId="9092"/>
    <cellStyle name="SAPBEXresData 8 2" xfId="9093"/>
    <cellStyle name="SAPBEXresData 9" xfId="9094"/>
    <cellStyle name="SAPBEXresData 9 2" xfId="9095"/>
    <cellStyle name="SAPBEXresDataEmph" xfId="9096"/>
    <cellStyle name="SAPBEXresDataEmph 10" xfId="9097"/>
    <cellStyle name="SAPBEXresDataEmph 2" xfId="9098"/>
    <cellStyle name="SAPBEXresDataEmph 2 2" xfId="9099"/>
    <cellStyle name="SAPBEXresDataEmph 2 2 2" xfId="9100"/>
    <cellStyle name="SAPBEXresDataEmph 2 2 2 2" xfId="9101"/>
    <cellStyle name="SAPBEXresDataEmph 2 2 2 2 2" xfId="9102"/>
    <cellStyle name="SAPBEXresDataEmph 2 2 2 2 2 2" xfId="9103"/>
    <cellStyle name="SAPBEXresDataEmph 2 2 2 2 3" xfId="9104"/>
    <cellStyle name="SAPBEXresDataEmph 2 2 2 2 3 2" xfId="9105"/>
    <cellStyle name="SAPBEXresDataEmph 2 2 2 2 4" xfId="9106"/>
    <cellStyle name="SAPBEXresDataEmph 2 2 2 2 4 2" xfId="9107"/>
    <cellStyle name="SAPBEXresDataEmph 2 2 2 2 5" xfId="9108"/>
    <cellStyle name="SAPBEXresDataEmph 2 2 2 3" xfId="9109"/>
    <cellStyle name="SAPBEXresDataEmph 2 2 2 3 2" xfId="9110"/>
    <cellStyle name="SAPBEXresDataEmph 2 2 2 4" xfId="9111"/>
    <cellStyle name="SAPBEXresDataEmph 2 2 2 4 2" xfId="9112"/>
    <cellStyle name="SAPBEXresDataEmph 2 2 2 5" xfId="9113"/>
    <cellStyle name="SAPBEXresDataEmph 2 2 2 5 2" xfId="9114"/>
    <cellStyle name="SAPBEXresDataEmph 2 2 2 6" xfId="9115"/>
    <cellStyle name="SAPBEXresDataEmph 2 2 3" xfId="9116"/>
    <cellStyle name="SAPBEXresDataEmph 2 2 3 2" xfId="9117"/>
    <cellStyle name="SAPBEXresDataEmph 2 2 3 2 2" xfId="9118"/>
    <cellStyle name="SAPBEXresDataEmph 2 2 3 2 2 2" xfId="9119"/>
    <cellStyle name="SAPBEXresDataEmph 2 2 3 2 3" xfId="9120"/>
    <cellStyle name="SAPBEXresDataEmph 2 2 3 2 3 2" xfId="9121"/>
    <cellStyle name="SAPBEXresDataEmph 2 2 3 2 4" xfId="9122"/>
    <cellStyle name="SAPBEXresDataEmph 2 2 3 2 4 2" xfId="9123"/>
    <cellStyle name="SAPBEXresDataEmph 2 2 3 2 5" xfId="9124"/>
    <cellStyle name="SAPBEXresDataEmph 2 2 3 3" xfId="9125"/>
    <cellStyle name="SAPBEXresDataEmph 2 2 3 3 2" xfId="9126"/>
    <cellStyle name="SAPBEXresDataEmph 2 2 3 4" xfId="9127"/>
    <cellStyle name="SAPBEXresDataEmph 2 2 3 4 2" xfId="9128"/>
    <cellStyle name="SAPBEXresDataEmph 2 2 3 5" xfId="9129"/>
    <cellStyle name="SAPBEXresDataEmph 2 2 3 5 2" xfId="9130"/>
    <cellStyle name="SAPBEXresDataEmph 2 2 3 6" xfId="9131"/>
    <cellStyle name="SAPBEXresDataEmph 2 2 4" xfId="9132"/>
    <cellStyle name="SAPBEXresDataEmph 2 2 4 2" xfId="9133"/>
    <cellStyle name="SAPBEXresDataEmph 2 2 4 2 2" xfId="9134"/>
    <cellStyle name="SAPBEXresDataEmph 2 2 4 3" xfId="9135"/>
    <cellStyle name="SAPBEXresDataEmph 2 2 4 3 2" xfId="9136"/>
    <cellStyle name="SAPBEXresDataEmph 2 2 4 4" xfId="9137"/>
    <cellStyle name="SAPBEXresDataEmph 2 2 4 4 2" xfId="9138"/>
    <cellStyle name="SAPBEXresDataEmph 2 2 4 5" xfId="9139"/>
    <cellStyle name="SAPBEXresDataEmph 2 2 5" xfId="9140"/>
    <cellStyle name="SAPBEXresDataEmph 2 2 5 2" xfId="9141"/>
    <cellStyle name="SAPBEXresDataEmph 2 2 6" xfId="9142"/>
    <cellStyle name="SAPBEXresDataEmph 2 2 6 2" xfId="9143"/>
    <cellStyle name="SAPBEXresDataEmph 2 2 7" xfId="9144"/>
    <cellStyle name="SAPBEXresDataEmph 2 2 7 2" xfId="9145"/>
    <cellStyle name="SAPBEXresDataEmph 2 2 8" xfId="9146"/>
    <cellStyle name="SAPBEXresDataEmph 2 2 8 2" xfId="9147"/>
    <cellStyle name="SAPBEXresDataEmph 2 2 9" xfId="9148"/>
    <cellStyle name="SAPBEXresDataEmph 2 3" xfId="9149"/>
    <cellStyle name="SAPBEXresDataEmph 2 3 2" xfId="9150"/>
    <cellStyle name="SAPBEXresDataEmph 2 3 2 2" xfId="9151"/>
    <cellStyle name="SAPBEXresDataEmph 2 3 2 2 2" xfId="9152"/>
    <cellStyle name="SAPBEXresDataEmph 2 3 2 3" xfId="9153"/>
    <cellStyle name="SAPBEXresDataEmph 2 3 2 3 2" xfId="9154"/>
    <cellStyle name="SAPBEXresDataEmph 2 3 2 4" xfId="9155"/>
    <cellStyle name="SAPBEXresDataEmph 2 3 2 4 2" xfId="9156"/>
    <cellStyle name="SAPBEXresDataEmph 2 3 2 5" xfId="9157"/>
    <cellStyle name="SAPBEXresDataEmph 2 3 3" xfId="9158"/>
    <cellStyle name="SAPBEXresDataEmph 2 3 3 2" xfId="9159"/>
    <cellStyle name="SAPBEXresDataEmph 2 3 4" xfId="9160"/>
    <cellStyle name="SAPBEXresDataEmph 2 3 4 2" xfId="9161"/>
    <cellStyle name="SAPBEXresDataEmph 2 3 5" xfId="9162"/>
    <cellStyle name="SAPBEXresDataEmph 2 3 5 2" xfId="9163"/>
    <cellStyle name="SAPBEXresDataEmph 2 3 6" xfId="9164"/>
    <cellStyle name="SAPBEXresDataEmph 2 4" xfId="9165"/>
    <cellStyle name="SAPBEXresDataEmph 2 4 2" xfId="9166"/>
    <cellStyle name="SAPBEXresDataEmph 2 4 2 2" xfId="9167"/>
    <cellStyle name="SAPBEXresDataEmph 2 4 2 2 2" xfId="9168"/>
    <cellStyle name="SAPBEXresDataEmph 2 4 2 3" xfId="9169"/>
    <cellStyle name="SAPBEXresDataEmph 2 4 2 3 2" xfId="9170"/>
    <cellStyle name="SAPBEXresDataEmph 2 4 2 4" xfId="9171"/>
    <cellStyle name="SAPBEXresDataEmph 2 4 2 4 2" xfId="9172"/>
    <cellStyle name="SAPBEXresDataEmph 2 4 2 5" xfId="9173"/>
    <cellStyle name="SAPBEXresDataEmph 2 4 3" xfId="9174"/>
    <cellStyle name="SAPBEXresDataEmph 2 4 3 2" xfId="9175"/>
    <cellStyle name="SAPBEXresDataEmph 2 4 4" xfId="9176"/>
    <cellStyle name="SAPBEXresDataEmph 2 4 4 2" xfId="9177"/>
    <cellStyle name="SAPBEXresDataEmph 2 4 5" xfId="9178"/>
    <cellStyle name="SAPBEXresDataEmph 2 4 5 2" xfId="9179"/>
    <cellStyle name="SAPBEXresDataEmph 2 4 6" xfId="9180"/>
    <cellStyle name="SAPBEXresDataEmph 2 5" xfId="9181"/>
    <cellStyle name="SAPBEXresDataEmph 2 5 2" xfId="9182"/>
    <cellStyle name="SAPBEXresDataEmph 2 5 2 2" xfId="9183"/>
    <cellStyle name="SAPBEXresDataEmph 2 5 3" xfId="9184"/>
    <cellStyle name="SAPBEXresDataEmph 2 5 3 2" xfId="9185"/>
    <cellStyle name="SAPBEXresDataEmph 2 5 4" xfId="9186"/>
    <cellStyle name="SAPBEXresDataEmph 2 5 4 2" xfId="9187"/>
    <cellStyle name="SAPBEXresDataEmph 2 5 5" xfId="9188"/>
    <cellStyle name="SAPBEXresDataEmph 2 6" xfId="9189"/>
    <cellStyle name="SAPBEXresDataEmph 2 6 2" xfId="9190"/>
    <cellStyle name="SAPBEXresDataEmph 2 7" xfId="9191"/>
    <cellStyle name="SAPBEXresDataEmph 2 7 2" xfId="9192"/>
    <cellStyle name="SAPBEXresDataEmph 2 8" xfId="9193"/>
    <cellStyle name="SAPBEXresDataEmph 2 8 2" xfId="9194"/>
    <cellStyle name="SAPBEXresDataEmph 2 9" xfId="9195"/>
    <cellStyle name="SAPBEXresDataEmph 3" xfId="9196"/>
    <cellStyle name="SAPBEXresDataEmph 3 2" xfId="9197"/>
    <cellStyle name="SAPBEXresDataEmph 3 2 2" xfId="9198"/>
    <cellStyle name="SAPBEXresDataEmph 3 2 2 2" xfId="9199"/>
    <cellStyle name="SAPBEXresDataEmph 3 2 2 2 2" xfId="9200"/>
    <cellStyle name="SAPBEXresDataEmph 3 2 2 3" xfId="9201"/>
    <cellStyle name="SAPBEXresDataEmph 3 2 2 3 2" xfId="9202"/>
    <cellStyle name="SAPBEXresDataEmph 3 2 2 4" xfId="9203"/>
    <cellStyle name="SAPBEXresDataEmph 3 2 2 4 2" xfId="9204"/>
    <cellStyle name="SAPBEXresDataEmph 3 2 2 5" xfId="9205"/>
    <cellStyle name="SAPBEXresDataEmph 3 2 3" xfId="9206"/>
    <cellStyle name="SAPBEXresDataEmph 3 2 3 2" xfId="9207"/>
    <cellStyle name="SAPBEXresDataEmph 3 2 4" xfId="9208"/>
    <cellStyle name="SAPBEXresDataEmph 3 2 4 2" xfId="9209"/>
    <cellStyle name="SAPBEXresDataEmph 3 2 5" xfId="9210"/>
    <cellStyle name="SAPBEXresDataEmph 3 2 5 2" xfId="9211"/>
    <cellStyle name="SAPBEXresDataEmph 3 2 6" xfId="9212"/>
    <cellStyle name="SAPBEXresDataEmph 3 3" xfId="9213"/>
    <cellStyle name="SAPBEXresDataEmph 3 3 2" xfId="9214"/>
    <cellStyle name="SAPBEXresDataEmph 3 3 2 2" xfId="9215"/>
    <cellStyle name="SAPBEXresDataEmph 3 3 2 2 2" xfId="9216"/>
    <cellStyle name="SAPBEXresDataEmph 3 3 2 3" xfId="9217"/>
    <cellStyle name="SAPBEXresDataEmph 3 3 2 3 2" xfId="9218"/>
    <cellStyle name="SAPBEXresDataEmph 3 3 2 4" xfId="9219"/>
    <cellStyle name="SAPBEXresDataEmph 3 3 2 4 2" xfId="9220"/>
    <cellStyle name="SAPBEXresDataEmph 3 3 2 5" xfId="9221"/>
    <cellStyle name="SAPBEXresDataEmph 3 3 3" xfId="9222"/>
    <cellStyle name="SAPBEXresDataEmph 3 3 3 2" xfId="9223"/>
    <cellStyle name="SAPBEXresDataEmph 3 3 4" xfId="9224"/>
    <cellStyle name="SAPBEXresDataEmph 3 3 4 2" xfId="9225"/>
    <cellStyle name="SAPBEXresDataEmph 3 3 5" xfId="9226"/>
    <cellStyle name="SAPBEXresDataEmph 3 3 5 2" xfId="9227"/>
    <cellStyle name="SAPBEXresDataEmph 3 3 6" xfId="9228"/>
    <cellStyle name="SAPBEXresDataEmph 3 4" xfId="9229"/>
    <cellStyle name="SAPBEXresDataEmph 3 4 2" xfId="9230"/>
    <cellStyle name="SAPBEXresDataEmph 3 4 2 2" xfId="9231"/>
    <cellStyle name="SAPBEXresDataEmph 3 4 3" xfId="9232"/>
    <cellStyle name="SAPBEXresDataEmph 3 4 3 2" xfId="9233"/>
    <cellStyle name="SAPBEXresDataEmph 3 4 4" xfId="9234"/>
    <cellStyle name="SAPBEXresDataEmph 3 4 4 2" xfId="9235"/>
    <cellStyle name="SAPBEXresDataEmph 3 4 5" xfId="9236"/>
    <cellStyle name="SAPBEXresDataEmph 3 5" xfId="9237"/>
    <cellStyle name="SAPBEXresDataEmph 3 5 2" xfId="9238"/>
    <cellStyle name="SAPBEXresDataEmph 3 6" xfId="9239"/>
    <cellStyle name="SAPBEXresDataEmph 3 6 2" xfId="9240"/>
    <cellStyle name="SAPBEXresDataEmph 3 7" xfId="9241"/>
    <cellStyle name="SAPBEXresDataEmph 3 7 2" xfId="9242"/>
    <cellStyle name="SAPBEXresDataEmph 3 8" xfId="9243"/>
    <cellStyle name="SAPBEXresDataEmph 3 8 2" xfId="9244"/>
    <cellStyle name="SAPBEXresDataEmph 3 9" xfId="9245"/>
    <cellStyle name="SAPBEXresDataEmph 4" xfId="9246"/>
    <cellStyle name="SAPBEXresDataEmph 4 2" xfId="9247"/>
    <cellStyle name="SAPBEXresDataEmph 4 2 2" xfId="9248"/>
    <cellStyle name="SAPBEXresDataEmph 4 2 2 2" xfId="9249"/>
    <cellStyle name="SAPBEXresDataEmph 4 2 3" xfId="9250"/>
    <cellStyle name="SAPBEXresDataEmph 4 2 3 2" xfId="9251"/>
    <cellStyle name="SAPBEXresDataEmph 4 2 4" xfId="9252"/>
    <cellStyle name="SAPBEXresDataEmph 4 2 4 2" xfId="9253"/>
    <cellStyle name="SAPBEXresDataEmph 4 2 5" xfId="9254"/>
    <cellStyle name="SAPBEXresDataEmph 4 3" xfId="9255"/>
    <cellStyle name="SAPBEXresDataEmph 4 3 2" xfId="9256"/>
    <cellStyle name="SAPBEXresDataEmph 4 4" xfId="9257"/>
    <cellStyle name="SAPBEXresDataEmph 4 4 2" xfId="9258"/>
    <cellStyle name="SAPBEXresDataEmph 4 5" xfId="9259"/>
    <cellStyle name="SAPBEXresDataEmph 4 5 2" xfId="9260"/>
    <cellStyle name="SAPBEXresDataEmph 4 6" xfId="9261"/>
    <cellStyle name="SAPBEXresDataEmph 5" xfId="9262"/>
    <cellStyle name="SAPBEXresDataEmph 5 2" xfId="9263"/>
    <cellStyle name="SAPBEXresDataEmph 5 2 2" xfId="9264"/>
    <cellStyle name="SAPBEXresDataEmph 5 2 2 2" xfId="9265"/>
    <cellStyle name="SAPBEXresDataEmph 5 2 3" xfId="9266"/>
    <cellStyle name="SAPBEXresDataEmph 5 2 3 2" xfId="9267"/>
    <cellStyle name="SAPBEXresDataEmph 5 2 4" xfId="9268"/>
    <cellStyle name="SAPBEXresDataEmph 5 2 4 2" xfId="9269"/>
    <cellStyle name="SAPBEXresDataEmph 5 2 5" xfId="9270"/>
    <cellStyle name="SAPBEXresDataEmph 5 3" xfId="9271"/>
    <cellStyle name="SAPBEXresDataEmph 5 3 2" xfId="9272"/>
    <cellStyle name="SAPBEXresDataEmph 5 4" xfId="9273"/>
    <cellStyle name="SAPBEXresDataEmph 5 4 2" xfId="9274"/>
    <cellStyle name="SAPBEXresDataEmph 5 5" xfId="9275"/>
    <cellStyle name="SAPBEXresDataEmph 5 5 2" xfId="9276"/>
    <cellStyle name="SAPBEXresDataEmph 5 6" xfId="9277"/>
    <cellStyle name="SAPBEXresDataEmph 6" xfId="9278"/>
    <cellStyle name="SAPBEXresDataEmph 6 2" xfId="9279"/>
    <cellStyle name="SAPBEXresDataEmph 6 2 2" xfId="9280"/>
    <cellStyle name="SAPBEXresDataEmph 6 3" xfId="9281"/>
    <cellStyle name="SAPBEXresDataEmph 6 3 2" xfId="9282"/>
    <cellStyle name="SAPBEXresDataEmph 6 4" xfId="9283"/>
    <cellStyle name="SAPBEXresDataEmph 6 4 2" xfId="9284"/>
    <cellStyle name="SAPBEXresDataEmph 6 5" xfId="9285"/>
    <cellStyle name="SAPBEXresDataEmph 7" xfId="9286"/>
    <cellStyle name="SAPBEXresDataEmph 7 2" xfId="9287"/>
    <cellStyle name="SAPBEXresDataEmph 8" xfId="9288"/>
    <cellStyle name="SAPBEXresDataEmph 8 2" xfId="9289"/>
    <cellStyle name="SAPBEXresDataEmph 9" xfId="9290"/>
    <cellStyle name="SAPBEXresDataEmph 9 2" xfId="9291"/>
    <cellStyle name="SAPBEXresItem" xfId="9292"/>
    <cellStyle name="SAPBEXresItem 10" xfId="9293"/>
    <cellStyle name="SAPBEXresItem 2" xfId="9294"/>
    <cellStyle name="SAPBEXresItem 2 2" xfId="9295"/>
    <cellStyle name="SAPBEXresItem 2 2 2" xfId="9296"/>
    <cellStyle name="SAPBEXresItem 2 2 2 2" xfId="9297"/>
    <cellStyle name="SAPBEXresItem 2 2 2 2 2" xfId="9298"/>
    <cellStyle name="SAPBEXresItem 2 2 2 2 2 2" xfId="9299"/>
    <cellStyle name="SAPBEXresItem 2 2 2 2 3" xfId="9300"/>
    <cellStyle name="SAPBEXresItem 2 2 2 2 3 2" xfId="9301"/>
    <cellStyle name="SAPBEXresItem 2 2 2 2 4" xfId="9302"/>
    <cellStyle name="SAPBEXresItem 2 2 2 2 4 2" xfId="9303"/>
    <cellStyle name="SAPBEXresItem 2 2 2 2 5" xfId="9304"/>
    <cellStyle name="SAPBEXresItem 2 2 2 3" xfId="9305"/>
    <cellStyle name="SAPBEXresItem 2 2 2 3 2" xfId="9306"/>
    <cellStyle name="SAPBEXresItem 2 2 2 4" xfId="9307"/>
    <cellStyle name="SAPBEXresItem 2 2 2 4 2" xfId="9308"/>
    <cellStyle name="SAPBEXresItem 2 2 2 5" xfId="9309"/>
    <cellStyle name="SAPBEXresItem 2 2 2 5 2" xfId="9310"/>
    <cellStyle name="SAPBEXresItem 2 2 2 6" xfId="9311"/>
    <cellStyle name="SAPBEXresItem 2 2 3" xfId="9312"/>
    <cellStyle name="SAPBEXresItem 2 2 3 2" xfId="9313"/>
    <cellStyle name="SAPBEXresItem 2 2 3 2 2" xfId="9314"/>
    <cellStyle name="SAPBEXresItem 2 2 3 2 2 2" xfId="9315"/>
    <cellStyle name="SAPBEXresItem 2 2 3 2 3" xfId="9316"/>
    <cellStyle name="SAPBEXresItem 2 2 3 2 3 2" xfId="9317"/>
    <cellStyle name="SAPBEXresItem 2 2 3 2 4" xfId="9318"/>
    <cellStyle name="SAPBEXresItem 2 2 3 2 4 2" xfId="9319"/>
    <cellStyle name="SAPBEXresItem 2 2 3 2 5" xfId="9320"/>
    <cellStyle name="SAPBEXresItem 2 2 3 3" xfId="9321"/>
    <cellStyle name="SAPBEXresItem 2 2 3 3 2" xfId="9322"/>
    <cellStyle name="SAPBEXresItem 2 2 3 4" xfId="9323"/>
    <cellStyle name="SAPBEXresItem 2 2 3 4 2" xfId="9324"/>
    <cellStyle name="SAPBEXresItem 2 2 3 5" xfId="9325"/>
    <cellStyle name="SAPBEXresItem 2 2 3 5 2" xfId="9326"/>
    <cellStyle name="SAPBEXresItem 2 2 3 6" xfId="9327"/>
    <cellStyle name="SAPBEXresItem 2 2 4" xfId="9328"/>
    <cellStyle name="SAPBEXresItem 2 2 4 2" xfId="9329"/>
    <cellStyle name="SAPBEXresItem 2 2 4 2 2" xfId="9330"/>
    <cellStyle name="SAPBEXresItem 2 2 4 3" xfId="9331"/>
    <cellStyle name="SAPBEXresItem 2 2 4 3 2" xfId="9332"/>
    <cellStyle name="SAPBEXresItem 2 2 4 4" xfId="9333"/>
    <cellStyle name="SAPBEXresItem 2 2 4 4 2" xfId="9334"/>
    <cellStyle name="SAPBEXresItem 2 2 4 5" xfId="9335"/>
    <cellStyle name="SAPBEXresItem 2 2 5" xfId="9336"/>
    <cellStyle name="SAPBEXresItem 2 2 5 2" xfId="9337"/>
    <cellStyle name="SAPBEXresItem 2 2 6" xfId="9338"/>
    <cellStyle name="SAPBEXresItem 2 2 6 2" xfId="9339"/>
    <cellStyle name="SAPBEXresItem 2 2 7" xfId="9340"/>
    <cellStyle name="SAPBEXresItem 2 2 7 2" xfId="9341"/>
    <cellStyle name="SAPBEXresItem 2 2 8" xfId="9342"/>
    <cellStyle name="SAPBEXresItem 2 2 8 2" xfId="9343"/>
    <cellStyle name="SAPBEXresItem 2 2 9" xfId="9344"/>
    <cellStyle name="SAPBEXresItem 2 3" xfId="9345"/>
    <cellStyle name="SAPBEXresItem 2 3 2" xfId="9346"/>
    <cellStyle name="SAPBEXresItem 2 3 2 2" xfId="9347"/>
    <cellStyle name="SAPBEXresItem 2 3 2 2 2" xfId="9348"/>
    <cellStyle name="SAPBEXresItem 2 3 2 3" xfId="9349"/>
    <cellStyle name="SAPBEXresItem 2 3 2 3 2" xfId="9350"/>
    <cellStyle name="SAPBEXresItem 2 3 2 4" xfId="9351"/>
    <cellStyle name="SAPBEXresItem 2 3 2 4 2" xfId="9352"/>
    <cellStyle name="SAPBEXresItem 2 3 2 5" xfId="9353"/>
    <cellStyle name="SAPBEXresItem 2 3 3" xfId="9354"/>
    <cellStyle name="SAPBEXresItem 2 3 3 2" xfId="9355"/>
    <cellStyle name="SAPBEXresItem 2 3 4" xfId="9356"/>
    <cellStyle name="SAPBEXresItem 2 3 4 2" xfId="9357"/>
    <cellStyle name="SAPBEXresItem 2 3 5" xfId="9358"/>
    <cellStyle name="SAPBEXresItem 2 3 5 2" xfId="9359"/>
    <cellStyle name="SAPBEXresItem 2 3 6" xfId="9360"/>
    <cellStyle name="SAPBEXresItem 2 4" xfId="9361"/>
    <cellStyle name="SAPBEXresItem 2 4 2" xfId="9362"/>
    <cellStyle name="SAPBEXresItem 2 4 2 2" xfId="9363"/>
    <cellStyle name="SAPBEXresItem 2 4 2 2 2" xfId="9364"/>
    <cellStyle name="SAPBEXresItem 2 4 2 3" xfId="9365"/>
    <cellStyle name="SAPBEXresItem 2 4 2 3 2" xfId="9366"/>
    <cellStyle name="SAPBEXresItem 2 4 2 4" xfId="9367"/>
    <cellStyle name="SAPBEXresItem 2 4 2 4 2" xfId="9368"/>
    <cellStyle name="SAPBEXresItem 2 4 2 5" xfId="9369"/>
    <cellStyle name="SAPBEXresItem 2 4 3" xfId="9370"/>
    <cellStyle name="SAPBEXresItem 2 4 3 2" xfId="9371"/>
    <cellStyle name="SAPBEXresItem 2 4 4" xfId="9372"/>
    <cellStyle name="SAPBEXresItem 2 4 4 2" xfId="9373"/>
    <cellStyle name="SAPBEXresItem 2 4 5" xfId="9374"/>
    <cellStyle name="SAPBEXresItem 2 4 5 2" xfId="9375"/>
    <cellStyle name="SAPBEXresItem 2 4 6" xfId="9376"/>
    <cellStyle name="SAPBEXresItem 2 5" xfId="9377"/>
    <cellStyle name="SAPBEXresItem 2 5 2" xfId="9378"/>
    <cellStyle name="SAPBEXresItem 2 5 2 2" xfId="9379"/>
    <cellStyle name="SAPBEXresItem 2 5 3" xfId="9380"/>
    <cellStyle name="SAPBEXresItem 2 5 3 2" xfId="9381"/>
    <cellStyle name="SAPBEXresItem 2 5 4" xfId="9382"/>
    <cellStyle name="SAPBEXresItem 2 5 4 2" xfId="9383"/>
    <cellStyle name="SAPBEXresItem 2 5 5" xfId="9384"/>
    <cellStyle name="SAPBEXresItem 2 6" xfId="9385"/>
    <cellStyle name="SAPBEXresItem 2 6 2" xfId="9386"/>
    <cellStyle name="SAPBEXresItem 2 7" xfId="9387"/>
    <cellStyle name="SAPBEXresItem 2 7 2" xfId="9388"/>
    <cellStyle name="SAPBEXresItem 2 8" xfId="9389"/>
    <cellStyle name="SAPBEXresItem 2 8 2" xfId="9390"/>
    <cellStyle name="SAPBEXresItem 2 9" xfId="9391"/>
    <cellStyle name="SAPBEXresItem 3" xfId="9392"/>
    <cellStyle name="SAPBEXresItem 3 2" xfId="9393"/>
    <cellStyle name="SAPBEXresItem 3 2 2" xfId="9394"/>
    <cellStyle name="SAPBEXresItem 3 2 2 2" xfId="9395"/>
    <cellStyle name="SAPBEXresItem 3 2 2 2 2" xfId="9396"/>
    <cellStyle name="SAPBEXresItem 3 2 2 3" xfId="9397"/>
    <cellStyle name="SAPBEXresItem 3 2 2 3 2" xfId="9398"/>
    <cellStyle name="SAPBEXresItem 3 2 2 4" xfId="9399"/>
    <cellStyle name="SAPBEXresItem 3 2 2 4 2" xfId="9400"/>
    <cellStyle name="SAPBEXresItem 3 2 2 5" xfId="9401"/>
    <cellStyle name="SAPBEXresItem 3 2 3" xfId="9402"/>
    <cellStyle name="SAPBEXresItem 3 2 3 2" xfId="9403"/>
    <cellStyle name="SAPBEXresItem 3 2 4" xfId="9404"/>
    <cellStyle name="SAPBEXresItem 3 2 4 2" xfId="9405"/>
    <cellStyle name="SAPBEXresItem 3 2 5" xfId="9406"/>
    <cellStyle name="SAPBEXresItem 3 2 5 2" xfId="9407"/>
    <cellStyle name="SAPBEXresItem 3 2 6" xfId="9408"/>
    <cellStyle name="SAPBEXresItem 3 3" xfId="9409"/>
    <cellStyle name="SAPBEXresItem 3 3 2" xfId="9410"/>
    <cellStyle name="SAPBEXresItem 3 3 2 2" xfId="9411"/>
    <cellStyle name="SAPBEXresItem 3 3 2 2 2" xfId="9412"/>
    <cellStyle name="SAPBEXresItem 3 3 2 3" xfId="9413"/>
    <cellStyle name="SAPBEXresItem 3 3 2 3 2" xfId="9414"/>
    <cellStyle name="SAPBEXresItem 3 3 2 4" xfId="9415"/>
    <cellStyle name="SAPBEXresItem 3 3 2 4 2" xfId="9416"/>
    <cellStyle name="SAPBEXresItem 3 3 2 5" xfId="9417"/>
    <cellStyle name="SAPBEXresItem 3 3 3" xfId="9418"/>
    <cellStyle name="SAPBEXresItem 3 3 3 2" xfId="9419"/>
    <cellStyle name="SAPBEXresItem 3 3 4" xfId="9420"/>
    <cellStyle name="SAPBEXresItem 3 3 4 2" xfId="9421"/>
    <cellStyle name="SAPBEXresItem 3 3 5" xfId="9422"/>
    <cellStyle name="SAPBEXresItem 3 3 5 2" xfId="9423"/>
    <cellStyle name="SAPBEXresItem 3 3 6" xfId="9424"/>
    <cellStyle name="SAPBEXresItem 3 4" xfId="9425"/>
    <cellStyle name="SAPBEXresItem 3 4 2" xfId="9426"/>
    <cellStyle name="SAPBEXresItem 3 4 2 2" xfId="9427"/>
    <cellStyle name="SAPBEXresItem 3 4 3" xfId="9428"/>
    <cellStyle name="SAPBEXresItem 3 4 3 2" xfId="9429"/>
    <cellStyle name="SAPBEXresItem 3 4 4" xfId="9430"/>
    <cellStyle name="SAPBEXresItem 3 4 4 2" xfId="9431"/>
    <cellStyle name="SAPBEXresItem 3 4 5" xfId="9432"/>
    <cellStyle name="SAPBEXresItem 3 5" xfId="9433"/>
    <cellStyle name="SAPBEXresItem 3 5 2" xfId="9434"/>
    <cellStyle name="SAPBEXresItem 3 6" xfId="9435"/>
    <cellStyle name="SAPBEXresItem 3 6 2" xfId="9436"/>
    <cellStyle name="SAPBEXresItem 3 7" xfId="9437"/>
    <cellStyle name="SAPBEXresItem 3 7 2" xfId="9438"/>
    <cellStyle name="SAPBEXresItem 3 8" xfId="9439"/>
    <cellStyle name="SAPBEXresItem 3 8 2" xfId="9440"/>
    <cellStyle name="SAPBEXresItem 3 9" xfId="9441"/>
    <cellStyle name="SAPBEXresItem 4" xfId="9442"/>
    <cellStyle name="SAPBEXresItem 4 2" xfId="9443"/>
    <cellStyle name="SAPBEXresItem 4 2 2" xfId="9444"/>
    <cellStyle name="SAPBEXresItem 4 2 2 2" xfId="9445"/>
    <cellStyle name="SAPBEXresItem 4 2 3" xfId="9446"/>
    <cellStyle name="SAPBEXresItem 4 2 3 2" xfId="9447"/>
    <cellStyle name="SAPBEXresItem 4 2 4" xfId="9448"/>
    <cellStyle name="SAPBEXresItem 4 2 4 2" xfId="9449"/>
    <cellStyle name="SAPBEXresItem 4 2 5" xfId="9450"/>
    <cellStyle name="SAPBEXresItem 4 3" xfId="9451"/>
    <cellStyle name="SAPBEXresItem 4 3 2" xfId="9452"/>
    <cellStyle name="SAPBEXresItem 4 4" xfId="9453"/>
    <cellStyle name="SAPBEXresItem 4 4 2" xfId="9454"/>
    <cellStyle name="SAPBEXresItem 4 5" xfId="9455"/>
    <cellStyle name="SAPBEXresItem 4 5 2" xfId="9456"/>
    <cellStyle name="SAPBEXresItem 4 6" xfId="9457"/>
    <cellStyle name="SAPBEXresItem 5" xfId="9458"/>
    <cellStyle name="SAPBEXresItem 5 2" xfId="9459"/>
    <cellStyle name="SAPBEXresItem 5 2 2" xfId="9460"/>
    <cellStyle name="SAPBEXresItem 5 2 2 2" xfId="9461"/>
    <cellStyle name="SAPBEXresItem 5 2 3" xfId="9462"/>
    <cellStyle name="SAPBEXresItem 5 2 3 2" xfId="9463"/>
    <cellStyle name="SAPBEXresItem 5 2 4" xfId="9464"/>
    <cellStyle name="SAPBEXresItem 5 2 4 2" xfId="9465"/>
    <cellStyle name="SAPBEXresItem 5 2 5" xfId="9466"/>
    <cellStyle name="SAPBEXresItem 5 3" xfId="9467"/>
    <cellStyle name="SAPBEXresItem 5 3 2" xfId="9468"/>
    <cellStyle name="SAPBEXresItem 5 4" xfId="9469"/>
    <cellStyle name="SAPBEXresItem 5 4 2" xfId="9470"/>
    <cellStyle name="SAPBEXresItem 5 5" xfId="9471"/>
    <cellStyle name="SAPBEXresItem 5 5 2" xfId="9472"/>
    <cellStyle name="SAPBEXresItem 5 6" xfId="9473"/>
    <cellStyle name="SAPBEXresItem 6" xfId="9474"/>
    <cellStyle name="SAPBEXresItem 6 2" xfId="9475"/>
    <cellStyle name="SAPBEXresItem 6 2 2" xfId="9476"/>
    <cellStyle name="SAPBEXresItem 6 3" xfId="9477"/>
    <cellStyle name="SAPBEXresItem 6 3 2" xfId="9478"/>
    <cellStyle name="SAPBEXresItem 6 4" xfId="9479"/>
    <cellStyle name="SAPBEXresItem 6 4 2" xfId="9480"/>
    <cellStyle name="SAPBEXresItem 6 5" xfId="9481"/>
    <cellStyle name="SAPBEXresItem 7" xfId="9482"/>
    <cellStyle name="SAPBEXresItem 7 2" xfId="9483"/>
    <cellStyle name="SAPBEXresItem 8" xfId="9484"/>
    <cellStyle name="SAPBEXresItem 8 2" xfId="9485"/>
    <cellStyle name="SAPBEXresItem 9" xfId="9486"/>
    <cellStyle name="SAPBEXresItem 9 2" xfId="9487"/>
    <cellStyle name="SAPBEXresItemX" xfId="9488"/>
    <cellStyle name="SAPBEXresItemX 10" xfId="9489"/>
    <cellStyle name="SAPBEXresItemX 2" xfId="9490"/>
    <cellStyle name="SAPBEXresItemX 2 2" xfId="9491"/>
    <cellStyle name="SAPBEXresItemX 2 2 2" xfId="9492"/>
    <cellStyle name="SAPBEXresItemX 2 2 2 2" xfId="9493"/>
    <cellStyle name="SAPBEXresItemX 2 2 2 2 2" xfId="9494"/>
    <cellStyle name="SAPBEXresItemX 2 2 2 2 2 2" xfId="9495"/>
    <cellStyle name="SAPBEXresItemX 2 2 2 2 3" xfId="9496"/>
    <cellStyle name="SAPBEXresItemX 2 2 2 2 3 2" xfId="9497"/>
    <cellStyle name="SAPBEXresItemX 2 2 2 2 4" xfId="9498"/>
    <cellStyle name="SAPBEXresItemX 2 2 2 2 4 2" xfId="9499"/>
    <cellStyle name="SAPBEXresItemX 2 2 2 2 5" xfId="9500"/>
    <cellStyle name="SAPBEXresItemX 2 2 2 3" xfId="9501"/>
    <cellStyle name="SAPBEXresItemX 2 2 2 3 2" xfId="9502"/>
    <cellStyle name="SAPBEXresItemX 2 2 2 4" xfId="9503"/>
    <cellStyle name="SAPBEXresItemX 2 2 2 4 2" xfId="9504"/>
    <cellStyle name="SAPBEXresItemX 2 2 2 5" xfId="9505"/>
    <cellStyle name="SAPBEXresItemX 2 2 2 5 2" xfId="9506"/>
    <cellStyle name="SAPBEXresItemX 2 2 2 6" xfId="9507"/>
    <cellStyle name="SAPBEXresItemX 2 2 3" xfId="9508"/>
    <cellStyle name="SAPBEXresItemX 2 2 3 2" xfId="9509"/>
    <cellStyle name="SAPBEXresItemX 2 2 3 2 2" xfId="9510"/>
    <cellStyle name="SAPBEXresItemX 2 2 3 2 2 2" xfId="9511"/>
    <cellStyle name="SAPBEXresItemX 2 2 3 2 3" xfId="9512"/>
    <cellStyle name="SAPBEXresItemX 2 2 3 2 3 2" xfId="9513"/>
    <cellStyle name="SAPBEXresItemX 2 2 3 2 4" xfId="9514"/>
    <cellStyle name="SAPBEXresItemX 2 2 3 2 4 2" xfId="9515"/>
    <cellStyle name="SAPBEXresItemX 2 2 3 2 5" xfId="9516"/>
    <cellStyle name="SAPBEXresItemX 2 2 3 3" xfId="9517"/>
    <cellStyle name="SAPBEXresItemX 2 2 3 3 2" xfId="9518"/>
    <cellStyle name="SAPBEXresItemX 2 2 3 4" xfId="9519"/>
    <cellStyle name="SAPBEXresItemX 2 2 3 4 2" xfId="9520"/>
    <cellStyle name="SAPBEXresItemX 2 2 3 5" xfId="9521"/>
    <cellStyle name="SAPBEXresItemX 2 2 3 5 2" xfId="9522"/>
    <cellStyle name="SAPBEXresItemX 2 2 3 6" xfId="9523"/>
    <cellStyle name="SAPBEXresItemX 2 2 4" xfId="9524"/>
    <cellStyle name="SAPBEXresItemX 2 2 4 2" xfId="9525"/>
    <cellStyle name="SAPBEXresItemX 2 2 4 2 2" xfId="9526"/>
    <cellStyle name="SAPBEXresItemX 2 2 4 3" xfId="9527"/>
    <cellStyle name="SAPBEXresItemX 2 2 4 3 2" xfId="9528"/>
    <cellStyle name="SAPBEXresItemX 2 2 4 4" xfId="9529"/>
    <cellStyle name="SAPBEXresItemX 2 2 4 4 2" xfId="9530"/>
    <cellStyle name="SAPBEXresItemX 2 2 4 5" xfId="9531"/>
    <cellStyle name="SAPBEXresItemX 2 2 5" xfId="9532"/>
    <cellStyle name="SAPBEXresItemX 2 2 5 2" xfId="9533"/>
    <cellStyle name="SAPBEXresItemX 2 2 6" xfId="9534"/>
    <cellStyle name="SAPBEXresItemX 2 2 6 2" xfId="9535"/>
    <cellStyle name="SAPBEXresItemX 2 2 7" xfId="9536"/>
    <cellStyle name="SAPBEXresItemX 2 2 7 2" xfId="9537"/>
    <cellStyle name="SAPBEXresItemX 2 2 8" xfId="9538"/>
    <cellStyle name="SAPBEXresItemX 2 2 8 2" xfId="9539"/>
    <cellStyle name="SAPBEXresItemX 2 2 9" xfId="9540"/>
    <cellStyle name="SAPBEXresItemX 2 3" xfId="9541"/>
    <cellStyle name="SAPBEXresItemX 2 3 2" xfId="9542"/>
    <cellStyle name="SAPBEXresItemX 2 3 2 2" xfId="9543"/>
    <cellStyle name="SAPBEXresItemX 2 3 2 2 2" xfId="9544"/>
    <cellStyle name="SAPBEXresItemX 2 3 2 3" xfId="9545"/>
    <cellStyle name="SAPBEXresItemX 2 3 2 3 2" xfId="9546"/>
    <cellStyle name="SAPBEXresItemX 2 3 2 4" xfId="9547"/>
    <cellStyle name="SAPBEXresItemX 2 3 2 4 2" xfId="9548"/>
    <cellStyle name="SAPBEXresItemX 2 3 2 5" xfId="9549"/>
    <cellStyle name="SAPBEXresItemX 2 3 3" xfId="9550"/>
    <cellStyle name="SAPBEXresItemX 2 3 3 2" xfId="9551"/>
    <cellStyle name="SAPBEXresItemX 2 3 4" xfId="9552"/>
    <cellStyle name="SAPBEXresItemX 2 3 4 2" xfId="9553"/>
    <cellStyle name="SAPBEXresItemX 2 3 5" xfId="9554"/>
    <cellStyle name="SAPBEXresItemX 2 3 5 2" xfId="9555"/>
    <cellStyle name="SAPBEXresItemX 2 3 6" xfId="9556"/>
    <cellStyle name="SAPBEXresItemX 2 4" xfId="9557"/>
    <cellStyle name="SAPBEXresItemX 2 4 2" xfId="9558"/>
    <cellStyle name="SAPBEXresItemX 2 4 2 2" xfId="9559"/>
    <cellStyle name="SAPBEXresItemX 2 4 2 2 2" xfId="9560"/>
    <cellStyle name="SAPBEXresItemX 2 4 2 3" xfId="9561"/>
    <cellStyle name="SAPBEXresItemX 2 4 2 3 2" xfId="9562"/>
    <cellStyle name="SAPBEXresItemX 2 4 2 4" xfId="9563"/>
    <cellStyle name="SAPBEXresItemX 2 4 2 4 2" xfId="9564"/>
    <cellStyle name="SAPBEXresItemX 2 4 2 5" xfId="9565"/>
    <cellStyle name="SAPBEXresItemX 2 4 3" xfId="9566"/>
    <cellStyle name="SAPBEXresItemX 2 4 3 2" xfId="9567"/>
    <cellStyle name="SAPBEXresItemX 2 4 4" xfId="9568"/>
    <cellStyle name="SAPBEXresItemX 2 4 4 2" xfId="9569"/>
    <cellStyle name="SAPBEXresItemX 2 4 5" xfId="9570"/>
    <cellStyle name="SAPBEXresItemX 2 4 5 2" xfId="9571"/>
    <cellStyle name="SAPBEXresItemX 2 4 6" xfId="9572"/>
    <cellStyle name="SAPBEXresItemX 2 5" xfId="9573"/>
    <cellStyle name="SAPBEXresItemX 2 5 2" xfId="9574"/>
    <cellStyle name="SAPBEXresItemX 2 5 2 2" xfId="9575"/>
    <cellStyle name="SAPBEXresItemX 2 5 3" xfId="9576"/>
    <cellStyle name="SAPBEXresItemX 2 5 3 2" xfId="9577"/>
    <cellStyle name="SAPBEXresItemX 2 5 4" xfId="9578"/>
    <cellStyle name="SAPBEXresItemX 2 5 4 2" xfId="9579"/>
    <cellStyle name="SAPBEXresItemX 2 5 5" xfId="9580"/>
    <cellStyle name="SAPBEXresItemX 2 6" xfId="9581"/>
    <cellStyle name="SAPBEXresItemX 2 6 2" xfId="9582"/>
    <cellStyle name="SAPBEXresItemX 2 7" xfId="9583"/>
    <cellStyle name="SAPBEXresItemX 2 7 2" xfId="9584"/>
    <cellStyle name="SAPBEXresItemX 2 8" xfId="9585"/>
    <cellStyle name="SAPBEXresItemX 2 8 2" xfId="9586"/>
    <cellStyle name="SAPBEXresItemX 2 9" xfId="9587"/>
    <cellStyle name="SAPBEXresItemX 3" xfId="9588"/>
    <cellStyle name="SAPBEXresItemX 3 2" xfId="9589"/>
    <cellStyle name="SAPBEXresItemX 3 2 2" xfId="9590"/>
    <cellStyle name="SAPBEXresItemX 3 2 2 2" xfId="9591"/>
    <cellStyle name="SAPBEXresItemX 3 2 2 2 2" xfId="9592"/>
    <cellStyle name="SAPBEXresItemX 3 2 2 3" xfId="9593"/>
    <cellStyle name="SAPBEXresItemX 3 2 2 3 2" xfId="9594"/>
    <cellStyle name="SAPBEXresItemX 3 2 2 4" xfId="9595"/>
    <cellStyle name="SAPBEXresItemX 3 2 2 4 2" xfId="9596"/>
    <cellStyle name="SAPBEXresItemX 3 2 2 5" xfId="9597"/>
    <cellStyle name="SAPBEXresItemX 3 2 3" xfId="9598"/>
    <cellStyle name="SAPBEXresItemX 3 2 3 2" xfId="9599"/>
    <cellStyle name="SAPBEXresItemX 3 2 4" xfId="9600"/>
    <cellStyle name="SAPBEXresItemX 3 2 4 2" xfId="9601"/>
    <cellStyle name="SAPBEXresItemX 3 2 5" xfId="9602"/>
    <cellStyle name="SAPBEXresItemX 3 2 5 2" xfId="9603"/>
    <cellStyle name="SAPBEXresItemX 3 2 6" xfId="9604"/>
    <cellStyle name="SAPBEXresItemX 3 3" xfId="9605"/>
    <cellStyle name="SAPBEXresItemX 3 3 2" xfId="9606"/>
    <cellStyle name="SAPBEXresItemX 3 3 2 2" xfId="9607"/>
    <cellStyle name="SAPBEXresItemX 3 3 2 2 2" xfId="9608"/>
    <cellStyle name="SAPBEXresItemX 3 3 2 3" xfId="9609"/>
    <cellStyle name="SAPBEXresItemX 3 3 2 3 2" xfId="9610"/>
    <cellStyle name="SAPBEXresItemX 3 3 2 4" xfId="9611"/>
    <cellStyle name="SAPBEXresItemX 3 3 2 4 2" xfId="9612"/>
    <cellStyle name="SAPBEXresItemX 3 3 2 5" xfId="9613"/>
    <cellStyle name="SAPBEXresItemX 3 3 3" xfId="9614"/>
    <cellStyle name="SAPBEXresItemX 3 3 3 2" xfId="9615"/>
    <cellStyle name="SAPBEXresItemX 3 3 4" xfId="9616"/>
    <cellStyle name="SAPBEXresItemX 3 3 4 2" xfId="9617"/>
    <cellStyle name="SAPBEXresItemX 3 3 5" xfId="9618"/>
    <cellStyle name="SAPBEXresItemX 3 3 5 2" xfId="9619"/>
    <cellStyle name="SAPBEXresItemX 3 3 6" xfId="9620"/>
    <cellStyle name="SAPBEXresItemX 3 4" xfId="9621"/>
    <cellStyle name="SAPBEXresItemX 3 4 2" xfId="9622"/>
    <cellStyle name="SAPBEXresItemX 3 4 2 2" xfId="9623"/>
    <cellStyle name="SAPBEXresItemX 3 4 3" xfId="9624"/>
    <cellStyle name="SAPBEXresItemX 3 4 3 2" xfId="9625"/>
    <cellStyle name="SAPBEXresItemX 3 4 4" xfId="9626"/>
    <cellStyle name="SAPBEXresItemX 3 4 4 2" xfId="9627"/>
    <cellStyle name="SAPBEXresItemX 3 4 5" xfId="9628"/>
    <cellStyle name="SAPBEXresItemX 3 5" xfId="9629"/>
    <cellStyle name="SAPBEXresItemX 3 5 2" xfId="9630"/>
    <cellStyle name="SAPBEXresItemX 3 6" xfId="9631"/>
    <cellStyle name="SAPBEXresItemX 3 6 2" xfId="9632"/>
    <cellStyle name="SAPBEXresItemX 3 7" xfId="9633"/>
    <cellStyle name="SAPBEXresItemX 3 7 2" xfId="9634"/>
    <cellStyle name="SAPBEXresItemX 3 8" xfId="9635"/>
    <cellStyle name="SAPBEXresItemX 3 8 2" xfId="9636"/>
    <cellStyle name="SAPBEXresItemX 3 9" xfId="9637"/>
    <cellStyle name="SAPBEXresItemX 4" xfId="9638"/>
    <cellStyle name="SAPBEXresItemX 4 2" xfId="9639"/>
    <cellStyle name="SAPBEXresItemX 4 2 2" xfId="9640"/>
    <cellStyle name="SAPBEXresItemX 4 2 2 2" xfId="9641"/>
    <cellStyle name="SAPBEXresItemX 4 2 3" xfId="9642"/>
    <cellStyle name="SAPBEXresItemX 4 2 3 2" xfId="9643"/>
    <cellStyle name="SAPBEXresItemX 4 2 4" xfId="9644"/>
    <cellStyle name="SAPBEXresItemX 4 2 4 2" xfId="9645"/>
    <cellStyle name="SAPBEXresItemX 4 2 5" xfId="9646"/>
    <cellStyle name="SAPBEXresItemX 4 3" xfId="9647"/>
    <cellStyle name="SAPBEXresItemX 4 3 2" xfId="9648"/>
    <cellStyle name="SAPBEXresItemX 4 4" xfId="9649"/>
    <cellStyle name="SAPBEXresItemX 4 4 2" xfId="9650"/>
    <cellStyle name="SAPBEXresItemX 4 5" xfId="9651"/>
    <cellStyle name="SAPBEXresItemX 4 5 2" xfId="9652"/>
    <cellStyle name="SAPBEXresItemX 4 6" xfId="9653"/>
    <cellStyle name="SAPBEXresItemX 5" xfId="9654"/>
    <cellStyle name="SAPBEXresItemX 5 2" xfId="9655"/>
    <cellStyle name="SAPBEXresItemX 5 2 2" xfId="9656"/>
    <cellStyle name="SAPBEXresItemX 5 2 2 2" xfId="9657"/>
    <cellStyle name="SAPBEXresItemX 5 2 3" xfId="9658"/>
    <cellStyle name="SAPBEXresItemX 5 2 3 2" xfId="9659"/>
    <cellStyle name="SAPBEXresItemX 5 2 4" xfId="9660"/>
    <cellStyle name="SAPBEXresItemX 5 2 4 2" xfId="9661"/>
    <cellStyle name="SAPBEXresItemX 5 2 5" xfId="9662"/>
    <cellStyle name="SAPBEXresItemX 5 3" xfId="9663"/>
    <cellStyle name="SAPBEXresItemX 5 3 2" xfId="9664"/>
    <cellStyle name="SAPBEXresItemX 5 4" xfId="9665"/>
    <cellStyle name="SAPBEXresItemX 5 4 2" xfId="9666"/>
    <cellStyle name="SAPBEXresItemX 5 5" xfId="9667"/>
    <cellStyle name="SAPBEXresItemX 5 5 2" xfId="9668"/>
    <cellStyle name="SAPBEXresItemX 5 6" xfId="9669"/>
    <cellStyle name="SAPBEXresItemX 6" xfId="9670"/>
    <cellStyle name="SAPBEXresItemX 6 2" xfId="9671"/>
    <cellStyle name="SAPBEXresItemX 6 2 2" xfId="9672"/>
    <cellStyle name="SAPBEXresItemX 6 3" xfId="9673"/>
    <cellStyle name="SAPBEXresItemX 6 3 2" xfId="9674"/>
    <cellStyle name="SAPBEXresItemX 6 4" xfId="9675"/>
    <cellStyle name="SAPBEXresItemX 6 4 2" xfId="9676"/>
    <cellStyle name="SAPBEXresItemX 6 5" xfId="9677"/>
    <cellStyle name="SAPBEXresItemX 7" xfId="9678"/>
    <cellStyle name="SAPBEXresItemX 7 2" xfId="9679"/>
    <cellStyle name="SAPBEXresItemX 8" xfId="9680"/>
    <cellStyle name="SAPBEXresItemX 8 2" xfId="9681"/>
    <cellStyle name="SAPBEXresItemX 9" xfId="9682"/>
    <cellStyle name="SAPBEXresItemX 9 2" xfId="9683"/>
    <cellStyle name="SAPBEXstdData" xfId="9684"/>
    <cellStyle name="SAPBEXstdData 10" xfId="9685"/>
    <cellStyle name="SAPBEXstdData 2" xfId="9686"/>
    <cellStyle name="SAPBEXstdData 2 2" xfId="9687"/>
    <cellStyle name="SAPBEXstdData 2 2 2" xfId="9688"/>
    <cellStyle name="SAPBEXstdData 2 2 2 2" xfId="9689"/>
    <cellStyle name="SAPBEXstdData 2 2 2 2 2" xfId="9690"/>
    <cellStyle name="SAPBEXstdData 2 2 2 2 2 2" xfId="9691"/>
    <cellStyle name="SAPBEXstdData 2 2 2 2 3" xfId="9692"/>
    <cellStyle name="SAPBEXstdData 2 2 2 2 3 2" xfId="9693"/>
    <cellStyle name="SAPBEXstdData 2 2 2 2 4" xfId="9694"/>
    <cellStyle name="SAPBEXstdData 2 2 2 2 4 2" xfId="9695"/>
    <cellStyle name="SAPBEXstdData 2 2 2 2 5" xfId="9696"/>
    <cellStyle name="SAPBEXstdData 2 2 2 3" xfId="9697"/>
    <cellStyle name="SAPBEXstdData 2 2 2 3 2" xfId="9698"/>
    <cellStyle name="SAPBEXstdData 2 2 2 4" xfId="9699"/>
    <cellStyle name="SAPBEXstdData 2 2 2 4 2" xfId="9700"/>
    <cellStyle name="SAPBEXstdData 2 2 2 5" xfId="9701"/>
    <cellStyle name="SAPBEXstdData 2 2 2 5 2" xfId="9702"/>
    <cellStyle name="SAPBEXstdData 2 2 2 6" xfId="9703"/>
    <cellStyle name="SAPBEXstdData 2 2 3" xfId="9704"/>
    <cellStyle name="SAPBEXstdData 2 2 3 2" xfId="9705"/>
    <cellStyle name="SAPBEXstdData 2 2 3 2 2" xfId="9706"/>
    <cellStyle name="SAPBEXstdData 2 2 3 2 2 2" xfId="9707"/>
    <cellStyle name="SAPBEXstdData 2 2 3 2 3" xfId="9708"/>
    <cellStyle name="SAPBEXstdData 2 2 3 2 3 2" xfId="9709"/>
    <cellStyle name="SAPBEXstdData 2 2 3 2 4" xfId="9710"/>
    <cellStyle name="SAPBEXstdData 2 2 3 2 4 2" xfId="9711"/>
    <cellStyle name="SAPBEXstdData 2 2 3 2 5" xfId="9712"/>
    <cellStyle name="SAPBEXstdData 2 2 3 3" xfId="9713"/>
    <cellStyle name="SAPBEXstdData 2 2 3 3 2" xfId="9714"/>
    <cellStyle name="SAPBEXstdData 2 2 3 4" xfId="9715"/>
    <cellStyle name="SAPBEXstdData 2 2 3 4 2" xfId="9716"/>
    <cellStyle name="SAPBEXstdData 2 2 3 5" xfId="9717"/>
    <cellStyle name="SAPBEXstdData 2 2 3 5 2" xfId="9718"/>
    <cellStyle name="SAPBEXstdData 2 2 3 6" xfId="9719"/>
    <cellStyle name="SAPBEXstdData 2 2 4" xfId="9720"/>
    <cellStyle name="SAPBEXstdData 2 2 4 2" xfId="9721"/>
    <cellStyle name="SAPBEXstdData 2 2 4 2 2" xfId="9722"/>
    <cellStyle name="SAPBEXstdData 2 2 4 3" xfId="9723"/>
    <cellStyle name="SAPBEXstdData 2 2 4 3 2" xfId="9724"/>
    <cellStyle name="SAPBEXstdData 2 2 4 4" xfId="9725"/>
    <cellStyle name="SAPBEXstdData 2 2 4 4 2" xfId="9726"/>
    <cellStyle name="SAPBEXstdData 2 2 4 5" xfId="9727"/>
    <cellStyle name="SAPBEXstdData 2 2 5" xfId="9728"/>
    <cellStyle name="SAPBEXstdData 2 2 5 2" xfId="9729"/>
    <cellStyle name="SAPBEXstdData 2 2 6" xfId="9730"/>
    <cellStyle name="SAPBEXstdData 2 2 6 2" xfId="9731"/>
    <cellStyle name="SAPBEXstdData 2 2 7" xfId="9732"/>
    <cellStyle name="SAPBEXstdData 2 2 7 2" xfId="9733"/>
    <cellStyle name="SAPBEXstdData 2 2 8" xfId="9734"/>
    <cellStyle name="SAPBEXstdData 2 2 8 2" xfId="9735"/>
    <cellStyle name="SAPBEXstdData 2 2 9" xfId="9736"/>
    <cellStyle name="SAPBEXstdData 2 3" xfId="9737"/>
    <cellStyle name="SAPBEXstdData 2 3 2" xfId="9738"/>
    <cellStyle name="SAPBEXstdData 2 3 2 2" xfId="9739"/>
    <cellStyle name="SAPBEXstdData 2 3 2 2 2" xfId="9740"/>
    <cellStyle name="SAPBEXstdData 2 3 2 3" xfId="9741"/>
    <cellStyle name="SAPBEXstdData 2 3 2 3 2" xfId="9742"/>
    <cellStyle name="SAPBEXstdData 2 3 2 4" xfId="9743"/>
    <cellStyle name="SAPBEXstdData 2 3 2 4 2" xfId="9744"/>
    <cellStyle name="SAPBEXstdData 2 3 2 5" xfId="9745"/>
    <cellStyle name="SAPBEXstdData 2 3 3" xfId="9746"/>
    <cellStyle name="SAPBEXstdData 2 3 3 2" xfId="9747"/>
    <cellStyle name="SAPBEXstdData 2 3 4" xfId="9748"/>
    <cellStyle name="SAPBEXstdData 2 3 4 2" xfId="9749"/>
    <cellStyle name="SAPBEXstdData 2 3 5" xfId="9750"/>
    <cellStyle name="SAPBEXstdData 2 3 5 2" xfId="9751"/>
    <cellStyle name="SAPBEXstdData 2 3 6" xfId="9752"/>
    <cellStyle name="SAPBEXstdData 2 4" xfId="9753"/>
    <cellStyle name="SAPBEXstdData 2 4 2" xfId="9754"/>
    <cellStyle name="SAPBEXstdData 2 4 2 2" xfId="9755"/>
    <cellStyle name="SAPBEXstdData 2 4 2 2 2" xfId="9756"/>
    <cellStyle name="SAPBEXstdData 2 4 2 3" xfId="9757"/>
    <cellStyle name="SAPBEXstdData 2 4 2 3 2" xfId="9758"/>
    <cellStyle name="SAPBEXstdData 2 4 2 4" xfId="9759"/>
    <cellStyle name="SAPBEXstdData 2 4 2 4 2" xfId="9760"/>
    <cellStyle name="SAPBEXstdData 2 4 2 5" xfId="9761"/>
    <cellStyle name="SAPBEXstdData 2 4 3" xfId="9762"/>
    <cellStyle name="SAPBEXstdData 2 4 3 2" xfId="9763"/>
    <cellStyle name="SAPBEXstdData 2 4 4" xfId="9764"/>
    <cellStyle name="SAPBEXstdData 2 4 4 2" xfId="9765"/>
    <cellStyle name="SAPBEXstdData 2 4 5" xfId="9766"/>
    <cellStyle name="SAPBEXstdData 2 4 5 2" xfId="9767"/>
    <cellStyle name="SAPBEXstdData 2 4 6" xfId="9768"/>
    <cellStyle name="SAPBEXstdData 2 5" xfId="9769"/>
    <cellStyle name="SAPBEXstdData 2 5 2" xfId="9770"/>
    <cellStyle name="SAPBEXstdData 2 5 2 2" xfId="9771"/>
    <cellStyle name="SAPBEXstdData 2 5 3" xfId="9772"/>
    <cellStyle name="SAPBEXstdData 2 5 3 2" xfId="9773"/>
    <cellStyle name="SAPBEXstdData 2 5 4" xfId="9774"/>
    <cellStyle name="SAPBEXstdData 2 5 4 2" xfId="9775"/>
    <cellStyle name="SAPBEXstdData 2 5 5" xfId="9776"/>
    <cellStyle name="SAPBEXstdData 2 6" xfId="9777"/>
    <cellStyle name="SAPBEXstdData 2 6 2" xfId="9778"/>
    <cellStyle name="SAPBEXstdData 2 7" xfId="9779"/>
    <cellStyle name="SAPBEXstdData 2 7 2" xfId="9780"/>
    <cellStyle name="SAPBEXstdData 2 8" xfId="9781"/>
    <cellStyle name="SAPBEXstdData 2 8 2" xfId="9782"/>
    <cellStyle name="SAPBEXstdData 2 9" xfId="9783"/>
    <cellStyle name="SAPBEXstdData 3" xfId="9784"/>
    <cellStyle name="SAPBEXstdData 3 2" xfId="9785"/>
    <cellStyle name="SAPBEXstdData 3 2 2" xfId="9786"/>
    <cellStyle name="SAPBEXstdData 3 2 2 2" xfId="9787"/>
    <cellStyle name="SAPBEXstdData 3 2 2 2 2" xfId="9788"/>
    <cellStyle name="SAPBEXstdData 3 2 2 3" xfId="9789"/>
    <cellStyle name="SAPBEXstdData 3 2 2 3 2" xfId="9790"/>
    <cellStyle name="SAPBEXstdData 3 2 2 4" xfId="9791"/>
    <cellStyle name="SAPBEXstdData 3 2 2 4 2" xfId="9792"/>
    <cellStyle name="SAPBEXstdData 3 2 2 5" xfId="9793"/>
    <cellStyle name="SAPBEXstdData 3 2 3" xfId="9794"/>
    <cellStyle name="SAPBEXstdData 3 2 3 2" xfId="9795"/>
    <cellStyle name="SAPBEXstdData 3 2 4" xfId="9796"/>
    <cellStyle name="SAPBEXstdData 3 2 4 2" xfId="9797"/>
    <cellStyle name="SAPBEXstdData 3 2 5" xfId="9798"/>
    <cellStyle name="SAPBEXstdData 3 2 5 2" xfId="9799"/>
    <cellStyle name="SAPBEXstdData 3 2 6" xfId="9800"/>
    <cellStyle name="SAPBEXstdData 3 3" xfId="9801"/>
    <cellStyle name="SAPBEXstdData 3 3 2" xfId="9802"/>
    <cellStyle name="SAPBEXstdData 3 3 2 2" xfId="9803"/>
    <cellStyle name="SAPBEXstdData 3 3 2 2 2" xfId="9804"/>
    <cellStyle name="SAPBEXstdData 3 3 2 3" xfId="9805"/>
    <cellStyle name="SAPBEXstdData 3 3 2 3 2" xfId="9806"/>
    <cellStyle name="SAPBEXstdData 3 3 2 4" xfId="9807"/>
    <cellStyle name="SAPBEXstdData 3 3 2 4 2" xfId="9808"/>
    <cellStyle name="SAPBEXstdData 3 3 2 5" xfId="9809"/>
    <cellStyle name="SAPBEXstdData 3 3 3" xfId="9810"/>
    <cellStyle name="SAPBEXstdData 3 3 3 2" xfId="9811"/>
    <cellStyle name="SAPBEXstdData 3 3 4" xfId="9812"/>
    <cellStyle name="SAPBEXstdData 3 3 4 2" xfId="9813"/>
    <cellStyle name="SAPBEXstdData 3 3 5" xfId="9814"/>
    <cellStyle name="SAPBEXstdData 3 3 5 2" xfId="9815"/>
    <cellStyle name="SAPBEXstdData 3 3 6" xfId="9816"/>
    <cellStyle name="SAPBEXstdData 3 4" xfId="9817"/>
    <cellStyle name="SAPBEXstdData 3 4 2" xfId="9818"/>
    <cellStyle name="SAPBEXstdData 3 4 2 2" xfId="9819"/>
    <cellStyle name="SAPBEXstdData 3 4 3" xfId="9820"/>
    <cellStyle name="SAPBEXstdData 3 4 3 2" xfId="9821"/>
    <cellStyle name="SAPBEXstdData 3 4 4" xfId="9822"/>
    <cellStyle name="SAPBEXstdData 3 4 4 2" xfId="9823"/>
    <cellStyle name="SAPBEXstdData 3 4 5" xfId="9824"/>
    <cellStyle name="SAPBEXstdData 3 5" xfId="9825"/>
    <cellStyle name="SAPBEXstdData 3 5 2" xfId="9826"/>
    <cellStyle name="SAPBEXstdData 3 6" xfId="9827"/>
    <cellStyle name="SAPBEXstdData 3 6 2" xfId="9828"/>
    <cellStyle name="SAPBEXstdData 3 7" xfId="9829"/>
    <cellStyle name="SAPBEXstdData 3 7 2" xfId="9830"/>
    <cellStyle name="SAPBEXstdData 3 8" xfId="9831"/>
    <cellStyle name="SAPBEXstdData 3 8 2" xfId="9832"/>
    <cellStyle name="SAPBEXstdData 3 9" xfId="9833"/>
    <cellStyle name="SAPBEXstdData 4" xfId="9834"/>
    <cellStyle name="SAPBEXstdData 4 2" xfId="9835"/>
    <cellStyle name="SAPBEXstdData 4 2 2" xfId="9836"/>
    <cellStyle name="SAPBEXstdData 4 2 2 2" xfId="9837"/>
    <cellStyle name="SAPBEXstdData 4 2 3" xfId="9838"/>
    <cellStyle name="SAPBEXstdData 4 2 3 2" xfId="9839"/>
    <cellStyle name="SAPBEXstdData 4 2 4" xfId="9840"/>
    <cellStyle name="SAPBEXstdData 4 2 4 2" xfId="9841"/>
    <cellStyle name="SAPBEXstdData 4 2 5" xfId="9842"/>
    <cellStyle name="SAPBEXstdData 4 3" xfId="9843"/>
    <cellStyle name="SAPBEXstdData 4 3 2" xfId="9844"/>
    <cellStyle name="SAPBEXstdData 4 4" xfId="9845"/>
    <cellStyle name="SAPBEXstdData 4 4 2" xfId="9846"/>
    <cellStyle name="SAPBEXstdData 4 5" xfId="9847"/>
    <cellStyle name="SAPBEXstdData 4 5 2" xfId="9848"/>
    <cellStyle name="SAPBEXstdData 4 6" xfId="9849"/>
    <cellStyle name="SAPBEXstdData 5" xfId="9850"/>
    <cellStyle name="SAPBEXstdData 5 2" xfId="9851"/>
    <cellStyle name="SAPBEXstdData 5 2 2" xfId="9852"/>
    <cellStyle name="SAPBEXstdData 5 2 2 2" xfId="9853"/>
    <cellStyle name="SAPBEXstdData 5 2 3" xfId="9854"/>
    <cellStyle name="SAPBEXstdData 5 2 3 2" xfId="9855"/>
    <cellStyle name="SAPBEXstdData 5 2 4" xfId="9856"/>
    <cellStyle name="SAPBEXstdData 5 2 4 2" xfId="9857"/>
    <cellStyle name="SAPBEXstdData 5 2 5" xfId="9858"/>
    <cellStyle name="SAPBEXstdData 5 3" xfId="9859"/>
    <cellStyle name="SAPBEXstdData 5 3 2" xfId="9860"/>
    <cellStyle name="SAPBEXstdData 5 4" xfId="9861"/>
    <cellStyle name="SAPBEXstdData 5 4 2" xfId="9862"/>
    <cellStyle name="SAPBEXstdData 5 5" xfId="9863"/>
    <cellStyle name="SAPBEXstdData 5 5 2" xfId="9864"/>
    <cellStyle name="SAPBEXstdData 5 6" xfId="9865"/>
    <cellStyle name="SAPBEXstdData 6" xfId="9866"/>
    <cellStyle name="SAPBEXstdData 6 2" xfId="9867"/>
    <cellStyle name="SAPBEXstdData 6 2 2" xfId="9868"/>
    <cellStyle name="SAPBEXstdData 6 3" xfId="9869"/>
    <cellStyle name="SAPBEXstdData 6 3 2" xfId="9870"/>
    <cellStyle name="SAPBEXstdData 6 4" xfId="9871"/>
    <cellStyle name="SAPBEXstdData 6 4 2" xfId="9872"/>
    <cellStyle name="SAPBEXstdData 6 5" xfId="9873"/>
    <cellStyle name="SAPBEXstdData 7" xfId="9874"/>
    <cellStyle name="SAPBEXstdData 7 2" xfId="9875"/>
    <cellStyle name="SAPBEXstdData 8" xfId="9876"/>
    <cellStyle name="SAPBEXstdData 8 2" xfId="9877"/>
    <cellStyle name="SAPBEXstdData 9" xfId="9878"/>
    <cellStyle name="SAPBEXstdData 9 2" xfId="9879"/>
    <cellStyle name="SAPBEXstdDataEmph" xfId="9880"/>
    <cellStyle name="SAPBEXstdDataEmph 10" xfId="9881"/>
    <cellStyle name="SAPBEXstdDataEmph 2" xfId="9882"/>
    <cellStyle name="SAPBEXstdDataEmph 2 2" xfId="9883"/>
    <cellStyle name="SAPBEXstdDataEmph 2 2 2" xfId="9884"/>
    <cellStyle name="SAPBEXstdDataEmph 2 2 2 2" xfId="9885"/>
    <cellStyle name="SAPBEXstdDataEmph 2 2 2 2 2" xfId="9886"/>
    <cellStyle name="SAPBEXstdDataEmph 2 2 2 2 2 2" xfId="9887"/>
    <cellStyle name="SAPBEXstdDataEmph 2 2 2 2 3" xfId="9888"/>
    <cellStyle name="SAPBEXstdDataEmph 2 2 2 2 3 2" xfId="9889"/>
    <cellStyle name="SAPBEXstdDataEmph 2 2 2 2 4" xfId="9890"/>
    <cellStyle name="SAPBEXstdDataEmph 2 2 2 2 4 2" xfId="9891"/>
    <cellStyle name="SAPBEXstdDataEmph 2 2 2 2 5" xfId="9892"/>
    <cellStyle name="SAPBEXstdDataEmph 2 2 2 3" xfId="9893"/>
    <cellStyle name="SAPBEXstdDataEmph 2 2 2 3 2" xfId="9894"/>
    <cellStyle name="SAPBEXstdDataEmph 2 2 2 4" xfId="9895"/>
    <cellStyle name="SAPBEXstdDataEmph 2 2 2 4 2" xfId="9896"/>
    <cellStyle name="SAPBEXstdDataEmph 2 2 2 5" xfId="9897"/>
    <cellStyle name="SAPBEXstdDataEmph 2 2 2 5 2" xfId="9898"/>
    <cellStyle name="SAPBEXstdDataEmph 2 2 2 6" xfId="9899"/>
    <cellStyle name="SAPBEXstdDataEmph 2 2 3" xfId="9900"/>
    <cellStyle name="SAPBEXstdDataEmph 2 2 3 2" xfId="9901"/>
    <cellStyle name="SAPBEXstdDataEmph 2 2 3 2 2" xfId="9902"/>
    <cellStyle name="SAPBEXstdDataEmph 2 2 3 2 2 2" xfId="9903"/>
    <cellStyle name="SAPBEXstdDataEmph 2 2 3 2 3" xfId="9904"/>
    <cellStyle name="SAPBEXstdDataEmph 2 2 3 2 3 2" xfId="9905"/>
    <cellStyle name="SAPBEXstdDataEmph 2 2 3 2 4" xfId="9906"/>
    <cellStyle name="SAPBEXstdDataEmph 2 2 3 2 4 2" xfId="9907"/>
    <cellStyle name="SAPBEXstdDataEmph 2 2 3 2 5" xfId="9908"/>
    <cellStyle name="SAPBEXstdDataEmph 2 2 3 3" xfId="9909"/>
    <cellStyle name="SAPBEXstdDataEmph 2 2 3 3 2" xfId="9910"/>
    <cellStyle name="SAPBEXstdDataEmph 2 2 3 4" xfId="9911"/>
    <cellStyle name="SAPBEXstdDataEmph 2 2 3 4 2" xfId="9912"/>
    <cellStyle name="SAPBEXstdDataEmph 2 2 3 5" xfId="9913"/>
    <cellStyle name="SAPBEXstdDataEmph 2 2 3 5 2" xfId="9914"/>
    <cellStyle name="SAPBEXstdDataEmph 2 2 3 6" xfId="9915"/>
    <cellStyle name="SAPBEXstdDataEmph 2 2 4" xfId="9916"/>
    <cellStyle name="SAPBEXstdDataEmph 2 2 4 2" xfId="9917"/>
    <cellStyle name="SAPBEXstdDataEmph 2 2 4 2 2" xfId="9918"/>
    <cellStyle name="SAPBEXstdDataEmph 2 2 4 3" xfId="9919"/>
    <cellStyle name="SAPBEXstdDataEmph 2 2 4 3 2" xfId="9920"/>
    <cellStyle name="SAPBEXstdDataEmph 2 2 4 4" xfId="9921"/>
    <cellStyle name="SAPBEXstdDataEmph 2 2 4 4 2" xfId="9922"/>
    <cellStyle name="SAPBEXstdDataEmph 2 2 4 5" xfId="9923"/>
    <cellStyle name="SAPBEXstdDataEmph 2 2 5" xfId="9924"/>
    <cellStyle name="SAPBEXstdDataEmph 2 2 5 2" xfId="9925"/>
    <cellStyle name="SAPBEXstdDataEmph 2 2 6" xfId="9926"/>
    <cellStyle name="SAPBEXstdDataEmph 2 2 6 2" xfId="9927"/>
    <cellStyle name="SAPBEXstdDataEmph 2 2 7" xfId="9928"/>
    <cellStyle name="SAPBEXstdDataEmph 2 2 7 2" xfId="9929"/>
    <cellStyle name="SAPBEXstdDataEmph 2 2 8" xfId="9930"/>
    <cellStyle name="SAPBEXstdDataEmph 2 2 8 2" xfId="9931"/>
    <cellStyle name="SAPBEXstdDataEmph 2 2 9" xfId="9932"/>
    <cellStyle name="SAPBEXstdDataEmph 2 3" xfId="9933"/>
    <cellStyle name="SAPBEXstdDataEmph 2 3 2" xfId="9934"/>
    <cellStyle name="SAPBEXstdDataEmph 2 3 2 2" xfId="9935"/>
    <cellStyle name="SAPBEXstdDataEmph 2 3 2 2 2" xfId="9936"/>
    <cellStyle name="SAPBEXstdDataEmph 2 3 2 3" xfId="9937"/>
    <cellStyle name="SAPBEXstdDataEmph 2 3 2 3 2" xfId="9938"/>
    <cellStyle name="SAPBEXstdDataEmph 2 3 2 4" xfId="9939"/>
    <cellStyle name="SAPBEXstdDataEmph 2 3 2 4 2" xfId="9940"/>
    <cellStyle name="SAPBEXstdDataEmph 2 3 2 5" xfId="9941"/>
    <cellStyle name="SAPBEXstdDataEmph 2 3 3" xfId="9942"/>
    <cellStyle name="SAPBEXstdDataEmph 2 3 3 2" xfId="9943"/>
    <cellStyle name="SAPBEXstdDataEmph 2 3 4" xfId="9944"/>
    <cellStyle name="SAPBEXstdDataEmph 2 3 4 2" xfId="9945"/>
    <cellStyle name="SAPBEXstdDataEmph 2 3 5" xfId="9946"/>
    <cellStyle name="SAPBEXstdDataEmph 2 3 5 2" xfId="9947"/>
    <cellStyle name="SAPBEXstdDataEmph 2 3 6" xfId="9948"/>
    <cellStyle name="SAPBEXstdDataEmph 2 4" xfId="9949"/>
    <cellStyle name="SAPBEXstdDataEmph 2 4 2" xfId="9950"/>
    <cellStyle name="SAPBEXstdDataEmph 2 4 2 2" xfId="9951"/>
    <cellStyle name="SAPBEXstdDataEmph 2 4 2 2 2" xfId="9952"/>
    <cellStyle name="SAPBEXstdDataEmph 2 4 2 3" xfId="9953"/>
    <cellStyle name="SAPBEXstdDataEmph 2 4 2 3 2" xfId="9954"/>
    <cellStyle name="SAPBEXstdDataEmph 2 4 2 4" xfId="9955"/>
    <cellStyle name="SAPBEXstdDataEmph 2 4 2 4 2" xfId="9956"/>
    <cellStyle name="SAPBEXstdDataEmph 2 4 2 5" xfId="9957"/>
    <cellStyle name="SAPBEXstdDataEmph 2 4 3" xfId="9958"/>
    <cellStyle name="SAPBEXstdDataEmph 2 4 3 2" xfId="9959"/>
    <cellStyle name="SAPBEXstdDataEmph 2 4 4" xfId="9960"/>
    <cellStyle name="SAPBEXstdDataEmph 2 4 4 2" xfId="9961"/>
    <cellStyle name="SAPBEXstdDataEmph 2 4 5" xfId="9962"/>
    <cellStyle name="SAPBEXstdDataEmph 2 4 5 2" xfId="9963"/>
    <cellStyle name="SAPBEXstdDataEmph 2 4 6" xfId="9964"/>
    <cellStyle name="SAPBEXstdDataEmph 2 5" xfId="9965"/>
    <cellStyle name="SAPBEXstdDataEmph 2 5 2" xfId="9966"/>
    <cellStyle name="SAPBEXstdDataEmph 2 5 2 2" xfId="9967"/>
    <cellStyle name="SAPBEXstdDataEmph 2 5 3" xfId="9968"/>
    <cellStyle name="SAPBEXstdDataEmph 2 5 3 2" xfId="9969"/>
    <cellStyle name="SAPBEXstdDataEmph 2 5 4" xfId="9970"/>
    <cellStyle name="SAPBEXstdDataEmph 2 5 4 2" xfId="9971"/>
    <cellStyle name="SAPBEXstdDataEmph 2 5 5" xfId="9972"/>
    <cellStyle name="SAPBEXstdDataEmph 2 6" xfId="9973"/>
    <cellStyle name="SAPBEXstdDataEmph 2 6 2" xfId="9974"/>
    <cellStyle name="SAPBEXstdDataEmph 2 7" xfId="9975"/>
    <cellStyle name="SAPBEXstdDataEmph 2 7 2" xfId="9976"/>
    <cellStyle name="SAPBEXstdDataEmph 2 8" xfId="9977"/>
    <cellStyle name="SAPBEXstdDataEmph 2 8 2" xfId="9978"/>
    <cellStyle name="SAPBEXstdDataEmph 2 9" xfId="9979"/>
    <cellStyle name="SAPBEXstdDataEmph 3" xfId="9980"/>
    <cellStyle name="SAPBEXstdDataEmph 3 2" xfId="9981"/>
    <cellStyle name="SAPBEXstdDataEmph 3 2 2" xfId="9982"/>
    <cellStyle name="SAPBEXstdDataEmph 3 2 2 2" xfId="9983"/>
    <cellStyle name="SAPBEXstdDataEmph 3 2 2 2 2" xfId="9984"/>
    <cellStyle name="SAPBEXstdDataEmph 3 2 2 3" xfId="9985"/>
    <cellStyle name="SAPBEXstdDataEmph 3 2 2 3 2" xfId="9986"/>
    <cellStyle name="SAPBEXstdDataEmph 3 2 2 4" xfId="9987"/>
    <cellStyle name="SAPBEXstdDataEmph 3 2 2 4 2" xfId="9988"/>
    <cellStyle name="SAPBEXstdDataEmph 3 2 2 5" xfId="9989"/>
    <cellStyle name="SAPBEXstdDataEmph 3 2 3" xfId="9990"/>
    <cellStyle name="SAPBEXstdDataEmph 3 2 3 2" xfId="9991"/>
    <cellStyle name="SAPBEXstdDataEmph 3 2 4" xfId="9992"/>
    <cellStyle name="SAPBEXstdDataEmph 3 2 4 2" xfId="9993"/>
    <cellStyle name="SAPBEXstdDataEmph 3 2 5" xfId="9994"/>
    <cellStyle name="SAPBEXstdDataEmph 3 2 5 2" xfId="9995"/>
    <cellStyle name="SAPBEXstdDataEmph 3 2 6" xfId="9996"/>
    <cellStyle name="SAPBEXstdDataEmph 3 3" xfId="9997"/>
    <cellStyle name="SAPBEXstdDataEmph 3 3 2" xfId="9998"/>
    <cellStyle name="SAPBEXstdDataEmph 3 3 2 2" xfId="9999"/>
    <cellStyle name="SAPBEXstdDataEmph 3 3 2 2 2" xfId="10000"/>
    <cellStyle name="SAPBEXstdDataEmph 3 3 2 3" xfId="10001"/>
    <cellStyle name="SAPBEXstdDataEmph 3 3 2 3 2" xfId="10002"/>
    <cellStyle name="SAPBEXstdDataEmph 3 3 2 4" xfId="10003"/>
    <cellStyle name="SAPBEXstdDataEmph 3 3 2 4 2" xfId="10004"/>
    <cellStyle name="SAPBEXstdDataEmph 3 3 2 5" xfId="10005"/>
    <cellStyle name="SAPBEXstdDataEmph 3 3 3" xfId="10006"/>
    <cellStyle name="SAPBEXstdDataEmph 3 3 3 2" xfId="10007"/>
    <cellStyle name="SAPBEXstdDataEmph 3 3 4" xfId="10008"/>
    <cellStyle name="SAPBEXstdDataEmph 3 3 4 2" xfId="10009"/>
    <cellStyle name="SAPBEXstdDataEmph 3 3 5" xfId="10010"/>
    <cellStyle name="SAPBEXstdDataEmph 3 3 5 2" xfId="10011"/>
    <cellStyle name="SAPBEXstdDataEmph 3 3 6" xfId="10012"/>
    <cellStyle name="SAPBEXstdDataEmph 3 4" xfId="10013"/>
    <cellStyle name="SAPBEXstdDataEmph 3 4 2" xfId="10014"/>
    <cellStyle name="SAPBEXstdDataEmph 3 4 2 2" xfId="10015"/>
    <cellStyle name="SAPBEXstdDataEmph 3 4 3" xfId="10016"/>
    <cellStyle name="SAPBEXstdDataEmph 3 4 3 2" xfId="10017"/>
    <cellStyle name="SAPBEXstdDataEmph 3 4 4" xfId="10018"/>
    <cellStyle name="SAPBEXstdDataEmph 3 4 4 2" xfId="10019"/>
    <cellStyle name="SAPBEXstdDataEmph 3 4 5" xfId="10020"/>
    <cellStyle name="SAPBEXstdDataEmph 3 5" xfId="10021"/>
    <cellStyle name="SAPBEXstdDataEmph 3 5 2" xfId="10022"/>
    <cellStyle name="SAPBEXstdDataEmph 3 6" xfId="10023"/>
    <cellStyle name="SAPBEXstdDataEmph 3 6 2" xfId="10024"/>
    <cellStyle name="SAPBEXstdDataEmph 3 7" xfId="10025"/>
    <cellStyle name="SAPBEXstdDataEmph 3 7 2" xfId="10026"/>
    <cellStyle name="SAPBEXstdDataEmph 3 8" xfId="10027"/>
    <cellStyle name="SAPBEXstdDataEmph 3 8 2" xfId="10028"/>
    <cellStyle name="SAPBEXstdDataEmph 3 9" xfId="10029"/>
    <cellStyle name="SAPBEXstdDataEmph 4" xfId="10030"/>
    <cellStyle name="SAPBEXstdDataEmph 4 2" xfId="10031"/>
    <cellStyle name="SAPBEXstdDataEmph 4 2 2" xfId="10032"/>
    <cellStyle name="SAPBEXstdDataEmph 4 2 2 2" xfId="10033"/>
    <cellStyle name="SAPBEXstdDataEmph 4 2 3" xfId="10034"/>
    <cellStyle name="SAPBEXstdDataEmph 4 2 3 2" xfId="10035"/>
    <cellStyle name="SAPBEXstdDataEmph 4 2 4" xfId="10036"/>
    <cellStyle name="SAPBEXstdDataEmph 4 2 4 2" xfId="10037"/>
    <cellStyle name="SAPBEXstdDataEmph 4 2 5" xfId="10038"/>
    <cellStyle name="SAPBEXstdDataEmph 4 3" xfId="10039"/>
    <cellStyle name="SAPBEXstdDataEmph 4 3 2" xfId="10040"/>
    <cellStyle name="SAPBEXstdDataEmph 4 4" xfId="10041"/>
    <cellStyle name="SAPBEXstdDataEmph 4 4 2" xfId="10042"/>
    <cellStyle name="SAPBEXstdDataEmph 4 5" xfId="10043"/>
    <cellStyle name="SAPBEXstdDataEmph 4 5 2" xfId="10044"/>
    <cellStyle name="SAPBEXstdDataEmph 4 6" xfId="10045"/>
    <cellStyle name="SAPBEXstdDataEmph 5" xfId="10046"/>
    <cellStyle name="SAPBEXstdDataEmph 5 2" xfId="10047"/>
    <cellStyle name="SAPBEXstdDataEmph 5 2 2" xfId="10048"/>
    <cellStyle name="SAPBEXstdDataEmph 5 2 2 2" xfId="10049"/>
    <cellStyle name="SAPBEXstdDataEmph 5 2 3" xfId="10050"/>
    <cellStyle name="SAPBEXstdDataEmph 5 2 3 2" xfId="10051"/>
    <cellStyle name="SAPBEXstdDataEmph 5 2 4" xfId="10052"/>
    <cellStyle name="SAPBEXstdDataEmph 5 2 4 2" xfId="10053"/>
    <cellStyle name="SAPBEXstdDataEmph 5 2 5" xfId="10054"/>
    <cellStyle name="SAPBEXstdDataEmph 5 3" xfId="10055"/>
    <cellStyle name="SAPBEXstdDataEmph 5 3 2" xfId="10056"/>
    <cellStyle name="SAPBEXstdDataEmph 5 4" xfId="10057"/>
    <cellStyle name="SAPBEXstdDataEmph 5 4 2" xfId="10058"/>
    <cellStyle name="SAPBEXstdDataEmph 5 5" xfId="10059"/>
    <cellStyle name="SAPBEXstdDataEmph 5 5 2" xfId="10060"/>
    <cellStyle name="SAPBEXstdDataEmph 5 6" xfId="10061"/>
    <cellStyle name="SAPBEXstdDataEmph 6" xfId="10062"/>
    <cellStyle name="SAPBEXstdDataEmph 6 2" xfId="10063"/>
    <cellStyle name="SAPBEXstdDataEmph 6 2 2" xfId="10064"/>
    <cellStyle name="SAPBEXstdDataEmph 6 3" xfId="10065"/>
    <cellStyle name="SAPBEXstdDataEmph 6 3 2" xfId="10066"/>
    <cellStyle name="SAPBEXstdDataEmph 6 4" xfId="10067"/>
    <cellStyle name="SAPBEXstdDataEmph 6 4 2" xfId="10068"/>
    <cellStyle name="SAPBEXstdDataEmph 6 5" xfId="10069"/>
    <cellStyle name="SAPBEXstdDataEmph 7" xfId="10070"/>
    <cellStyle name="SAPBEXstdDataEmph 7 2" xfId="10071"/>
    <cellStyle name="SAPBEXstdDataEmph 8" xfId="10072"/>
    <cellStyle name="SAPBEXstdDataEmph 8 2" xfId="10073"/>
    <cellStyle name="SAPBEXstdDataEmph 9" xfId="10074"/>
    <cellStyle name="SAPBEXstdDataEmph 9 2" xfId="10075"/>
    <cellStyle name="SAPBEXstdItem" xfId="10076"/>
    <cellStyle name="SAPBEXstdItem 10" xfId="10077"/>
    <cellStyle name="SAPBEXstdItem 2" xfId="10078"/>
    <cellStyle name="SAPBEXstdItem 2 2" xfId="10079"/>
    <cellStyle name="SAPBEXstdItem 2 2 2" xfId="10080"/>
    <cellStyle name="SAPBEXstdItem 2 2 2 2" xfId="10081"/>
    <cellStyle name="SAPBEXstdItem 2 2 2 2 2" xfId="10082"/>
    <cellStyle name="SAPBEXstdItem 2 2 2 2 2 2" xfId="10083"/>
    <cellStyle name="SAPBEXstdItem 2 2 2 2 3" xfId="10084"/>
    <cellStyle name="SAPBEXstdItem 2 2 2 2 3 2" xfId="10085"/>
    <cellStyle name="SAPBEXstdItem 2 2 2 2 4" xfId="10086"/>
    <cellStyle name="SAPBEXstdItem 2 2 2 2 4 2" xfId="10087"/>
    <cellStyle name="SAPBEXstdItem 2 2 2 2 5" xfId="10088"/>
    <cellStyle name="SAPBEXstdItem 2 2 2 3" xfId="10089"/>
    <cellStyle name="SAPBEXstdItem 2 2 2 3 2" xfId="10090"/>
    <cellStyle name="SAPBEXstdItem 2 2 2 4" xfId="10091"/>
    <cellStyle name="SAPBEXstdItem 2 2 2 4 2" xfId="10092"/>
    <cellStyle name="SAPBEXstdItem 2 2 2 5" xfId="10093"/>
    <cellStyle name="SAPBEXstdItem 2 2 2 5 2" xfId="10094"/>
    <cellStyle name="SAPBEXstdItem 2 2 2 6" xfId="10095"/>
    <cellStyle name="SAPBEXstdItem 2 2 3" xfId="10096"/>
    <cellStyle name="SAPBEXstdItem 2 2 3 2" xfId="10097"/>
    <cellStyle name="SAPBEXstdItem 2 2 3 2 2" xfId="10098"/>
    <cellStyle name="SAPBEXstdItem 2 2 3 2 2 2" xfId="10099"/>
    <cellStyle name="SAPBEXstdItem 2 2 3 2 3" xfId="10100"/>
    <cellStyle name="SAPBEXstdItem 2 2 3 2 3 2" xfId="10101"/>
    <cellStyle name="SAPBEXstdItem 2 2 3 2 4" xfId="10102"/>
    <cellStyle name="SAPBEXstdItem 2 2 3 2 4 2" xfId="10103"/>
    <cellStyle name="SAPBEXstdItem 2 2 3 2 5" xfId="10104"/>
    <cellStyle name="SAPBEXstdItem 2 2 3 3" xfId="10105"/>
    <cellStyle name="SAPBEXstdItem 2 2 3 3 2" xfId="10106"/>
    <cellStyle name="SAPBEXstdItem 2 2 3 4" xfId="10107"/>
    <cellStyle name="SAPBEXstdItem 2 2 3 4 2" xfId="10108"/>
    <cellStyle name="SAPBEXstdItem 2 2 3 5" xfId="10109"/>
    <cellStyle name="SAPBEXstdItem 2 2 3 5 2" xfId="10110"/>
    <cellStyle name="SAPBEXstdItem 2 2 3 6" xfId="10111"/>
    <cellStyle name="SAPBEXstdItem 2 2 4" xfId="10112"/>
    <cellStyle name="SAPBEXstdItem 2 2 4 2" xfId="10113"/>
    <cellStyle name="SAPBEXstdItem 2 2 4 2 2" xfId="10114"/>
    <cellStyle name="SAPBEXstdItem 2 2 4 3" xfId="10115"/>
    <cellStyle name="SAPBEXstdItem 2 2 4 3 2" xfId="10116"/>
    <cellStyle name="SAPBEXstdItem 2 2 4 4" xfId="10117"/>
    <cellStyle name="SAPBEXstdItem 2 2 4 4 2" xfId="10118"/>
    <cellStyle name="SAPBEXstdItem 2 2 4 5" xfId="10119"/>
    <cellStyle name="SAPBEXstdItem 2 2 5" xfId="10120"/>
    <cellStyle name="SAPBEXstdItem 2 2 5 2" xfId="10121"/>
    <cellStyle name="SAPBEXstdItem 2 2 6" xfId="10122"/>
    <cellStyle name="SAPBEXstdItem 2 2 6 2" xfId="10123"/>
    <cellStyle name="SAPBEXstdItem 2 2 7" xfId="10124"/>
    <cellStyle name="SAPBEXstdItem 2 2 7 2" xfId="10125"/>
    <cellStyle name="SAPBEXstdItem 2 2 8" xfId="10126"/>
    <cellStyle name="SAPBEXstdItem 2 2 8 2" xfId="10127"/>
    <cellStyle name="SAPBEXstdItem 2 2 9" xfId="10128"/>
    <cellStyle name="SAPBEXstdItem 2 3" xfId="10129"/>
    <cellStyle name="SAPBEXstdItem 2 3 2" xfId="10130"/>
    <cellStyle name="SAPBEXstdItem 2 3 2 2" xfId="10131"/>
    <cellStyle name="SAPBEXstdItem 2 3 2 2 2" xfId="10132"/>
    <cellStyle name="SAPBEXstdItem 2 3 2 3" xfId="10133"/>
    <cellStyle name="SAPBEXstdItem 2 3 2 3 2" xfId="10134"/>
    <cellStyle name="SAPBEXstdItem 2 3 2 4" xfId="10135"/>
    <cellStyle name="SAPBEXstdItem 2 3 2 4 2" xfId="10136"/>
    <cellStyle name="SAPBEXstdItem 2 3 2 5" xfId="10137"/>
    <cellStyle name="SAPBEXstdItem 2 3 3" xfId="10138"/>
    <cellStyle name="SAPBEXstdItem 2 3 3 2" xfId="10139"/>
    <cellStyle name="SAPBEXstdItem 2 3 4" xfId="10140"/>
    <cellStyle name="SAPBEXstdItem 2 3 4 2" xfId="10141"/>
    <cellStyle name="SAPBEXstdItem 2 3 5" xfId="10142"/>
    <cellStyle name="SAPBEXstdItem 2 3 5 2" xfId="10143"/>
    <cellStyle name="SAPBEXstdItem 2 3 6" xfId="10144"/>
    <cellStyle name="SAPBEXstdItem 2 4" xfId="10145"/>
    <cellStyle name="SAPBEXstdItem 2 4 2" xfId="10146"/>
    <cellStyle name="SAPBEXstdItem 2 4 2 2" xfId="10147"/>
    <cellStyle name="SAPBEXstdItem 2 4 2 2 2" xfId="10148"/>
    <cellStyle name="SAPBEXstdItem 2 4 2 3" xfId="10149"/>
    <cellStyle name="SAPBEXstdItem 2 4 2 3 2" xfId="10150"/>
    <cellStyle name="SAPBEXstdItem 2 4 2 4" xfId="10151"/>
    <cellStyle name="SAPBEXstdItem 2 4 2 4 2" xfId="10152"/>
    <cellStyle name="SAPBEXstdItem 2 4 2 5" xfId="10153"/>
    <cellStyle name="SAPBEXstdItem 2 4 3" xfId="10154"/>
    <cellStyle name="SAPBEXstdItem 2 4 3 2" xfId="10155"/>
    <cellStyle name="SAPBEXstdItem 2 4 4" xfId="10156"/>
    <cellStyle name="SAPBEXstdItem 2 4 4 2" xfId="10157"/>
    <cellStyle name="SAPBEXstdItem 2 4 5" xfId="10158"/>
    <cellStyle name="SAPBEXstdItem 2 4 5 2" xfId="10159"/>
    <cellStyle name="SAPBEXstdItem 2 4 6" xfId="10160"/>
    <cellStyle name="SAPBEXstdItem 2 5" xfId="10161"/>
    <cellStyle name="SAPBEXstdItem 2 5 2" xfId="10162"/>
    <cellStyle name="SAPBEXstdItem 2 5 2 2" xfId="10163"/>
    <cellStyle name="SAPBEXstdItem 2 5 3" xfId="10164"/>
    <cellStyle name="SAPBEXstdItem 2 5 3 2" xfId="10165"/>
    <cellStyle name="SAPBEXstdItem 2 5 4" xfId="10166"/>
    <cellStyle name="SAPBEXstdItem 2 5 4 2" xfId="10167"/>
    <cellStyle name="SAPBEXstdItem 2 5 5" xfId="10168"/>
    <cellStyle name="SAPBEXstdItem 2 6" xfId="10169"/>
    <cellStyle name="SAPBEXstdItem 2 6 2" xfId="10170"/>
    <cellStyle name="SAPBEXstdItem 2 7" xfId="10171"/>
    <cellStyle name="SAPBEXstdItem 2 7 2" xfId="10172"/>
    <cellStyle name="SAPBEXstdItem 2 8" xfId="10173"/>
    <cellStyle name="SAPBEXstdItem 2 8 2" xfId="10174"/>
    <cellStyle name="SAPBEXstdItem 2 9" xfId="10175"/>
    <cellStyle name="SAPBEXstdItem 3" xfId="10176"/>
    <cellStyle name="SAPBEXstdItem 3 2" xfId="10177"/>
    <cellStyle name="SAPBEXstdItem 3 2 2" xfId="10178"/>
    <cellStyle name="SAPBEXstdItem 3 2 2 2" xfId="10179"/>
    <cellStyle name="SAPBEXstdItem 3 2 2 2 2" xfId="10180"/>
    <cellStyle name="SAPBEXstdItem 3 2 2 3" xfId="10181"/>
    <cellStyle name="SAPBEXstdItem 3 2 2 3 2" xfId="10182"/>
    <cellStyle name="SAPBEXstdItem 3 2 2 4" xfId="10183"/>
    <cellStyle name="SAPBEXstdItem 3 2 2 4 2" xfId="10184"/>
    <cellStyle name="SAPBEXstdItem 3 2 2 5" xfId="10185"/>
    <cellStyle name="SAPBEXstdItem 3 2 3" xfId="10186"/>
    <cellStyle name="SAPBEXstdItem 3 2 3 2" xfId="10187"/>
    <cellStyle name="SAPBEXstdItem 3 2 4" xfId="10188"/>
    <cellStyle name="SAPBEXstdItem 3 2 4 2" xfId="10189"/>
    <cellStyle name="SAPBEXstdItem 3 2 5" xfId="10190"/>
    <cellStyle name="SAPBEXstdItem 3 2 5 2" xfId="10191"/>
    <cellStyle name="SAPBEXstdItem 3 2 6" xfId="10192"/>
    <cellStyle name="SAPBEXstdItem 3 3" xfId="10193"/>
    <cellStyle name="SAPBEXstdItem 3 3 2" xfId="10194"/>
    <cellStyle name="SAPBEXstdItem 3 3 2 2" xfId="10195"/>
    <cellStyle name="SAPBEXstdItem 3 3 2 2 2" xfId="10196"/>
    <cellStyle name="SAPBEXstdItem 3 3 2 3" xfId="10197"/>
    <cellStyle name="SAPBEXstdItem 3 3 2 3 2" xfId="10198"/>
    <cellStyle name="SAPBEXstdItem 3 3 2 4" xfId="10199"/>
    <cellStyle name="SAPBEXstdItem 3 3 2 4 2" xfId="10200"/>
    <cellStyle name="SAPBEXstdItem 3 3 2 5" xfId="10201"/>
    <cellStyle name="SAPBEXstdItem 3 3 3" xfId="10202"/>
    <cellStyle name="SAPBEXstdItem 3 3 3 2" xfId="10203"/>
    <cellStyle name="SAPBEXstdItem 3 3 4" xfId="10204"/>
    <cellStyle name="SAPBEXstdItem 3 3 4 2" xfId="10205"/>
    <cellStyle name="SAPBEXstdItem 3 3 5" xfId="10206"/>
    <cellStyle name="SAPBEXstdItem 3 3 5 2" xfId="10207"/>
    <cellStyle name="SAPBEXstdItem 3 3 6" xfId="10208"/>
    <cellStyle name="SAPBEXstdItem 3 4" xfId="10209"/>
    <cellStyle name="SAPBEXstdItem 3 4 2" xfId="10210"/>
    <cellStyle name="SAPBEXstdItem 3 4 2 2" xfId="10211"/>
    <cellStyle name="SAPBEXstdItem 3 4 3" xfId="10212"/>
    <cellStyle name="SAPBEXstdItem 3 4 3 2" xfId="10213"/>
    <cellStyle name="SAPBEXstdItem 3 4 4" xfId="10214"/>
    <cellStyle name="SAPBEXstdItem 3 4 4 2" xfId="10215"/>
    <cellStyle name="SAPBEXstdItem 3 4 5" xfId="10216"/>
    <cellStyle name="SAPBEXstdItem 3 5" xfId="10217"/>
    <cellStyle name="SAPBEXstdItem 3 5 2" xfId="10218"/>
    <cellStyle name="SAPBEXstdItem 3 6" xfId="10219"/>
    <cellStyle name="SAPBEXstdItem 3 6 2" xfId="10220"/>
    <cellStyle name="SAPBEXstdItem 3 7" xfId="10221"/>
    <cellStyle name="SAPBEXstdItem 3 7 2" xfId="10222"/>
    <cellStyle name="SAPBEXstdItem 3 8" xfId="10223"/>
    <cellStyle name="SAPBEXstdItem 3 8 2" xfId="10224"/>
    <cellStyle name="SAPBEXstdItem 3 9" xfId="10225"/>
    <cellStyle name="SAPBEXstdItem 4" xfId="10226"/>
    <cellStyle name="SAPBEXstdItem 4 2" xfId="10227"/>
    <cellStyle name="SAPBEXstdItem 4 2 2" xfId="10228"/>
    <cellStyle name="SAPBEXstdItem 4 2 2 2" xfId="10229"/>
    <cellStyle name="SAPBEXstdItem 4 2 3" xfId="10230"/>
    <cellStyle name="SAPBEXstdItem 4 2 3 2" xfId="10231"/>
    <cellStyle name="SAPBEXstdItem 4 2 4" xfId="10232"/>
    <cellStyle name="SAPBEXstdItem 4 2 4 2" xfId="10233"/>
    <cellStyle name="SAPBEXstdItem 4 2 5" xfId="10234"/>
    <cellStyle name="SAPBEXstdItem 4 3" xfId="10235"/>
    <cellStyle name="SAPBEXstdItem 4 3 2" xfId="10236"/>
    <cellStyle name="SAPBEXstdItem 4 4" xfId="10237"/>
    <cellStyle name="SAPBEXstdItem 4 4 2" xfId="10238"/>
    <cellStyle name="SAPBEXstdItem 4 5" xfId="10239"/>
    <cellStyle name="SAPBEXstdItem 4 5 2" xfId="10240"/>
    <cellStyle name="SAPBEXstdItem 4 6" xfId="10241"/>
    <cellStyle name="SAPBEXstdItem 5" xfId="10242"/>
    <cellStyle name="SAPBEXstdItem 5 2" xfId="10243"/>
    <cellStyle name="SAPBEXstdItem 5 2 2" xfId="10244"/>
    <cellStyle name="SAPBEXstdItem 5 2 2 2" xfId="10245"/>
    <cellStyle name="SAPBEXstdItem 5 2 3" xfId="10246"/>
    <cellStyle name="SAPBEXstdItem 5 2 3 2" xfId="10247"/>
    <cellStyle name="SAPBEXstdItem 5 2 4" xfId="10248"/>
    <cellStyle name="SAPBEXstdItem 5 2 4 2" xfId="10249"/>
    <cellStyle name="SAPBEXstdItem 5 2 5" xfId="10250"/>
    <cellStyle name="SAPBEXstdItem 5 3" xfId="10251"/>
    <cellStyle name="SAPBEXstdItem 5 3 2" xfId="10252"/>
    <cellStyle name="SAPBEXstdItem 5 4" xfId="10253"/>
    <cellStyle name="SAPBEXstdItem 5 4 2" xfId="10254"/>
    <cellStyle name="SAPBEXstdItem 5 5" xfId="10255"/>
    <cellStyle name="SAPBEXstdItem 5 5 2" xfId="10256"/>
    <cellStyle name="SAPBEXstdItem 5 6" xfId="10257"/>
    <cellStyle name="SAPBEXstdItem 6" xfId="10258"/>
    <cellStyle name="SAPBEXstdItem 6 2" xfId="10259"/>
    <cellStyle name="SAPBEXstdItem 6 2 2" xfId="10260"/>
    <cellStyle name="SAPBEXstdItem 6 3" xfId="10261"/>
    <cellStyle name="SAPBEXstdItem 6 3 2" xfId="10262"/>
    <cellStyle name="SAPBEXstdItem 6 4" xfId="10263"/>
    <cellStyle name="SAPBEXstdItem 6 4 2" xfId="10264"/>
    <cellStyle name="SAPBEXstdItem 6 5" xfId="10265"/>
    <cellStyle name="SAPBEXstdItem 7" xfId="10266"/>
    <cellStyle name="SAPBEXstdItem 7 2" xfId="10267"/>
    <cellStyle name="SAPBEXstdItem 8" xfId="10268"/>
    <cellStyle name="SAPBEXstdItem 8 2" xfId="10269"/>
    <cellStyle name="SAPBEXstdItem 9" xfId="10270"/>
    <cellStyle name="SAPBEXstdItem 9 2" xfId="10271"/>
    <cellStyle name="SAPBEXstdItemX" xfId="10272"/>
    <cellStyle name="SAPBEXstdItemX 10" xfId="10273"/>
    <cellStyle name="SAPBEXstdItemX 2" xfId="10274"/>
    <cellStyle name="SAPBEXstdItemX 2 2" xfId="10275"/>
    <cellStyle name="SAPBEXstdItemX 2 2 2" xfId="10276"/>
    <cellStyle name="SAPBEXstdItemX 2 2 2 2" xfId="10277"/>
    <cellStyle name="SAPBEXstdItemX 2 2 2 2 2" xfId="10278"/>
    <cellStyle name="SAPBEXstdItemX 2 2 2 2 2 2" xfId="10279"/>
    <cellStyle name="SAPBEXstdItemX 2 2 2 2 3" xfId="10280"/>
    <cellStyle name="SAPBEXstdItemX 2 2 2 2 3 2" xfId="10281"/>
    <cellStyle name="SAPBEXstdItemX 2 2 2 2 4" xfId="10282"/>
    <cellStyle name="SAPBEXstdItemX 2 2 2 2 4 2" xfId="10283"/>
    <cellStyle name="SAPBEXstdItemX 2 2 2 2 5" xfId="10284"/>
    <cellStyle name="SAPBEXstdItemX 2 2 2 3" xfId="10285"/>
    <cellStyle name="SAPBEXstdItemX 2 2 2 3 2" xfId="10286"/>
    <cellStyle name="SAPBEXstdItemX 2 2 2 4" xfId="10287"/>
    <cellStyle name="SAPBEXstdItemX 2 2 2 4 2" xfId="10288"/>
    <cellStyle name="SAPBEXstdItemX 2 2 2 5" xfId="10289"/>
    <cellStyle name="SAPBEXstdItemX 2 2 2 5 2" xfId="10290"/>
    <cellStyle name="SAPBEXstdItemX 2 2 2 6" xfId="10291"/>
    <cellStyle name="SAPBEXstdItemX 2 2 3" xfId="10292"/>
    <cellStyle name="SAPBEXstdItemX 2 2 3 2" xfId="10293"/>
    <cellStyle name="SAPBEXstdItemX 2 2 3 2 2" xfId="10294"/>
    <cellStyle name="SAPBEXstdItemX 2 2 3 2 2 2" xfId="10295"/>
    <cellStyle name="SAPBEXstdItemX 2 2 3 2 3" xfId="10296"/>
    <cellStyle name="SAPBEXstdItemX 2 2 3 2 3 2" xfId="10297"/>
    <cellStyle name="SAPBEXstdItemX 2 2 3 2 4" xfId="10298"/>
    <cellStyle name="SAPBEXstdItemX 2 2 3 2 4 2" xfId="10299"/>
    <cellStyle name="SAPBEXstdItemX 2 2 3 2 5" xfId="10300"/>
    <cellStyle name="SAPBEXstdItemX 2 2 3 3" xfId="10301"/>
    <cellStyle name="SAPBEXstdItemX 2 2 3 3 2" xfId="10302"/>
    <cellStyle name="SAPBEXstdItemX 2 2 3 4" xfId="10303"/>
    <cellStyle name="SAPBEXstdItemX 2 2 3 4 2" xfId="10304"/>
    <cellStyle name="SAPBEXstdItemX 2 2 3 5" xfId="10305"/>
    <cellStyle name="SAPBEXstdItemX 2 2 3 5 2" xfId="10306"/>
    <cellStyle name="SAPBEXstdItemX 2 2 3 6" xfId="10307"/>
    <cellStyle name="SAPBEXstdItemX 2 2 4" xfId="10308"/>
    <cellStyle name="SAPBEXstdItemX 2 2 4 2" xfId="10309"/>
    <cellStyle name="SAPBEXstdItemX 2 2 4 2 2" xfId="10310"/>
    <cellStyle name="SAPBEXstdItemX 2 2 4 3" xfId="10311"/>
    <cellStyle name="SAPBEXstdItemX 2 2 4 3 2" xfId="10312"/>
    <cellStyle name="SAPBEXstdItemX 2 2 4 4" xfId="10313"/>
    <cellStyle name="SAPBEXstdItemX 2 2 4 4 2" xfId="10314"/>
    <cellStyle name="SAPBEXstdItemX 2 2 4 5" xfId="10315"/>
    <cellStyle name="SAPBEXstdItemX 2 2 5" xfId="10316"/>
    <cellStyle name="SAPBEXstdItemX 2 2 5 2" xfId="10317"/>
    <cellStyle name="SAPBEXstdItemX 2 2 6" xfId="10318"/>
    <cellStyle name="SAPBEXstdItemX 2 2 6 2" xfId="10319"/>
    <cellStyle name="SAPBEXstdItemX 2 2 7" xfId="10320"/>
    <cellStyle name="SAPBEXstdItemX 2 2 7 2" xfId="10321"/>
    <cellStyle name="SAPBEXstdItemX 2 2 8" xfId="10322"/>
    <cellStyle name="SAPBEXstdItemX 2 2 8 2" xfId="10323"/>
    <cellStyle name="SAPBEXstdItemX 2 2 9" xfId="10324"/>
    <cellStyle name="SAPBEXstdItemX 2 3" xfId="10325"/>
    <cellStyle name="SAPBEXstdItemX 2 3 2" xfId="10326"/>
    <cellStyle name="SAPBEXstdItemX 2 3 2 2" xfId="10327"/>
    <cellStyle name="SAPBEXstdItemX 2 3 2 2 2" xfId="10328"/>
    <cellStyle name="SAPBEXstdItemX 2 3 2 3" xfId="10329"/>
    <cellStyle name="SAPBEXstdItemX 2 3 2 3 2" xfId="10330"/>
    <cellStyle name="SAPBEXstdItemX 2 3 2 4" xfId="10331"/>
    <cellStyle name="SAPBEXstdItemX 2 3 2 4 2" xfId="10332"/>
    <cellStyle name="SAPBEXstdItemX 2 3 2 5" xfId="10333"/>
    <cellStyle name="SAPBEXstdItemX 2 3 3" xfId="10334"/>
    <cellStyle name="SAPBEXstdItemX 2 3 3 2" xfId="10335"/>
    <cellStyle name="SAPBEXstdItemX 2 3 4" xfId="10336"/>
    <cellStyle name="SAPBEXstdItemX 2 3 4 2" xfId="10337"/>
    <cellStyle name="SAPBEXstdItemX 2 3 5" xfId="10338"/>
    <cellStyle name="SAPBEXstdItemX 2 3 5 2" xfId="10339"/>
    <cellStyle name="SAPBEXstdItemX 2 3 6" xfId="10340"/>
    <cellStyle name="SAPBEXstdItemX 2 4" xfId="10341"/>
    <cellStyle name="SAPBEXstdItemX 2 4 2" xfId="10342"/>
    <cellStyle name="SAPBEXstdItemX 2 4 2 2" xfId="10343"/>
    <cellStyle name="SAPBEXstdItemX 2 4 2 2 2" xfId="10344"/>
    <cellStyle name="SAPBEXstdItemX 2 4 2 3" xfId="10345"/>
    <cellStyle name="SAPBEXstdItemX 2 4 2 3 2" xfId="10346"/>
    <cellStyle name="SAPBEXstdItemX 2 4 2 4" xfId="10347"/>
    <cellStyle name="SAPBEXstdItemX 2 4 2 4 2" xfId="10348"/>
    <cellStyle name="SAPBEXstdItemX 2 4 2 5" xfId="10349"/>
    <cellStyle name="SAPBEXstdItemX 2 4 3" xfId="10350"/>
    <cellStyle name="SAPBEXstdItemX 2 4 3 2" xfId="10351"/>
    <cellStyle name="SAPBEXstdItemX 2 4 4" xfId="10352"/>
    <cellStyle name="SAPBEXstdItemX 2 4 4 2" xfId="10353"/>
    <cellStyle name="SAPBEXstdItemX 2 4 5" xfId="10354"/>
    <cellStyle name="SAPBEXstdItemX 2 4 5 2" xfId="10355"/>
    <cellStyle name="SAPBEXstdItemX 2 4 6" xfId="10356"/>
    <cellStyle name="SAPBEXstdItemX 2 5" xfId="10357"/>
    <cellStyle name="SAPBEXstdItemX 2 5 2" xfId="10358"/>
    <cellStyle name="SAPBEXstdItemX 2 5 2 2" xfId="10359"/>
    <cellStyle name="SAPBEXstdItemX 2 5 3" xfId="10360"/>
    <cellStyle name="SAPBEXstdItemX 2 5 3 2" xfId="10361"/>
    <cellStyle name="SAPBEXstdItemX 2 5 4" xfId="10362"/>
    <cellStyle name="SAPBEXstdItemX 2 5 4 2" xfId="10363"/>
    <cellStyle name="SAPBEXstdItemX 2 5 5" xfId="10364"/>
    <cellStyle name="SAPBEXstdItemX 2 6" xfId="10365"/>
    <cellStyle name="SAPBEXstdItemX 2 6 2" xfId="10366"/>
    <cellStyle name="SAPBEXstdItemX 2 7" xfId="10367"/>
    <cellStyle name="SAPBEXstdItemX 2 7 2" xfId="10368"/>
    <cellStyle name="SAPBEXstdItemX 2 8" xfId="10369"/>
    <cellStyle name="SAPBEXstdItemX 2 8 2" xfId="10370"/>
    <cellStyle name="SAPBEXstdItemX 2 9" xfId="10371"/>
    <cellStyle name="SAPBEXstdItemX 3" xfId="10372"/>
    <cellStyle name="SAPBEXstdItemX 3 2" xfId="10373"/>
    <cellStyle name="SAPBEXstdItemX 3 2 2" xfId="10374"/>
    <cellStyle name="SAPBEXstdItemX 3 2 2 2" xfId="10375"/>
    <cellStyle name="SAPBEXstdItemX 3 2 2 2 2" xfId="10376"/>
    <cellStyle name="SAPBEXstdItemX 3 2 2 3" xfId="10377"/>
    <cellStyle name="SAPBEXstdItemX 3 2 2 3 2" xfId="10378"/>
    <cellStyle name="SAPBEXstdItemX 3 2 2 4" xfId="10379"/>
    <cellStyle name="SAPBEXstdItemX 3 2 2 4 2" xfId="10380"/>
    <cellStyle name="SAPBEXstdItemX 3 2 2 5" xfId="10381"/>
    <cellStyle name="SAPBEXstdItemX 3 2 3" xfId="10382"/>
    <cellStyle name="SAPBEXstdItemX 3 2 3 2" xfId="10383"/>
    <cellStyle name="SAPBEXstdItemX 3 2 4" xfId="10384"/>
    <cellStyle name="SAPBEXstdItemX 3 2 4 2" xfId="10385"/>
    <cellStyle name="SAPBEXstdItemX 3 2 5" xfId="10386"/>
    <cellStyle name="SAPBEXstdItemX 3 2 5 2" xfId="10387"/>
    <cellStyle name="SAPBEXstdItemX 3 2 6" xfId="10388"/>
    <cellStyle name="SAPBEXstdItemX 3 3" xfId="10389"/>
    <cellStyle name="SAPBEXstdItemX 3 3 2" xfId="10390"/>
    <cellStyle name="SAPBEXstdItemX 3 3 2 2" xfId="10391"/>
    <cellStyle name="SAPBEXstdItemX 3 3 2 2 2" xfId="10392"/>
    <cellStyle name="SAPBEXstdItemX 3 3 2 3" xfId="10393"/>
    <cellStyle name="SAPBEXstdItemX 3 3 2 3 2" xfId="10394"/>
    <cellStyle name="SAPBEXstdItemX 3 3 2 4" xfId="10395"/>
    <cellStyle name="SAPBEXstdItemX 3 3 2 4 2" xfId="10396"/>
    <cellStyle name="SAPBEXstdItemX 3 3 2 5" xfId="10397"/>
    <cellStyle name="SAPBEXstdItemX 3 3 3" xfId="10398"/>
    <cellStyle name="SAPBEXstdItemX 3 3 3 2" xfId="10399"/>
    <cellStyle name="SAPBEXstdItemX 3 3 4" xfId="10400"/>
    <cellStyle name="SAPBEXstdItemX 3 3 4 2" xfId="10401"/>
    <cellStyle name="SAPBEXstdItemX 3 3 5" xfId="10402"/>
    <cellStyle name="SAPBEXstdItemX 3 3 5 2" xfId="10403"/>
    <cellStyle name="SAPBEXstdItemX 3 3 6" xfId="10404"/>
    <cellStyle name="SAPBEXstdItemX 3 4" xfId="10405"/>
    <cellStyle name="SAPBEXstdItemX 3 4 2" xfId="10406"/>
    <cellStyle name="SAPBEXstdItemX 3 4 2 2" xfId="10407"/>
    <cellStyle name="SAPBEXstdItemX 3 4 3" xfId="10408"/>
    <cellStyle name="SAPBEXstdItemX 3 4 3 2" xfId="10409"/>
    <cellStyle name="SAPBEXstdItemX 3 4 4" xfId="10410"/>
    <cellStyle name="SAPBEXstdItemX 3 4 4 2" xfId="10411"/>
    <cellStyle name="SAPBEXstdItemX 3 4 5" xfId="10412"/>
    <cellStyle name="SAPBEXstdItemX 3 5" xfId="10413"/>
    <cellStyle name="SAPBEXstdItemX 3 5 2" xfId="10414"/>
    <cellStyle name="SAPBEXstdItemX 3 6" xfId="10415"/>
    <cellStyle name="SAPBEXstdItemX 3 6 2" xfId="10416"/>
    <cellStyle name="SAPBEXstdItemX 3 7" xfId="10417"/>
    <cellStyle name="SAPBEXstdItemX 3 7 2" xfId="10418"/>
    <cellStyle name="SAPBEXstdItemX 3 8" xfId="10419"/>
    <cellStyle name="SAPBEXstdItemX 3 8 2" xfId="10420"/>
    <cellStyle name="SAPBEXstdItemX 3 9" xfId="10421"/>
    <cellStyle name="SAPBEXstdItemX 4" xfId="10422"/>
    <cellStyle name="SAPBEXstdItemX 4 2" xfId="10423"/>
    <cellStyle name="SAPBEXstdItemX 4 2 2" xfId="10424"/>
    <cellStyle name="SAPBEXstdItemX 4 2 2 2" xfId="10425"/>
    <cellStyle name="SAPBEXstdItemX 4 2 3" xfId="10426"/>
    <cellStyle name="SAPBEXstdItemX 4 2 3 2" xfId="10427"/>
    <cellStyle name="SAPBEXstdItemX 4 2 4" xfId="10428"/>
    <cellStyle name="SAPBEXstdItemX 4 2 4 2" xfId="10429"/>
    <cellStyle name="SAPBEXstdItemX 4 2 5" xfId="10430"/>
    <cellStyle name="SAPBEXstdItemX 4 3" xfId="10431"/>
    <cellStyle name="SAPBEXstdItemX 4 3 2" xfId="10432"/>
    <cellStyle name="SAPBEXstdItemX 4 4" xfId="10433"/>
    <cellStyle name="SAPBEXstdItemX 4 4 2" xfId="10434"/>
    <cellStyle name="SAPBEXstdItemX 4 5" xfId="10435"/>
    <cellStyle name="SAPBEXstdItemX 4 5 2" xfId="10436"/>
    <cellStyle name="SAPBEXstdItemX 4 6" xfId="10437"/>
    <cellStyle name="SAPBEXstdItemX 5" xfId="10438"/>
    <cellStyle name="SAPBEXstdItemX 5 2" xfId="10439"/>
    <cellStyle name="SAPBEXstdItemX 5 2 2" xfId="10440"/>
    <cellStyle name="SAPBEXstdItemX 5 2 2 2" xfId="10441"/>
    <cellStyle name="SAPBEXstdItemX 5 2 3" xfId="10442"/>
    <cellStyle name="SAPBEXstdItemX 5 2 3 2" xfId="10443"/>
    <cellStyle name="SAPBEXstdItemX 5 2 4" xfId="10444"/>
    <cellStyle name="SAPBEXstdItemX 5 2 4 2" xfId="10445"/>
    <cellStyle name="SAPBEXstdItemX 5 2 5" xfId="10446"/>
    <cellStyle name="SAPBEXstdItemX 5 3" xfId="10447"/>
    <cellStyle name="SAPBEXstdItemX 5 3 2" xfId="10448"/>
    <cellStyle name="SAPBEXstdItemX 5 4" xfId="10449"/>
    <cellStyle name="SAPBEXstdItemX 5 4 2" xfId="10450"/>
    <cellStyle name="SAPBEXstdItemX 5 5" xfId="10451"/>
    <cellStyle name="SAPBEXstdItemX 5 5 2" xfId="10452"/>
    <cellStyle name="SAPBEXstdItemX 5 6" xfId="10453"/>
    <cellStyle name="SAPBEXstdItemX 6" xfId="10454"/>
    <cellStyle name="SAPBEXstdItemX 6 2" xfId="10455"/>
    <cellStyle name="SAPBEXstdItemX 6 2 2" xfId="10456"/>
    <cellStyle name="SAPBEXstdItemX 6 3" xfId="10457"/>
    <cellStyle name="SAPBEXstdItemX 6 3 2" xfId="10458"/>
    <cellStyle name="SAPBEXstdItemX 6 4" xfId="10459"/>
    <cellStyle name="SAPBEXstdItemX 6 4 2" xfId="10460"/>
    <cellStyle name="SAPBEXstdItemX 6 5" xfId="10461"/>
    <cellStyle name="SAPBEXstdItemX 7" xfId="10462"/>
    <cellStyle name="SAPBEXstdItemX 7 2" xfId="10463"/>
    <cellStyle name="SAPBEXstdItemX 8" xfId="10464"/>
    <cellStyle name="SAPBEXstdItemX 8 2" xfId="10465"/>
    <cellStyle name="SAPBEXstdItemX 9" xfId="10466"/>
    <cellStyle name="SAPBEXstdItemX 9 2" xfId="10467"/>
    <cellStyle name="SAPBEXtitle" xfId="10468"/>
    <cellStyle name="SAPBEXundefined" xfId="10469"/>
    <cellStyle name="SAPBEXundefined 10" xfId="10470"/>
    <cellStyle name="SAPBEXundefined 2" xfId="10471"/>
    <cellStyle name="SAPBEXundefined 2 2" xfId="10472"/>
    <cellStyle name="SAPBEXundefined 2 2 2" xfId="10473"/>
    <cellStyle name="SAPBEXundefined 2 2 2 2" xfId="10474"/>
    <cellStyle name="SAPBEXundefined 2 2 2 2 2" xfId="10475"/>
    <cellStyle name="SAPBEXundefined 2 2 2 2 2 2" xfId="10476"/>
    <cellStyle name="SAPBEXundefined 2 2 2 2 3" xfId="10477"/>
    <cellStyle name="SAPBEXundefined 2 2 2 2 3 2" xfId="10478"/>
    <cellStyle name="SAPBEXundefined 2 2 2 2 4" xfId="10479"/>
    <cellStyle name="SAPBEXundefined 2 2 2 2 4 2" xfId="10480"/>
    <cellStyle name="SAPBEXundefined 2 2 2 2 5" xfId="10481"/>
    <cellStyle name="SAPBEXundefined 2 2 2 3" xfId="10482"/>
    <cellStyle name="SAPBEXundefined 2 2 2 3 2" xfId="10483"/>
    <cellStyle name="SAPBEXundefined 2 2 2 4" xfId="10484"/>
    <cellStyle name="SAPBEXundefined 2 2 2 4 2" xfId="10485"/>
    <cellStyle name="SAPBEXundefined 2 2 2 5" xfId="10486"/>
    <cellStyle name="SAPBEXundefined 2 2 2 5 2" xfId="10487"/>
    <cellStyle name="SAPBEXundefined 2 2 2 6" xfId="10488"/>
    <cellStyle name="SAPBEXundefined 2 2 3" xfId="10489"/>
    <cellStyle name="SAPBEXundefined 2 2 3 2" xfId="10490"/>
    <cellStyle name="SAPBEXundefined 2 2 3 2 2" xfId="10491"/>
    <cellStyle name="SAPBEXundefined 2 2 3 2 2 2" xfId="10492"/>
    <cellStyle name="SAPBEXundefined 2 2 3 2 3" xfId="10493"/>
    <cellStyle name="SAPBEXundefined 2 2 3 2 3 2" xfId="10494"/>
    <cellStyle name="SAPBEXundefined 2 2 3 2 4" xfId="10495"/>
    <cellStyle name="SAPBEXundefined 2 2 3 2 4 2" xfId="10496"/>
    <cellStyle name="SAPBEXundefined 2 2 3 2 5" xfId="10497"/>
    <cellStyle name="SAPBEXundefined 2 2 3 3" xfId="10498"/>
    <cellStyle name="SAPBEXundefined 2 2 3 3 2" xfId="10499"/>
    <cellStyle name="SAPBEXundefined 2 2 3 4" xfId="10500"/>
    <cellStyle name="SAPBEXundefined 2 2 3 4 2" xfId="10501"/>
    <cellStyle name="SAPBEXundefined 2 2 3 5" xfId="10502"/>
    <cellStyle name="SAPBEXundefined 2 2 3 5 2" xfId="10503"/>
    <cellStyle name="SAPBEXundefined 2 2 3 6" xfId="10504"/>
    <cellStyle name="SAPBEXundefined 2 2 4" xfId="10505"/>
    <cellStyle name="SAPBEXundefined 2 2 4 2" xfId="10506"/>
    <cellStyle name="SAPBEXundefined 2 2 4 2 2" xfId="10507"/>
    <cellStyle name="SAPBEXundefined 2 2 4 3" xfId="10508"/>
    <cellStyle name="SAPBEXundefined 2 2 4 3 2" xfId="10509"/>
    <cellStyle name="SAPBEXundefined 2 2 4 4" xfId="10510"/>
    <cellStyle name="SAPBEXundefined 2 2 4 4 2" xfId="10511"/>
    <cellStyle name="SAPBEXundefined 2 2 4 5" xfId="10512"/>
    <cellStyle name="SAPBEXundefined 2 2 5" xfId="10513"/>
    <cellStyle name="SAPBEXundefined 2 2 5 2" xfId="10514"/>
    <cellStyle name="SAPBEXundefined 2 2 6" xfId="10515"/>
    <cellStyle name="SAPBEXundefined 2 2 6 2" xfId="10516"/>
    <cellStyle name="SAPBEXundefined 2 2 7" xfId="10517"/>
    <cellStyle name="SAPBEXundefined 2 2 7 2" xfId="10518"/>
    <cellStyle name="SAPBEXundefined 2 2 8" xfId="10519"/>
    <cellStyle name="SAPBEXundefined 2 2 8 2" xfId="10520"/>
    <cellStyle name="SAPBEXundefined 2 2 9" xfId="10521"/>
    <cellStyle name="SAPBEXundefined 2 3" xfId="10522"/>
    <cellStyle name="SAPBEXundefined 2 3 2" xfId="10523"/>
    <cellStyle name="SAPBEXundefined 2 3 2 2" xfId="10524"/>
    <cellStyle name="SAPBEXundefined 2 3 2 2 2" xfId="10525"/>
    <cellStyle name="SAPBEXundefined 2 3 2 3" xfId="10526"/>
    <cellStyle name="SAPBEXundefined 2 3 2 3 2" xfId="10527"/>
    <cellStyle name="SAPBEXundefined 2 3 2 4" xfId="10528"/>
    <cellStyle name="SAPBEXundefined 2 3 2 4 2" xfId="10529"/>
    <cellStyle name="SAPBEXundefined 2 3 2 5" xfId="10530"/>
    <cellStyle name="SAPBEXundefined 2 3 3" xfId="10531"/>
    <cellStyle name="SAPBEXundefined 2 3 3 2" xfId="10532"/>
    <cellStyle name="SAPBEXundefined 2 3 4" xfId="10533"/>
    <cellStyle name="SAPBEXundefined 2 3 4 2" xfId="10534"/>
    <cellStyle name="SAPBEXundefined 2 3 5" xfId="10535"/>
    <cellStyle name="SAPBEXundefined 2 3 5 2" xfId="10536"/>
    <cellStyle name="SAPBEXundefined 2 3 6" xfId="10537"/>
    <cellStyle name="SAPBEXundefined 2 4" xfId="10538"/>
    <cellStyle name="SAPBEXundefined 2 4 2" xfId="10539"/>
    <cellStyle name="SAPBEXundefined 2 4 2 2" xfId="10540"/>
    <cellStyle name="SAPBEXundefined 2 4 2 2 2" xfId="10541"/>
    <cellStyle name="SAPBEXundefined 2 4 2 3" xfId="10542"/>
    <cellStyle name="SAPBEXundefined 2 4 2 3 2" xfId="10543"/>
    <cellStyle name="SAPBEXundefined 2 4 2 4" xfId="10544"/>
    <cellStyle name="SAPBEXundefined 2 4 2 4 2" xfId="10545"/>
    <cellStyle name="SAPBEXundefined 2 4 2 5" xfId="10546"/>
    <cellStyle name="SAPBEXundefined 2 4 3" xfId="10547"/>
    <cellStyle name="SAPBEXundefined 2 4 3 2" xfId="10548"/>
    <cellStyle name="SAPBEXundefined 2 4 4" xfId="10549"/>
    <cellStyle name="SAPBEXundefined 2 4 4 2" xfId="10550"/>
    <cellStyle name="SAPBEXundefined 2 4 5" xfId="10551"/>
    <cellStyle name="SAPBEXundefined 2 4 5 2" xfId="10552"/>
    <cellStyle name="SAPBEXundefined 2 4 6" xfId="10553"/>
    <cellStyle name="SAPBEXundefined 2 5" xfId="10554"/>
    <cellStyle name="SAPBEXundefined 2 5 2" xfId="10555"/>
    <cellStyle name="SAPBEXundefined 2 5 2 2" xfId="10556"/>
    <cellStyle name="SAPBEXundefined 2 5 3" xfId="10557"/>
    <cellStyle name="SAPBEXundefined 2 5 3 2" xfId="10558"/>
    <cellStyle name="SAPBEXundefined 2 5 4" xfId="10559"/>
    <cellStyle name="SAPBEXundefined 2 5 4 2" xfId="10560"/>
    <cellStyle name="SAPBEXundefined 2 5 5" xfId="10561"/>
    <cellStyle name="SAPBEXundefined 2 6" xfId="10562"/>
    <cellStyle name="SAPBEXundefined 2 6 2" xfId="10563"/>
    <cellStyle name="SAPBEXundefined 2 7" xfId="10564"/>
    <cellStyle name="SAPBEXundefined 2 7 2" xfId="10565"/>
    <cellStyle name="SAPBEXundefined 2 8" xfId="10566"/>
    <cellStyle name="SAPBEXundefined 2 8 2" xfId="10567"/>
    <cellStyle name="SAPBEXundefined 2 9" xfId="10568"/>
    <cellStyle name="SAPBEXundefined 3" xfId="10569"/>
    <cellStyle name="SAPBEXundefined 3 2" xfId="10570"/>
    <cellStyle name="SAPBEXundefined 3 2 2" xfId="10571"/>
    <cellStyle name="SAPBEXundefined 3 2 2 2" xfId="10572"/>
    <cellStyle name="SAPBEXundefined 3 2 2 2 2" xfId="10573"/>
    <cellStyle name="SAPBEXundefined 3 2 2 3" xfId="10574"/>
    <cellStyle name="SAPBEXundefined 3 2 2 3 2" xfId="10575"/>
    <cellStyle name="SAPBEXundefined 3 2 2 4" xfId="10576"/>
    <cellStyle name="SAPBEXundefined 3 2 2 4 2" xfId="10577"/>
    <cellStyle name="SAPBEXundefined 3 2 2 5" xfId="10578"/>
    <cellStyle name="SAPBEXundefined 3 2 3" xfId="10579"/>
    <cellStyle name="SAPBEXundefined 3 2 3 2" xfId="10580"/>
    <cellStyle name="SAPBEXundefined 3 2 4" xfId="10581"/>
    <cellStyle name="SAPBEXundefined 3 2 4 2" xfId="10582"/>
    <cellStyle name="SAPBEXundefined 3 2 5" xfId="10583"/>
    <cellStyle name="SAPBEXundefined 3 2 5 2" xfId="10584"/>
    <cellStyle name="SAPBEXundefined 3 2 6" xfId="10585"/>
    <cellStyle name="SAPBEXundefined 3 3" xfId="10586"/>
    <cellStyle name="SAPBEXundefined 3 3 2" xfId="10587"/>
    <cellStyle name="SAPBEXundefined 3 3 2 2" xfId="10588"/>
    <cellStyle name="SAPBEXundefined 3 3 2 2 2" xfId="10589"/>
    <cellStyle name="SAPBEXundefined 3 3 2 3" xfId="10590"/>
    <cellStyle name="SAPBEXundefined 3 3 2 3 2" xfId="10591"/>
    <cellStyle name="SAPBEXundefined 3 3 2 4" xfId="10592"/>
    <cellStyle name="SAPBEXundefined 3 3 2 4 2" xfId="10593"/>
    <cellStyle name="SAPBEXundefined 3 3 2 5" xfId="10594"/>
    <cellStyle name="SAPBEXundefined 3 3 3" xfId="10595"/>
    <cellStyle name="SAPBEXundefined 3 3 3 2" xfId="10596"/>
    <cellStyle name="SAPBEXundefined 3 3 4" xfId="10597"/>
    <cellStyle name="SAPBEXundefined 3 3 4 2" xfId="10598"/>
    <cellStyle name="SAPBEXundefined 3 3 5" xfId="10599"/>
    <cellStyle name="SAPBEXundefined 3 3 5 2" xfId="10600"/>
    <cellStyle name="SAPBEXundefined 3 3 6" xfId="10601"/>
    <cellStyle name="SAPBEXundefined 3 4" xfId="10602"/>
    <cellStyle name="SAPBEXundefined 3 4 2" xfId="10603"/>
    <cellStyle name="SAPBEXundefined 3 4 2 2" xfId="10604"/>
    <cellStyle name="SAPBEXundefined 3 4 3" xfId="10605"/>
    <cellStyle name="SAPBEXundefined 3 4 3 2" xfId="10606"/>
    <cellStyle name="SAPBEXundefined 3 4 4" xfId="10607"/>
    <cellStyle name="SAPBEXundefined 3 4 4 2" xfId="10608"/>
    <cellStyle name="SAPBEXundefined 3 4 5" xfId="10609"/>
    <cellStyle name="SAPBEXundefined 3 5" xfId="10610"/>
    <cellStyle name="SAPBEXundefined 3 5 2" xfId="10611"/>
    <cellStyle name="SAPBEXundefined 3 6" xfId="10612"/>
    <cellStyle name="SAPBEXundefined 3 6 2" xfId="10613"/>
    <cellStyle name="SAPBEXundefined 3 7" xfId="10614"/>
    <cellStyle name="SAPBEXundefined 3 7 2" xfId="10615"/>
    <cellStyle name="SAPBEXundefined 3 8" xfId="10616"/>
    <cellStyle name="SAPBEXundefined 3 8 2" xfId="10617"/>
    <cellStyle name="SAPBEXundefined 3 9" xfId="10618"/>
    <cellStyle name="SAPBEXundefined 4" xfId="10619"/>
    <cellStyle name="SAPBEXundefined 4 2" xfId="10620"/>
    <cellStyle name="SAPBEXundefined 4 2 2" xfId="10621"/>
    <cellStyle name="SAPBEXundefined 4 2 2 2" xfId="10622"/>
    <cellStyle name="SAPBEXundefined 4 2 3" xfId="10623"/>
    <cellStyle name="SAPBEXundefined 4 2 3 2" xfId="10624"/>
    <cellStyle name="SAPBEXundefined 4 2 4" xfId="10625"/>
    <cellStyle name="SAPBEXundefined 4 2 4 2" xfId="10626"/>
    <cellStyle name="SAPBEXundefined 4 2 5" xfId="10627"/>
    <cellStyle name="SAPBEXundefined 4 3" xfId="10628"/>
    <cellStyle name="SAPBEXundefined 4 3 2" xfId="10629"/>
    <cellStyle name="SAPBEXundefined 4 4" xfId="10630"/>
    <cellStyle name="SAPBEXundefined 4 4 2" xfId="10631"/>
    <cellStyle name="SAPBEXundefined 4 5" xfId="10632"/>
    <cellStyle name="SAPBEXundefined 4 5 2" xfId="10633"/>
    <cellStyle name="SAPBEXundefined 4 6" xfId="10634"/>
    <cellStyle name="SAPBEXundefined 5" xfId="10635"/>
    <cellStyle name="SAPBEXundefined 5 2" xfId="10636"/>
    <cellStyle name="SAPBEXundefined 5 2 2" xfId="10637"/>
    <cellStyle name="SAPBEXundefined 5 2 2 2" xfId="10638"/>
    <cellStyle name="SAPBEXundefined 5 2 3" xfId="10639"/>
    <cellStyle name="SAPBEXundefined 5 2 3 2" xfId="10640"/>
    <cellStyle name="SAPBEXundefined 5 2 4" xfId="10641"/>
    <cellStyle name="SAPBEXundefined 5 2 4 2" xfId="10642"/>
    <cellStyle name="SAPBEXundefined 5 2 5" xfId="10643"/>
    <cellStyle name="SAPBEXundefined 5 3" xfId="10644"/>
    <cellStyle name="SAPBEXundefined 5 3 2" xfId="10645"/>
    <cellStyle name="SAPBEXundefined 5 4" xfId="10646"/>
    <cellStyle name="SAPBEXundefined 5 4 2" xfId="10647"/>
    <cellStyle name="SAPBEXundefined 5 5" xfId="10648"/>
    <cellStyle name="SAPBEXundefined 5 5 2" xfId="10649"/>
    <cellStyle name="SAPBEXundefined 5 6" xfId="10650"/>
    <cellStyle name="SAPBEXundefined 6" xfId="10651"/>
    <cellStyle name="SAPBEXundefined 6 2" xfId="10652"/>
    <cellStyle name="SAPBEXundefined 6 2 2" xfId="10653"/>
    <cellStyle name="SAPBEXundefined 6 3" xfId="10654"/>
    <cellStyle name="SAPBEXundefined 6 3 2" xfId="10655"/>
    <cellStyle name="SAPBEXundefined 6 4" xfId="10656"/>
    <cellStyle name="SAPBEXundefined 6 4 2" xfId="10657"/>
    <cellStyle name="SAPBEXundefined 6 5" xfId="10658"/>
    <cellStyle name="SAPBEXundefined 7" xfId="10659"/>
    <cellStyle name="SAPBEXundefined 7 2" xfId="10660"/>
    <cellStyle name="SAPBEXundefined 8" xfId="10661"/>
    <cellStyle name="SAPBEXundefined 8 2" xfId="10662"/>
    <cellStyle name="SAPBEXundefined 9" xfId="10663"/>
    <cellStyle name="SAPBEXundefined 9 2" xfId="10664"/>
    <cellStyle name="section" xfId="10665"/>
    <cellStyle name="SOR" xfId="10666"/>
    <cellStyle name="SOR 2" xfId="10667"/>
    <cellStyle name="SOR 2 2" xfId="10668"/>
    <cellStyle name="SOR 2 2 2" xfId="10669"/>
    <cellStyle name="SOR 2 2 2 2" xfId="10670"/>
    <cellStyle name="SOR 2 2 2 2 2" xfId="10671"/>
    <cellStyle name="SOR 2 2 2 3" xfId="10672"/>
    <cellStyle name="SOR 2 2 3" xfId="10673"/>
    <cellStyle name="SOR 2 2 3 2" xfId="10674"/>
    <cellStyle name="SOR 2 2 4" xfId="10675"/>
    <cellStyle name="SOR 2 3" xfId="10676"/>
    <cellStyle name="SOR 2 3 2" xfId="10677"/>
    <cellStyle name="SOR 2 3 2 2" xfId="10678"/>
    <cellStyle name="SOR 2 3 3" xfId="10679"/>
    <cellStyle name="SOR 2 4" xfId="10680"/>
    <cellStyle name="SOR 2 4 2" xfId="10681"/>
    <cellStyle name="SOR 2 5" xfId="10682"/>
    <cellStyle name="SOR 3" xfId="10683"/>
    <cellStyle name="SOR 3 2" xfId="10684"/>
    <cellStyle name="SOR 3 2 2" xfId="10685"/>
    <cellStyle name="SOR 3 2 2 2" xfId="10686"/>
    <cellStyle name="SOR 3 2 3" xfId="10687"/>
    <cellStyle name="SOR 3 3" xfId="10688"/>
    <cellStyle name="SOR 3 3 2" xfId="10689"/>
    <cellStyle name="SOR 3 4" xfId="10690"/>
    <cellStyle name="SOR 4" xfId="10691"/>
    <cellStyle name="SOR 4 2" xfId="10692"/>
    <cellStyle name="SOR 4 2 2" xfId="10693"/>
    <cellStyle name="SOR 4 3" xfId="10694"/>
    <cellStyle name="SOR 5" xfId="10695"/>
    <cellStyle name="SOR 5 2" xfId="10696"/>
    <cellStyle name="SOR 5 2 2" xfId="10697"/>
    <cellStyle name="SOR 5 3" xfId="10698"/>
    <cellStyle name="Style 1 5 4" xfId="10699"/>
    <cellStyle name="subhead" xfId="10700"/>
    <cellStyle name="title" xfId="10701"/>
    <cellStyle name="Tusental (0)_pldt" xfId="10702"/>
    <cellStyle name="Tusental_pldt" xfId="10703"/>
    <cellStyle name="Valuta (0)_pldt" xfId="10704"/>
    <cellStyle name="Valuta_pldt" xfId="10705"/>
    <cellStyle name="パーセント_laroux" xfId="10706"/>
    <cellStyle name="_PLDT" xfId="10707"/>
    <cellStyle name="_laroux" xfId="10708"/>
    <cellStyle name="だ[0]_PLDT" xfId="10709"/>
    <cellStyle name="だ_PLDT" xfId="10710"/>
    <cellStyle name="だ[0]_Total (2)" xfId="10711"/>
    <cellStyle name="だ_laroux" xfId="10712"/>
    <cellStyle name="百分比 2" xfId="10713"/>
    <cellStyle name="百分比 2 2" xfId="10714"/>
    <cellStyle name="百分比 2 2 2" xfId="10715"/>
    <cellStyle name="百分比 2 2 3" xfId="10716"/>
    <cellStyle name="百分比 2 3" xfId="10717"/>
    <cellStyle name="百分比 3" xfId="10718"/>
    <cellStyle name="百分比 3 2" xfId="10719"/>
    <cellStyle name="百分比 3 2 2" xfId="10720"/>
    <cellStyle name="百分比 3 2 3" xfId="10721"/>
    <cellStyle name="百分比 3 2 3 2" xfId="10722"/>
    <cellStyle name="百分比 3 2 4" xfId="10723"/>
    <cellStyle name="百分比 3 2 5" xfId="10724"/>
    <cellStyle name="百分比 3 3" xfId="10725"/>
    <cellStyle name="百分比 3 4" xfId="10726"/>
    <cellStyle name="百分比 3 5" xfId="10727"/>
    <cellStyle name="百分比 4" xfId="10728"/>
    <cellStyle name="百分比 4 2" xfId="10729"/>
    <cellStyle name="百分比 4 2 2" xfId="10730"/>
    <cellStyle name="百分比 4 2 2 2" xfId="10731"/>
    <cellStyle name="百分比 4 2 3" xfId="10732"/>
    <cellStyle name="百分比 4 2 4" xfId="10733"/>
    <cellStyle name="百分比 4 3" xfId="10734"/>
    <cellStyle name="百分比 4 4" xfId="10735"/>
    <cellStyle name="百分比 4 5" xfId="10736"/>
    <cellStyle name="百分比 4 6" xfId="10737"/>
    <cellStyle name="百分比 5" xfId="10738"/>
    <cellStyle name="百分比 5 2" xfId="10739"/>
    <cellStyle name="百分比 5 2 2" xfId="10740"/>
    <cellStyle name="百分比 5 3" xfId="10741"/>
    <cellStyle name="百分比 6" xfId="10742"/>
    <cellStyle name="百分比 7" xfId="10743"/>
    <cellStyle name="百分比 8" xfId="10744"/>
    <cellStyle name="捠壿 [0.00]_PRODUCT DETAIL Q1" xfId="10745"/>
    <cellStyle name="捠壿_PRODUCT DETAIL Q1" xfId="10746"/>
    <cellStyle name="标题 5" xfId="10747"/>
    <cellStyle name="標準_１１月価格表" xfId="10748"/>
    <cellStyle name="表标题" xfId="10749"/>
    <cellStyle name="差_10存货" xfId="10750"/>
    <cellStyle name="差_19-无形资产（空白模板）" xfId="10751"/>
    <cellStyle name="差_2-交易性金融资产（空白模板）" xfId="10752"/>
    <cellStyle name="差_3-2 进一步审计程序-采购与付款循环" xfId="10753"/>
    <cellStyle name="差_3-3 进一步审计程序-存货与生产循环" xfId="10754"/>
    <cellStyle name="差_49-营业收入（空白模板）" xfId="10755"/>
    <cellStyle name="差_4-应收账款（空白模板）" xfId="10756"/>
    <cellStyle name="差_50-营业成本（空白模板）" xfId="10757"/>
    <cellStyle name="差_51-营业税金及附加（空白模板）" xfId="10758"/>
    <cellStyle name="差_54-财务费用（空白模板）" xfId="10759"/>
    <cellStyle name="差_55-资产减值损失（空白模板）" xfId="10760"/>
    <cellStyle name="差_9管理费用" xfId="10761"/>
    <cellStyle name="差_Book2" xfId="10762"/>
    <cellStyle name="差_dxn底稿目录" xfId="10763"/>
    <cellStyle name="差_Sheet1" xfId="10764"/>
    <cellStyle name="差_ZA0货币资金审定表 " xfId="10765"/>
    <cellStyle name="差_存货" xfId="10766"/>
    <cellStyle name="差_大信底稿目录" xfId="10767"/>
    <cellStyle name="差_底稿设置宏" xfId="10768"/>
    <cellStyle name="差_货币资金" xfId="10769"/>
    <cellStyle name="差_货币资金 天职" xfId="10770"/>
    <cellStyle name="差_货币资金 岳华" xfId="10771"/>
    <cellStyle name="差_无形资产" xfId="10772"/>
    <cellStyle name="差_应付职工薪酬" xfId="10773"/>
    <cellStyle name="差_应收账款" xfId="10774"/>
    <cellStyle name="差_账项明细表" xfId="10775"/>
    <cellStyle name="常规 10" xfId="10776"/>
    <cellStyle name="常规 10 2" xfId="10777"/>
    <cellStyle name="常规 10 2 2" xfId="10778"/>
    <cellStyle name="常规 10 2 2 2" xfId="10779"/>
    <cellStyle name="常规 10 2 3" xfId="10780"/>
    <cellStyle name="常规 10 3" xfId="10781"/>
    <cellStyle name="常规 10 4" xfId="10782"/>
    <cellStyle name="常规 10 5" xfId="10783"/>
    <cellStyle name="常规 11" xfId="10784"/>
    <cellStyle name="常规 11 2" xfId="10785"/>
    <cellStyle name="常规 11 3" xfId="10786"/>
    <cellStyle name="常规 12" xfId="10787"/>
    <cellStyle name="常规 13" xfId="10788"/>
    <cellStyle name="常规 13 2" xfId="10789"/>
    <cellStyle name="常规 14" xfId="10790"/>
    <cellStyle name="常规 14 2" xfId="10791"/>
    <cellStyle name="常规 15" xfId="10792"/>
    <cellStyle name="常规 16" xfId="10793"/>
    <cellStyle name="常规 2" xfId="10794"/>
    <cellStyle name="常规 2- " xfId="10795"/>
    <cellStyle name="常规 2 2" xfId="10796"/>
    <cellStyle name="常规 2 2 2" xfId="10797"/>
    <cellStyle name="常规 2 2 2 2" xfId="10798"/>
    <cellStyle name="常规 2 2 2 2 2" xfId="10799"/>
    <cellStyle name="常规 2 2 2 2 2 2" xfId="10800"/>
    <cellStyle name="常规 2 2 2 2 3" xfId="10801"/>
    <cellStyle name="常规 2 2 2 2 3 2" xfId="10802"/>
    <cellStyle name="常规 2 2 2 2 4" xfId="10803"/>
    <cellStyle name="常规 2 2 2 2 5" xfId="10804"/>
    <cellStyle name="常规 2 2 2 3" xfId="10805"/>
    <cellStyle name="常规 2 2 2 3 2" xfId="10806"/>
    <cellStyle name="常规 2 2 2 3 3" xfId="10807"/>
    <cellStyle name="常规 2 2 2 4" xfId="10808"/>
    <cellStyle name="常规 2 2 3" xfId="10809"/>
    <cellStyle name="常规 2 2 3 2" xfId="10810"/>
    <cellStyle name="常规 2 2 3 2 2" xfId="10811"/>
    <cellStyle name="常规 2 2 3 2 2 2" xfId="10812"/>
    <cellStyle name="常规 2 2 3 2 3" xfId="10813"/>
    <cellStyle name="常规 2 2 3 2 4" xfId="10814"/>
    <cellStyle name="常规 2 2 3 3" xfId="10815"/>
    <cellStyle name="常规 2 2 3 3 2" xfId="10816"/>
    <cellStyle name="常规 2 2 3 4" xfId="10817"/>
    <cellStyle name="常规 2 2 4" xfId="10818"/>
    <cellStyle name="常规 2 2 4 2" xfId="10819"/>
    <cellStyle name="常规 2 2 4 2 2" xfId="10820"/>
    <cellStyle name="常规 2 2 4 3" xfId="10821"/>
    <cellStyle name="常规 2 2 4 4" xfId="10822"/>
    <cellStyle name="常规 2 2 5" xfId="10823"/>
    <cellStyle name="常规 2 2 5 2" xfId="10824"/>
    <cellStyle name="常规 2 2 5 2 2" xfId="10825"/>
    <cellStyle name="常规 2 2 5 2 2 2" xfId="10826"/>
    <cellStyle name="常规 2 2 5 2 3" xfId="10827"/>
    <cellStyle name="常规 2 2 5 3" xfId="10828"/>
    <cellStyle name="常规 2 2 5 3 2" xfId="10829"/>
    <cellStyle name="常规 2 2 5 4" xfId="10830"/>
    <cellStyle name="常规 2 2 5 5" xfId="10831"/>
    <cellStyle name="常规 2 2 5 5 2" xfId="10832"/>
    <cellStyle name="常规 2 2 6" xfId="10833"/>
    <cellStyle name="常规 2 3" xfId="10834"/>
    <cellStyle name="常规 2 3 2" xfId="10835"/>
    <cellStyle name="常规 2 3 3" xfId="10836"/>
    <cellStyle name="常规 2 3 4" xfId="10837"/>
    <cellStyle name="常规 2 4" xfId="10838"/>
    <cellStyle name="常规 2 4 2" xfId="10839"/>
    <cellStyle name="常规 2 4 3" xfId="10840"/>
    <cellStyle name="常规 2 5" xfId="10841"/>
    <cellStyle name="常规 2 5 2" xfId="10842"/>
    <cellStyle name="常规 2 5 3" xfId="10843"/>
    <cellStyle name="常规 2 6" xfId="10844"/>
    <cellStyle name="常规 2 6 2" xfId="10845"/>
    <cellStyle name="常规 2 6 3" xfId="10846"/>
    <cellStyle name="常规 2 7" xfId="10847"/>
    <cellStyle name="常规 2 8" xfId="10848"/>
    <cellStyle name="常规 2 9" xfId="10849"/>
    <cellStyle name="常规 2_10存货" xfId="10850"/>
    <cellStyle name="常规 3" xfId="10851"/>
    <cellStyle name="常规 3 2" xfId="10852"/>
    <cellStyle name="常规 3 2 2" xfId="10853"/>
    <cellStyle name="常规 3 2 2 2" xfId="10854"/>
    <cellStyle name="常规 3 2 2 2 2" xfId="10855"/>
    <cellStyle name="常规 3 2 2 2 2 2" xfId="10856"/>
    <cellStyle name="常规 3 2 2 2 3" xfId="10857"/>
    <cellStyle name="常规 3 2 2 2 4" xfId="10858"/>
    <cellStyle name="常规 3 2 2 3" xfId="10859"/>
    <cellStyle name="常规 3 2 2 4" xfId="10860"/>
    <cellStyle name="常规 3 2 2 4 2" xfId="10861"/>
    <cellStyle name="常规 3 2 2 5" xfId="10862"/>
    <cellStyle name="常规 3 2 2 6" xfId="10863"/>
    <cellStyle name="常规 3 2 3" xfId="10864"/>
    <cellStyle name="常规 3 2 4" xfId="10865"/>
    <cellStyle name="常规 3 2 4 2" xfId="10866"/>
    <cellStyle name="常规 3 2_3" xfId="10867"/>
    <cellStyle name="常规 3 3" xfId="10868"/>
    <cellStyle name="常规 3 3 2" xfId="10869"/>
    <cellStyle name="常规 3 3 2 2" xfId="10870"/>
    <cellStyle name="常规 3 3 2 3" xfId="10871"/>
    <cellStyle name="常规 3 3 3" xfId="10872"/>
    <cellStyle name="常规 3 3 4" xfId="10873"/>
    <cellStyle name="常规 3 3 4 2" xfId="10874"/>
    <cellStyle name="常规 3 3 5" xfId="10875"/>
    <cellStyle name="常规 3 3 6" xfId="10876"/>
    <cellStyle name="常规 3 4" xfId="10877"/>
    <cellStyle name="常规 3 4 2" xfId="10878"/>
    <cellStyle name="常规 3 4 2 2" xfId="10879"/>
    <cellStyle name="常规 3 4 3" xfId="10880"/>
    <cellStyle name="常规 3 4 4" xfId="10881"/>
    <cellStyle name="常规 3 5" xfId="10882"/>
    <cellStyle name="常规 3 6" xfId="10883"/>
    <cellStyle name="常规 3 6 2" xfId="10884"/>
    <cellStyle name="常规 3 7" xfId="10885"/>
    <cellStyle name="常规 3 7 2" xfId="10886"/>
    <cellStyle name="常规 3 8" xfId="10887"/>
    <cellStyle name="常规 3_1" xfId="10888"/>
    <cellStyle name="常规 4" xfId="10889"/>
    <cellStyle name="常规 4 2" xfId="10890"/>
    <cellStyle name="常规 4 2 2" xfId="10891"/>
    <cellStyle name="常规 4 2 3" xfId="10892"/>
    <cellStyle name="常规 4 2 4" xfId="10893"/>
    <cellStyle name="常规 4 2 4 2" xfId="10894"/>
    <cellStyle name="常规 4 2 5" xfId="10895"/>
    <cellStyle name="常规 4 2 6" xfId="10896"/>
    <cellStyle name="常规 4 3" xfId="10897"/>
    <cellStyle name="常规 4 3 2" xfId="10898"/>
    <cellStyle name="常规 4 3 2 2" xfId="10899"/>
    <cellStyle name="常规 4 3 2 2 2" xfId="10900"/>
    <cellStyle name="常规 4 3 2 3" xfId="10901"/>
    <cellStyle name="常规 4 3 3" xfId="10902"/>
    <cellStyle name="常规 4 3 4" xfId="10903"/>
    <cellStyle name="常规 4 4" xfId="10904"/>
    <cellStyle name="常规 4 5" xfId="10905"/>
    <cellStyle name="常规 5" xfId="10906"/>
    <cellStyle name="常规 5 2" xfId="10907"/>
    <cellStyle name="常规 5 2 2" xfId="10908"/>
    <cellStyle name="常规 5 2 2 2" xfId="10909"/>
    <cellStyle name="常规 5 2 3" xfId="10910"/>
    <cellStyle name="常规 5 2 4" xfId="10911"/>
    <cellStyle name="常规 5 3" xfId="10912"/>
    <cellStyle name="常规 6" xfId="10913"/>
    <cellStyle name="常规 6 2" xfId="10914"/>
    <cellStyle name="常规 6 2 2" xfId="10915"/>
    <cellStyle name="常规 7" xfId="10916"/>
    <cellStyle name="常规 7 2" xfId="10917"/>
    <cellStyle name="常规 7 2 2" xfId="10918"/>
    <cellStyle name="常规 7 2 2 2" xfId="10919"/>
    <cellStyle name="常规 7 2 3" xfId="10920"/>
    <cellStyle name="常规 7 2 4" xfId="10921"/>
    <cellStyle name="常规 7 3" xfId="10922"/>
    <cellStyle name="常规 8" xfId="10923"/>
    <cellStyle name="常规 8 2" xfId="10924"/>
    <cellStyle name="常规 8 2 2" xfId="10925"/>
    <cellStyle name="常规 8 2 2 2" xfId="10926"/>
    <cellStyle name="常规 8 2 3" xfId="10927"/>
    <cellStyle name="常规 8 2 4" xfId="10928"/>
    <cellStyle name="常规 9" xfId="10929"/>
    <cellStyle name="常规 9 2" xfId="10930"/>
    <cellStyle name="常规 9 2 2" xfId="10931"/>
    <cellStyle name="常规 9 2 2 2" xfId="10932"/>
    <cellStyle name="常规 9 2 2 3" xfId="10933"/>
    <cellStyle name="常规 9 2 3" xfId="10934"/>
    <cellStyle name="常规 9 2 3 2" xfId="10935"/>
    <cellStyle name="常规 9 2 3 3" xfId="10936"/>
    <cellStyle name="常规 9 2 4" xfId="10937"/>
    <cellStyle name="常规 9 2 4 2" xfId="10938"/>
    <cellStyle name="常规 9 2 5" xfId="10939"/>
    <cellStyle name="常规 9 2 6" xfId="10940"/>
    <cellStyle name="常规 9 3" xfId="10941"/>
    <cellStyle name="常规_Book1" xfId="10942"/>
    <cellStyle name="超级链接_综合类底稿表格" xfId="10943"/>
    <cellStyle name="超連結 2" xfId="10944"/>
    <cellStyle name="超链接 2" xfId="10945"/>
    <cellStyle name="超链接 2 2" xfId="10946"/>
    <cellStyle name="超链接 2 2 2" xfId="10947"/>
    <cellStyle name="超链接 2 2 3" xfId="10948"/>
    <cellStyle name="超链接 2 2 4" xfId="10949"/>
    <cellStyle name="超链接 2 3" xfId="10950"/>
    <cellStyle name="超链接 2 4" xfId="10951"/>
    <cellStyle name="超链接 2 5" xfId="10952"/>
    <cellStyle name="超链接 2 6" xfId="10953"/>
    <cellStyle name="超链接 3" xfId="10954"/>
    <cellStyle name="超链接 3 2" xfId="10955"/>
    <cellStyle name="超链接 3 3" xfId="10956"/>
    <cellStyle name="超链接 4" xfId="10957"/>
    <cellStyle name="超链接 5" xfId="10958"/>
    <cellStyle name="超链接 5 2" xfId="10959"/>
    <cellStyle name="超链接 5 3" xfId="10960"/>
    <cellStyle name="超链接 6" xfId="10961"/>
    <cellStyle name="好_10存货" xfId="10962"/>
    <cellStyle name="好_19-无形资产（空白模板）" xfId="10963"/>
    <cellStyle name="好_1财务费用" xfId="10964"/>
    <cellStyle name="好_1营业收入" xfId="10965"/>
    <cellStyle name="好_1资产减值损失" xfId="10966"/>
    <cellStyle name="好_2-交易性金融资产（空白模板）" xfId="10967"/>
    <cellStyle name="好_3-2 进一步审计程序-采购与付款循环" xfId="10968"/>
    <cellStyle name="好_3-3 进一步审计程序-存货与生产循环" xfId="10969"/>
    <cellStyle name="好_49-营业收入（空白模板）" xfId="10970"/>
    <cellStyle name="好_4-应收账款（空白模板）" xfId="10971"/>
    <cellStyle name="好_50-营业成本（空白模板）" xfId="10972"/>
    <cellStyle name="好_51-营业税金及附加（空白模板）" xfId="10973"/>
    <cellStyle name="好_54-财务费用（空白模板）" xfId="10974"/>
    <cellStyle name="好_55-资产减值损失（空白模板）" xfId="10975"/>
    <cellStyle name="好_9管理费用" xfId="10976"/>
    <cellStyle name="好_Book2" xfId="10977"/>
    <cellStyle name="好_Sheet1" xfId="10978"/>
    <cellStyle name="好_ZA0货币资金审定表 " xfId="10979"/>
    <cellStyle name="好_财务费用" xfId="10980"/>
    <cellStyle name="好_存货" xfId="10981"/>
    <cellStyle name="好_存货 - 复制" xfId="10982"/>
    <cellStyle name="好_大信底稿目录" xfId="10983"/>
    <cellStyle name="好_底稿设置宏" xfId="10984"/>
    <cellStyle name="好_底稿设置宏_大信底稿目录" xfId="10985"/>
    <cellStyle name="好_货币资金" xfId="10986"/>
    <cellStyle name="好_货币资金 天职" xfId="10987"/>
    <cellStyle name="好_货币资金 岳华" xfId="10988"/>
    <cellStyle name="好_实收资本(股本)" xfId="10989"/>
    <cellStyle name="好_无形资产" xfId="10990"/>
    <cellStyle name="好_银行函证结果汇总表" xfId="10991"/>
    <cellStyle name="好_应付职工薪酬" xfId="10992"/>
    <cellStyle name="好_应收利息" xfId="10993"/>
    <cellStyle name="好_应收账款" xfId="10994"/>
    <cellStyle name="好_营业收入" xfId="10995"/>
    <cellStyle name="好_账项明细表" xfId="10996"/>
    <cellStyle name="好_资产负债标准底稿" xfId="10997"/>
    <cellStyle name="好_资产负债标准底稿_大信底稿目录" xfId="10998"/>
    <cellStyle name="好_资产负债类底稿模版" xfId="10999"/>
    <cellStyle name="好_资产负债类底稿模版_大信底稿目录" xfId="11000"/>
    <cellStyle name="好_资产减值损失" xfId="11001"/>
    <cellStyle name="桁区切り [0.00]_１１月価格表" xfId="11002"/>
    <cellStyle name="桁区切り_１１月価格表" xfId="11003"/>
    <cellStyle name="货币 2" xfId="11004"/>
    <cellStyle name="货币 3" xfId="11005"/>
    <cellStyle name="貨幣 [0]_SGV" xfId="11006"/>
    <cellStyle name="貨幣_SGV" xfId="11007"/>
    <cellStyle name="霓付 [0]_1202" xfId="11008"/>
    <cellStyle name="霓付_1202" xfId="11009"/>
    <cellStyle name="烹拳 [0]_1202" xfId="11010"/>
    <cellStyle name="烹拳_1202" xfId="11011"/>
    <cellStyle name="砯刽 [0]_PLDT" xfId="11012"/>
    <cellStyle name="砯刽_PLDT" xfId="11013"/>
    <cellStyle name="普通_ 白土" xfId="11014"/>
    <cellStyle name="千分位[0]_ 白土" xfId="11015"/>
    <cellStyle name="千分位_ 白土" xfId="11016"/>
    <cellStyle name="千位[0]_1995" xfId="11017"/>
    <cellStyle name="千位_1995" xfId="11018"/>
    <cellStyle name="千位分隔 10" xfId="11019"/>
    <cellStyle name="千位分隔 10 2" xfId="11020"/>
    <cellStyle name="千位分隔 10 2 2" xfId="11021"/>
    <cellStyle name="千位分隔 10 2 2 2" xfId="11022"/>
    <cellStyle name="千位分隔 10 2 3" xfId="11023"/>
    <cellStyle name="千位分隔 10 3" xfId="11024"/>
    <cellStyle name="千位分隔 10 3 2" xfId="11025"/>
    <cellStyle name="千位分隔 10 3 2 2" xfId="11026"/>
    <cellStyle name="千位分隔 10 3 3" xfId="11027"/>
    <cellStyle name="千位分隔 10 4" xfId="11028"/>
    <cellStyle name="千位分隔 10 4 2" xfId="11029"/>
    <cellStyle name="千位分隔 10 4 2 2" xfId="11030"/>
    <cellStyle name="千位分隔 10 4 3" xfId="11031"/>
    <cellStyle name="千位分隔 10 5" xfId="11032"/>
    <cellStyle name="千位分隔 10 5 2" xfId="11033"/>
    <cellStyle name="千位分隔 10 6" xfId="11034"/>
    <cellStyle name="千位分隔 11" xfId="11035"/>
    <cellStyle name="千位分隔 11 2" xfId="11036"/>
    <cellStyle name="千位分隔 11 2 2" xfId="11037"/>
    <cellStyle name="千位分隔 11 3" xfId="11038"/>
    <cellStyle name="千位分隔 12" xfId="11039"/>
    <cellStyle name="千位分隔 12 2" xfId="11040"/>
    <cellStyle name="千位分隔 12 2 2" xfId="11041"/>
    <cellStyle name="千位分隔 12 3" xfId="11042"/>
    <cellStyle name="千位分隔 13" xfId="11043"/>
    <cellStyle name="千位分隔 13 2" xfId="11044"/>
    <cellStyle name="千位分隔 13 2 2" xfId="11045"/>
    <cellStyle name="千位分隔 13 3" xfId="11046"/>
    <cellStyle name="千位分隔 14" xfId="11047"/>
    <cellStyle name="千位分隔 14 2" xfId="11048"/>
    <cellStyle name="千位分隔 15" xfId="11049"/>
    <cellStyle name="千位分隔 15 2" xfId="11050"/>
    <cellStyle name="千位分隔 16" xfId="11051"/>
    <cellStyle name="千位分隔 2" xfId="11052"/>
    <cellStyle name="千位分隔 2 2" xfId="11053"/>
    <cellStyle name="千位分隔 2 2 2" xfId="11054"/>
    <cellStyle name="千位分隔 2 2 2 2" xfId="11055"/>
    <cellStyle name="千位分隔 2 2 2 2 2" xfId="11056"/>
    <cellStyle name="千位分隔 2 2 2 2 2 2" xfId="11057"/>
    <cellStyle name="千位分隔 2 2 2 2 2 2 2" xfId="11058"/>
    <cellStyle name="千位分隔 2 2 2 2 2 3" xfId="11059"/>
    <cellStyle name="千位分隔 2 2 2 2 3" xfId="11060"/>
    <cellStyle name="千位分隔 2 2 2 2 3 2" xfId="11061"/>
    <cellStyle name="千位分隔 2 2 2 2 4" xfId="11062"/>
    <cellStyle name="千位分隔 2 2 2 2 4 2" xfId="11063"/>
    <cellStyle name="千位分隔 2 2 2 3" xfId="11064"/>
    <cellStyle name="千位分隔 2 2 2 3 2" xfId="11065"/>
    <cellStyle name="千位分隔 2 2 2 3 2 2" xfId="11066"/>
    <cellStyle name="千位分隔 2 2 2 3 3" xfId="11067"/>
    <cellStyle name="千位分隔 2 2 2 4" xfId="11068"/>
    <cellStyle name="千位分隔 2 2 2 4 2" xfId="11069"/>
    <cellStyle name="千位分隔 2 2 2 4 2 2" xfId="11070"/>
    <cellStyle name="千位分隔 2 2 2 4 3" xfId="11071"/>
    <cellStyle name="千位分隔 2 2 2 5" xfId="11072"/>
    <cellStyle name="千位分隔 2 2 2 5 2" xfId="11073"/>
    <cellStyle name="千位分隔 2 2 2 5 2 2" xfId="11074"/>
    <cellStyle name="千位分隔 2 2 2 5 3" xfId="11075"/>
    <cellStyle name="千位分隔 2 2 3" xfId="11076"/>
    <cellStyle name="千位分隔 2 2 3 2" xfId="11077"/>
    <cellStyle name="千位分隔 2 2 3 2 2" xfId="11078"/>
    <cellStyle name="千位分隔 2 2 3 2 2 2" xfId="11079"/>
    <cellStyle name="千位分隔 2 2 3 2 3" xfId="11080"/>
    <cellStyle name="千位分隔 2 2 3 3" xfId="11081"/>
    <cellStyle name="千位分隔 2 2 3 3 2" xfId="11082"/>
    <cellStyle name="千位分隔 2 2 3 4" xfId="11083"/>
    <cellStyle name="千位分隔 2 2 3 4 2" xfId="11084"/>
    <cellStyle name="千位分隔 2 2 4" xfId="11085"/>
    <cellStyle name="千位分隔 2 2 4 2" xfId="11086"/>
    <cellStyle name="千位分隔 2 2 4 2 2" xfId="11087"/>
    <cellStyle name="千位分隔 2 2 4 2 2 2" xfId="11088"/>
    <cellStyle name="千位分隔 2 2 4 2 3" xfId="11089"/>
    <cellStyle name="千位分隔 2 2 4 3" xfId="11090"/>
    <cellStyle name="千位分隔 2 2 4 3 2" xfId="11091"/>
    <cellStyle name="千位分隔 2 2 4 4" xfId="11092"/>
    <cellStyle name="千位分隔 2 2 4 4 2" xfId="11093"/>
    <cellStyle name="千位分隔 2 2 5" xfId="11094"/>
    <cellStyle name="千位分隔 2 2 5 2" xfId="11095"/>
    <cellStyle name="千位分隔 2 2 5 2 2" xfId="11096"/>
    <cellStyle name="千位分隔 2 2 5 2 2 2" xfId="11097"/>
    <cellStyle name="千位分隔 2 2 5 2 3" xfId="11098"/>
    <cellStyle name="千位分隔 2 2 5 3" xfId="11099"/>
    <cellStyle name="千位分隔 2 2 6" xfId="11100"/>
    <cellStyle name="千位分隔 2 2 6 2" xfId="11101"/>
    <cellStyle name="千位分隔 2 2 7" xfId="11102"/>
    <cellStyle name="千位分隔 2 2 7 2" xfId="11103"/>
    <cellStyle name="千位分隔 2 2 7 2 2" xfId="11104"/>
    <cellStyle name="千位分隔 2 2 7 3" xfId="11105"/>
    <cellStyle name="千位分隔 2 2 8" xfId="11106"/>
    <cellStyle name="千位分隔 2 3" xfId="11107"/>
    <cellStyle name="千位分隔 2 3 2" xfId="11108"/>
    <cellStyle name="千位分隔 2 3 2 2" xfId="11109"/>
    <cellStyle name="千位分隔 2 3 2 2 2" xfId="11110"/>
    <cellStyle name="千位分隔 2 3 2 2 2 2" xfId="11111"/>
    <cellStyle name="千位分隔 2 3 2 2 3" xfId="11112"/>
    <cellStyle name="千位分隔 2 3 2 3" xfId="11113"/>
    <cellStyle name="千位分隔 2 3 2 3 2" xfId="11114"/>
    <cellStyle name="千位分隔 2 3 2 4" xfId="11115"/>
    <cellStyle name="千位分隔 2 3 2 4 2" xfId="11116"/>
    <cellStyle name="千位分隔 2 3 3" xfId="11117"/>
    <cellStyle name="千位分隔 2 3 3 2" xfId="11118"/>
    <cellStyle name="千位分隔 2 3 3 2 2" xfId="11119"/>
    <cellStyle name="千位分隔 2 3 3 2 2 2" xfId="11120"/>
    <cellStyle name="千位分隔 2 3 3 2 3" xfId="11121"/>
    <cellStyle name="千位分隔 2 3 3 3" xfId="11122"/>
    <cellStyle name="千位分隔 2 3 3 3 2" xfId="11123"/>
    <cellStyle name="千位分隔 2 3 3 4" xfId="11124"/>
    <cellStyle name="千位分隔 2 3 3 4 2" xfId="11125"/>
    <cellStyle name="千位分隔 2 3 4" xfId="11126"/>
    <cellStyle name="千位分隔 2 3 4 2" xfId="11127"/>
    <cellStyle name="千位分隔 2 3 4 2 2" xfId="11128"/>
    <cellStyle name="千位分隔 2 3 4 3" xfId="11129"/>
    <cellStyle name="千位分隔 2 3 5" xfId="11130"/>
    <cellStyle name="千位分隔 2 3 5 2" xfId="11131"/>
    <cellStyle name="千位分隔 2 3 5 2 2" xfId="11132"/>
    <cellStyle name="千位分隔 2 3 5 3" xfId="11133"/>
    <cellStyle name="千位分隔 2 3 6" xfId="11134"/>
    <cellStyle name="千位分隔 2 3 6 2" xfId="11135"/>
    <cellStyle name="千位分隔 2 4" xfId="11136"/>
    <cellStyle name="千位分隔 2 4 2" xfId="11137"/>
    <cellStyle name="千位分隔 2 4 2 2" xfId="11138"/>
    <cellStyle name="千位分隔 2 4 2 2 2" xfId="11139"/>
    <cellStyle name="千位分隔 2 4 2 3" xfId="11140"/>
    <cellStyle name="千位分隔 2 4 3" xfId="11141"/>
    <cellStyle name="千位分隔 2 4 3 2" xfId="11142"/>
    <cellStyle name="千位分隔 2 5" xfId="11143"/>
    <cellStyle name="千位分隔 2 5 2" xfId="11144"/>
    <cellStyle name="千位分隔 2 5 2 2" xfId="11145"/>
    <cellStyle name="千位分隔 2 5 2 2 2" xfId="11146"/>
    <cellStyle name="千位分隔 2 5 2 3" xfId="11147"/>
    <cellStyle name="千位分隔 2 5 3" xfId="11148"/>
    <cellStyle name="千位分隔 2 5 3 2" xfId="11149"/>
    <cellStyle name="千位分隔 2 6" xfId="11150"/>
    <cellStyle name="千位分隔 2 6 2" xfId="11151"/>
    <cellStyle name="千位分隔 2 6 2 2" xfId="11152"/>
    <cellStyle name="千位分隔 2 7" xfId="11153"/>
    <cellStyle name="千位分隔 2 7 2" xfId="11154"/>
    <cellStyle name="千位分隔 2 7 2 2" xfId="11155"/>
    <cellStyle name="千位分隔 2 7 3" xfId="11156"/>
    <cellStyle name="千位分隔 2_1" xfId="11157"/>
    <cellStyle name="千位分隔 3" xfId="11158"/>
    <cellStyle name="千位分隔 3 2" xfId="11159"/>
    <cellStyle name="千位分隔 3 2 2" xfId="11160"/>
    <cellStyle name="千位分隔 3 2 2 2" xfId="11161"/>
    <cellStyle name="千位分隔 3 2 2 2 2" xfId="11162"/>
    <cellStyle name="千位分隔 3 2 2 2 2 2" xfId="11163"/>
    <cellStyle name="千位分隔 3 2 2 2 2 2 2" xfId="11164"/>
    <cellStyle name="千位分隔 3 2 2 2 2 3" xfId="11165"/>
    <cellStyle name="千位分隔 3 2 2 2 3" xfId="11166"/>
    <cellStyle name="千位分隔 3 2 2 2 3 2" xfId="11167"/>
    <cellStyle name="千位分隔 3 2 2 2 4" xfId="11168"/>
    <cellStyle name="千位分隔 3 2 2 3" xfId="11169"/>
    <cellStyle name="千位分隔 3 2 2 3 2" xfId="11170"/>
    <cellStyle name="千位分隔 3 2 2 3 2 2" xfId="11171"/>
    <cellStyle name="千位分隔 3 2 2 3 3" xfId="11172"/>
    <cellStyle name="千位分隔 3 2 2 4" xfId="11173"/>
    <cellStyle name="千位分隔 3 2 2 4 2" xfId="11174"/>
    <cellStyle name="千位分隔 3 2 2 4 2 2" xfId="11175"/>
    <cellStyle name="千位分隔 3 2 2 4 3" xfId="11176"/>
    <cellStyle name="千位分隔 3 2 2 5" xfId="11177"/>
    <cellStyle name="千位分隔 3 2 2 5 2" xfId="11178"/>
    <cellStyle name="千位分隔 3 2 2 5 2 2" xfId="11179"/>
    <cellStyle name="千位分隔 3 2 2 5 3" xfId="11180"/>
    <cellStyle name="千位分隔 3 2 2 6" xfId="11181"/>
    <cellStyle name="千位分隔 3 2 2 6 2" xfId="11182"/>
    <cellStyle name="千位分隔 3 2 3" xfId="11183"/>
    <cellStyle name="千位分隔 3 2 3 2" xfId="11184"/>
    <cellStyle name="千位分隔 3 2 3 2 2" xfId="11185"/>
    <cellStyle name="千位分隔 3 2 3 2 2 2" xfId="11186"/>
    <cellStyle name="千位分隔 3 2 3 2 3" xfId="11187"/>
    <cellStyle name="千位分隔 3 2 3 3" xfId="11188"/>
    <cellStyle name="千位分隔 3 2 3 3 2" xfId="11189"/>
    <cellStyle name="千位分隔 3 2 3 4" xfId="11190"/>
    <cellStyle name="千位分隔 3 2 4" xfId="11191"/>
    <cellStyle name="千位分隔 3 2 4 2" xfId="11192"/>
    <cellStyle name="千位分隔 3 2 4 2 2" xfId="11193"/>
    <cellStyle name="千位分隔 3 2 4 3" xfId="11194"/>
    <cellStyle name="千位分隔 3 2 5" xfId="11195"/>
    <cellStyle name="千位分隔 3 2 5 2" xfId="11196"/>
    <cellStyle name="千位分隔 3 2 5 2 2" xfId="11197"/>
    <cellStyle name="千位分隔 3 2 5 3" xfId="11198"/>
    <cellStyle name="千位分隔 3 2 6" xfId="11199"/>
    <cellStyle name="千位分隔 3 2 6 2" xfId="11200"/>
    <cellStyle name="千位分隔 3 2 6 2 2" xfId="11201"/>
    <cellStyle name="千位分隔 3 2 6 3" xfId="11202"/>
    <cellStyle name="千位分隔 3 3" xfId="11203"/>
    <cellStyle name="千位分隔 3 3 2" xfId="11204"/>
    <cellStyle name="千位分隔 3 3 2 2" xfId="11205"/>
    <cellStyle name="千位分隔 3 3 2 2 2" xfId="11206"/>
    <cellStyle name="千位分隔 3 3 2 2 2 2" xfId="11207"/>
    <cellStyle name="千位分隔 3 3 2 2 3" xfId="11208"/>
    <cellStyle name="千位分隔 3 3 2 3" xfId="11209"/>
    <cellStyle name="千位分隔 3 3 2 3 2" xfId="11210"/>
    <cellStyle name="千位分隔 3 3 2 4" xfId="11211"/>
    <cellStyle name="千位分隔 3 3 3" xfId="11212"/>
    <cellStyle name="千位分隔 3 3 3 2" xfId="11213"/>
    <cellStyle name="千位分隔 3 3 3 2 2" xfId="11214"/>
    <cellStyle name="千位分隔 3 3 3 3" xfId="11215"/>
    <cellStyle name="千位分隔 3 3 4" xfId="11216"/>
    <cellStyle name="千位分隔 3 3 4 2" xfId="11217"/>
    <cellStyle name="千位分隔 3 3 4 2 2" xfId="11218"/>
    <cellStyle name="千位分隔 3 3 4 3" xfId="11219"/>
    <cellStyle name="千位分隔 3 3 5" xfId="11220"/>
    <cellStyle name="千位分隔 3 3 5 2" xfId="11221"/>
    <cellStyle name="千位分隔 3 3 5 2 2" xfId="11222"/>
    <cellStyle name="千位分隔 3 3 5 3" xfId="11223"/>
    <cellStyle name="千位分隔 3 3 6" xfId="11224"/>
    <cellStyle name="千位分隔 3 3 6 2" xfId="11225"/>
    <cellStyle name="千位分隔 3 3 6 2 2" xfId="11226"/>
    <cellStyle name="千位分隔 3 3 6 3" xfId="11227"/>
    <cellStyle name="千位分隔 3 3 7" xfId="11228"/>
    <cellStyle name="千位分隔 3 3 7 2" xfId="11229"/>
    <cellStyle name="千位分隔 3 4" xfId="11230"/>
    <cellStyle name="千位分隔 3 4 2" xfId="11231"/>
    <cellStyle name="千位分隔 3 4 2 2" xfId="11232"/>
    <cellStyle name="千位分隔 3 4 2 2 2" xfId="11233"/>
    <cellStyle name="千位分隔 3 4 2 3" xfId="11234"/>
    <cellStyle name="千位分隔 3 4 3" xfId="11235"/>
    <cellStyle name="千位分隔 3 4 3 2" xfId="11236"/>
    <cellStyle name="千位分隔 3 4 3 2 2" xfId="11237"/>
    <cellStyle name="千位分隔 3 4 3 3" xfId="11238"/>
    <cellStyle name="千位分隔 3 4 4" xfId="11239"/>
    <cellStyle name="千位分隔 3 4 4 2" xfId="11240"/>
    <cellStyle name="千位分隔 3 4 4 2 2" xfId="11241"/>
    <cellStyle name="千位分隔 3 4 4 3" xfId="11242"/>
    <cellStyle name="千位分隔 3 4 5" xfId="11243"/>
    <cellStyle name="千位分隔 3 4 5 2" xfId="11244"/>
    <cellStyle name="千位分隔 3 4 5 2 2" xfId="11245"/>
    <cellStyle name="千位分隔 3 4 5 3" xfId="11246"/>
    <cellStyle name="千位分隔 3 4 6" xfId="11247"/>
    <cellStyle name="千位分隔 3 4 6 2" xfId="11248"/>
    <cellStyle name="千位分隔 3 4 6 2 2" xfId="11249"/>
    <cellStyle name="千位分隔 3 4 6 3" xfId="11250"/>
    <cellStyle name="千位分隔 3 4 7" xfId="11251"/>
    <cellStyle name="千位分隔 3 4 7 2" xfId="11252"/>
    <cellStyle name="千位分隔 3 5" xfId="11253"/>
    <cellStyle name="千位分隔 3 5 2" xfId="11254"/>
    <cellStyle name="千位分隔 3 5 2 2" xfId="11255"/>
    <cellStyle name="千位分隔 3 5 3" xfId="11256"/>
    <cellStyle name="千位分隔 3 6" xfId="11257"/>
    <cellStyle name="千位分隔 3 6 2" xfId="11258"/>
    <cellStyle name="千位分隔 3 6 2 2" xfId="11259"/>
    <cellStyle name="千位分隔 3 6 3" xfId="11260"/>
    <cellStyle name="千位分隔 3 7" xfId="11261"/>
    <cellStyle name="千位分隔 3 7 2" xfId="11262"/>
    <cellStyle name="千位分隔 3 7 2 2" xfId="11263"/>
    <cellStyle name="千位分隔 3 7 3" xfId="11264"/>
    <cellStyle name="千位分隔 4" xfId="11265"/>
    <cellStyle name="千位分隔 4 2" xfId="11266"/>
    <cellStyle name="千位分隔 4 2 2" xfId="11267"/>
    <cellStyle name="千位分隔 4 2 2 2" xfId="11268"/>
    <cellStyle name="千位分隔 4 2 2 2 2" xfId="11269"/>
    <cellStyle name="千位分隔 4 2 2 2 2 2" xfId="11270"/>
    <cellStyle name="千位分隔 4 2 2 2 2 2 2" xfId="11271"/>
    <cellStyle name="千位分隔 4 2 2 2 2 3" xfId="11272"/>
    <cellStyle name="千位分隔 4 2 2 2 3" xfId="11273"/>
    <cellStyle name="千位分隔 4 2 2 2 3 2" xfId="11274"/>
    <cellStyle name="千位分隔 4 2 2 2 4" xfId="11275"/>
    <cellStyle name="千位分隔 4 2 2 2 4 2" xfId="11276"/>
    <cellStyle name="千位分隔 4 2 2 3" xfId="11277"/>
    <cellStyle name="千位分隔 4 2 2 3 2" xfId="11278"/>
    <cellStyle name="千位分隔 4 2 2 3 2 2" xfId="11279"/>
    <cellStyle name="千位分隔 4 2 2 3 3" xfId="11280"/>
    <cellStyle name="千位分隔 4 2 2 4" xfId="11281"/>
    <cellStyle name="千位分隔 4 2 2 4 2" xfId="11282"/>
    <cellStyle name="千位分隔 4 2 2 4 2 2" xfId="11283"/>
    <cellStyle name="千位分隔 4 2 2 4 3" xfId="11284"/>
    <cellStyle name="千位分隔 4 2 2 5" xfId="11285"/>
    <cellStyle name="千位分隔 4 2 2 5 2" xfId="11286"/>
    <cellStyle name="千位分隔 4 2 3" xfId="11287"/>
    <cellStyle name="千位分隔 4 2 3 2" xfId="11288"/>
    <cellStyle name="千位分隔 4 2 3 2 2" xfId="11289"/>
    <cellStyle name="千位分隔 4 2 3 2 2 2" xfId="11290"/>
    <cellStyle name="千位分隔 4 2 3 2 3" xfId="11291"/>
    <cellStyle name="千位分隔 4 2 3 3" xfId="11292"/>
    <cellStyle name="千位分隔 4 2 3 3 2" xfId="11293"/>
    <cellStyle name="千位分隔 4 2 3 4" xfId="11294"/>
    <cellStyle name="千位分隔 4 2 3 4 2" xfId="11295"/>
    <cellStyle name="千位分隔 4 2 4" xfId="11296"/>
    <cellStyle name="千位分隔 4 2 4 2" xfId="11297"/>
    <cellStyle name="千位分隔 4 2 4 2 2" xfId="11298"/>
    <cellStyle name="千位分隔 4 2 4 2 2 2" xfId="11299"/>
    <cellStyle name="千位分隔 4 2 4 2 3" xfId="11300"/>
    <cellStyle name="千位分隔 4 2 4 3" xfId="11301"/>
    <cellStyle name="千位分隔 4 2 4 3 2" xfId="11302"/>
    <cellStyle name="千位分隔 4 2 4 4" xfId="11303"/>
    <cellStyle name="千位分隔 4 2 4 4 2" xfId="11304"/>
    <cellStyle name="千位分隔 4 2 5" xfId="11305"/>
    <cellStyle name="千位分隔 4 2 5 2" xfId="11306"/>
    <cellStyle name="千位分隔 4 2 5 2 2" xfId="11307"/>
    <cellStyle name="千位分隔 4 2 5 3" xfId="11308"/>
    <cellStyle name="千位分隔 4 2_1" xfId="11309"/>
    <cellStyle name="千位分隔 4 3" xfId="11310"/>
    <cellStyle name="千位分隔 4 3 2" xfId="11311"/>
    <cellStyle name="千位分隔 4 3 2 2" xfId="11312"/>
    <cellStyle name="千位分隔 4 3 2 2 2" xfId="11313"/>
    <cellStyle name="千位分隔 4 3 2 2 2 2" xfId="11314"/>
    <cellStyle name="千位分隔 4 3 2 2 3" xfId="11315"/>
    <cellStyle name="千位分隔 4 3 2 3" xfId="11316"/>
    <cellStyle name="千位分隔 4 3 2 3 2" xfId="11317"/>
    <cellStyle name="千位分隔 4 3 2 4" xfId="11318"/>
    <cellStyle name="千位分隔 4 3 2 4 2" xfId="11319"/>
    <cellStyle name="千位分隔 4 3 3" xfId="11320"/>
    <cellStyle name="千位分隔 4 3 3 2" xfId="11321"/>
    <cellStyle name="千位分隔 4 3 3 2 2" xfId="11322"/>
    <cellStyle name="千位分隔 4 3 3 3" xfId="11323"/>
    <cellStyle name="千位分隔 4 3 4" xfId="11324"/>
    <cellStyle name="千位分隔 4 3 4 2" xfId="11325"/>
    <cellStyle name="千位分隔 4 3 4 2 2" xfId="11326"/>
    <cellStyle name="千位分隔 4 3 4 3" xfId="11327"/>
    <cellStyle name="千位分隔 4 3 5" xfId="11328"/>
    <cellStyle name="千位分隔 4 3 5 2" xfId="11329"/>
    <cellStyle name="千位分隔 4 4" xfId="11330"/>
    <cellStyle name="千位分隔 4 4 2" xfId="11331"/>
    <cellStyle name="千位分隔 4 4 2 2" xfId="11332"/>
    <cellStyle name="千位分隔 4 4 2 2 2" xfId="11333"/>
    <cellStyle name="千位分隔 4 4 2 3" xfId="11334"/>
    <cellStyle name="千位分隔 4 4 3" xfId="11335"/>
    <cellStyle name="千位分隔 4 4 3 2" xfId="11336"/>
    <cellStyle name="千位分隔 4 4 4" xfId="11337"/>
    <cellStyle name="千位分隔 4 4 4 2" xfId="11338"/>
    <cellStyle name="千位分隔 4 5" xfId="11339"/>
    <cellStyle name="千位分隔 4 5 2" xfId="11340"/>
    <cellStyle name="千位分隔 4 5 2 2" xfId="11341"/>
    <cellStyle name="千位分隔 4 5 2 2 2" xfId="11342"/>
    <cellStyle name="千位分隔 4 5 2 3" xfId="11343"/>
    <cellStyle name="千位分隔 4 5 3" xfId="11344"/>
    <cellStyle name="千位分隔 4 5 3 2" xfId="11345"/>
    <cellStyle name="千位分隔 4 5 4" xfId="11346"/>
    <cellStyle name="千位分隔 4 5 4 2" xfId="11347"/>
    <cellStyle name="千位分隔 4 6" xfId="11348"/>
    <cellStyle name="千位分隔 4 6 2" xfId="11349"/>
    <cellStyle name="千位分隔 4 6 2 2" xfId="11350"/>
    <cellStyle name="千位分隔 4 6 3" xfId="11351"/>
    <cellStyle name="千位分隔 4_1" xfId="11352"/>
    <cellStyle name="千位分隔 5" xfId="11353"/>
    <cellStyle name="千位分隔 5 2" xfId="11354"/>
    <cellStyle name="千位分隔 5 2 2" xfId="11355"/>
    <cellStyle name="千位分隔 5 2 2 2" xfId="11356"/>
    <cellStyle name="千位分隔 5 2 2 2 2" xfId="11357"/>
    <cellStyle name="千位分隔 5 2 2 2 2 2" xfId="11358"/>
    <cellStyle name="千位分隔 5 2 2 2 3" xfId="11359"/>
    <cellStyle name="千位分隔 5 2 2 3" xfId="11360"/>
    <cellStyle name="千位分隔 5 2 2 3 2" xfId="11361"/>
    <cellStyle name="千位分隔 5 2 2 4" xfId="11362"/>
    <cellStyle name="千位分隔 5 2 3" xfId="11363"/>
    <cellStyle name="千位分隔 5 2 3 2" xfId="11364"/>
    <cellStyle name="千位分隔 5 2 3 2 2" xfId="11365"/>
    <cellStyle name="千位分隔 5 2 3 3" xfId="11366"/>
    <cellStyle name="千位分隔 5 2 4" xfId="11367"/>
    <cellStyle name="千位分隔 5 2 4 2" xfId="11368"/>
    <cellStyle name="千位分隔 5 2 4 2 2" xfId="11369"/>
    <cellStyle name="千位分隔 5 2 4 3" xfId="11370"/>
    <cellStyle name="千位分隔 5 2 5" xfId="11371"/>
    <cellStyle name="千位分隔 5 2 5 2" xfId="11372"/>
    <cellStyle name="千位分隔 5 2 5 2 2" xfId="11373"/>
    <cellStyle name="千位分隔 5 2 5 3" xfId="11374"/>
    <cellStyle name="千位分隔 5 2 6" xfId="11375"/>
    <cellStyle name="千位分隔 5 2 6 2" xfId="11376"/>
    <cellStyle name="千位分隔 5 3" xfId="11377"/>
    <cellStyle name="千位分隔 5 3 2" xfId="11378"/>
    <cellStyle name="千位分隔 5 3 2 2" xfId="11379"/>
    <cellStyle name="千位分隔 5 3 2 2 2" xfId="11380"/>
    <cellStyle name="千位分隔 5 3 2 3" xfId="11381"/>
    <cellStyle name="千位分隔 5 3 3" xfId="11382"/>
    <cellStyle name="千位分隔 5 3 3 2" xfId="11383"/>
    <cellStyle name="千位分隔 5 3 3 2 2" xfId="11384"/>
    <cellStyle name="千位分隔 5 3 3 3" xfId="11385"/>
    <cellStyle name="千位分隔 5 3 4" xfId="11386"/>
    <cellStyle name="千位分隔 5 3 4 2" xfId="11387"/>
    <cellStyle name="千位分隔 5 3 4 2 2" xfId="11388"/>
    <cellStyle name="千位分隔 5 3 4 3" xfId="11389"/>
    <cellStyle name="千位分隔 5 3 5" xfId="11390"/>
    <cellStyle name="千位分隔 5 3 5 2" xfId="11391"/>
    <cellStyle name="千位分隔 5 4" xfId="11392"/>
    <cellStyle name="千位分隔 5 4 2" xfId="11393"/>
    <cellStyle name="千位分隔 5 4 2 2" xfId="11394"/>
    <cellStyle name="千位分隔 5 4 3" xfId="11395"/>
    <cellStyle name="千位分隔 5 5" xfId="11396"/>
    <cellStyle name="千位分隔 5 5 2" xfId="11397"/>
    <cellStyle name="千位分隔 5 5 2 2" xfId="11398"/>
    <cellStyle name="千位分隔 5 5 3" xfId="11399"/>
    <cellStyle name="千位分隔 5 6" xfId="11400"/>
    <cellStyle name="千位分隔 5 6 2" xfId="11401"/>
    <cellStyle name="千位分隔 5 6 2 2" xfId="11402"/>
    <cellStyle name="千位分隔 5 6 3" xfId="11403"/>
    <cellStyle name="千位分隔 6" xfId="11404"/>
    <cellStyle name="千位分隔 6 2" xfId="11405"/>
    <cellStyle name="千位分隔 6 2 2" xfId="11406"/>
    <cellStyle name="千位分隔 6 2 2 2" xfId="11407"/>
    <cellStyle name="千位分隔 6 2 2 2 2" xfId="11408"/>
    <cellStyle name="千位分隔 6 2 2 3" xfId="11409"/>
    <cellStyle name="千位分隔 6 2 3" xfId="11410"/>
    <cellStyle name="千位分隔 6 2 3 2" xfId="11411"/>
    <cellStyle name="千位分隔 6 2 4" xfId="11412"/>
    <cellStyle name="千位分隔 6 2 4 2" xfId="11413"/>
    <cellStyle name="千位分隔 6 3" xfId="11414"/>
    <cellStyle name="千位分隔 6 3 2" xfId="11415"/>
    <cellStyle name="千位分隔 6 3 2 2" xfId="11416"/>
    <cellStyle name="千位分隔 6 3 3" xfId="11417"/>
    <cellStyle name="千位分隔 6 4" xfId="11418"/>
    <cellStyle name="千位分隔 6 4 2" xfId="11419"/>
    <cellStyle name="千位分隔 6 4 2 2" xfId="11420"/>
    <cellStyle name="千位分隔 6 4 3" xfId="11421"/>
    <cellStyle name="千位分隔 6 5" xfId="11422"/>
    <cellStyle name="千位分隔 6 5 2" xfId="11423"/>
    <cellStyle name="千位分隔 7" xfId="11424"/>
    <cellStyle name="千位分隔 7 2" xfId="11425"/>
    <cellStyle name="千位分隔 7 2 2" xfId="11426"/>
    <cellStyle name="千位分隔 7 2 2 2" xfId="11427"/>
    <cellStyle name="千位分隔 7 2 2 2 2" xfId="11428"/>
    <cellStyle name="千位分隔 7 2 2 3" xfId="11429"/>
    <cellStyle name="千位分隔 7 2 3" xfId="11430"/>
    <cellStyle name="千位分隔 7 2 3 2" xfId="11431"/>
    <cellStyle name="千位分隔 7 2 4" xfId="11432"/>
    <cellStyle name="千位分隔 7 2 4 2" xfId="11433"/>
    <cellStyle name="千位分隔 7 3" xfId="11434"/>
    <cellStyle name="千位分隔 7 3 2" xfId="11435"/>
    <cellStyle name="千位分隔 7 3 2 2" xfId="11436"/>
    <cellStyle name="千位分隔 7 3 2 2 2" xfId="11437"/>
    <cellStyle name="千位分隔 7 3 2 2 2 2" xfId="11438"/>
    <cellStyle name="千位分隔 7 3 2 2 3" xfId="11439"/>
    <cellStyle name="千位分隔 7 3 2 3" xfId="11440"/>
    <cellStyle name="千位分隔 7 3 2 3 2" xfId="11441"/>
    <cellStyle name="千位分隔 7 3 2 4" xfId="11442"/>
    <cellStyle name="千位分隔 7 3 3" xfId="11443"/>
    <cellStyle name="千位分隔 7 3 3 2" xfId="11444"/>
    <cellStyle name="千位分隔 7 3 3 2 2" xfId="11445"/>
    <cellStyle name="千位分隔 7 3 3 3" xfId="11446"/>
    <cellStyle name="千位分隔 7 3 4" xfId="11447"/>
    <cellStyle name="千位分隔 7 3 4 2" xfId="11448"/>
    <cellStyle name="千位分隔 7 3 4 2 2" xfId="11449"/>
    <cellStyle name="千位分隔 7 3 4 3" xfId="11450"/>
    <cellStyle name="千位分隔 7 3 5" xfId="11451"/>
    <cellStyle name="千位分隔 7 3 5 2" xfId="11452"/>
    <cellStyle name="千位分隔 7 3 5 2 2" xfId="11453"/>
    <cellStyle name="千位分隔 7 3 5 3" xfId="11454"/>
    <cellStyle name="千位分隔 7 3 6" xfId="11455"/>
    <cellStyle name="千位分隔 7 3 6 2" xfId="11456"/>
    <cellStyle name="千位分隔 7 4" xfId="11457"/>
    <cellStyle name="千位分隔 7 4 2" xfId="11458"/>
    <cellStyle name="千位分隔 7 4 2 2" xfId="11459"/>
    <cellStyle name="千位分隔 7 4 3" xfId="11460"/>
    <cellStyle name="千位分隔 7 5" xfId="11461"/>
    <cellStyle name="千位分隔 7 5 2" xfId="11462"/>
    <cellStyle name="千位分隔 7 5 2 2" xfId="11463"/>
    <cellStyle name="千位分隔 7 5 3" xfId="11464"/>
    <cellStyle name="千位分隔 7 6" xfId="11465"/>
    <cellStyle name="千位分隔 7 6 2" xfId="11466"/>
    <cellStyle name="千位分隔 8" xfId="11467"/>
    <cellStyle name="千位分隔 8 2" xfId="11468"/>
    <cellStyle name="千位分隔 8 2 2" xfId="11469"/>
    <cellStyle name="千位分隔 8 2 2 2" xfId="11470"/>
    <cellStyle name="千位分隔 8 2 2 2 2" xfId="11471"/>
    <cellStyle name="千位分隔 8 2 2 3" xfId="11472"/>
    <cellStyle name="千位分隔 8 2 3" xfId="11473"/>
    <cellStyle name="千位分隔 8 2 3 2" xfId="11474"/>
    <cellStyle name="千位分隔 8 2 3 2 2" xfId="11475"/>
    <cellStyle name="千位分隔 8 2 3 3" xfId="11476"/>
    <cellStyle name="千位分隔 8 2 4" xfId="11477"/>
    <cellStyle name="千位分隔 8 2 4 2" xfId="11478"/>
    <cellStyle name="千位分隔 8 2 4 2 2" xfId="11479"/>
    <cellStyle name="千位分隔 8 2 4 3" xfId="11480"/>
    <cellStyle name="千位分隔 8 2 5" xfId="11481"/>
    <cellStyle name="千位分隔 8 2 5 2" xfId="11482"/>
    <cellStyle name="千位分隔 8 3" xfId="11483"/>
    <cellStyle name="千位分隔 8 3 2" xfId="11484"/>
    <cellStyle name="千位分隔 8 3 2 2" xfId="11485"/>
    <cellStyle name="千位分隔 8 3 3" xfId="11486"/>
    <cellStyle name="千位分隔 8 4" xfId="11487"/>
    <cellStyle name="千位分隔 8 4 2" xfId="11488"/>
    <cellStyle name="千位分隔 8 4 2 2" xfId="11489"/>
    <cellStyle name="千位分隔 8 4 3" xfId="11490"/>
    <cellStyle name="千位分隔 8 5" xfId="11491"/>
    <cellStyle name="千位分隔 8 5 2" xfId="11492"/>
    <cellStyle name="千位分隔 8 5 2 2" xfId="11493"/>
    <cellStyle name="千位分隔 8 5 3" xfId="11494"/>
    <cellStyle name="千位分隔 8 6" xfId="11495"/>
    <cellStyle name="千位分隔 8 6 2" xfId="11496"/>
    <cellStyle name="千位分隔 9" xfId="11497"/>
    <cellStyle name="千位分隔 9 2" xfId="11498"/>
    <cellStyle name="千位分隔 9 2 2" xfId="11499"/>
    <cellStyle name="千位分隔 9 2 2 2" xfId="11500"/>
    <cellStyle name="千位分隔 9 2 3" xfId="11501"/>
    <cellStyle name="千位分隔 9 3" xfId="11502"/>
    <cellStyle name="千位分隔 9 3 2" xfId="11503"/>
    <cellStyle name="千位分隔 9 3 2 2" xfId="11504"/>
    <cellStyle name="千位分隔 9 3 3" xfId="11505"/>
    <cellStyle name="千位分隔 9 4" xfId="11506"/>
    <cellStyle name="千位分隔 9 4 2" xfId="11507"/>
    <cellStyle name="千位分隔 9 4 2 2" xfId="11508"/>
    <cellStyle name="千位分隔 9 4 3" xfId="11509"/>
    <cellStyle name="千位分隔 9 5" xfId="11510"/>
    <cellStyle name="千位分隔 9 5 2" xfId="11511"/>
    <cellStyle name="千位分隔[0] 2" xfId="11512"/>
    <cellStyle name="千位分隔[0] 2 2" xfId="11513"/>
    <cellStyle name="千位分隔[0] 2 2 2" xfId="11514"/>
    <cellStyle name="千位分隔[0] 2 2 2 2" xfId="11515"/>
    <cellStyle name="千位分隔[0] 2 2 2 2 2" xfId="11516"/>
    <cellStyle name="千位分隔[0] 2 2 2 2 2 2" xfId="11517"/>
    <cellStyle name="千位分隔[0] 2 2 2 2 2 2 2" xfId="11518"/>
    <cellStyle name="千位分隔[0] 2 2 2 2 2 3" xfId="11519"/>
    <cellStyle name="千位分隔[0] 2 2 2 2 3" xfId="11520"/>
    <cellStyle name="千位分隔[0] 2 2 2 2 3 2" xfId="11521"/>
    <cellStyle name="千位分隔[0] 2 2 2 2 4" xfId="11522"/>
    <cellStyle name="千位分隔[0] 2 2 2 3" xfId="11523"/>
    <cellStyle name="千位分隔[0] 2 2 2 3 2" xfId="11524"/>
    <cellStyle name="千位分隔[0] 2 2 2 3 2 2" xfId="11525"/>
    <cellStyle name="千位分隔[0] 2 2 2 3 3" xfId="11526"/>
    <cellStyle name="千位分隔[0] 2 2 2 4" xfId="11527"/>
    <cellStyle name="千位分隔[0] 2 2 2 4 2" xfId="11528"/>
    <cellStyle name="千位分隔[0] 2 2 2 4 2 2" xfId="11529"/>
    <cellStyle name="千位分隔[0] 2 2 2 4 3" xfId="11530"/>
    <cellStyle name="千位分隔[0] 2 2 2 5" xfId="11531"/>
    <cellStyle name="千位分隔[0] 2 2 2 5 2" xfId="11532"/>
    <cellStyle name="千位分隔[0] 2 2 2 6" xfId="11533"/>
    <cellStyle name="千位分隔[0] 2 2 3" xfId="11534"/>
    <cellStyle name="千位分隔[0] 2 2 3 2" xfId="11535"/>
    <cellStyle name="千位分隔[0] 2 2 3 2 2" xfId="11536"/>
    <cellStyle name="千位分隔[0] 2 2 3 2 2 2" xfId="11537"/>
    <cellStyle name="千位分隔[0] 2 2 3 2 3" xfId="11538"/>
    <cellStyle name="千位分隔[0] 2 2 3 3" xfId="11539"/>
    <cellStyle name="千位分隔[0] 2 2 3 3 2" xfId="11540"/>
    <cellStyle name="千位分隔[0] 2 2 3 4" xfId="11541"/>
    <cellStyle name="千位分隔[0] 2 2 4" xfId="11542"/>
    <cellStyle name="千位分隔[0] 2 2 4 2" xfId="11543"/>
    <cellStyle name="千位分隔[0] 2 2 4 2 2" xfId="11544"/>
    <cellStyle name="千位分隔[0] 2 2 4 3" xfId="11545"/>
    <cellStyle name="千位分隔[0] 2 2 5" xfId="11546"/>
    <cellStyle name="千位分隔[0] 2 2 5 2" xfId="11547"/>
    <cellStyle name="千位分隔[0] 2 2 5 2 2" xfId="11548"/>
    <cellStyle name="千位分隔[0] 2 2 5 3" xfId="11549"/>
    <cellStyle name="千位分隔[0] 2 2 6" xfId="11550"/>
    <cellStyle name="千位分隔[0] 2 2 6 2" xfId="11551"/>
    <cellStyle name="千位分隔[0] 2 2 6 2 2" xfId="11552"/>
    <cellStyle name="千位分隔[0] 2 2 6 3" xfId="11553"/>
    <cellStyle name="千位分隔[0] 2 3" xfId="11554"/>
    <cellStyle name="千位分隔[0] 2 3 2" xfId="11555"/>
    <cellStyle name="千位分隔[0] 2 3 2 2" xfId="11556"/>
    <cellStyle name="千位分隔[0] 2 3 2 2 2" xfId="11557"/>
    <cellStyle name="千位分隔[0] 2 3 2 3" xfId="11558"/>
    <cellStyle name="千位分隔[0] 2 3 3" xfId="11559"/>
    <cellStyle name="千位分隔[0] 2 3 3 2" xfId="11560"/>
    <cellStyle name="千位分隔[0] 2 3 4" xfId="11561"/>
    <cellStyle name="千位分隔[0] 2 4" xfId="11562"/>
    <cellStyle name="千位分隔[0] 2 4 2" xfId="11563"/>
    <cellStyle name="千位分隔[0] 2 4 2 2" xfId="11564"/>
    <cellStyle name="千位分隔[0] 2 4 3" xfId="11565"/>
    <cellStyle name="千位分隔[0] 2 5" xfId="11566"/>
    <cellStyle name="千位分隔[0] 2 5 2" xfId="11567"/>
    <cellStyle name="千位分隔[0] 2 5 2 2" xfId="11568"/>
    <cellStyle name="千位分隔[0] 2 5 3" xfId="11569"/>
    <cellStyle name="千位分隔[0] 2 6" xfId="11570"/>
    <cellStyle name="千位分隔[0] 2 6 2" xfId="11571"/>
    <cellStyle name="千位分隔[0] 2 6 2 2" xfId="11572"/>
    <cellStyle name="千位分隔[0] 2 6 3" xfId="11573"/>
    <cellStyle name="钎霖_(沥焊何巩)岿喊牢盔拌裙" xfId="11574"/>
    <cellStyle name="强调 1" xfId="11575"/>
    <cellStyle name="强调 2" xfId="11576"/>
    <cellStyle name="强调 3" xfId="11577"/>
    <cellStyle name="通貨 [0.00]_１１月価格表" xfId="11578"/>
    <cellStyle name="通貨_１１月価格表" xfId="11579"/>
    <cellStyle name="样式 1" xfId="11580"/>
    <cellStyle name="一般 2" xfId="11581"/>
    <cellStyle name="一般 2 2" xfId="11582"/>
    <cellStyle name="一般 2 2 2" xfId="11583"/>
    <cellStyle name="一般 2 3" xfId="11584"/>
    <cellStyle name="一般 2 3 2" xfId="11585"/>
    <cellStyle name="一般 2 4" xfId="11586"/>
    <cellStyle name="一般 2 5" xfId="11587"/>
    <cellStyle name="一般_2008 06CUIT" xfId="11588"/>
    <cellStyle name="昗弨_BOOKSHIP" xfId="11589"/>
    <cellStyle name="寘嬫愗傝 [0.00]_PRODUCT DETAIL Q1" xfId="11590"/>
    <cellStyle name="寘嬫愗傝_PRODUCT DETAIL Q1" xfId="11591"/>
    <cellStyle name="资产" xfId="11592"/>
    <cellStyle name="资产 2" xfId="11593"/>
    <cellStyle name="资产 2 2" xfId="11594"/>
    <cellStyle name="资产 2 2 2" xfId="11595"/>
    <cellStyle name="资产 2 2 2 2" xfId="11596"/>
    <cellStyle name="资产 2 2 2 2 2" xfId="11597"/>
    <cellStyle name="资产 2 2 2 3" xfId="11598"/>
    <cellStyle name="资产 2 2 2 3 2" xfId="11599"/>
    <cellStyle name="资产 2 2 2 4" xfId="11600"/>
    <cellStyle name="资产 2 2 3" xfId="11601"/>
    <cellStyle name="资产 2 2 3 2" xfId="11602"/>
    <cellStyle name="资产 2 2 4" xfId="11603"/>
    <cellStyle name="资产 2 2 4 2" xfId="11604"/>
    <cellStyle name="资产 2 2 5" xfId="11605"/>
    <cellStyle name="资产 2 2 5 2" xfId="11606"/>
    <cellStyle name="资产 2 2 6" xfId="11607"/>
    <cellStyle name="资产 2 3" xfId="11608"/>
    <cellStyle name="资产 2 3 2" xfId="11609"/>
    <cellStyle name="资产 2 3 2 2" xfId="11610"/>
    <cellStyle name="资产 2 3 3" xfId="11611"/>
    <cellStyle name="资产 2 3 3 2" xfId="11612"/>
    <cellStyle name="资产 2 3 4" xfId="11613"/>
    <cellStyle name="资产 2 4" xfId="11614"/>
    <cellStyle name="资产 2 4 2" xfId="11615"/>
    <cellStyle name="资产 2 4 2 2" xfId="11616"/>
    <cellStyle name="资产 2 4 3" xfId="11617"/>
    <cellStyle name="资产 2 4 3 2" xfId="11618"/>
    <cellStyle name="资产 2 4 4" xfId="11619"/>
    <cellStyle name="资产 2 5" xfId="11620"/>
    <cellStyle name="资产 2 5 2" xfId="11621"/>
    <cellStyle name="资产 2 6" xfId="11622"/>
    <cellStyle name="资产 3" xfId="11623"/>
    <cellStyle name="资产 3 2" xfId="11624"/>
    <cellStyle name="资产 3 2 2" xfId="11625"/>
    <cellStyle name="资产 3 2 2 2" xfId="11626"/>
    <cellStyle name="资产 3 2 3" xfId="11627"/>
    <cellStyle name="资产 3 2 3 2" xfId="11628"/>
    <cellStyle name="资产 3 2 4" xfId="11629"/>
    <cellStyle name="资产 3 3" xfId="11630"/>
    <cellStyle name="资产 3 3 2" xfId="11631"/>
    <cellStyle name="资产 3 4" xfId="11632"/>
    <cellStyle name="资产 3 4 2" xfId="11633"/>
    <cellStyle name="资产 3 5" xfId="11634"/>
    <cellStyle name="资产 3 5 2" xfId="11635"/>
    <cellStyle name="资产 3 6" xfId="11636"/>
    <cellStyle name="资产 4" xfId="11637"/>
    <cellStyle name="资产 4 2" xfId="11638"/>
    <cellStyle name="资产 4 2 2" xfId="11639"/>
    <cellStyle name="资产 4 3" xfId="11640"/>
    <cellStyle name="资产 4 3 2" xfId="11641"/>
    <cellStyle name="资产 4 4" xfId="11642"/>
    <cellStyle name="资产 5" xfId="11643"/>
    <cellStyle name="资产 5 2" xfId="11644"/>
    <cellStyle name="资产 5 2 2" xfId="11645"/>
    <cellStyle name="资产 5 3" xfId="11646"/>
    <cellStyle name="资产 5 3 2" xfId="11647"/>
    <cellStyle name="资产 5 4" xfId="11648"/>
    <cellStyle name="콤마 [0]_BOILER-CO1" xfId="11649"/>
    <cellStyle name="콤마_BOILER-CO1" xfId="11650"/>
    <cellStyle name="통화 [0]_BOILER-CO1" xfId="11651"/>
    <cellStyle name="통화_BOILER-CO1" xfId="11652"/>
    <cellStyle name="표준_0N-HANDLING " xfId="11653"/>
  </cellStyles>
  <dxfs count="16">
    <dxf>
      <fill>
        <patternFill patternType="solid">
          <bgColor rgb="FFFFFFCC"/>
        </patternFill>
      </fill>
    </dxf>
    <dxf>
      <fill>
        <patternFill patternType="solid">
          <bgColor rgb="FFFFFFCC"/>
        </patternFill>
      </fill>
    </dxf>
    <dxf>
      <fill>
        <patternFill patternType="solid">
          <bgColor rgb="FFFFFFCC"/>
        </patternFill>
      </fill>
    </dxf>
    <dxf>
      <font>
        <b val="1"/>
        <i val="0"/>
        <strike val="1"/>
        <color rgb="FF0000FF"/>
      </font>
    </dxf>
    <dxf>
      <border>
        <left style="thin">
          <color auto="1"/>
        </left>
        <right style="thin">
          <color auto="1"/>
        </right>
      </border>
    </dxf>
    <dxf>
      <border>
        <left style="thin">
          <color auto="1"/>
        </left>
        <right style="thin">
          <color auto="1"/>
        </right>
      </border>
    </dxf>
    <dxf>
      <fill>
        <patternFill patternType="solid">
          <bgColor theme="0" tint="-0.14905240028077"/>
        </patternFill>
      </fill>
    </dxf>
    <dxf>
      <fill>
        <patternFill patternType="solid">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patternType="solid">
          <bgColor theme="0" tint="-0.149906918546098"/>
        </patternFill>
      </fill>
    </dxf>
    <dxf>
      <fill>
        <patternFill patternType="solid">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xr9:uid="{8F1D5E6D-BF5C-4477-835B-1FB5A8491E43}">
      <tableStyleElement type="wholeTable" dxfId="9"/>
      <tableStyleElement type="totalRow" dxfId="8"/>
      <tableStyleElement type="firstRowStripe" dxfId="7"/>
      <tableStyleElement type="secondRowStripe" dxfId="6"/>
      <tableStyleElement type="firstColumnStripe" dxfId="5"/>
      <tableStyleElement type="secondColumnStripe" dxfId="4"/>
    </tableStyle>
    <tableStyle name="MySqlDefault" table="0" count="0" xr9:uid="{8A3AF9EE-4FB6-4945-8189-F67F0D60B90D}"/>
    <tableStyle name="Table Style 1 2" pivot="0" count="6" xr9:uid="{0C327BF4-759E-441D-9FC2-E43B14EF6C6D}">
      <tableStyleElement type="wholeTable" dxfId="15"/>
      <tableStyleElement type="totalRow" dxfId="14"/>
      <tableStyleElement type="firstRowStripe" dxfId="13"/>
      <tableStyleElement type="secondRowStripe" dxfId="12"/>
      <tableStyleElement type="firstColumnStripe" dxfId="11"/>
      <tableStyleElement type="secondColumnStripe" dxfId="10"/>
    </tableStyle>
  </tableStyles>
  <colors>
    <mruColors>
      <color rgb="00FFFFCC"/>
      <color rgb="000000FF"/>
      <color rgb="000563C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externalLink" Target="externalLinks/externalLink3.xml"/><Relationship Id="rId18" Type="http://schemas.openxmlformats.org/officeDocument/2006/relationships/externalLink" Target="externalLinks/externalLink2.xml"/><Relationship Id="rId17" Type="http://schemas.openxmlformats.org/officeDocument/2006/relationships/externalLink" Target="externalLinks/externalLink1.xml"/><Relationship Id="rId16" Type="http://schemas.openxmlformats.org/officeDocument/2006/relationships/customXml" Target="../customXml/item4.xml"/><Relationship Id="rId15" Type="http://schemas.openxmlformats.org/officeDocument/2006/relationships/customXml" Target="../customXml/item3.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hyperlink" Target="https://eychinamanaged.sharepoint.cn/sites/GCknowledgecenter/SitePages/%E6%A0%87%E5%87%86%E5%AE%A1%E8%AE%A1%E5%BA%95%E7%A8%BF%E6%A8%A1%E6%9D%BF_K1_%E5%9B%BA%E5%AE%9A%E8%B5%84%E4%BA%A7_202YMMDD_XYZ%E5%85%AC%E5%8F%B8_Read-me-and-Delete-me.aspx#:~:text=K.03.1%2D%E6%B3%A8%E9%87%8A11,%E9%AB%98%E7%B2%BE%E7%A1%AE%E5%BA%A6.xlsx" TargetMode="External"/><Relationship Id="rId6" Type="http://schemas.openxmlformats.org/officeDocument/2006/relationships/hyperlink" Target="https://eychinamanaged.sharepoint.cn/sites/GCknowledgecenter/SitePages/%E6%A0%87%E5%87%86%E5%BA%95%E7%A8%BF%E6%A8%A1%E6%9D%BF%E7%AD%94%E7%96%91%E9%93%BE%E6%8E%A5.aspx" TargetMode="External"/><Relationship Id="rId5" Type="http://schemas.openxmlformats.org/officeDocument/2006/relationships/hyperlink" Target="https://eychinamanaged.sharepoint.cn/sites/GCknowledgecenter/SitePages/%E6%A0%87%E5%87%86%E5%AE%A1%E8%AE%A1%E5%BA%95%E7%A8%BF%E6%A8%A1%E6%9D%BF_K1_%E5%9B%BA%E5%AE%9A%E8%B5%84%E4%BA%A7_202YMMDD_XYZ%E5%85%AC%E5%8F%B8_Read-me-and-Delete-me.aspx#:~:text=%E6%B1%87%E6%80%BB%2D%E6%B3%A8%E9%87%8A,%E6%89%A7%E8%A1%8C%E8%AF%A6%E7%BB%86%E6%B5%8B%E8%AF%95%EF%BC%9B" TargetMode="External"/><Relationship Id="rId4" Type="http://schemas.openxmlformats.org/officeDocument/2006/relationships/hyperlink" Target="https://eychinamanaged.sharepoint.cn/sites/GCknowledgecenter/SitePages/Altas-PSP-%E9%93%BE%E6%8E%A5.aspx#:~:text=%E7%9B%B8%E5%85%B3PSP%20%E4%BB%A5%E5%8F%8AOSP%20%E5%8F%AF%E4%BB%8EAtlas%20%E4%B8%AD%E8%8E%B7%E5%BE%97%EF%BC%8CAtlas%20Link%3A%0A(CN)%20K%2DPPE%0A%E6%9B%B4%E5%A4%9A%E8%AF%A5%E7%A7%91%E7%9B%AE%E7%9B%B8%E5%85%B3%E5%AE%A1%E8%AE%A1%E4%BC%9A%E8%AE%A1%E7%9F%A5%E8%AF%86%E5%8F%AF%E5%8F%82%E8%80%83%E2%80%9C%E5%A4%A7%E4%B8%AD%E5%8D%8E%E5%8C%BA%E4%BC%9A%E8%AE%A1%E5%AE%A1%E8%AE%A1%E7%9F%A5%E8%AF%86%E5%BA%93%E2%80%9D%0AK1_%E5%9B%BA%E5%AE%9A%E8%B5%84%E4%BA%A7%0A%E5%87%8F%E5%80%BC%EF%BC%88%E5%8C%85%E5%90%AB%E9%95%BF%E6%9C%9F%E8%B5%84%E4%BA%A7%E5%87%8F%E5%80%BC%E5%92%8C%E5%95%86%E8%AA%89%E5%87%8F%E5%80%BC%EF%BC%89%E6%A0%87%E5%87%86%E5%BA%95%E7%A8%BF" TargetMode="External"/><Relationship Id="rId3" Type="http://schemas.openxmlformats.org/officeDocument/2006/relationships/hyperlink" Target="https://eychinamanaged.sharepoint.cn/sites/GCknowledgecenter/SitePages/%E6%A0%87%E5%87%86%E5%AE%A1%E8%AE%A1%E5%BA%95%E7%A8%BF%E6%A8%A1%E6%9D%BF_%E9%A2%84%E5%AE%A1&amp;%E5%B9%B4%E5%AE%A1%E5%B7%A5%E4%BD%9C%E6%B3%A8%E6%84%8F%E4%BA%8B%E9%A1%B9.aspx#:~:text=1%EF%BC%89%E9%A2%84%E5%AE%A1%E5%B7%A5%E4%BD%9C%E5%AE%9A%E4%B9%89%EF%BC%9A%E2%80%8BPre%2Dfinal%20audit,%E5%B9%B6%E5%88%A0%E9%99%A4%E5%AF%B9%E5%BA%94%E7%9A%84%E7%A8%8B%E5%BA%8F%E5%92%8C%E7%A8%8B%E5%BA%8F%E8%A1%A8%E3%80%82"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E6%B1%87%E6%80%BB%2D%E6%B3%A8%E9%87%8A2,untested%20population%20is%20needed."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4" Type="http://schemas.openxmlformats.org/officeDocument/2006/relationships/hyperlink" Target="https://eychinamanaged.sharepoint.cn/sites/GCknowledgecenter/SitePages/%E6%A0%87%E5%87%86%E5%AE%A1%E8%AE%A1%E5%BA%95%E7%A8%BF%E6%A8%A1%E6%9D%BF_K1_%E5%9B%BA%E5%AE%9A%E8%B5%84%E4%BA%A7_202YMMDD_XYZ%E5%85%AC%E5%8F%B8_Read-me-and-Delete-me.aspx#:~:text=K.01%2D%E6%B3%A8%E9%87%8A4,%E5%AE%9E%E9%99%85%E4%BD%BF%E7%94%A8%E9%83%A8%E9%97%A8%E7%AD%89%E3%80%82" TargetMode="External"/><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1%2D%E6%B3%A8%E9%87%8A,%E6%97%A0%E4%BB%B7%E5%80%BC%E5%B7%A5%E4%BD%9C%E3%80%82" TargetMode="External"/><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K.02.1%2D%E6%B3%A8%E9%87%8A,%E8%BF%98%E6%98%AF%E8%B4%B9%E7%94%A8%E5%8C%96%E3%80%82" TargetMode="Externa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C2%A0%E6%96%B0%E5%A2%9E%E6%B8%85%E5%8D%95%26%20%E5%A4%84%E7%BD%AE%E6%B8%85%E5%8D%95%2D%E6%B3%A8%E9%87%8A8%EF%BC%9A%E5%9B%BA%E5%AE%9A%E8%B5%84%E4%BA%A7%E6%96%B0%E5%A2%9E%E6%B8%85%E5%8D%95%26%E5%9B%BA%E5%AE%9A%E8%B5%84%E4%BA%A7%E5%A4%84%E7%BD%AE%E6%B8%85%E5%8D%95" TargetMode="External"/></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C2%A0%E6%96%B0%E5%A2%9E%E6%B8%85%E5%8D%95%26%20%E5%A4%84%E7%BD%AE%E6%B8%85%E5%8D%95%2D%E6%B3%A8%E9%87%8A8%EF%BC%9A%E5%9B%BA%E5%AE%9A%E8%B5%84%E4%BA%A7%E6%96%B0%E5%A2%9E%E6%B8%85%E5%8D%95%26%E5%9B%BA%E5%AE%9A%E8%B5%84%E4%BA%A7%E5%A4%84%E7%BD%AE%E6%B8%85%E5%8D%95" TargetMode="External"/></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K1_%E5%9B%BA%E5%AE%9A%E8%B5%84%E4%BA%A7_202YMMDD_XYZ%E5%85%AC%E5%8F%B8_Read-me-and-Delete-me.aspx#:~:text=K.03.2%26K,%E5%80%BC%E9%87%91%E9%A2%9D%E7%AD%89%E3%80%82"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K1_%E5%9B%BA%E5%AE%9A%E8%B5%84%E4%BA%A7_202YMMDD_XYZ%E5%85%AC%E5%8F%B8_Read-me-and-Delete-me.aspx#:~:text=K.03.2%26K,%E5%80%BC%E9%87%91%E9%A2%9D%E7%AD%89%E3%80%82" TargetMode="External"/><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1228725</xdr:colOff>
      <xdr:row>11</xdr:row>
      <xdr:rowOff>142875</xdr:rowOff>
    </xdr:from>
    <xdr:to>
      <xdr:col>4</xdr:col>
      <xdr:colOff>1419225</xdr:colOff>
      <xdr:row>11</xdr:row>
      <xdr:rowOff>342900</xdr:rowOff>
    </xdr:to>
    <xdr:pic>
      <xdr:nvPicPr>
        <xdr:cNvPr id="7" name="图片 16">
          <a:hlinkClick xmlns:r="http://schemas.openxmlformats.org/officeDocument/2006/relationships" r:id="rId1"/>
        </xdr:cNvPr>
        <xdr:cNvPicPr>
          <a:picLocks noChangeAspect="1"/>
        </xdr:cNvPicPr>
      </xdr:nvPicPr>
      <xdr:blipFill>
        <a:blip r:embed="rId2"/>
        <a:stretch>
          <a:fillRect/>
        </a:stretch>
      </xdr:blipFill>
      <xdr:spPr>
        <a:xfrm>
          <a:off x="5203825" y="3803015"/>
          <a:ext cx="190500" cy="200025"/>
        </a:xfrm>
        <a:prstGeom prst="rect">
          <a:avLst/>
        </a:prstGeom>
      </xdr:spPr>
    </xdr:pic>
    <xdr:clientData/>
  </xdr:twoCellAnchor>
  <xdr:twoCellAnchor>
    <xdr:from>
      <xdr:col>4</xdr:col>
      <xdr:colOff>1209675</xdr:colOff>
      <xdr:row>15</xdr:row>
      <xdr:rowOff>133350</xdr:rowOff>
    </xdr:from>
    <xdr:to>
      <xdr:col>4</xdr:col>
      <xdr:colOff>1409700</xdr:colOff>
      <xdr:row>15</xdr:row>
      <xdr:rowOff>333375</xdr:rowOff>
    </xdr:to>
    <xdr:pic>
      <xdr:nvPicPr>
        <xdr:cNvPr id="14" name="图片 16">
          <a:hlinkClick xmlns:r="http://schemas.openxmlformats.org/officeDocument/2006/relationships" r:id="rId1"/>
        </xdr:cNvPr>
        <xdr:cNvPicPr>
          <a:picLocks noChangeAspect="1"/>
        </xdr:cNvPicPr>
      </xdr:nvPicPr>
      <xdr:blipFill>
        <a:blip r:embed="rId2"/>
        <a:stretch>
          <a:fillRect/>
        </a:stretch>
      </xdr:blipFill>
      <xdr:spPr>
        <a:xfrm>
          <a:off x="5184775" y="5327015"/>
          <a:ext cx="200025" cy="200025"/>
        </a:xfrm>
        <a:prstGeom prst="rect">
          <a:avLst/>
        </a:prstGeom>
      </xdr:spPr>
    </xdr:pic>
    <xdr:clientData/>
  </xdr:twoCellAnchor>
  <xdr:twoCellAnchor>
    <xdr:from>
      <xdr:col>6</xdr:col>
      <xdr:colOff>671286</xdr:colOff>
      <xdr:row>4</xdr:row>
      <xdr:rowOff>9071</xdr:rowOff>
    </xdr:from>
    <xdr:to>
      <xdr:col>6</xdr:col>
      <xdr:colOff>901004</xdr:colOff>
      <xdr:row>4</xdr:row>
      <xdr:rowOff>187778</xdr:rowOff>
    </xdr:to>
    <xdr:pic>
      <xdr:nvPicPr>
        <xdr:cNvPr id="21" name="图片 16">
          <a:hlinkClick xmlns:r="http://schemas.openxmlformats.org/officeDocument/2006/relationships" r:id="rId3"/>
        </xdr:cNvPr>
        <xdr:cNvPicPr>
          <a:picLocks noChangeAspect="1"/>
        </xdr:cNvPicPr>
      </xdr:nvPicPr>
      <xdr:blipFill>
        <a:blip r:embed="rId2"/>
        <a:stretch>
          <a:fillRect/>
        </a:stretch>
      </xdr:blipFill>
      <xdr:spPr>
        <a:xfrm>
          <a:off x="8490585" y="823595"/>
          <a:ext cx="229235" cy="178435"/>
        </a:xfrm>
        <a:prstGeom prst="rect">
          <a:avLst/>
        </a:prstGeom>
      </xdr:spPr>
    </xdr:pic>
    <xdr:clientData/>
  </xdr:twoCellAnchor>
  <xdr:twoCellAnchor>
    <xdr:from>
      <xdr:col>1</xdr:col>
      <xdr:colOff>695722</xdr:colOff>
      <xdr:row>4</xdr:row>
      <xdr:rowOff>22679</xdr:rowOff>
    </xdr:from>
    <xdr:to>
      <xdr:col>1</xdr:col>
      <xdr:colOff>920749</xdr:colOff>
      <xdr:row>5</xdr:row>
      <xdr:rowOff>13467</xdr:rowOff>
    </xdr:to>
    <xdr:pic>
      <xdr:nvPicPr>
        <xdr:cNvPr id="18" name="图片 16">
          <a:hlinkClick xmlns:r="http://schemas.openxmlformats.org/officeDocument/2006/relationships" r:id="rId4"/>
        </xdr:cNvPr>
        <xdr:cNvPicPr>
          <a:picLocks noChangeAspect="1"/>
        </xdr:cNvPicPr>
      </xdr:nvPicPr>
      <xdr:blipFill>
        <a:blip r:embed="rId2"/>
        <a:stretch>
          <a:fillRect/>
        </a:stretch>
      </xdr:blipFill>
      <xdr:spPr>
        <a:xfrm>
          <a:off x="882015" y="836930"/>
          <a:ext cx="224790" cy="181610"/>
        </a:xfrm>
        <a:prstGeom prst="rect">
          <a:avLst/>
        </a:prstGeom>
      </xdr:spPr>
    </xdr:pic>
    <xdr:clientData/>
  </xdr:twoCellAnchor>
  <xdr:twoCellAnchor>
    <xdr:from>
      <xdr:col>4</xdr:col>
      <xdr:colOff>1197429</xdr:colOff>
      <xdr:row>15</xdr:row>
      <xdr:rowOff>353786</xdr:rowOff>
    </xdr:from>
    <xdr:to>
      <xdr:col>4</xdr:col>
      <xdr:colOff>1415148</xdr:colOff>
      <xdr:row>17</xdr:row>
      <xdr:rowOff>2</xdr:rowOff>
    </xdr:to>
    <xdr:pic>
      <xdr:nvPicPr>
        <xdr:cNvPr id="5" name="图片 16">
          <a:hlinkClick xmlns:r="http://schemas.openxmlformats.org/officeDocument/2006/relationships" r:id="rId5"/>
        </xdr:cNvPr>
        <xdr:cNvPicPr>
          <a:picLocks noChangeAspect="1"/>
        </xdr:cNvPicPr>
      </xdr:nvPicPr>
      <xdr:blipFill>
        <a:blip r:embed="rId2"/>
        <a:stretch>
          <a:fillRect/>
        </a:stretch>
      </xdr:blipFill>
      <xdr:spPr>
        <a:xfrm>
          <a:off x="5172075" y="5547360"/>
          <a:ext cx="217805" cy="735330"/>
        </a:xfrm>
        <a:prstGeom prst="rect">
          <a:avLst/>
        </a:prstGeom>
      </xdr:spPr>
    </xdr:pic>
    <xdr:clientData/>
  </xdr:twoCellAnchor>
  <xdr:oneCellAnchor>
    <xdr:from>
      <xdr:col>8</xdr:col>
      <xdr:colOff>1306285</xdr:colOff>
      <xdr:row>3</xdr:row>
      <xdr:rowOff>117929</xdr:rowOff>
    </xdr:from>
    <xdr:ext cx="205343" cy="199303"/>
    <xdr:pic>
      <xdr:nvPicPr>
        <xdr:cNvPr id="23" name="图片 9">
          <a:hlinkClick xmlns:r="http://schemas.openxmlformats.org/officeDocument/2006/relationships" r:id="rId6"/>
        </xdr:cNvPr>
        <xdr:cNvPicPr>
          <a:picLocks noChangeAspect="1"/>
        </xdr:cNvPicPr>
      </xdr:nvPicPr>
      <xdr:blipFill>
        <a:blip r:embed="rId2"/>
        <a:stretch>
          <a:fillRect/>
        </a:stretch>
      </xdr:blipFill>
      <xdr:spPr>
        <a:xfrm>
          <a:off x="11369675" y="803275"/>
          <a:ext cx="205105" cy="199390"/>
        </a:xfrm>
        <a:prstGeom prst="rect">
          <a:avLst/>
        </a:prstGeom>
      </xdr:spPr>
    </xdr:pic>
    <xdr:clientData/>
  </xdr:oneCellAnchor>
  <xdr:oneCellAnchor>
    <xdr:from>
      <xdr:col>4</xdr:col>
      <xdr:colOff>1217521</xdr:colOff>
      <xdr:row>17</xdr:row>
      <xdr:rowOff>232833</xdr:rowOff>
    </xdr:from>
    <xdr:ext cx="211230" cy="190501"/>
    <xdr:pic>
      <xdr:nvPicPr>
        <xdr:cNvPr id="2" name="Picture 1">
          <a:hlinkClick xmlns:r="http://schemas.openxmlformats.org/officeDocument/2006/relationships" r:id="rId7"/>
        </xdr:cNvPr>
        <xdr:cNvPicPr>
          <a:picLocks noChangeAspect="1"/>
        </xdr:cNvPicPr>
      </xdr:nvPicPr>
      <xdr:blipFill>
        <a:blip r:embed="rId2"/>
        <a:stretch>
          <a:fillRect/>
        </a:stretch>
      </xdr:blipFill>
      <xdr:spPr>
        <a:xfrm>
          <a:off x="5192395" y="6515100"/>
          <a:ext cx="211455" cy="1905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61633</xdr:colOff>
      <xdr:row>0</xdr:row>
      <xdr:rowOff>15128</xdr:rowOff>
    </xdr:from>
    <xdr:to>
      <xdr:col>1</xdr:col>
      <xdr:colOff>552684</xdr:colOff>
      <xdr:row>0</xdr:row>
      <xdr:rowOff>532834</xdr:rowOff>
    </xdr:to>
    <xdr:pic>
      <xdr:nvPicPr>
        <xdr:cNvPr id="5" name="Picture 4"/>
        <xdr:cNvPicPr>
          <a:picLocks noChangeAspect="1"/>
        </xdr:cNvPicPr>
      </xdr:nvPicPr>
      <xdr:blipFill>
        <a:blip r:embed="rId1"/>
        <a:stretch>
          <a:fillRect/>
        </a:stretch>
      </xdr:blipFill>
      <xdr:spPr>
        <a:xfrm>
          <a:off x="248285" y="14605"/>
          <a:ext cx="490855" cy="51816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19050</xdr:colOff>
      <xdr:row>0</xdr:row>
      <xdr:rowOff>0</xdr:rowOff>
    </xdr:from>
    <xdr:to>
      <xdr:col>1</xdr:col>
      <xdr:colOff>716376</xdr:colOff>
      <xdr:row>1</xdr:row>
      <xdr:rowOff>185964</xdr:rowOff>
    </xdr:to>
    <xdr:pic>
      <xdr:nvPicPr>
        <xdr:cNvPr id="4" name="Picture 5"/>
        <xdr:cNvPicPr>
          <a:picLocks noChangeAspect="1"/>
        </xdr:cNvPicPr>
      </xdr:nvPicPr>
      <xdr:blipFill>
        <a:blip r:embed="rId1"/>
        <a:stretch>
          <a:fillRect/>
        </a:stretch>
      </xdr:blipFill>
      <xdr:spPr>
        <a:xfrm>
          <a:off x="205740" y="0"/>
          <a:ext cx="697230" cy="585470"/>
        </a:xfrm>
        <a:prstGeom prst="rect">
          <a:avLst/>
        </a:prstGeom>
      </xdr:spPr>
    </xdr:pic>
    <xdr:clientData/>
  </xdr:twoCellAnchor>
  <xdr:twoCellAnchor>
    <xdr:from>
      <xdr:col>1</xdr:col>
      <xdr:colOff>314326</xdr:colOff>
      <xdr:row>8</xdr:row>
      <xdr:rowOff>77562</xdr:rowOff>
    </xdr:from>
    <xdr:to>
      <xdr:col>1</xdr:col>
      <xdr:colOff>622533</xdr:colOff>
      <xdr:row>8</xdr:row>
      <xdr:rowOff>367394</xdr:rowOff>
    </xdr:to>
    <xdr:pic>
      <xdr:nvPicPr>
        <xdr:cNvPr id="7" name="图片 3">
          <a:hlinkClick xmlns:r="http://schemas.openxmlformats.org/officeDocument/2006/relationships" r:id="rId2"/>
        </xdr:cNvPr>
        <xdr:cNvPicPr>
          <a:picLocks noChangeAspect="1"/>
        </xdr:cNvPicPr>
      </xdr:nvPicPr>
      <xdr:blipFill>
        <a:blip r:embed="rId3"/>
        <a:stretch>
          <a:fillRect/>
        </a:stretch>
      </xdr:blipFill>
      <xdr:spPr>
        <a:xfrm>
          <a:off x="501015" y="2030095"/>
          <a:ext cx="307975" cy="125730"/>
        </a:xfrm>
        <a:prstGeom prst="rect">
          <a:avLst/>
        </a:prstGeom>
      </xdr:spPr>
    </xdr:pic>
    <xdr:clientData/>
  </xdr:twoCellAnchor>
  <xdr:twoCellAnchor>
    <xdr:from>
      <xdr:col>4</xdr:col>
      <xdr:colOff>579504</xdr:colOff>
      <xdr:row>71</xdr:row>
      <xdr:rowOff>179294</xdr:rowOff>
    </xdr:from>
    <xdr:to>
      <xdr:col>4</xdr:col>
      <xdr:colOff>852519</xdr:colOff>
      <xdr:row>73</xdr:row>
      <xdr:rowOff>22411</xdr:rowOff>
    </xdr:to>
    <xdr:pic>
      <xdr:nvPicPr>
        <xdr:cNvPr id="9" name="图片 19">
          <a:hlinkClick xmlns:r="http://schemas.openxmlformats.org/officeDocument/2006/relationships" r:id="rId4"/>
        </xdr:cNvPr>
        <xdr:cNvPicPr>
          <a:picLocks noChangeAspect="1"/>
        </xdr:cNvPicPr>
      </xdr:nvPicPr>
      <xdr:blipFill>
        <a:blip r:embed="rId3"/>
        <a:stretch>
          <a:fillRect/>
        </a:stretch>
      </xdr:blipFill>
      <xdr:spPr>
        <a:xfrm>
          <a:off x="4761865" y="14887575"/>
          <a:ext cx="273050" cy="26225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11</xdr:col>
      <xdr:colOff>1258539</xdr:colOff>
      <xdr:row>32</xdr:row>
      <xdr:rowOff>430893</xdr:rowOff>
    </xdr:from>
    <xdr:to>
      <xdr:col>11</xdr:col>
      <xdr:colOff>1591137</xdr:colOff>
      <xdr:row>32</xdr:row>
      <xdr:rowOff>707573</xdr:rowOff>
    </xdr:to>
    <xdr:pic>
      <xdr:nvPicPr>
        <xdr:cNvPr id="2" name="图片 16">
          <a:hlinkClick xmlns:r="http://schemas.openxmlformats.org/officeDocument/2006/relationships" r:id="rId1"/>
        </xdr:cNvPr>
        <xdr:cNvPicPr>
          <a:picLocks noChangeAspect="1"/>
        </xdr:cNvPicPr>
      </xdr:nvPicPr>
      <xdr:blipFill>
        <a:blip r:embed="rId2"/>
        <a:stretch>
          <a:fillRect/>
        </a:stretch>
      </xdr:blipFill>
      <xdr:spPr>
        <a:xfrm>
          <a:off x="12205970" y="8199120"/>
          <a:ext cx="332740" cy="0"/>
        </a:xfrm>
        <a:prstGeom prst="rect">
          <a:avLst/>
        </a:prstGeom>
      </xdr:spPr>
    </xdr:pic>
    <xdr:clientData/>
  </xdr:twoCellAnchor>
  <xdr:twoCellAnchor editAs="oneCell">
    <xdr:from>
      <xdr:col>1</xdr:col>
      <xdr:colOff>127000</xdr:colOff>
      <xdr:row>0</xdr:row>
      <xdr:rowOff>0</xdr:rowOff>
    </xdr:from>
    <xdr:to>
      <xdr:col>1</xdr:col>
      <xdr:colOff>618051</xdr:colOff>
      <xdr:row>0</xdr:row>
      <xdr:rowOff>517706</xdr:rowOff>
    </xdr:to>
    <xdr:pic>
      <xdr:nvPicPr>
        <xdr:cNvPr id="3" name="Picture 4"/>
        <xdr:cNvPicPr>
          <a:picLocks noChangeAspect="1"/>
        </xdr:cNvPicPr>
      </xdr:nvPicPr>
      <xdr:blipFill>
        <a:blip r:embed="rId3"/>
        <a:stretch>
          <a:fillRect/>
        </a:stretch>
      </xdr:blipFill>
      <xdr:spPr>
        <a:xfrm>
          <a:off x="313690" y="0"/>
          <a:ext cx="490855" cy="51752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152400</xdr:colOff>
      <xdr:row>0</xdr:row>
      <xdr:rowOff>66675</xdr:rowOff>
    </xdr:from>
    <xdr:ext cx="323850" cy="333375"/>
    <xdr:pic>
      <xdr:nvPicPr>
        <xdr:cNvPr id="2" name="Picture 23"/>
        <xdr:cNvPicPr>
          <a:picLocks noChangeAspect="1"/>
        </xdr:cNvPicPr>
      </xdr:nvPicPr>
      <xdr:blipFill>
        <a:blip r:embed="rId1"/>
        <a:stretch>
          <a:fillRect/>
        </a:stretch>
      </xdr:blipFill>
      <xdr:spPr>
        <a:xfrm>
          <a:off x="152400" y="66675"/>
          <a:ext cx="323850" cy="333375"/>
        </a:xfrm>
        <a:prstGeom prst="rect">
          <a:avLst/>
        </a:prstGeom>
      </xdr:spPr>
    </xdr:pic>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117024</xdr:colOff>
      <xdr:row>0</xdr:row>
      <xdr:rowOff>82096</xdr:rowOff>
    </xdr:from>
    <xdr:to>
      <xdr:col>7</xdr:col>
      <xdr:colOff>368464</xdr:colOff>
      <xdr:row>2</xdr:row>
      <xdr:rowOff>28575</xdr:rowOff>
    </xdr:to>
    <xdr:pic>
      <xdr:nvPicPr>
        <xdr:cNvPr id="2" name="Picture 1">
          <a:hlinkClick xmlns:r="http://schemas.openxmlformats.org/officeDocument/2006/relationships" r:id="rId1"/>
        </xdr:cNvPr>
        <xdr:cNvPicPr>
          <a:picLocks noChangeAspect="1"/>
        </xdr:cNvPicPr>
      </xdr:nvPicPr>
      <xdr:blipFill>
        <a:blip r:embed="rId2"/>
        <a:stretch>
          <a:fillRect/>
        </a:stretch>
      </xdr:blipFill>
      <xdr:spPr>
        <a:xfrm>
          <a:off x="8651240" y="81915"/>
          <a:ext cx="251460" cy="25654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463552</xdr:colOff>
      <xdr:row>0</xdr:row>
      <xdr:rowOff>0</xdr:rowOff>
    </xdr:from>
    <xdr:to>
      <xdr:col>12</xdr:col>
      <xdr:colOff>753999</xdr:colOff>
      <xdr:row>1</xdr:row>
      <xdr:rowOff>13154</xdr:rowOff>
    </xdr:to>
    <xdr:pic>
      <xdr:nvPicPr>
        <xdr:cNvPr id="2" name="Picture 1">
          <a:hlinkClick xmlns:r="http://schemas.openxmlformats.org/officeDocument/2006/relationships" r:id="rId1"/>
        </xdr:cNvPr>
        <xdr:cNvPicPr>
          <a:picLocks noChangeAspect="1"/>
        </xdr:cNvPicPr>
      </xdr:nvPicPr>
      <xdr:blipFill>
        <a:blip r:embed="rId2"/>
        <a:stretch>
          <a:fillRect/>
        </a:stretch>
      </xdr:blipFill>
      <xdr:spPr>
        <a:xfrm>
          <a:off x="14689455" y="0"/>
          <a:ext cx="290195" cy="25082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6</xdr:col>
      <xdr:colOff>190500</xdr:colOff>
      <xdr:row>4</xdr:row>
      <xdr:rowOff>0</xdr:rowOff>
    </xdr:from>
    <xdr:ext cx="243417" cy="219529"/>
    <xdr:pic>
      <xdr:nvPicPr>
        <xdr:cNvPr id="3" name="Picture 1">
          <a:hlinkClick xmlns:r="http://schemas.openxmlformats.org/officeDocument/2006/relationships" r:id="rId1"/>
        </xdr:cNvPr>
        <xdr:cNvPicPr>
          <a:picLocks noChangeAspect="1"/>
        </xdr:cNvPicPr>
      </xdr:nvPicPr>
      <xdr:blipFill>
        <a:blip r:embed="rId2"/>
        <a:stretch>
          <a:fillRect/>
        </a:stretch>
      </xdr:blipFill>
      <xdr:spPr>
        <a:xfrm>
          <a:off x="6000750" y="1009650"/>
          <a:ext cx="243205" cy="219075"/>
        </a:xfrm>
        <a:prstGeom prst="rect">
          <a:avLst/>
        </a:prstGeom>
      </xdr:spPr>
    </xdr:pic>
    <xdr:clientData/>
  </xdr:oneCellAnchor>
  <xdr:twoCellAnchor>
    <xdr:from>
      <xdr:col>18</xdr:col>
      <xdr:colOff>323850</xdr:colOff>
      <xdr:row>935</xdr:row>
      <xdr:rowOff>0</xdr:rowOff>
    </xdr:from>
    <xdr:to>
      <xdr:col>18</xdr:col>
      <xdr:colOff>438150</xdr:colOff>
      <xdr:row>990</xdr:row>
      <xdr:rowOff>180975</xdr:rowOff>
    </xdr:to>
    <xdr:grpSp>
      <xdr:nvGrpSpPr>
        <xdr:cNvPr id="5" name="组合 4"/>
        <xdr:cNvGrpSpPr/>
      </xdr:nvGrpSpPr>
      <xdr:grpSpPr>
        <a:xfrm>
          <a:off x="19437350" y="196190235"/>
          <a:ext cx="114300" cy="11706225"/>
          <a:chOff x="17849850" y="172618400"/>
          <a:chExt cx="114300" cy="10309225"/>
        </a:xfrm>
      </xdr:grpSpPr>
      <xdr:cxnSp>
        <xdr:nvCxnSpPr>
          <xdr:cNvPr id="2" name="直接连接符 1"/>
          <xdr:cNvCxnSpPr/>
        </xdr:nvCxnSpPr>
        <xdr:spPr>
          <a:xfrm>
            <a:off x="17900650" y="172618400"/>
            <a:ext cx="0" cy="10309225"/>
          </a:xfrm>
          <a:prstGeom prst="line">
            <a:avLst/>
          </a:prstGeom>
          <a:ln w="1">
            <a:solidFill>
              <a:srgbClr xmlns:mc="http://schemas.openxmlformats.org/markup-compatibility/2006" xmlns:a14="http://schemas.microsoft.com/office/drawing/2010/main" val="0000FF" mc:Ignorable="a14" a14:legacySpreadsheetColorIndex="12"/>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cxnSp>
        <xdr:nvCxnSpPr>
          <xdr:cNvPr id="4" name="直接连接符 3"/>
          <xdr:cNvCxnSpPr/>
        </xdr:nvCxnSpPr>
        <xdr:spPr>
          <a:xfrm>
            <a:off x="17849850" y="182927625"/>
            <a:ext cx="114300" cy="0"/>
          </a:xfrm>
          <a:prstGeom prst="line">
            <a:avLst/>
          </a:prstGeom>
          <a:ln w="1">
            <a:solidFill>
              <a:srgbClr xmlns:mc="http://schemas.openxmlformats.org/markup-compatibility/2006" xmlns:a14="http://schemas.microsoft.com/office/drawing/2010/main" val="0000FF" mc:Ignorable="a14" a14:legacySpreadsheetColorIndex="12"/>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136072</xdr:colOff>
      <xdr:row>0</xdr:row>
      <xdr:rowOff>68036</xdr:rowOff>
    </xdr:from>
    <xdr:to>
      <xdr:col>1</xdr:col>
      <xdr:colOff>627123</xdr:colOff>
      <xdr:row>0</xdr:row>
      <xdr:rowOff>585742</xdr:rowOff>
    </xdr:to>
    <xdr:pic>
      <xdr:nvPicPr>
        <xdr:cNvPr id="2" name="Picture 4"/>
        <xdr:cNvPicPr>
          <a:picLocks noChangeAspect="1"/>
        </xdr:cNvPicPr>
      </xdr:nvPicPr>
      <xdr:blipFill>
        <a:blip r:embed="rId1"/>
        <a:stretch>
          <a:fillRect/>
        </a:stretch>
      </xdr:blipFill>
      <xdr:spPr>
        <a:xfrm>
          <a:off x="322580" y="67945"/>
          <a:ext cx="490855" cy="517525"/>
        </a:xfrm>
        <a:prstGeom prst="rect">
          <a:avLst/>
        </a:prstGeom>
      </xdr:spPr>
    </xdr:pic>
    <xdr:clientData/>
  </xdr:twoCellAnchor>
  <xdr:oneCellAnchor>
    <xdr:from>
      <xdr:col>5</xdr:col>
      <xdr:colOff>904119</xdr:colOff>
      <xdr:row>5</xdr:row>
      <xdr:rowOff>145899</xdr:rowOff>
    </xdr:from>
    <xdr:ext cx="243417" cy="244929"/>
    <xdr:pic>
      <xdr:nvPicPr>
        <xdr:cNvPr id="3" name="Picture 1">
          <a:hlinkClick xmlns:r="http://schemas.openxmlformats.org/officeDocument/2006/relationships" r:id="rId2"/>
        </xdr:cNvPr>
        <xdr:cNvPicPr>
          <a:picLocks noChangeAspect="1"/>
        </xdr:cNvPicPr>
      </xdr:nvPicPr>
      <xdr:blipFill>
        <a:blip r:embed="rId3"/>
        <a:stretch>
          <a:fillRect/>
        </a:stretch>
      </xdr:blipFill>
      <xdr:spPr>
        <a:xfrm>
          <a:off x="7475855" y="1734820"/>
          <a:ext cx="243840" cy="24511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tes\IPO19\Shared%20Documents\&#27993;&#27743;&#21147;&#31215;IPO\260430&#21152;&#26399;\01.%20A3A5\A3A5-0430\01.&#27993;&#27743;&#21147;&#31215;_A3_IPO&#19977;&#2418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tes\IPO19\Shared%20Documents\&#27993;&#27743;&#21147;&#31215;IPO\251231&#24180;&#23457;\01.A3A5\01.&#27993;&#27743;&#21147;&#31215;_A3_IPO&#19977;&#2418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ites\IPO19\Shared%20Documents\&#27993;&#27743;&#21147;&#31215;IPO\260430&#21152;&#26399;\&#27993;&#27743;&#21147;&#31215;_SWP_&#38598;&#22242;&#23457;&#35745;&#33539;&#22260;Planning-202643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长投梳理-浙江买香港100%-旧"/>
      <sheetName val="长投梳理-浙江买香港100%-旧2"/>
      <sheetName val="长投梳理-浙江买香港100%-新"/>
      <sheetName val="The company EM"/>
      <sheetName val="Compare BS"/>
      <sheetName val="A300_IFRS"/>
      <sheetName val="合并公司A3"/>
      <sheetName val="合并调整A5"/>
      <sheetName val="浙江力积A3"/>
      <sheetName val="浙江力积A5-PRC"/>
      <sheetName val="浙江力积A5-IFRS"/>
      <sheetName val="调整数据源"/>
      <sheetName val="上海分A3"/>
      <sheetName val="上海分A5-PRC"/>
      <sheetName val="上海分A5-IFRS"/>
      <sheetName val="北京分A3"/>
      <sheetName val="北京分A5-PRC"/>
      <sheetName val="北京分A5-IFRS"/>
      <sheetName val="杭州分A3"/>
      <sheetName val="杭州分A5-PRC"/>
      <sheetName val="杭州分A5-IFRS"/>
      <sheetName val="深圳分A3"/>
      <sheetName val="深圳分A5-PRC"/>
      <sheetName val="深圳分A5-IFRS"/>
      <sheetName val="西安分A3"/>
      <sheetName val="西安分A5-PRC"/>
      <sheetName val="西安分A5-IFRS"/>
      <sheetName val="DS_INTERNAL_SETTINGS_STORAGE"/>
      <sheetName val="DS_INTERNAL_DOCGROUP_STORAGE"/>
      <sheetName val="DS_INTERNAL_DOCUMENT_STORAGE"/>
      <sheetName val="DS_INTERNAL_SNIP_STORAGE"/>
    </sheetNames>
    <sheetDataSet>
      <sheetData sheetId="0"/>
      <sheetData sheetId="1"/>
      <sheetData sheetId="2"/>
      <sheetData sheetId="3"/>
      <sheetData sheetId="4"/>
      <sheetData sheetId="5"/>
      <sheetData sheetId="6"/>
      <sheetData sheetId="7"/>
      <sheetData sheetId="8">
        <row r="63">
          <cell r="BN63">
            <v>79315172.05</v>
          </cell>
        </row>
        <row r="63">
          <cell r="BR63">
            <v>79315172.05</v>
          </cell>
        </row>
        <row r="63">
          <cell r="BZ63">
            <v>72201672.73</v>
          </cell>
        </row>
      </sheetData>
      <sheetData sheetId="9">
        <row r="289">
          <cell r="K289">
            <v>1206466.42</v>
          </cell>
        </row>
        <row r="291">
          <cell r="K291">
            <v>-2309027.52</v>
          </cell>
        </row>
        <row r="292">
          <cell r="K292">
            <v>1102561.1</v>
          </cell>
        </row>
        <row r="297">
          <cell r="K297">
            <v>-1206466.27</v>
          </cell>
        </row>
        <row r="298">
          <cell r="K298">
            <v>1724074.12</v>
          </cell>
        </row>
        <row r="299">
          <cell r="K299">
            <v>-517607.85</v>
          </cell>
        </row>
        <row r="301">
          <cell r="K301">
            <v>-146238.29</v>
          </cell>
        </row>
        <row r="302">
          <cell r="K302">
            <v>584953.25</v>
          </cell>
        </row>
        <row r="304">
          <cell r="K304">
            <v>-438714.96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长投梳理-浙江买香港100%-旧"/>
      <sheetName val="长投梳理-浙江买香港100%-旧2"/>
      <sheetName val="长投梳理-浙江买香港100%-新"/>
      <sheetName val="The company EM"/>
      <sheetName val="Compare BS"/>
      <sheetName val="A300_IFRS"/>
      <sheetName val="合并公司A3"/>
      <sheetName val="合并调整A5"/>
      <sheetName val="浙江力积A3"/>
      <sheetName val="浙江力积A5-PRC"/>
      <sheetName val="浙江力积A5-IFRS"/>
      <sheetName val="调整数据源"/>
      <sheetName val="上海分A3"/>
      <sheetName val="上海分A5-PRC"/>
      <sheetName val="上海分A5-IFRS"/>
      <sheetName val="北京分A3"/>
      <sheetName val="北京分A5-PRC"/>
      <sheetName val="北京分A5-IFRS"/>
      <sheetName val="杭州分A3"/>
      <sheetName val="杭州分A5-PRC"/>
      <sheetName val="杭州分A5-IFRS"/>
      <sheetName val="深圳分A3"/>
      <sheetName val="深圳分A5-PRC"/>
      <sheetName val="深圳分A5-IFRS"/>
      <sheetName val="西安分A3"/>
      <sheetName val="西安分A5-PRC"/>
      <sheetName val="西安分A5-IFRS"/>
      <sheetName val="DS_INTERNAL_SETTINGS_STORAGE"/>
      <sheetName val="DS_INTERNAL_DOCGROUP_STORAGE"/>
      <sheetName val="DS_INTERNAL_DOCUMENT_STORAGE"/>
      <sheetName val="DS_INTERNAL_SNIP_STORAGE"/>
      <sheetName val="Sheet1"/>
    </sheetNames>
    <sheetDataSet>
      <sheetData sheetId="0"/>
      <sheetData sheetId="1"/>
      <sheetData sheetId="2"/>
      <sheetData sheetId="3"/>
      <sheetData sheetId="4"/>
      <sheetData sheetId="5"/>
      <sheetData sheetId="6"/>
      <sheetData sheetId="7"/>
      <sheetData sheetId="8"/>
      <sheetData sheetId="9">
        <row r="297">
          <cell r="A297" t="str">
            <v>AA#22</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汇总"/>
      <sheetName val="1.集团范围界定分析"/>
      <sheetName val="2.IRC分析"/>
      <sheetName val="2.1 IRC风险分析"/>
      <sheetName val="3.剩余余额的考虑事项"/>
      <sheetName val="4.余下账户余额策略"/>
      <sheetName val="4.余下账户余额策略——备选方案"/>
      <sheetName val="Group PM,TE&amp;SAD"/>
      <sheetName val="审计范围2026430"/>
      <sheetName val="审计范围汇总2022-2024"/>
      <sheetName val="剔除非经常性损益"/>
      <sheetName val="集团财务数据_合并后2026430"/>
      <sheetName val="审计范围2025430"/>
      <sheetName val="各公司审计范围_for review"/>
      <sheetName val="审计范围-以此版为准"/>
      <sheetName val="集团财务数据_合并后2025430"/>
      <sheetName val="识别重大账户"/>
      <sheetName val="重大交易流程"/>
    </sheetNames>
    <sheetDataSet>
      <sheetData sheetId="0"/>
      <sheetData sheetId="1"/>
      <sheetData sheetId="2"/>
      <sheetData sheetId="3"/>
      <sheetData sheetId="4"/>
      <sheetData sheetId="5"/>
      <sheetData sheetId="6"/>
      <sheetData sheetId="7"/>
      <sheetData sheetId="8">
        <row r="256">
          <cell r="H256">
            <v>1992000</v>
          </cell>
        </row>
        <row r="257">
          <cell r="H257">
            <v>234000</v>
          </cell>
        </row>
      </sheetData>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K1 SWP &#22266;&#23450;&#36164;&#20135; 2026430 &#27993;&#27743;&#21147;&#31215;.xlsx" TargetMode="External"/></Relationships>
</file>

<file path=xl/worksheets/_rels/sheet2.xml.rels><?xml version="1.0" encoding="UTF-8" standalone="yes"?>
<Relationships xmlns="http://schemas.openxmlformats.org/package/2006/relationships"><Relationship Id="rId5" Type="http://schemas.openxmlformats.org/officeDocument/2006/relationships/hyperlink" Target="../../L2_&#27993;&#27743;&#21147;&#31215;_&#21830;&#35465;&#21450;&#38271;&#26399;&#36164;&#20135;&#20943;&#20540;_20251231.xlsx" TargetMode="External"/><Relationship Id="rId4" Type="http://schemas.openxmlformats.org/officeDocument/2006/relationships/hyperlink" Target="../../../../../:x:/r/sites/GCknowledgecenter/Shared Documents/&#23457;&#35745;&#26631;&#20934;&#24213;&#31295;/&#26631;&#20934;&#23457;&#35745;&#24213;&#31295;&#27169;&#26495;&#31532;&#20116;&#29256;-&#20351;&#29992;&#29256;/OSP/OSP K1 SWP &#22266;&#23450;&#36164;&#20135;&#26435;&#23646;&#26816;&#26597; 202YMMDD XYZ&#20844;&#21496;.xlsx?d=w1624b845ef7548d88ea585d4c55060a5&amp;csf=1&amp;web=1&amp;e=c63vIQ" TargetMode="External"/><Relationship Id="rId3" Type="http://schemas.openxmlformats.org/officeDocument/2006/relationships/hyperlink" Target="../../../../../:x:/r/sites/GCknowledgecenter/Shared Documents/&#23457;&#35745;&#26631;&#20934;&#24213;&#31295;/&#26631;&#20934;&#23457;&#35745;&#24213;&#31295;&#27169;&#26495;&#31532;&#20116;&#29256;-&#20351;&#29992;&#29256;/OSP/OSP K1 SWP &#22266;&#23450;&#36164;&#20135;&#21450;&#22312;&#24314;&#24037;&#31243;&#30424;&#28857; 202YMMDD XYZ&#20844;&#21496;.xlsx?d=waeb81816f6c440799a00b2ddb91df7cf&amp;csf=1&amp;web=1&amp;e=XAk0FX" TargetMode="External"/><Relationship Id="rId2" Type="http://schemas.openxmlformats.org/officeDocument/2006/relationships/hyperlink" Target="../../../../../:x:/r/sites/GCknowledgecenter/Shared Documents/&#23457;&#35745;&#26631;&#20934;&#24213;&#31295;/&#26631;&#20934;&#23457;&#35745;&#24213;&#31295;&#27169;&#26495;&#31532;&#20116;&#29256;-&#20351;&#29992;&#29256;/SWP &#20943;&#20540;&#36857;&#35937;&#35782;&#21035; 202YMMDD XYZ&#20844;&#21496;.xlsx?d=w9029592e751d48249204b3aebc2a57c9&amp;csf=1&amp;web=1&amp;e=knFGjw"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F9"/>
  <sheetViews>
    <sheetView workbookViewId="0">
      <selection activeCell="A1" sqref="A1"/>
    </sheetView>
  </sheetViews>
  <sheetFormatPr defaultColWidth="9" defaultRowHeight="13.5" outlineLevelCol="5"/>
  <cols>
    <col min="1" max="2" width="8.725" customWidth="1"/>
    <col min="3" max="3" width="12.725" customWidth="1"/>
    <col min="4" max="5" width="70.725" customWidth="1"/>
    <col min="6" max="6" width="8.725" customWidth="1"/>
  </cols>
  <sheetData>
    <row r="1" spans="1:6">
      <c r="A1" s="748" t="s">
        <v>0</v>
      </c>
      <c r="B1" s="748" t="s">
        <v>1</v>
      </c>
      <c r="C1" s="748" t="s">
        <v>2</v>
      </c>
      <c r="D1" s="748" t="s">
        <v>3</v>
      </c>
      <c r="E1" s="748" t="s">
        <v>4</v>
      </c>
      <c r="F1" s="748" t="s">
        <v>5</v>
      </c>
    </row>
    <row r="2" ht="40.5" spans="1:6">
      <c r="A2">
        <v>1</v>
      </c>
      <c r="B2" t="s">
        <v>6</v>
      </c>
      <c r="C2" s="749" t="s">
        <v>7</v>
      </c>
      <c r="D2" s="750" t="s">
        <v>8</v>
      </c>
      <c r="F2" t="s">
        <v>9</v>
      </c>
    </row>
    <row r="3" ht="40.5" spans="1:6">
      <c r="A3">
        <v>2</v>
      </c>
      <c r="B3" t="s">
        <v>6</v>
      </c>
      <c r="C3" s="749" t="s">
        <v>10</v>
      </c>
      <c r="D3" s="750" t="s">
        <v>11</v>
      </c>
      <c r="F3" t="s">
        <v>9</v>
      </c>
    </row>
    <row r="4" ht="40.5" spans="1:6">
      <c r="A4">
        <v>3</v>
      </c>
      <c r="B4" t="s">
        <v>6</v>
      </c>
      <c r="C4" s="749" t="s">
        <v>12</v>
      </c>
      <c r="D4" s="750" t="s">
        <v>13</v>
      </c>
      <c r="F4" t="s">
        <v>9</v>
      </c>
    </row>
    <row r="5" ht="40.5" spans="1:6">
      <c r="A5">
        <v>4</v>
      </c>
      <c r="B5" t="s">
        <v>14</v>
      </c>
      <c r="C5" s="749" t="s">
        <v>15</v>
      </c>
      <c r="D5" s="750" t="s">
        <v>16</v>
      </c>
      <c r="F5" t="s">
        <v>9</v>
      </c>
    </row>
    <row r="6" ht="40.5" spans="1:6">
      <c r="A6">
        <v>5</v>
      </c>
      <c r="B6" t="s">
        <v>17</v>
      </c>
      <c r="C6" s="749" t="s">
        <v>18</v>
      </c>
      <c r="D6" s="750" t="s">
        <v>19</v>
      </c>
      <c r="F6" t="s">
        <v>9</v>
      </c>
    </row>
    <row r="7" ht="40.5" spans="1:6">
      <c r="A7">
        <v>6</v>
      </c>
      <c r="B7" t="s">
        <v>17</v>
      </c>
      <c r="C7" s="749" t="s">
        <v>20</v>
      </c>
      <c r="D7" s="750" t="s">
        <v>21</v>
      </c>
      <c r="F7" t="s">
        <v>9</v>
      </c>
    </row>
    <row r="8" ht="54" spans="1:6">
      <c r="A8">
        <v>7</v>
      </c>
      <c r="B8" t="s">
        <v>22</v>
      </c>
      <c r="C8" s="749" t="s">
        <v>23</v>
      </c>
      <c r="D8" s="750" t="s">
        <v>24</v>
      </c>
      <c r="F8" t="s">
        <v>9</v>
      </c>
    </row>
    <row r="9" ht="40.5" spans="1:6">
      <c r="A9">
        <v>8</v>
      </c>
      <c r="B9" t="s">
        <v>25</v>
      </c>
      <c r="C9" s="749" t="s">
        <v>26</v>
      </c>
      <c r="D9" s="750" t="s">
        <v>27</v>
      </c>
      <c r="F9" t="s">
        <v>9</v>
      </c>
    </row>
  </sheetData>
  <hyperlinks>
    <hyperlink ref="C2" r:id="rId1" location="'K.00 Lead Sheet'!$C$5" display="$C$5"/>
    <hyperlink ref="C3" r:id="rId1" location="'K.00 Lead Sheet'!$C$6" display="$C$6"/>
    <hyperlink ref="C4" r:id="rId1" location="'K.00 Lead Sheet'!$B$67" display="$B$67"/>
    <hyperlink ref="C5" r:id="rId1" location="'K.01 Agree SL to GL'!$R$10" display="$R$10"/>
    <hyperlink ref="C6" r:id="rId1" location="'BKD-成都力积'!$L$10" display="$L$10"/>
    <hyperlink ref="C7" r:id="rId1" location="'BKD-成都力积'!$B$52" display="$B$52"/>
    <hyperlink ref="C8" r:id="rId1" location="'K.02.1 新增测试 '!$O$34" display="$O$34"/>
    <hyperlink ref="C9" r:id="rId1" location="'K.03.3 折旧政策复核'!$B$17" display="$B$17"/>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showGridLines="0" topLeftCell="B10" workbookViewId="0">
      <selection activeCell="G15" sqref="G15:G16"/>
    </sheetView>
  </sheetViews>
  <sheetFormatPr defaultColWidth="8.725" defaultRowHeight="12.75"/>
  <cols>
    <col min="1" max="1" width="2.45" style="55" customWidth="1"/>
    <col min="2" max="2" width="13.2666666666667" style="689" customWidth="1"/>
    <col min="3" max="3" width="15.45" style="384" customWidth="1"/>
    <col min="4" max="4" width="21" style="55" customWidth="1"/>
    <col min="5" max="5" width="19" style="55" customWidth="1"/>
    <col min="6" max="6" width="31.45" style="55" customWidth="1"/>
    <col min="7" max="7" width="13.725" style="55" customWidth="1"/>
    <col min="8" max="8" width="15.725" style="386" customWidth="1"/>
    <col min="9" max="9" width="24.725" style="55" customWidth="1"/>
    <col min="10" max="16384" width="8.725" style="55"/>
  </cols>
  <sheetData>
    <row r="1" ht="20.25" spans="1:9">
      <c r="A1" s="690" t="s">
        <v>28</v>
      </c>
      <c r="G1" s="691"/>
      <c r="H1" s="692"/>
    </row>
    <row r="2" ht="19.5" customHeight="1" spans="1:9">
      <c r="B2" s="693" t="s">
        <v>29</v>
      </c>
      <c r="C2" s="694"/>
      <c r="D2" s="693"/>
      <c r="E2" s="159"/>
      <c r="F2" s="695" t="s">
        <v>30</v>
      </c>
      <c r="G2" s="691"/>
      <c r="H2" s="692"/>
    </row>
    <row r="3" ht="14.25" spans="1:9">
      <c r="B3" s="159"/>
      <c r="C3" s="68"/>
      <c r="D3" s="159"/>
      <c r="E3" s="159"/>
      <c r="F3" s="695" t="s">
        <v>30</v>
      </c>
      <c r="G3" s="691"/>
      <c r="H3" s="692"/>
    </row>
    <row r="4" ht="10.15" customHeight="1" spans="1:9">
      <c r="G4" s="691"/>
      <c r="H4" s="692"/>
    </row>
    <row r="5" ht="15" customHeight="1" spans="1:9">
      <c r="B5" s="696" t="s">
        <v>31</v>
      </c>
      <c r="C5" s="697" t="s">
        <v>6</v>
      </c>
      <c r="D5" s="697"/>
      <c r="E5" s="697"/>
      <c r="F5" s="698" t="s">
        <v>32</v>
      </c>
      <c r="G5" s="699" t="s">
        <v>33</v>
      </c>
      <c r="H5" s="698" t="s">
        <v>34</v>
      </c>
      <c r="I5" s="698" t="s">
        <v>35</v>
      </c>
    </row>
    <row r="6" ht="48" customHeight="1" spans="1:9">
      <c r="B6" s="700">
        <v>1</v>
      </c>
      <c r="C6" s="701" t="s">
        <v>36</v>
      </c>
      <c r="D6" s="701"/>
      <c r="E6" s="701"/>
      <c r="F6" s="751" t="s">
        <v>6</v>
      </c>
      <c r="G6" s="703" t="s">
        <v>37</v>
      </c>
      <c r="H6" s="704"/>
      <c r="I6" s="350"/>
    </row>
    <row r="7" ht="15" customHeight="1" spans="1:9">
      <c r="B7" s="696" t="s">
        <v>38</v>
      </c>
      <c r="C7" s="705" t="s">
        <v>39</v>
      </c>
      <c r="D7" s="697"/>
      <c r="E7" s="697"/>
      <c r="F7" s="698" t="s">
        <v>32</v>
      </c>
      <c r="G7" s="699" t="s">
        <v>33</v>
      </c>
      <c r="H7" s="698" t="s">
        <v>34</v>
      </c>
      <c r="I7" s="698" t="s">
        <v>35</v>
      </c>
    </row>
    <row r="8" ht="47.15" customHeight="1" spans="1:9">
      <c r="B8" s="700">
        <v>1</v>
      </c>
      <c r="C8" s="706" t="s">
        <v>40</v>
      </c>
      <c r="D8" s="706"/>
      <c r="E8" s="706"/>
      <c r="F8" s="751" t="s">
        <v>14</v>
      </c>
      <c r="G8" s="703" t="s">
        <v>37</v>
      </c>
      <c r="H8" s="704"/>
      <c r="I8" s="350"/>
    </row>
    <row r="9" ht="15" customHeight="1" spans="1:9">
      <c r="B9" s="696" t="s">
        <v>41</v>
      </c>
      <c r="C9" s="705" t="s">
        <v>42</v>
      </c>
      <c r="D9" s="697"/>
      <c r="E9" s="697"/>
      <c r="F9" s="698" t="s">
        <v>32</v>
      </c>
      <c r="G9" s="699" t="s">
        <v>33</v>
      </c>
      <c r="H9" s="698" t="s">
        <v>34</v>
      </c>
      <c r="I9" s="698" t="s">
        <v>35</v>
      </c>
    </row>
    <row r="10" ht="54.75" customHeight="1" spans="1:9">
      <c r="B10" s="102">
        <v>1</v>
      </c>
      <c r="C10" s="707" t="s">
        <v>43</v>
      </c>
      <c r="D10" s="708"/>
      <c r="E10" s="709"/>
      <c r="F10" s="751" t="s">
        <v>44</v>
      </c>
      <c r="G10" s="710" t="s">
        <v>37</v>
      </c>
      <c r="H10" s="711"/>
      <c r="I10" s="712" t="s">
        <v>45</v>
      </c>
    </row>
    <row r="11" ht="29.15" customHeight="1" spans="1:9">
      <c r="B11" s="713">
        <v>2</v>
      </c>
      <c r="C11" s="714" t="s">
        <v>46</v>
      </c>
      <c r="D11" s="715"/>
      <c r="E11" s="716"/>
      <c r="F11" s="751" t="s">
        <v>47</v>
      </c>
      <c r="G11" s="710" t="s">
        <v>37</v>
      </c>
      <c r="H11" s="717"/>
      <c r="I11" s="718"/>
    </row>
    <row r="12" ht="30" customHeight="1" spans="1:9">
      <c r="B12" s="719"/>
      <c r="C12" s="720"/>
      <c r="D12" s="721"/>
      <c r="E12" s="722"/>
      <c r="F12" s="751" t="s">
        <v>48</v>
      </c>
      <c r="G12" s="723"/>
      <c r="H12" s="724"/>
      <c r="I12" s="725"/>
    </row>
    <row r="13" ht="15" customHeight="1" spans="1:9">
      <c r="B13" s="696" t="s">
        <v>41</v>
      </c>
      <c r="C13" s="705" t="s">
        <v>49</v>
      </c>
      <c r="D13" s="697"/>
      <c r="E13" s="697"/>
      <c r="F13" s="698" t="s">
        <v>32</v>
      </c>
      <c r="G13" s="699" t="s">
        <v>33</v>
      </c>
      <c r="H13" s="698" t="s">
        <v>34</v>
      </c>
      <c r="I13" s="698" t="s">
        <v>35</v>
      </c>
    </row>
    <row r="14" ht="54" customHeight="1" spans="1:9">
      <c r="B14" s="102">
        <v>1</v>
      </c>
      <c r="C14" s="706" t="s">
        <v>50</v>
      </c>
      <c r="D14" s="706"/>
      <c r="E14" s="706"/>
      <c r="F14" s="751" t="s">
        <v>51</v>
      </c>
      <c r="G14" s="710" t="s">
        <v>37</v>
      </c>
      <c r="H14" s="711"/>
      <c r="I14" s="350"/>
    </row>
    <row r="15" ht="21.75" customHeight="1" spans="1:9">
      <c r="B15" s="713">
        <v>2</v>
      </c>
      <c r="C15" s="714" t="s">
        <v>52</v>
      </c>
      <c r="D15" s="715"/>
      <c r="E15" s="716"/>
      <c r="F15" s="751" t="s">
        <v>53</v>
      </c>
      <c r="G15" s="710" t="s">
        <v>54</v>
      </c>
      <c r="H15" s="726"/>
      <c r="I15" s="727"/>
    </row>
    <row r="16" ht="70" customHeight="1" spans="1:9">
      <c r="B16" s="719"/>
      <c r="C16" s="720"/>
      <c r="D16" s="721"/>
      <c r="E16" s="722"/>
      <c r="F16" s="751" t="s">
        <v>55</v>
      </c>
      <c r="G16" s="723"/>
      <c r="H16" s="728"/>
      <c r="I16" s="729"/>
    </row>
    <row r="17" ht="15.75" customHeight="1" spans="2:9">
      <c r="B17" s="696" t="s">
        <v>56</v>
      </c>
      <c r="C17" s="705" t="s">
        <v>57</v>
      </c>
      <c r="D17" s="697"/>
      <c r="E17" s="697"/>
      <c r="F17" s="698" t="s">
        <v>32</v>
      </c>
      <c r="G17" s="699" t="s">
        <v>33</v>
      </c>
      <c r="H17" s="698" t="s">
        <v>34</v>
      </c>
      <c r="I17" s="698" t="s">
        <v>35</v>
      </c>
    </row>
    <row r="18" ht="39" customHeight="1" spans="2:9">
      <c r="B18" s="730">
        <v>1</v>
      </c>
      <c r="C18" s="731" t="s">
        <v>58</v>
      </c>
      <c r="D18" s="403"/>
      <c r="E18" s="403"/>
      <c r="F18" s="751" t="s">
        <v>59</v>
      </c>
      <c r="G18" s="703" t="s">
        <v>54</v>
      </c>
      <c r="H18" s="732" t="s">
        <v>60</v>
      </c>
      <c r="I18" s="733"/>
    </row>
    <row r="19" ht="23.25" customHeight="1" spans="2:9">
      <c r="B19" s="730">
        <v>2</v>
      </c>
      <c r="C19" s="734" t="s">
        <v>61</v>
      </c>
      <c r="D19" s="735"/>
      <c r="E19" s="735"/>
      <c r="F19" s="751" t="s">
        <v>62</v>
      </c>
      <c r="G19" s="703" t="s">
        <v>37</v>
      </c>
      <c r="H19" s="704"/>
      <c r="I19" s="736"/>
    </row>
    <row r="20" ht="43.5" customHeight="1" spans="2:9">
      <c r="B20" s="730">
        <v>3</v>
      </c>
      <c r="C20" s="737" t="s">
        <v>63</v>
      </c>
      <c r="D20" s="738"/>
      <c r="E20" s="739"/>
      <c r="F20" s="751" t="s">
        <v>64</v>
      </c>
      <c r="G20" s="703" t="s">
        <v>37</v>
      </c>
      <c r="H20" s="704"/>
      <c r="I20" s="740"/>
    </row>
    <row r="21" ht="15" customHeight="1" spans="2:9">
      <c r="B21" s="741" t="s">
        <v>65</v>
      </c>
      <c r="C21" s="705" t="s">
        <v>66</v>
      </c>
      <c r="D21" s="697"/>
      <c r="E21" s="697"/>
      <c r="F21" s="742" t="s">
        <v>32</v>
      </c>
      <c r="G21" s="743" t="s">
        <v>33</v>
      </c>
      <c r="H21" s="742" t="s">
        <v>34</v>
      </c>
      <c r="I21" s="742" t="s">
        <v>35</v>
      </c>
    </row>
    <row r="22" ht="127.5" customHeight="1" spans="2:9">
      <c r="B22" s="744">
        <v>1</v>
      </c>
      <c r="C22" s="737" t="s">
        <v>67</v>
      </c>
      <c r="D22" s="738"/>
      <c r="E22" s="739"/>
      <c r="F22" s="752" t="s">
        <v>68</v>
      </c>
      <c r="G22" s="746" t="s">
        <v>37</v>
      </c>
      <c r="H22" s="704"/>
      <c r="I22" s="747"/>
    </row>
  </sheetData>
  <mergeCells count="24">
    <mergeCell ref="C5:E5"/>
    <mergeCell ref="C6:E6"/>
    <mergeCell ref="C7:E7"/>
    <mergeCell ref="C8:E8"/>
    <mergeCell ref="C9:E9"/>
    <mergeCell ref="C10:E10"/>
    <mergeCell ref="C13:E13"/>
    <mergeCell ref="C14:E14"/>
    <mergeCell ref="C17:E17"/>
    <mergeCell ref="C18:E18"/>
    <mergeCell ref="C19:E19"/>
    <mergeCell ref="C20:E20"/>
    <mergeCell ref="C21:E21"/>
    <mergeCell ref="C22:E22"/>
    <mergeCell ref="B11:B12"/>
    <mergeCell ref="B15:B16"/>
    <mergeCell ref="G11:G12"/>
    <mergeCell ref="G15:G16"/>
    <mergeCell ref="H11:H12"/>
    <mergeCell ref="H15:H16"/>
    <mergeCell ref="I10:I12"/>
    <mergeCell ref="I15:I16"/>
    <mergeCell ref="C11:E12"/>
    <mergeCell ref="C15:E16"/>
  </mergeCells>
  <conditionalFormatting sqref="F22">
    <cfRule type="containsBlanks" dxfId="0" priority="1">
      <formula>LEN(TRIM(F22))=0</formula>
    </cfRule>
  </conditionalFormatting>
  <conditionalFormatting sqref="G22">
    <cfRule type="containsBlanks" dxfId="1" priority="2">
      <formula>LEN(TRIM(G22))=0</formula>
    </cfRule>
  </conditionalFormatting>
  <conditionalFormatting sqref="H22">
    <cfRule type="expression" dxfId="0" priority="4">
      <formula>SUMPRODUCT((G22="否")*(LEN(H22)=0))</formula>
    </cfRule>
  </conditionalFormatting>
  <conditionalFormatting sqref="G6 G8 G10:G11 G14:G15 G18:G20">
    <cfRule type="containsBlanks" dxfId="1" priority="22">
      <formula>LEN(TRIM(G6))=0</formula>
    </cfRule>
  </conditionalFormatting>
  <conditionalFormatting sqref="H6 H8 H10:H11 H14:H15 H18:H20">
    <cfRule type="expression" dxfId="0" priority="55">
      <formula>SUMPRODUCT((G6="否")*(LEN(H6)=0))</formula>
    </cfRule>
  </conditionalFormatting>
  <dataValidations count="1">
    <dataValidation type="list" allowBlank="1" showInputMessage="1" sqref="G6 G8 G22 G10:G11 G14:G15 G18:G20">
      <formula1>"是,否"</formula1>
    </dataValidation>
  </dataValidations>
  <hyperlinks>
    <hyperlink ref="F6" location="'K.00 Lead Sheet'!A1" display="K.00 Lead Sheet"/>
    <hyperlink ref="F8" location="'K.01 Agree SL to GL'!A1" display="K****gree SL to GL"/>
    <hyperlink ref="F19" location="'K.03.2 折旧测试TOD'!A1" display="K.03.2 折旧测试TOD"/>
    <hyperlink ref="F18" location="'K.03.1 SAP'!A1" display="K****AP"/>
    <hyperlink ref="F10" location="新增清单!A1" display="新增清单"/>
    <hyperlink ref="F14" location="处置清单!A1" display="处置清单"/>
    <hyperlink ref="F15" location="'K.02.2 处置测试'!A1" display="K.02.2 处置测试"/>
    <hyperlink ref="F11" location="'K.02.1 新增测试 '!A1" display="K.02.1 新增测试"/>
    <hyperlink ref="F12" location="'K.02.1a 新增选样输出'!A1" display="K.02.1a 新增选样输出"/>
    <hyperlink ref="F16" location="'K.02.2a 处置选样输出'!A1" display="K.02.2a 处置选样输出"/>
    <hyperlink ref="F20" location="'K.03.3 折旧政策复核'!A1" display="K.03.3 折旧政策复核"/>
    <hyperlink ref="C22:E22" r:id="rId2" display="1.使用在审计过程中所获得的信息来确定管理层是否已识别适当的减值迹象；可使用PSP Canvas form K.04：识别减值迹象，也可使用 &lt;SWP减值迹象识别&gt; 对减值迹象进行评估，并根据指引要求获取相关支持性文件。&#10;2.如有减值迹象的，评价管理层假设、未来现金流等减值评估的合理性，核实并测算减值金额。&#10;3.检查是否存在转回固定资产减值准备的情况，确定减值准备在以后会计期间没有转回。"/>
    <hyperlink ref="F2" r:id="rId3" display="O****x"/>
    <hyperlink ref="F3" r:id="rId4" display="O****x"/>
    <hyperlink ref="F22" r:id="rId5" display="程序4_商誉减值测试明细-VIU"/>
  </hyperlinks>
  <pageMargins left="0.7" right="0.7" top="0.75" bottom="0.75" header="0.3" footer="0.3"/>
  <pageSetup paperSize="9" orientation="portrait" horizont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93"/>
  <sheetViews>
    <sheetView showGridLines="0" zoomScale="90" zoomScaleNormal="90" topLeftCell="A49" workbookViewId="0">
      <selection activeCell="G63" sqref="G63"/>
    </sheetView>
  </sheetViews>
  <sheetFormatPr defaultColWidth="8.725" defaultRowHeight="12.75" customHeight="1"/>
  <cols>
    <col min="1" max="1" width="2.45" style="61" customWidth="1"/>
    <col min="2" max="2" width="17.9083333333333" style="62" customWidth="1"/>
    <col min="3" max="3" width="30.6333333333333" style="62" customWidth="1"/>
    <col min="4" max="4" width="13.45" style="62" customWidth="1"/>
    <col min="5" max="5" width="14.2666666666667" style="62" customWidth="1"/>
    <col min="6" max="6" width="15.2666666666667" style="62" customWidth="1"/>
    <col min="7" max="10" width="14.2666666666667" style="62" customWidth="1"/>
    <col min="11" max="12" width="17.2666666666667" style="62" customWidth="1"/>
    <col min="13" max="13" width="6" style="62" customWidth="1"/>
    <col min="14" max="14" width="19.45" style="62" customWidth="1"/>
    <col min="15" max="15" width="19.725" style="62" customWidth="1"/>
    <col min="16" max="16" width="2.45" style="62" customWidth="1"/>
    <col min="17" max="17" width="1.45" style="62" customWidth="1"/>
    <col min="18" max="30" width="13.725" style="62" customWidth="1"/>
    <col min="31" max="16384" width="8.725" style="62"/>
  </cols>
  <sheetData>
    <row r="1" s="357" customFormat="1" ht="50.15" customHeight="1" spans="2:17">
      <c r="B1" s="526" t="s">
        <v>69</v>
      </c>
      <c r="C1" s="527"/>
      <c r="D1" s="528"/>
      <c r="E1" s="528"/>
      <c r="F1" s="528"/>
      <c r="G1" s="528"/>
      <c r="H1" s="528"/>
      <c r="I1" s="528"/>
      <c r="J1" s="529"/>
      <c r="K1" s="528"/>
      <c r="L1" s="528"/>
      <c r="M1" s="528"/>
      <c r="N1" s="528"/>
      <c r="O1" s="530"/>
      <c r="Q1" s="531"/>
    </row>
    <row r="2" s="357" customFormat="1" ht="21.75" customHeight="1" spans="2:17">
      <c r="B2" s="532" t="s">
        <v>70</v>
      </c>
      <c r="C2" s="533" t="s">
        <v>71</v>
      </c>
      <c r="D2" s="534" t="s">
        <v>72</v>
      </c>
      <c r="E2" s="535"/>
      <c r="F2" s="535"/>
      <c r="G2" s="535"/>
      <c r="H2" s="535"/>
      <c r="I2" s="535"/>
      <c r="J2" s="535"/>
      <c r="K2" s="535"/>
      <c r="L2" s="535"/>
      <c r="M2" s="535"/>
      <c r="N2" s="535"/>
      <c r="O2" s="536"/>
      <c r="Q2" s="531"/>
    </row>
    <row r="3" s="357" customFormat="1" ht="21.75" customHeight="1" spans="2:17">
      <c r="B3" s="537" t="s">
        <v>73</v>
      </c>
      <c r="C3" s="538">
        <v>46142</v>
      </c>
      <c r="D3" s="539"/>
      <c r="E3" s="540"/>
      <c r="F3" s="540"/>
      <c r="G3" s="540"/>
      <c r="H3" s="540"/>
      <c r="I3" s="540"/>
      <c r="J3" s="540"/>
      <c r="K3" s="540"/>
      <c r="L3" s="540"/>
      <c r="M3" s="540"/>
      <c r="N3" s="540"/>
      <c r="O3" s="541"/>
      <c r="Q3" s="531"/>
    </row>
    <row r="4" s="357" customFormat="1" ht="21.75" customHeight="1" spans="2:17">
      <c r="B4" s="537" t="s">
        <v>74</v>
      </c>
      <c r="C4" s="538">
        <v>46181</v>
      </c>
      <c r="D4" s="539"/>
      <c r="E4" s="540"/>
      <c r="F4" s="540"/>
      <c r="G4" s="540"/>
      <c r="H4" s="540"/>
      <c r="I4" s="540"/>
      <c r="J4" s="540"/>
      <c r="K4" s="540"/>
      <c r="L4" s="540"/>
      <c r="M4" s="540"/>
      <c r="N4" s="540"/>
      <c r="O4" s="541"/>
      <c r="Q4" s="531"/>
    </row>
    <row r="5" s="357" customFormat="1" ht="21.75" customHeight="1" spans="2:17">
      <c r="B5" s="537" t="s">
        <v>75</v>
      </c>
      <c r="C5" s="542">
        <f>[3]审计范围2026430!$H$256</f>
        <v>1992000</v>
      </c>
      <c r="D5" s="539"/>
      <c r="E5" s="540"/>
      <c r="F5" s="540"/>
      <c r="G5" s="540"/>
      <c r="H5" s="540"/>
      <c r="I5" s="540"/>
      <c r="J5" s="540"/>
      <c r="K5" s="540"/>
      <c r="L5" s="540"/>
      <c r="M5" s="540"/>
      <c r="N5" s="540"/>
      <c r="O5" s="541"/>
      <c r="Q5" s="531"/>
    </row>
    <row r="6" s="357" customFormat="1" ht="21.75" customHeight="1" spans="2:17">
      <c r="B6" s="537" t="s">
        <v>76</v>
      </c>
      <c r="C6" s="542">
        <f>[3]审计范围2026430!$H$257</f>
        <v>234000</v>
      </c>
      <c r="D6" s="539"/>
      <c r="E6" s="540"/>
      <c r="F6" s="540"/>
      <c r="G6" s="540"/>
      <c r="H6" s="540"/>
      <c r="I6" s="540"/>
      <c r="J6" s="540"/>
      <c r="K6" s="540"/>
      <c r="L6" s="540"/>
      <c r="M6" s="540"/>
      <c r="N6" s="540"/>
      <c r="O6" s="541"/>
      <c r="Q6" s="531"/>
    </row>
    <row r="7" s="357" customFormat="1" ht="21.75" customHeight="1" spans="2:17">
      <c r="B7" s="543" t="s">
        <v>77</v>
      </c>
      <c r="C7" s="544" t="s">
        <v>78</v>
      </c>
      <c r="D7" s="539"/>
      <c r="E7" s="540"/>
      <c r="F7" s="540"/>
      <c r="G7" s="540"/>
      <c r="H7" s="540"/>
      <c r="I7" s="540"/>
      <c r="J7" s="540"/>
      <c r="K7" s="540"/>
      <c r="L7" s="540"/>
      <c r="M7" s="540"/>
      <c r="N7" s="540"/>
      <c r="O7" s="541"/>
      <c r="Q7" s="531"/>
    </row>
    <row r="8" s="357" customFormat="1" ht="21.75" customHeight="1" spans="2:17">
      <c r="B8" s="537" t="s">
        <v>79</v>
      </c>
      <c r="C8" s="545" t="s">
        <v>80</v>
      </c>
      <c r="D8" s="539"/>
      <c r="E8" s="540"/>
      <c r="F8" s="540"/>
      <c r="G8" s="540"/>
      <c r="H8" s="540"/>
      <c r="I8" s="540"/>
      <c r="J8" s="540"/>
      <c r="K8" s="540"/>
      <c r="L8" s="540"/>
      <c r="M8" s="540"/>
      <c r="N8" s="540"/>
      <c r="O8" s="541"/>
      <c r="Q8" s="531"/>
    </row>
    <row r="9" s="358" customFormat="1" ht="30" customHeight="1" spans="2:17">
      <c r="B9" s="546" t="s">
        <v>81</v>
      </c>
      <c r="C9" s="547"/>
      <c r="D9" s="547"/>
      <c r="E9" s="547"/>
      <c r="F9" s="547"/>
      <c r="G9" s="547"/>
      <c r="H9" s="547"/>
      <c r="I9" s="547"/>
      <c r="J9" s="548"/>
      <c r="K9" s="547"/>
      <c r="L9" s="547"/>
      <c r="M9" s="547"/>
      <c r="N9" s="547"/>
      <c r="O9" s="549"/>
      <c r="Q9" s="531"/>
    </row>
    <row r="10" s="357" customFormat="1" ht="15" customHeight="1" spans="2:17">
      <c r="Q10" s="531"/>
    </row>
    <row r="11" s="357" customFormat="1" ht="15" customHeight="1" spans="2:17">
      <c r="B11" s="18" t="s">
        <v>82</v>
      </c>
      <c r="Q11" s="531"/>
    </row>
    <row r="12" s="357" customFormat="1" ht="15" customHeight="1" spans="2:17">
      <c r="Q12" s="531"/>
    </row>
    <row r="13" s="357" customFormat="1" ht="15" customHeight="1" spans="2:17">
      <c r="D13" s="550" t="s">
        <v>83</v>
      </c>
      <c r="E13" s="551"/>
      <c r="H13" s="552"/>
      <c r="I13" s="553"/>
      <c r="J13" s="554" t="s">
        <v>84</v>
      </c>
      <c r="K13" s="553"/>
      <c r="L13" s="555"/>
      <c r="Q13" s="531"/>
    </row>
    <row r="14" s="357" customFormat="1" ht="15" customHeight="1" spans="2:17">
      <c r="B14" s="556" t="s">
        <v>85</v>
      </c>
      <c r="C14" s="556" t="s">
        <v>86</v>
      </c>
      <c r="D14" s="556" t="s">
        <v>87</v>
      </c>
      <c r="E14" s="556" t="s">
        <v>88</v>
      </c>
      <c r="H14" s="412" t="s">
        <v>89</v>
      </c>
      <c r="I14" s="557" t="s">
        <v>90</v>
      </c>
      <c r="J14" s="558"/>
      <c r="K14" s="558"/>
      <c r="L14" s="559"/>
      <c r="Q14" s="531"/>
    </row>
    <row r="15" s="357" customFormat="1" ht="15" customHeight="1" spans="2:17">
      <c r="B15" s="102" t="s">
        <v>91</v>
      </c>
      <c r="C15" s="560" t="s">
        <v>92</v>
      </c>
      <c r="D15" s="561">
        <f>IF(C15="Minimal",$C$5*100%,IF(C15="Low",$C$5*75%,IF(C15="Moderate",$C$5*50%,IF(C15="High",$C$5*25%,IF(C15="N/A","-",)))))</f>
        <v>1992000</v>
      </c>
      <c r="E15" s="562">
        <f>MIN($D$15:$D$19)</f>
        <v>1992000</v>
      </c>
      <c r="H15" s="563" t="s">
        <v>93</v>
      </c>
      <c r="I15" s="557" t="s">
        <v>94</v>
      </c>
      <c r="J15" s="287"/>
      <c r="K15" s="564"/>
      <c r="L15" s="565"/>
      <c r="Q15" s="531"/>
    </row>
    <row r="16" s="357" customFormat="1" ht="15" customHeight="1" spans="2:17">
      <c r="B16" s="566" t="s">
        <v>95</v>
      </c>
      <c r="C16" s="560" t="s">
        <v>92</v>
      </c>
      <c r="D16" s="567">
        <f>IF(C16="Minimal",$C$5*100%,IF(C16="Low",$C$5*75%,IF(C16="Moderate",$C$5*50%,IF(C16="High",$C$5*25%,IF(C16="N/A","-",)))))</f>
        <v>1992000</v>
      </c>
      <c r="E16" s="568"/>
      <c r="H16" s="412" t="s">
        <v>96</v>
      </c>
      <c r="I16" s="569" t="s">
        <v>97</v>
      </c>
      <c r="J16" s="570"/>
      <c r="K16" s="564"/>
      <c r="L16" s="565"/>
      <c r="Q16" s="531"/>
    </row>
    <row r="17" s="357" customFormat="1" ht="15" customHeight="1" spans="2:17">
      <c r="B17" s="102" t="s">
        <v>98</v>
      </c>
      <c r="C17" s="560" t="s">
        <v>92</v>
      </c>
      <c r="D17" s="567">
        <f>IF(C17="Minimal",$C$5*100%,IF(C17="Low",$C$5*75%,IF(C17="Moderate",$C$5*50%,IF(C17="High",$C$5*25%,IF(C17="N/A","-",)))))</f>
        <v>1992000</v>
      </c>
      <c r="E17" s="568"/>
      <c r="H17" s="412" t="s">
        <v>99</v>
      </c>
      <c r="I17" s="569" t="s">
        <v>100</v>
      </c>
      <c r="J17" s="571"/>
      <c r="K17" s="564"/>
      <c r="L17" s="565"/>
      <c r="Q17" s="531"/>
    </row>
    <row r="18" s="357" customFormat="1" ht="15" customHeight="1" spans="2:17">
      <c r="B18" s="102" t="s">
        <v>101</v>
      </c>
      <c r="C18" s="560" t="s">
        <v>92</v>
      </c>
      <c r="D18" s="567">
        <f>IF(C18="Minimal",$C$5*100%,IF(C18="Low",$C$5*75%,IF(C18="Moderate",$C$5*50%,IF(C18="High",$C$5*25%,IF(C18="N/A","-",)))))</f>
        <v>1992000</v>
      </c>
      <c r="E18" s="568"/>
      <c r="H18" s="412" t="s">
        <v>102</v>
      </c>
      <c r="I18" s="557" t="s">
        <v>103</v>
      </c>
      <c r="J18" s="558"/>
      <c r="K18" s="564"/>
      <c r="L18" s="565"/>
      <c r="Q18" s="531"/>
    </row>
    <row r="19" s="357" customFormat="1" ht="16.5" spans="2:17">
      <c r="B19" s="572" t="s">
        <v>104</v>
      </c>
      <c r="C19" s="560" t="s">
        <v>105</v>
      </c>
      <c r="D19" s="567" t="str">
        <f>IF(C19="Minimal",$C$5*100%,IF(C19="Low",$C$5*75%,IF(C19="Moderate",$C$5*50%,IF(C19="High",$C$5*25%,IF(C19="N/A","-",)))))</f>
        <v>-</v>
      </c>
      <c r="E19" s="573"/>
      <c r="H19" s="574" t="s">
        <v>106</v>
      </c>
      <c r="I19" s="557" t="s">
        <v>107</v>
      </c>
      <c r="J19" s="564"/>
      <c r="K19" s="564"/>
      <c r="L19" s="565"/>
      <c r="Q19" s="531"/>
    </row>
    <row r="20" s="357" customFormat="1" ht="13.5" customHeight="1" spans="2:17">
      <c r="B20" s="575" t="s">
        <v>108</v>
      </c>
      <c r="C20" s="575"/>
      <c r="D20" s="575"/>
      <c r="E20" s="575"/>
      <c r="H20" s="412" t="s">
        <v>109</v>
      </c>
      <c r="I20" s="557" t="s">
        <v>110</v>
      </c>
      <c r="J20" s="564"/>
      <c r="K20" s="564"/>
      <c r="L20" s="565"/>
      <c r="Q20" s="531"/>
    </row>
    <row r="21" s="357" customFormat="1" ht="16.5" customHeight="1" spans="2:17">
      <c r="B21" s="576" t="s">
        <v>111</v>
      </c>
      <c r="C21" s="577"/>
      <c r="D21" s="577"/>
      <c r="E21" s="577"/>
      <c r="F21" s="578"/>
      <c r="G21" s="578"/>
      <c r="H21" s="574" t="s">
        <v>112</v>
      </c>
      <c r="I21" s="557" t="s">
        <v>113</v>
      </c>
      <c r="J21" s="564"/>
      <c r="K21" s="564"/>
      <c r="L21" s="565"/>
      <c r="Q21" s="531"/>
    </row>
    <row r="22" s="357" customFormat="1" ht="15" customHeight="1" spans="2:17">
      <c r="B22" s="576" t="s">
        <v>114</v>
      </c>
      <c r="C22" s="577"/>
      <c r="D22" s="577"/>
      <c r="E22" s="577"/>
      <c r="F22" s="579"/>
      <c r="G22" s="578"/>
      <c r="H22" s="580" t="s">
        <v>115</v>
      </c>
      <c r="I22" s="557" t="s">
        <v>116</v>
      </c>
      <c r="J22" s="581"/>
      <c r="K22" s="581"/>
      <c r="L22" s="582"/>
      <c r="Q22" s="531"/>
    </row>
    <row r="23" s="357" customFormat="1" ht="16.5" customHeight="1" spans="2:17">
      <c r="B23" s="577" t="s">
        <v>117</v>
      </c>
      <c r="C23" s="577"/>
      <c r="D23" s="577"/>
      <c r="E23" s="577"/>
      <c r="F23" s="579"/>
      <c r="G23" s="578"/>
      <c r="Q23" s="531"/>
    </row>
    <row r="24" s="357" customFormat="1" ht="13.15" customHeight="1" spans="2:17">
      <c r="B24" s="576" t="s">
        <v>118</v>
      </c>
      <c r="C24" s="577"/>
      <c r="D24" s="577"/>
      <c r="E24" s="577"/>
      <c r="F24" s="579"/>
      <c r="G24" s="578"/>
      <c r="H24" s="295"/>
      <c r="I24" s="68"/>
      <c r="J24" s="68"/>
      <c r="K24" s="68"/>
      <c r="L24" s="68"/>
      <c r="Q24" s="531"/>
    </row>
    <row r="25" s="357" customFormat="1" customHeight="1" spans="2:17">
      <c r="B25" s="576"/>
      <c r="C25" s="576"/>
      <c r="D25" s="576"/>
      <c r="E25" s="576"/>
      <c r="F25" s="583"/>
      <c r="G25" s="583"/>
      <c r="H25" s="583"/>
      <c r="I25" s="583"/>
      <c r="Q25" s="531"/>
    </row>
    <row r="26" s="357" customFormat="1" spans="2:17">
      <c r="B26" s="577"/>
      <c r="C26" s="577"/>
      <c r="D26" s="577"/>
      <c r="E26" s="577"/>
      <c r="F26" s="578"/>
      <c r="G26" s="578"/>
      <c r="H26" s="578"/>
      <c r="I26" s="578"/>
      <c r="Q26" s="531"/>
    </row>
    <row r="27" s="523" customFormat="1" ht="15" customHeight="1" spans="2:17">
      <c r="B27" s="359" t="s">
        <v>119</v>
      </c>
      <c r="C27" s="584"/>
      <c r="D27" s="584"/>
      <c r="E27" s="584"/>
      <c r="F27" s="584"/>
      <c r="G27" s="584"/>
      <c r="H27" s="87"/>
      <c r="I27" s="585"/>
      <c r="J27" s="585"/>
      <c r="K27" s="584"/>
      <c r="M27" s="357"/>
      <c r="Q27" s="531"/>
    </row>
    <row r="28" s="357" customFormat="1" ht="15" customHeight="1" spans="2:17">
      <c r="B28" s="586" t="s">
        <v>120</v>
      </c>
      <c r="C28" s="587" t="s">
        <v>121</v>
      </c>
      <c r="D28" s="587"/>
      <c r="E28" s="587"/>
      <c r="F28" s="587"/>
      <c r="Q28" s="531"/>
    </row>
    <row r="29" s="357" customFormat="1" ht="42.65" customHeight="1" spans="2:17">
      <c r="B29" s="588" t="s">
        <v>122</v>
      </c>
      <c r="C29" s="589" t="s">
        <v>123</v>
      </c>
      <c r="D29" s="589"/>
      <c r="E29" s="589"/>
      <c r="F29" s="589"/>
      <c r="Q29" s="531"/>
    </row>
    <row r="30" s="357" customFormat="1" ht="27" customHeight="1" spans="2:17">
      <c r="B30" s="588" t="s">
        <v>124</v>
      </c>
      <c r="C30" s="589" t="s">
        <v>125</v>
      </c>
      <c r="D30" s="589"/>
      <c r="E30" s="589"/>
      <c r="F30" s="589"/>
      <c r="Q30" s="531"/>
    </row>
    <row r="31" s="357" customFormat="1" ht="16.5" spans="2:17">
      <c r="B31" s="588" t="s">
        <v>126</v>
      </c>
      <c r="C31" s="589" t="s">
        <v>127</v>
      </c>
      <c r="D31" s="589"/>
      <c r="E31" s="589"/>
      <c r="F31" s="589"/>
      <c r="Q31" s="531"/>
    </row>
    <row r="32" s="357" customFormat="1" ht="33" spans="2:17">
      <c r="B32" s="590" t="s">
        <v>128</v>
      </c>
      <c r="C32" s="589" t="s">
        <v>129</v>
      </c>
      <c r="D32" s="589"/>
      <c r="E32" s="589"/>
      <c r="F32" s="589"/>
      <c r="Q32" s="531"/>
    </row>
    <row r="33" s="357" customFormat="1" ht="16.5" spans="1:38">
      <c r="B33" s="588" t="s">
        <v>130</v>
      </c>
      <c r="C33" s="589" t="s">
        <v>131</v>
      </c>
      <c r="D33" s="589"/>
      <c r="E33" s="589"/>
      <c r="F33" s="589"/>
      <c r="Q33" s="531"/>
    </row>
    <row r="34" s="357" customFormat="1" ht="49.5" customHeight="1" spans="1:38">
      <c r="B34" s="588" t="s">
        <v>132</v>
      </c>
      <c r="C34" s="589" t="s">
        <v>133</v>
      </c>
      <c r="D34" s="589"/>
      <c r="E34" s="589"/>
      <c r="F34" s="589"/>
      <c r="Q34" s="531"/>
    </row>
    <row r="35" s="357" customFormat="1" ht="36.75" customHeight="1" spans="1:38">
      <c r="B35" s="588" t="s">
        <v>134</v>
      </c>
      <c r="C35" s="589" t="s">
        <v>135</v>
      </c>
      <c r="D35" s="589"/>
      <c r="E35" s="589"/>
      <c r="F35" s="589"/>
      <c r="Q35" s="531"/>
    </row>
    <row r="36" s="357" customFormat="1" ht="15" customHeight="1" spans="1:38">
      <c r="B36" s="591"/>
      <c r="C36" s="592"/>
      <c r="D36" s="592"/>
      <c r="E36" s="592"/>
      <c r="F36" s="592"/>
      <c r="Q36" s="531"/>
    </row>
    <row r="37" s="357" customFormat="1" ht="15" customHeight="1" spans="1:38">
      <c r="D37" s="592"/>
      <c r="E37" s="592"/>
      <c r="F37" s="592"/>
      <c r="G37" s="593"/>
      <c r="H37" s="594"/>
      <c r="L37" s="595"/>
      <c r="N37" s="596"/>
      <c r="Q37" s="531"/>
    </row>
    <row r="38" s="357" customFormat="1" ht="15" customHeight="1" spans="1:38">
      <c r="B38" s="597" t="s">
        <v>136</v>
      </c>
      <c r="C38" s="551"/>
      <c r="D38" s="598"/>
      <c r="E38" s="599"/>
      <c r="F38" s="599"/>
      <c r="G38" s="599"/>
      <c r="H38" s="599"/>
      <c r="I38" s="599"/>
      <c r="J38" s="599"/>
      <c r="K38" s="599"/>
      <c r="N38" s="596"/>
      <c r="Q38" s="531"/>
    </row>
    <row r="39" s="357" customFormat="1" ht="15" customHeight="1" spans="1:38">
      <c r="B39" s="600" t="str">
        <f>"波动幅度 ("&amp;C8&amp;"):"</f>
        <v>波动幅度 (CNY):</v>
      </c>
      <c r="C39" s="601">
        <f>$E$15</f>
        <v>1992000</v>
      </c>
      <c r="D39" s="602"/>
      <c r="N39" s="596"/>
      <c r="Q39" s="531"/>
    </row>
    <row r="40" s="524" customFormat="1" ht="15" customHeight="1" spans="1:38">
      <c r="B40" s="600" t="s">
        <v>137</v>
      </c>
      <c r="C40" s="603">
        <v>0.1</v>
      </c>
      <c r="D40" s="604"/>
      <c r="M40" s="357"/>
      <c r="N40" s="605"/>
      <c r="Q40" s="531"/>
    </row>
    <row r="41" s="519" customFormat="1" ht="18" spans="1:38">
      <c r="B41" s="606"/>
      <c r="C41" s="606"/>
      <c r="D41" s="607"/>
      <c r="E41" s="607"/>
      <c r="F41" s="608"/>
      <c r="G41" s="608"/>
      <c r="H41" s="609"/>
      <c r="O41" s="610"/>
      <c r="Q41" s="531"/>
      <c r="S41" s="610"/>
      <c r="T41" s="611"/>
      <c r="AK41" s="610"/>
      <c r="AL41" s="611"/>
    </row>
    <row r="42" s="525" customFormat="1" ht="15" customHeight="1" spans="1:38">
      <c r="B42" s="612" t="s">
        <v>138</v>
      </c>
      <c r="C42" s="613"/>
      <c r="D42" s="613"/>
      <c r="Q42" s="614"/>
      <c r="R42" s="615"/>
    </row>
    <row r="43" s="525" customFormat="1" ht="15" customHeight="1" spans="1:38">
      <c r="B43" s="616" t="s">
        <v>139</v>
      </c>
      <c r="C43" s="613"/>
      <c r="D43" s="613"/>
      <c r="Q43" s="614"/>
      <c r="R43" s="615"/>
    </row>
    <row r="44" s="3" customFormat="1" spans="1:38">
      <c r="B44" s="159"/>
      <c r="C44" s="617"/>
      <c r="D44" s="617"/>
      <c r="E44" s="617"/>
      <c r="F44" s="295"/>
      <c r="G44" s="617"/>
      <c r="I44" s="519"/>
      <c r="J44" s="519"/>
      <c r="K44" s="618"/>
      <c r="L44" s="618"/>
      <c r="M44" s="618"/>
      <c r="N44" s="618"/>
      <c r="O44" s="618"/>
      <c r="Q44" s="531"/>
    </row>
    <row r="45" s="357" customFormat="1" ht="15" customHeight="1" spans="1:38">
      <c r="A45" s="68"/>
      <c r="B45" s="68"/>
      <c r="C45" s="64"/>
      <c r="D45" s="64"/>
      <c r="K45" s="64"/>
      <c r="L45" s="64"/>
      <c r="M45" s="64"/>
      <c r="N45" s="64"/>
      <c r="O45" s="64"/>
      <c r="Q45" s="531"/>
    </row>
    <row r="46" s="357" customFormat="1" ht="15" customHeight="1" spans="1:38">
      <c r="A46" s="68"/>
      <c r="B46" s="296"/>
      <c r="C46" s="296"/>
      <c r="D46" s="295"/>
      <c r="E46" s="295" t="s">
        <v>140</v>
      </c>
      <c r="F46" s="295"/>
      <c r="G46" s="295"/>
      <c r="H46" s="295"/>
      <c r="I46" s="68"/>
      <c r="J46" s="619" t="s">
        <v>141</v>
      </c>
      <c r="K46" s="620"/>
      <c r="L46" s="620"/>
      <c r="M46" s="620"/>
      <c r="N46" s="621"/>
      <c r="O46" s="621"/>
      <c r="Q46" s="531"/>
    </row>
    <row r="47" s="261" customFormat="1" ht="15" customHeight="1" spans="1:38">
      <c r="B47" s="68"/>
      <c r="C47" s="68"/>
      <c r="D47" s="68"/>
      <c r="E47" s="622" t="str">
        <f>"货币/单位: "&amp;C8</f>
        <v>货币/单位: CNY</v>
      </c>
      <c r="F47" s="623"/>
      <c r="G47" s="623"/>
      <c r="H47" s="623"/>
      <c r="I47" s="623"/>
      <c r="J47" s="624"/>
      <c r="K47" s="619"/>
      <c r="L47" s="619"/>
      <c r="M47" s="64"/>
      <c r="N47" s="64"/>
      <c r="O47" s="625"/>
      <c r="Q47" s="266"/>
    </row>
    <row r="48" s="357" customFormat="1" ht="15" customHeight="1" spans="1:38">
      <c r="A48" s="68"/>
      <c r="B48" s="626"/>
      <c r="C48" s="626"/>
      <c r="D48" s="626"/>
      <c r="E48" s="627">
        <f>$C$3</f>
        <v>46142</v>
      </c>
      <c r="F48" s="628"/>
      <c r="G48" s="628"/>
      <c r="H48" s="628"/>
      <c r="I48" s="629"/>
      <c r="J48" s="630">
        <f>DATE(YEAR($C$3)-1,12,31)</f>
        <v>46022</v>
      </c>
      <c r="K48" s="631" t="s">
        <v>142</v>
      </c>
      <c r="L48" s="632"/>
      <c r="M48" s="633"/>
      <c r="N48" s="634" t="s">
        <v>143</v>
      </c>
      <c r="O48" s="634" t="s">
        <v>144</v>
      </c>
      <c r="Q48" s="531"/>
    </row>
    <row r="49" s="357" customFormat="1" ht="15" customHeight="1" spans="1:17">
      <c r="A49" s="68"/>
      <c r="B49" s="635" t="s">
        <v>145</v>
      </c>
      <c r="C49" s="635" t="s">
        <v>146</v>
      </c>
      <c r="D49" s="635" t="s">
        <v>147</v>
      </c>
      <c r="E49" s="636" t="s">
        <v>148</v>
      </c>
      <c r="F49" s="637" t="s">
        <v>149</v>
      </c>
      <c r="G49" s="637" t="s">
        <v>150</v>
      </c>
      <c r="H49" s="637" t="s">
        <v>151</v>
      </c>
      <c r="I49" s="636" t="s">
        <v>152</v>
      </c>
      <c r="J49" s="636" t="s">
        <v>153</v>
      </c>
      <c r="K49" s="638" t="s">
        <v>154</v>
      </c>
      <c r="L49" s="637" t="s">
        <v>155</v>
      </c>
      <c r="M49" s="639" t="s">
        <v>156</v>
      </c>
      <c r="N49" s="640"/>
      <c r="O49" s="640"/>
      <c r="Q49" s="531"/>
    </row>
    <row r="50" s="524" customFormat="1" ht="15" customHeight="1" spans="1:17">
      <c r="A50" s="68"/>
      <c r="B50" s="641">
        <v>1601</v>
      </c>
      <c r="C50" s="642" t="s">
        <v>157</v>
      </c>
      <c r="D50" s="141" t="s">
        <v>38</v>
      </c>
      <c r="E50" s="643">
        <f>'K.01 Agree SL to GL'!Z18</f>
        <v>95603187.02</v>
      </c>
      <c r="F50" s="643"/>
      <c r="G50" s="644">
        <f>E50+F50</f>
        <v>95603187.02</v>
      </c>
      <c r="H50" s="643">
        <f>E71+E76</f>
        <v>-584953.4</v>
      </c>
      <c r="I50" s="644">
        <f>G50+H50</f>
        <v>95018233.62</v>
      </c>
      <c r="J50" s="645">
        <v>85845197.31</v>
      </c>
      <c r="K50" s="644">
        <f>I50-J50</f>
        <v>9173036.30999999</v>
      </c>
      <c r="L50" s="646">
        <f>IF(J50&lt;&gt;0,K50/J50,1)</f>
        <v>0.10685555625057</v>
      </c>
      <c r="M50" s="647" t="s">
        <v>158</v>
      </c>
      <c r="N50" s="648" t="str">
        <f>IF(AND(ABS(K50)&gt;=$C$39,ABS(L50)&gt;=$C$40),"是","否")</f>
        <v>是</v>
      </c>
      <c r="O50" s="649" t="s">
        <v>54</v>
      </c>
      <c r="Q50" s="650"/>
    </row>
    <row r="51" s="357" customFormat="1" ht="15" customHeight="1" spans="1:17">
      <c r="A51" s="68"/>
      <c r="B51" s="641">
        <v>1602</v>
      </c>
      <c r="C51" s="642" t="s">
        <v>159</v>
      </c>
      <c r="D51" s="141" t="s">
        <v>38</v>
      </c>
      <c r="E51" s="643">
        <f>'K.01 Agree SL to GL'!Z24</f>
        <v>16288014.97</v>
      </c>
      <c r="F51" s="643"/>
      <c r="G51" s="644">
        <f>E51+F51</f>
        <v>16288014.97</v>
      </c>
      <c r="H51" s="643">
        <f>(E69+E75+E81)*-1</f>
        <v>-584953.4</v>
      </c>
      <c r="I51" s="644">
        <f>G51+H51</f>
        <v>15703061.57</v>
      </c>
      <c r="J51" s="645">
        <v>13643524.58</v>
      </c>
      <c r="K51" s="644">
        <f>I51-J51</f>
        <v>2059536.99</v>
      </c>
      <c r="L51" s="646">
        <f>IF(J51&lt;&gt;0,K51/J51,1)</f>
        <v>0.150953441533654</v>
      </c>
      <c r="M51" s="647" t="s">
        <v>160</v>
      </c>
      <c r="N51" s="648" t="str">
        <f>IF(AND(ABS(K51)&gt;=$C$39,ABS(L51)&gt;=$C$40),"是","否")</f>
        <v>是</v>
      </c>
      <c r="O51" s="649" t="s">
        <v>54</v>
      </c>
      <c r="Q51" s="531"/>
    </row>
    <row r="52" s="357" customFormat="1" ht="15" customHeight="1" spans="1:17">
      <c r="A52" s="68"/>
      <c r="B52" s="641" t="s">
        <v>161</v>
      </c>
      <c r="C52" s="642" t="s">
        <v>162</v>
      </c>
      <c r="D52" s="141" t="s">
        <v>38</v>
      </c>
      <c r="E52" s="643">
        <f>'K.01 Agree SL to GL'!Z46</f>
        <v>0</v>
      </c>
      <c r="F52" s="643"/>
      <c r="G52" s="644">
        <f>E52+F52</f>
        <v>0</v>
      </c>
      <c r="H52" s="643"/>
      <c r="I52" s="644">
        <f>G52+H52</f>
        <v>0</v>
      </c>
      <c r="J52" s="645">
        <f>'K.01 Agree SL to GL'!AB30</f>
        <v>0</v>
      </c>
      <c r="K52" s="644">
        <f>I52-J52</f>
        <v>0</v>
      </c>
      <c r="L52" s="646">
        <f t="shared" ref="L52" si="0">IF(J52&lt;&gt;0,K52/J52,1)</f>
        <v>1</v>
      </c>
      <c r="M52" s="651"/>
      <c r="N52" s="648"/>
      <c r="O52" s="649" t="s">
        <v>54</v>
      </c>
      <c r="Q52" s="531"/>
    </row>
    <row r="53" s="357" customFormat="1" ht="15" customHeight="1" spans="1:17">
      <c r="A53" s="68"/>
      <c r="B53" s="652"/>
      <c r="C53" s="653"/>
      <c r="D53" s="654"/>
      <c r="E53" s="655"/>
      <c r="F53" s="655"/>
      <c r="G53" s="656"/>
      <c r="H53" s="655"/>
      <c r="I53" s="656"/>
      <c r="J53" s="657"/>
      <c r="K53" s="658"/>
      <c r="L53" s="646"/>
      <c r="M53" s="659"/>
      <c r="N53" s="660"/>
      <c r="O53" s="661"/>
      <c r="Q53" s="531"/>
    </row>
    <row r="54" s="357" customFormat="1" ht="15" customHeight="1" spans="1:17">
      <c r="A54" s="68"/>
      <c r="B54" s="68"/>
      <c r="C54" s="653" t="s">
        <v>163</v>
      </c>
      <c r="D54" s="296"/>
      <c r="E54" s="662">
        <f>E50-E51-E52</f>
        <v>79315172.05</v>
      </c>
      <c r="F54" s="662">
        <f t="shared" ref="F54:G54" si="1">F50-F51-F52</f>
        <v>0</v>
      </c>
      <c r="G54" s="662">
        <f t="shared" si="1"/>
        <v>79315172.05</v>
      </c>
      <c r="H54" s="662"/>
      <c r="I54" s="662">
        <f t="shared" ref="I54:K54" si="2">I50-I51-I52</f>
        <v>79315172.05</v>
      </c>
      <c r="J54" s="662">
        <f t="shared" si="2"/>
        <v>72201672.73</v>
      </c>
      <c r="K54" s="662">
        <f t="shared" si="2"/>
        <v>7113499.31999999</v>
      </c>
      <c r="L54" s="663">
        <f>IF(J54&lt;&gt;0,K54/J54,1)</f>
        <v>0.0985226387565992</v>
      </c>
      <c r="M54" s="141"/>
      <c r="N54" s="648" t="str">
        <f>IF(AND(ABS(K54)&gt;=$C$39,ABS(L54)&gt;=$C$40),"是","否")</f>
        <v>否</v>
      </c>
      <c r="O54" s="649" t="s">
        <v>54</v>
      </c>
      <c r="Q54" s="531"/>
    </row>
    <row r="55" s="357" customFormat="1" ht="15" customHeight="1" spans="1:17">
      <c r="A55" s="68"/>
      <c r="B55" s="68"/>
      <c r="C55" s="653"/>
      <c r="D55" s="296"/>
      <c r="E55" s="664"/>
      <c r="F55" s="664"/>
      <c r="G55" s="664"/>
      <c r="H55" s="664"/>
      <c r="I55" s="664"/>
      <c r="J55" s="664"/>
      <c r="K55" s="664"/>
      <c r="L55" s="665"/>
      <c r="M55" s="141"/>
      <c r="N55" s="660"/>
      <c r="O55" s="661"/>
      <c r="Q55" s="531"/>
    </row>
    <row r="56" s="357" customFormat="1" ht="15" customHeight="1" spans="1:17">
      <c r="A56" s="68"/>
      <c r="B56" s="68"/>
      <c r="C56" s="61" t="s">
        <v>164</v>
      </c>
      <c r="D56" s="296"/>
      <c r="E56"/>
      <c r="F56" s="664"/>
      <c r="G56" s="645">
        <f>[1]浙江力积A3!$BN$63</f>
        <v>79315172.05</v>
      </c>
      <c r="H56" s="664"/>
      <c r="I56" s="645">
        <f>[1]浙江力积A3!$BR$63</f>
        <v>79315172.05</v>
      </c>
      <c r="J56" s="645">
        <f>[1]浙江力积A3!$BZ$63</f>
        <v>72201672.73</v>
      </c>
      <c r="K56" s="666"/>
      <c r="L56" s="666"/>
      <c r="M56" s="141"/>
      <c r="N56" s="68"/>
      <c r="O56" s="68"/>
      <c r="Q56" s="531"/>
    </row>
    <row r="57" s="357" customFormat="1" ht="15" customHeight="1" spans="1:17">
      <c r="A57" s="68"/>
      <c r="B57" s="68"/>
      <c r="C57" s="61" t="s">
        <v>165</v>
      </c>
      <c r="D57" s="282"/>
      <c r="E57"/>
      <c r="F57" s="655"/>
      <c r="G57" s="644">
        <f>G54-G56</f>
        <v>0</v>
      </c>
      <c r="H57" s="655"/>
      <c r="I57" s="644">
        <f>I54-I56</f>
        <v>0</v>
      </c>
      <c r="J57" s="644">
        <f>J54-J56</f>
        <v>0</v>
      </c>
      <c r="K57" s="667"/>
      <c r="L57" s="282"/>
      <c r="M57" s="282"/>
      <c r="N57" s="282"/>
      <c r="O57" s="282"/>
      <c r="Q57" s="650"/>
    </row>
    <row r="58" s="357" customFormat="1" ht="15" customHeight="1" spans="1:17">
      <c r="A58" s="68"/>
      <c r="B58" s="68"/>
      <c r="C58" s="61"/>
      <c r="D58" s="282"/>
      <c r="E58"/>
      <c r="F58" s="655"/>
      <c r="G58" s="668"/>
      <c r="H58" s="655"/>
      <c r="I58" s="668"/>
      <c r="J58" s="668"/>
      <c r="K58" s="667"/>
      <c r="L58" s="282"/>
      <c r="M58" s="282"/>
      <c r="N58" s="282"/>
      <c r="O58" s="282"/>
      <c r="Q58" s="650"/>
    </row>
    <row r="59" s="3" customFormat="1" customHeight="1" spans="1:17">
      <c r="B59" s="669" t="s">
        <v>166</v>
      </c>
      <c r="C59" s="291"/>
      <c r="D59" s="295"/>
      <c r="E59" s="295"/>
      <c r="F59" s="295"/>
      <c r="G59" s="62"/>
      <c r="H59" s="519"/>
      <c r="I59" s="618"/>
      <c r="J59" s="618"/>
      <c r="K59" s="618"/>
      <c r="L59" s="618"/>
      <c r="M59" s="618"/>
      <c r="N59" s="618"/>
      <c r="O59" s="670"/>
      <c r="Q59" s="650"/>
    </row>
    <row r="60" s="3" customFormat="1" ht="10.5" customHeight="1" spans="1:17">
      <c r="B60" s="671" t="s">
        <v>167</v>
      </c>
      <c r="C60" s="671"/>
      <c r="D60" s="671"/>
      <c r="E60" s="671"/>
      <c r="F60" s="671"/>
      <c r="G60" s="295"/>
      <c r="H60" s="62"/>
      <c r="I60" s="519"/>
      <c r="J60" s="519"/>
      <c r="K60" s="618"/>
      <c r="L60" s="618"/>
      <c r="M60" s="618"/>
      <c r="N60" s="618"/>
      <c r="O60" s="618"/>
      <c r="Q60" s="650"/>
    </row>
    <row r="61" s="3" customFormat="1" ht="16" customHeight="1" spans="1:17">
      <c r="B61" s="671"/>
      <c r="C61" s="671"/>
      <c r="D61" s="671"/>
      <c r="E61" s="671"/>
      <c r="F61" s="671"/>
      <c r="G61" s="295"/>
      <c r="H61" s="62"/>
      <c r="I61" s="519"/>
      <c r="J61" s="519"/>
      <c r="K61" s="618"/>
      <c r="L61" s="618"/>
      <c r="M61" s="618"/>
      <c r="N61" s="618"/>
      <c r="O61" s="618"/>
      <c r="Q61" s="650"/>
    </row>
    <row r="62" s="3" customFormat="1" ht="15.65" customHeight="1" spans="1:17">
      <c r="B62" s="671"/>
      <c r="C62" s="671"/>
      <c r="D62" s="671"/>
      <c r="E62" s="671"/>
      <c r="F62" s="671"/>
      <c r="G62" s="295"/>
      <c r="H62" s="62"/>
      <c r="I62" s="519"/>
      <c r="J62" s="519"/>
      <c r="K62" s="618"/>
      <c r="L62" s="618"/>
      <c r="M62" s="618"/>
      <c r="N62" s="618"/>
      <c r="O62" s="618"/>
      <c r="Q62" s="650"/>
    </row>
    <row r="63" s="3" customFormat="1" ht="34.5" customHeight="1" spans="1:17">
      <c r="B63" s="671"/>
      <c r="C63" s="671"/>
      <c r="D63" s="671"/>
      <c r="E63" s="671"/>
      <c r="F63" s="671"/>
      <c r="G63" s="295"/>
      <c r="H63" s="62"/>
      <c r="I63" s="519"/>
      <c r="J63" s="519"/>
      <c r="K63" s="618"/>
      <c r="L63" s="618"/>
      <c r="M63" s="618"/>
      <c r="N63" s="618"/>
      <c r="O63" s="618"/>
      <c r="Q63" s="650"/>
    </row>
    <row r="64" s="3" customFormat="1" customHeight="1" spans="1:17">
      <c r="B64" s="486"/>
      <c r="C64" s="486"/>
      <c r="D64" s="486"/>
      <c r="E64" s="486"/>
      <c r="F64" s="486"/>
      <c r="G64" s="295"/>
      <c r="H64" s="62"/>
      <c r="I64" s="519"/>
      <c r="J64" s="519"/>
      <c r="K64" s="618"/>
      <c r="L64" s="618"/>
      <c r="M64" s="618"/>
      <c r="N64" s="618"/>
      <c r="O64" s="618"/>
      <c r="Q64" s="650"/>
    </row>
    <row r="65" s="3" customFormat="1" customHeight="1" spans="2:17">
      <c r="B65" s="653" t="s">
        <v>168</v>
      </c>
      <c r="C65" s="141"/>
      <c r="D65" s="360"/>
      <c r="E65" s="360"/>
      <c r="F65" s="486"/>
      <c r="G65" s="295"/>
      <c r="H65" s="62"/>
      <c r="I65" s="519"/>
      <c r="J65" s="519"/>
      <c r="K65" s="618"/>
      <c r="L65" s="618"/>
      <c r="M65" s="618"/>
      <c r="N65" s="618"/>
      <c r="O65" s="618"/>
      <c r="Q65" s="650"/>
    </row>
    <row r="66" s="3" customFormat="1" customHeight="1" spans="2:17">
      <c r="B66" s="282" t="s">
        <v>169</v>
      </c>
      <c r="C66" s="141"/>
      <c r="D66" s="360"/>
      <c r="E66" s="360"/>
      <c r="F66" s="486"/>
      <c r="G66" s="295"/>
      <c r="H66" s="62"/>
      <c r="I66" s="519"/>
      <c r="J66" s="519"/>
      <c r="K66" s="618"/>
      <c r="L66" s="618"/>
      <c r="M66" s="618"/>
      <c r="N66" s="618"/>
      <c r="O66" s="618"/>
      <c r="Q66" s="650"/>
    </row>
    <row r="67" s="3" customFormat="1" customHeight="1" spans="2:17">
      <c r="B67" s="672" t="s">
        <v>170</v>
      </c>
      <c r="C67" s="673" t="s">
        <v>171</v>
      </c>
      <c r="D67" s="673"/>
      <c r="E67" s="674">
        <v>46142</v>
      </c>
      <c r="F67" s="674">
        <v>46022</v>
      </c>
      <c r="G67" s="675">
        <v>45657</v>
      </c>
      <c r="H67" s="62"/>
      <c r="I67" s="519"/>
      <c r="J67" s="519"/>
      <c r="K67" s="618"/>
      <c r="L67" s="618"/>
      <c r="M67" s="618"/>
      <c r="N67" s="618"/>
      <c r="O67" s="618"/>
      <c r="Q67" s="650"/>
    </row>
    <row r="68" s="3" customFormat="1" customHeight="1" spans="2:17">
      <c r="B68" s="676" t="s">
        <v>172</v>
      </c>
      <c r="C68" s="284" t="s">
        <v>173</v>
      </c>
      <c r="D68" s="677"/>
      <c r="E68" s="677"/>
      <c r="F68" s="677"/>
      <c r="G68" s="678"/>
      <c r="H68" s="62"/>
      <c r="I68" s="519"/>
      <c r="J68" s="519"/>
      <c r="K68" s="618"/>
      <c r="L68" s="618"/>
      <c r="M68" s="618"/>
      <c r="N68" s="618"/>
      <c r="O68" s="618"/>
      <c r="Q68" s="650"/>
    </row>
    <row r="69" s="3" customFormat="1" customHeight="1" spans="2:17">
      <c r="B69" s="676"/>
      <c r="C69" s="677" t="s">
        <v>174</v>
      </c>
      <c r="D69" s="677" t="s">
        <v>175</v>
      </c>
      <c r="E69" s="679">
        <f>'[1]浙江力积A5-PRC'!K289</f>
        <v>1206466.42</v>
      </c>
      <c r="F69" s="680">
        <v>1206466.42</v>
      </c>
      <c r="G69" s="681">
        <v>1206466.42</v>
      </c>
      <c r="H69" s="62"/>
      <c r="I69" s="519"/>
      <c r="J69" s="519"/>
      <c r="K69" s="618"/>
      <c r="L69" s="618"/>
      <c r="M69" s="618"/>
      <c r="N69" s="618"/>
      <c r="O69" s="618"/>
      <c r="Q69" s="650"/>
    </row>
    <row r="70" s="3" customFormat="1" customHeight="1" spans="2:17">
      <c r="B70" s="676"/>
      <c r="C70" s="677" t="s">
        <v>176</v>
      </c>
      <c r="D70" s="677" t="s">
        <v>177</v>
      </c>
      <c r="E70" s="679">
        <f>'[1]浙江力积A5-PRC'!K290</f>
        <v>0</v>
      </c>
      <c r="F70" s="680">
        <v>0</v>
      </c>
      <c r="G70" s="681">
        <v>1102561.1</v>
      </c>
      <c r="H70" s="62"/>
      <c r="I70" s="519"/>
      <c r="J70" s="519"/>
      <c r="K70" s="618"/>
      <c r="L70" s="618"/>
      <c r="M70" s="618"/>
      <c r="N70" s="618"/>
      <c r="O70" s="618"/>
      <c r="Q70" s="650"/>
    </row>
    <row r="71" s="3" customFormat="1" customHeight="1" spans="2:17">
      <c r="B71" s="676"/>
      <c r="C71" s="677" t="s">
        <v>174</v>
      </c>
      <c r="D71" s="677"/>
      <c r="E71" s="679">
        <f>'[1]浙江力积A5-PRC'!K291</f>
        <v>-2309027.52</v>
      </c>
      <c r="F71" s="680">
        <v>-2309027.52</v>
      </c>
      <c r="G71" s="681">
        <v>-2309027.52</v>
      </c>
      <c r="H71" s="62"/>
      <c r="I71" s="519"/>
      <c r="J71" s="519"/>
      <c r="K71" s="618"/>
      <c r="L71" s="618"/>
      <c r="M71" s="618"/>
      <c r="N71" s="618"/>
      <c r="O71" s="618"/>
      <c r="Q71" s="650"/>
    </row>
    <row r="72" s="3" customFormat="1" customHeight="1" spans="2:17">
      <c r="B72" s="676"/>
      <c r="C72" s="677" t="s">
        <v>178</v>
      </c>
      <c r="D72" s="677"/>
      <c r="E72" s="679">
        <f>'[1]浙江力积A5-PRC'!K292</f>
        <v>1102561.1</v>
      </c>
      <c r="F72" s="680">
        <v>1102561.1</v>
      </c>
      <c r="G72" s="682"/>
      <c r="H72" s="62"/>
      <c r="I72" s="519"/>
      <c r="J72" s="519"/>
      <c r="K72" s="618"/>
      <c r="L72" s="618"/>
      <c r="M72" s="618"/>
      <c r="N72" s="618"/>
      <c r="O72" s="618"/>
      <c r="Q72" s="650"/>
    </row>
    <row r="73" s="3" customFormat="1" customHeight="1" spans="2:17">
      <c r="B73" s="676" t="s">
        <v>170</v>
      </c>
      <c r="C73" s="284" t="str">
        <f>'[2]浙江力积A5-PRC'!$A$297</f>
        <v>AA#22</v>
      </c>
      <c r="D73" s="677"/>
      <c r="E73" s="679"/>
      <c r="F73" s="677"/>
      <c r="G73" s="682"/>
      <c r="H73" s="62"/>
      <c r="I73" s="519"/>
      <c r="J73" s="519"/>
      <c r="K73" s="618"/>
      <c r="L73" s="618"/>
      <c r="M73" s="618"/>
      <c r="N73" s="618"/>
      <c r="O73" s="618"/>
      <c r="Q73" s="650"/>
    </row>
    <row r="74" s="3" customFormat="1" customHeight="1" spans="2:17">
      <c r="B74" s="676" t="s">
        <v>172</v>
      </c>
      <c r="C74" s="284" t="s">
        <v>179</v>
      </c>
      <c r="D74" s="677"/>
      <c r="E74" s="679"/>
      <c r="F74" s="677"/>
      <c r="G74" s="682"/>
      <c r="H74" s="62"/>
      <c r="I74" s="519"/>
      <c r="J74" s="519"/>
      <c r="K74" s="618"/>
      <c r="L74" s="618"/>
      <c r="M74" s="618"/>
      <c r="N74" s="618"/>
      <c r="O74" s="618"/>
      <c r="Q74" s="650"/>
    </row>
    <row r="75" s="3" customFormat="1" customHeight="1" spans="2:17">
      <c r="B75" s="676"/>
      <c r="C75" s="284" t="s">
        <v>174</v>
      </c>
      <c r="D75" s="677" t="s">
        <v>175</v>
      </c>
      <c r="E75" s="679">
        <f>'[1]浙江力积A5-PRC'!K297</f>
        <v>-1206466.27</v>
      </c>
      <c r="F75" s="677"/>
      <c r="G75" s="682"/>
      <c r="H75" s="62"/>
      <c r="I75" s="519"/>
      <c r="J75" s="519"/>
      <c r="K75" s="618"/>
      <c r="L75" s="618"/>
      <c r="M75" s="618"/>
      <c r="N75" s="618"/>
      <c r="O75" s="618"/>
      <c r="Q75" s="650"/>
    </row>
    <row r="76" s="3" customFormat="1" customHeight="1" spans="2:17">
      <c r="B76" s="676"/>
      <c r="C76" s="284" t="s">
        <v>174</v>
      </c>
      <c r="D76" s="677"/>
      <c r="E76" s="679">
        <f>'[1]浙江力积A5-PRC'!K298</f>
        <v>1724074.12</v>
      </c>
      <c r="F76" s="677"/>
      <c r="G76" s="682"/>
      <c r="H76" s="62"/>
      <c r="I76" s="519"/>
      <c r="J76" s="519"/>
      <c r="K76" s="618"/>
      <c r="L76" s="618"/>
      <c r="M76" s="618"/>
      <c r="N76" s="618"/>
      <c r="O76" s="618"/>
      <c r="Q76" s="650"/>
    </row>
    <row r="77" s="3" customFormat="1" customHeight="1" spans="2:17">
      <c r="B77" s="676"/>
      <c r="C77" s="284" t="s">
        <v>180</v>
      </c>
      <c r="D77" s="677"/>
      <c r="E77" s="679">
        <f>'[1]浙江力积A5-PRC'!K299</f>
        <v>-517607.85</v>
      </c>
      <c r="F77" s="677"/>
      <c r="G77" s="682"/>
      <c r="H77" s="62"/>
      <c r="I77" s="519"/>
      <c r="J77" s="519"/>
      <c r="K77" s="618"/>
      <c r="L77" s="618"/>
      <c r="M77" s="618"/>
      <c r="N77" s="618"/>
      <c r="O77" s="618"/>
      <c r="Q77" s="650"/>
    </row>
    <row r="78" s="3" customFormat="1" customHeight="1" spans="2:17">
      <c r="B78" s="676"/>
      <c r="C78" s="284"/>
      <c r="D78" s="677"/>
      <c r="E78" s="679"/>
      <c r="F78" s="677"/>
      <c r="G78" s="682"/>
      <c r="H78" s="62"/>
      <c r="I78" s="519"/>
      <c r="J78" s="519"/>
      <c r="K78" s="618"/>
      <c r="L78" s="618"/>
      <c r="M78" s="618"/>
      <c r="N78" s="618"/>
      <c r="O78" s="618"/>
      <c r="Q78" s="650"/>
    </row>
    <row r="79" s="3" customFormat="1" customHeight="1" spans="2:17">
      <c r="B79" s="676" t="s">
        <v>170</v>
      </c>
      <c r="C79" s="284" t="s">
        <v>181</v>
      </c>
      <c r="D79" s="677"/>
      <c r="E79" s="679"/>
      <c r="F79" s="677"/>
      <c r="G79" s="682"/>
      <c r="H79" s="62"/>
      <c r="I79" s="519"/>
      <c r="J79" s="519"/>
      <c r="K79" s="618"/>
      <c r="L79" s="618"/>
      <c r="M79" s="618"/>
      <c r="N79" s="618"/>
      <c r="O79" s="618"/>
      <c r="Q79" s="650"/>
    </row>
    <row r="80" s="3" customFormat="1" customHeight="1" spans="2:17">
      <c r="B80" s="676" t="s">
        <v>172</v>
      </c>
      <c r="C80" s="677" t="s">
        <v>182</v>
      </c>
      <c r="D80" s="677" t="s">
        <v>177</v>
      </c>
      <c r="E80" s="679">
        <f>'[1]浙江力积A5-PRC'!K301</f>
        <v>-146238.29</v>
      </c>
      <c r="F80" s="680">
        <v>-438714.96</v>
      </c>
      <c r="G80" s="682"/>
      <c r="H80" s="62"/>
      <c r="I80" s="519"/>
      <c r="J80" s="519"/>
      <c r="K80" s="618"/>
      <c r="L80" s="618"/>
      <c r="M80" s="618"/>
      <c r="N80" s="618"/>
      <c r="O80" s="618"/>
      <c r="Q80" s="650"/>
    </row>
    <row r="81" s="3" customFormat="1" customHeight="1" spans="1:17">
      <c r="B81" s="676"/>
      <c r="C81" s="677" t="s">
        <v>174</v>
      </c>
      <c r="D81" s="677" t="s">
        <v>175</v>
      </c>
      <c r="E81" s="679">
        <f>'[1]浙江力积A5-PRC'!K302</f>
        <v>584953.25</v>
      </c>
      <c r="F81" s="680">
        <v>438714.96</v>
      </c>
      <c r="G81" s="682"/>
      <c r="H81" s="62"/>
      <c r="I81" s="519"/>
      <c r="J81" s="519"/>
      <c r="K81" s="618"/>
      <c r="L81" s="618"/>
      <c r="M81" s="618"/>
      <c r="N81" s="618"/>
      <c r="O81" s="618"/>
      <c r="Q81" s="650"/>
    </row>
    <row r="82" s="3" customFormat="1" customHeight="1" spans="1:17">
      <c r="B82" s="676"/>
      <c r="C82" s="677" t="s">
        <v>180</v>
      </c>
      <c r="D82" s="677"/>
      <c r="E82" s="679">
        <f>'[1]浙江力积A5-PRC'!K303</f>
        <v>0</v>
      </c>
      <c r="F82" s="677"/>
      <c r="G82" s="682"/>
      <c r="H82" s="62"/>
      <c r="I82" s="519"/>
      <c r="J82" s="519"/>
      <c r="K82" s="618"/>
      <c r="L82" s="618"/>
      <c r="M82" s="618"/>
      <c r="N82" s="618"/>
      <c r="O82" s="618"/>
      <c r="Q82" s="650"/>
    </row>
    <row r="83" s="3" customFormat="1" customHeight="1" spans="1:17">
      <c r="B83" s="676"/>
      <c r="C83" s="677" t="s">
        <v>178</v>
      </c>
      <c r="D83" s="677"/>
      <c r="E83" s="679">
        <f>'[1]浙江力积A5-PRC'!K304</f>
        <v>-438714.96</v>
      </c>
      <c r="F83" s="677"/>
      <c r="G83" s="682"/>
      <c r="H83" s="62"/>
      <c r="I83" s="519"/>
      <c r="J83" s="519"/>
      <c r="K83" s="618"/>
      <c r="L83" s="618"/>
      <c r="M83" s="618"/>
      <c r="N83" s="618"/>
      <c r="O83" s="618"/>
      <c r="Q83" s="650"/>
    </row>
    <row r="84" s="3" customFormat="1" customHeight="1" spans="1:17">
      <c r="B84" s="683"/>
      <c r="C84" s="684"/>
      <c r="D84" s="684"/>
      <c r="E84" s="684"/>
      <c r="F84" s="684"/>
      <c r="G84" s="685"/>
      <c r="H84" s="62"/>
      <c r="I84" s="519"/>
      <c r="J84" s="519"/>
      <c r="K84" s="618"/>
      <c r="L84" s="618"/>
      <c r="M84" s="618"/>
      <c r="N84" s="618"/>
      <c r="O84" s="618"/>
      <c r="Q84" s="650"/>
    </row>
    <row r="85" s="3" customFormat="1" ht="15" customHeight="1" spans="1:17">
      <c r="B85" s="686"/>
      <c r="C85" s="687"/>
      <c r="D85" s="295"/>
      <c r="E85" s="295"/>
      <c r="F85" s="295"/>
      <c r="G85" s="295"/>
      <c r="H85" s="62"/>
      <c r="I85" s="519"/>
      <c r="J85" s="519"/>
      <c r="K85" s="618"/>
      <c r="L85" s="618"/>
      <c r="M85" s="618"/>
      <c r="N85" s="618"/>
      <c r="O85" s="618"/>
      <c r="Q85" s="650"/>
    </row>
    <row r="86" ht="7.5" customHeight="1" spans="1:17">
      <c r="A86" s="650"/>
      <c r="B86" s="650"/>
      <c r="C86" s="650"/>
      <c r="D86" s="650"/>
      <c r="E86" s="650"/>
      <c r="F86" s="650"/>
      <c r="G86" s="650"/>
      <c r="H86" s="650"/>
      <c r="I86" s="650"/>
      <c r="J86" s="650"/>
      <c r="K86" s="650"/>
      <c r="L86" s="650"/>
      <c r="M86" s="650"/>
      <c r="N86" s="650"/>
      <c r="O86" s="650"/>
      <c r="P86" s="650"/>
      <c r="Q86" s="650"/>
    </row>
    <row r="87" customHeight="1" spans="1:17">
      <c r="A87" s="688"/>
    </row>
    <row r="88" customHeight="1" spans="1:17">
      <c r="A88" s="688"/>
    </row>
    <row r="89" customHeight="1" spans="1:17">
      <c r="A89" s="688"/>
    </row>
    <row r="90" customHeight="1" spans="1:17">
      <c r="A90" s="688"/>
    </row>
    <row r="91" customHeight="1" spans="1:17">
      <c r="A91" s="688"/>
    </row>
    <row r="92" customHeight="1" spans="1:17">
      <c r="A92" s="688"/>
    </row>
    <row r="93" customHeight="1" spans="1:17">
      <c r="A93" s="688"/>
    </row>
    <row r="94" customHeight="1" spans="1:17">
      <c r="A94" s="688"/>
    </row>
    <row r="95" customHeight="1" spans="1:17">
      <c r="A95" s="688"/>
    </row>
    <row r="96" customHeight="1" spans="1:17">
      <c r="A96" s="688"/>
    </row>
    <row r="97" customHeight="1" spans="1:1">
      <c r="A97" s="688"/>
    </row>
    <row r="98" customHeight="1" spans="1:1">
      <c r="A98" s="688"/>
    </row>
    <row r="99" customHeight="1" spans="1:1">
      <c r="A99" s="688"/>
    </row>
    <row r="100" customHeight="1" spans="1:1">
      <c r="A100" s="688"/>
    </row>
    <row r="101" customHeight="1" spans="1:1">
      <c r="A101" s="688"/>
    </row>
    <row r="102" customHeight="1" spans="1:1">
      <c r="A102" s="688"/>
    </row>
    <row r="103" customHeight="1" spans="1:1">
      <c r="A103" s="688"/>
    </row>
    <row r="104" customHeight="1" spans="1:1">
      <c r="A104" s="688"/>
    </row>
    <row r="105" customHeight="1" spans="1:1">
      <c r="A105" s="688"/>
    </row>
    <row r="106" customHeight="1" spans="1:1">
      <c r="A106" s="688"/>
    </row>
    <row r="107" customHeight="1" spans="1:1">
      <c r="A107" s="688"/>
    </row>
    <row r="108" customHeight="1" spans="1:1">
      <c r="A108" s="688"/>
    </row>
    <row r="109" customHeight="1" spans="1:1">
      <c r="A109" s="688"/>
    </row>
    <row r="110" customHeight="1" spans="1:1">
      <c r="A110" s="688"/>
    </row>
    <row r="111" customHeight="1" spans="1:1">
      <c r="A111" s="688"/>
    </row>
    <row r="112" customHeight="1" spans="1:1">
      <c r="A112" s="688"/>
    </row>
    <row r="113" customHeight="1" spans="1:1">
      <c r="A113" s="688"/>
    </row>
    <row r="114" customHeight="1" spans="1:1">
      <c r="A114" s="688"/>
    </row>
    <row r="115" customHeight="1" spans="1:1">
      <c r="A115" s="688"/>
    </row>
    <row r="116" customHeight="1" spans="1:1">
      <c r="A116" s="688"/>
    </row>
    <row r="117" customHeight="1" spans="1:1">
      <c r="A117" s="688"/>
    </row>
    <row r="118" customHeight="1" spans="1:1">
      <c r="A118" s="688"/>
    </row>
    <row r="119" customHeight="1" spans="1:1">
      <c r="A119" s="688"/>
    </row>
    <row r="120" customHeight="1" spans="1:1">
      <c r="A120" s="688"/>
    </row>
    <row r="121" customHeight="1" spans="1:1">
      <c r="A121" s="688"/>
    </row>
    <row r="122" customHeight="1" spans="1:1">
      <c r="A122" s="688"/>
    </row>
    <row r="123" customHeight="1" spans="1:1">
      <c r="A123" s="688"/>
    </row>
    <row r="124" customHeight="1" spans="1:1">
      <c r="A124" s="688"/>
    </row>
    <row r="125" customHeight="1" spans="1:1">
      <c r="A125" s="688"/>
    </row>
    <row r="126" customHeight="1" spans="1:1">
      <c r="A126" s="688"/>
    </row>
    <row r="127" customHeight="1" spans="1:1">
      <c r="A127" s="688"/>
    </row>
    <row r="128" customHeight="1" spans="1:1">
      <c r="A128" s="688"/>
    </row>
    <row r="129" customHeight="1" spans="1:1">
      <c r="A129" s="688"/>
    </row>
    <row r="130" customHeight="1" spans="1:1">
      <c r="A130" s="688"/>
    </row>
    <row r="131" customHeight="1" spans="1:1">
      <c r="A131" s="688"/>
    </row>
    <row r="132" customHeight="1" spans="1:1">
      <c r="A132" s="688"/>
    </row>
    <row r="133" customHeight="1" spans="1:1">
      <c r="A133" s="688"/>
    </row>
    <row r="134" customHeight="1" spans="1:1">
      <c r="A134" s="688"/>
    </row>
    <row r="135" customHeight="1" spans="1:1">
      <c r="A135" s="688"/>
    </row>
    <row r="136" customHeight="1" spans="1:1">
      <c r="A136" s="688"/>
    </row>
    <row r="137" customHeight="1" spans="1:1">
      <c r="A137" s="688"/>
    </row>
    <row r="138" customHeight="1" spans="1:1">
      <c r="A138" s="688"/>
    </row>
    <row r="139" customHeight="1" spans="1:1">
      <c r="A139" s="688"/>
    </row>
    <row r="140" customHeight="1" spans="1:1">
      <c r="A140" s="688"/>
    </row>
    <row r="141" customHeight="1" spans="1:1">
      <c r="A141" s="688"/>
    </row>
    <row r="142" customHeight="1" spans="1:1">
      <c r="A142" s="688"/>
    </row>
    <row r="143" customHeight="1" spans="1:1">
      <c r="A143" s="688"/>
    </row>
    <row r="144" customHeight="1" spans="1:1">
      <c r="A144" s="688"/>
    </row>
    <row r="145" customHeight="1" spans="1:1">
      <c r="A145" s="688"/>
    </row>
    <row r="146" customHeight="1" spans="1:1">
      <c r="A146" s="688"/>
    </row>
    <row r="147" customHeight="1" spans="1:1">
      <c r="A147" s="688"/>
    </row>
    <row r="148" customHeight="1" spans="1:1">
      <c r="A148" s="688"/>
    </row>
    <row r="149" customHeight="1" spans="1:1">
      <c r="A149" s="688"/>
    </row>
    <row r="150" customHeight="1" spans="1:1">
      <c r="A150" s="688"/>
    </row>
    <row r="151" customHeight="1" spans="1:1">
      <c r="A151" s="688"/>
    </row>
    <row r="152" customHeight="1" spans="1:1">
      <c r="A152" s="688"/>
    </row>
    <row r="153" customHeight="1" spans="1:1">
      <c r="A153" s="688"/>
    </row>
    <row r="154" customHeight="1" spans="1:1">
      <c r="A154" s="688"/>
    </row>
    <row r="155" customHeight="1" spans="1:1">
      <c r="A155" s="688"/>
    </row>
    <row r="156" customHeight="1" spans="1:1">
      <c r="A156" s="688"/>
    </row>
    <row r="157" customHeight="1" spans="1:1">
      <c r="A157" s="688"/>
    </row>
    <row r="158" customHeight="1" spans="1:1">
      <c r="A158" s="688"/>
    </row>
    <row r="159" customHeight="1" spans="1:1">
      <c r="A159" s="688"/>
    </row>
    <row r="160" customHeight="1" spans="1:1">
      <c r="A160" s="688"/>
    </row>
    <row r="161" customHeight="1" spans="1:1">
      <c r="A161" s="688"/>
    </row>
    <row r="162" customHeight="1" spans="1:1">
      <c r="A162" s="688"/>
    </row>
    <row r="163" customHeight="1" spans="1:1">
      <c r="A163" s="688"/>
    </row>
    <row r="164" customHeight="1" spans="1:1">
      <c r="A164" s="688"/>
    </row>
    <row r="165" customHeight="1" spans="1:1">
      <c r="A165" s="688"/>
    </row>
    <row r="166" customHeight="1" spans="1:1">
      <c r="A166" s="688"/>
    </row>
    <row r="167" customHeight="1" spans="1:1">
      <c r="A167" s="688"/>
    </row>
    <row r="168" customHeight="1" spans="1:1">
      <c r="A168" s="688"/>
    </row>
    <row r="169" customHeight="1" spans="1:1">
      <c r="A169" s="688"/>
    </row>
    <row r="170" customHeight="1" spans="1:1">
      <c r="A170" s="688"/>
    </row>
    <row r="171" customHeight="1" spans="1:1">
      <c r="A171" s="688"/>
    </row>
    <row r="172" customHeight="1" spans="1:1">
      <c r="A172" s="688"/>
    </row>
    <row r="173" customHeight="1" spans="1:1">
      <c r="A173" s="688"/>
    </row>
    <row r="174" customHeight="1" spans="1:1">
      <c r="A174" s="688"/>
    </row>
    <row r="175" customHeight="1" spans="1:1">
      <c r="A175" s="688"/>
    </row>
    <row r="176" customHeight="1" spans="1:1">
      <c r="A176" s="688"/>
    </row>
    <row r="177" customHeight="1" spans="1:1">
      <c r="A177" s="688"/>
    </row>
    <row r="178" customHeight="1" spans="1:1">
      <c r="A178" s="688"/>
    </row>
    <row r="179" customHeight="1" spans="1:1">
      <c r="A179" s="688"/>
    </row>
    <row r="180" customHeight="1" spans="1:1">
      <c r="A180" s="688"/>
    </row>
    <row r="181" customHeight="1" spans="1:1">
      <c r="A181" s="688"/>
    </row>
    <row r="182" customHeight="1" spans="1:1">
      <c r="A182" s="688"/>
    </row>
    <row r="183" customHeight="1" spans="1:1">
      <c r="A183" s="688"/>
    </row>
    <row r="184" customHeight="1" spans="1:1">
      <c r="A184" s="688"/>
    </row>
    <row r="185" customHeight="1" spans="1:1">
      <c r="A185" s="688"/>
    </row>
    <row r="186" customHeight="1" spans="1:1">
      <c r="A186" s="688"/>
    </row>
    <row r="187" customHeight="1" spans="1:1">
      <c r="A187" s="688"/>
    </row>
    <row r="188" customHeight="1" spans="1:1">
      <c r="A188" s="688"/>
    </row>
    <row r="189" customHeight="1" spans="1:1">
      <c r="A189" s="688"/>
    </row>
    <row r="190" customHeight="1" spans="1:1">
      <c r="A190" s="688"/>
    </row>
    <row r="191" customHeight="1" spans="1:1">
      <c r="A191" s="688"/>
    </row>
    <row r="192" customHeight="1" spans="1:1">
      <c r="A192" s="688"/>
    </row>
    <row r="193" customHeight="1" spans="1:1">
      <c r="A193" s="688"/>
    </row>
  </sheetData>
  <mergeCells count="19">
    <mergeCell ref="B20:E20"/>
    <mergeCell ref="B23:E23"/>
    <mergeCell ref="B26:E26"/>
    <mergeCell ref="C28:F28"/>
    <mergeCell ref="C29:F29"/>
    <mergeCell ref="C30:F30"/>
    <mergeCell ref="C31:F31"/>
    <mergeCell ref="C32:F32"/>
    <mergeCell ref="C33:F33"/>
    <mergeCell ref="C34:F34"/>
    <mergeCell ref="C35:F35"/>
    <mergeCell ref="A45:B45"/>
    <mergeCell ref="E47:J47"/>
    <mergeCell ref="E48:I48"/>
    <mergeCell ref="K48:L48"/>
    <mergeCell ref="N48:N49"/>
    <mergeCell ref="O48:O49"/>
    <mergeCell ref="D2:O8"/>
    <mergeCell ref="B60:F63"/>
  </mergeCells>
  <conditionalFormatting sqref="C40">
    <cfRule type="containsBlanks" dxfId="1" priority="2">
      <formula>LEN(TRIM(C40))=0</formula>
    </cfRule>
  </conditionalFormatting>
  <conditionalFormatting sqref="G56">
    <cfRule type="containsBlanks" dxfId="1" priority="6">
      <formula>LEN(TRIM(G56))=0</formula>
    </cfRule>
  </conditionalFormatting>
  <conditionalFormatting sqref="I56:J56">
    <cfRule type="containsBlanks" dxfId="1" priority="4">
      <formula>LEN(TRIM(I56))=0</formula>
    </cfRule>
  </conditionalFormatting>
  <conditionalFormatting sqref="B50:B52">
    <cfRule type="containsBlanks" dxfId="1" priority="27">
      <formula>LEN(TRIM(B50))=0</formula>
    </cfRule>
  </conditionalFormatting>
  <conditionalFormatting sqref="C2:C8">
    <cfRule type="containsBlanks" dxfId="1" priority="26">
      <formula>LEN(TRIM(C2))=0</formula>
    </cfRule>
  </conditionalFormatting>
  <conditionalFormatting sqref="C15:C19">
    <cfRule type="containsBlanks" dxfId="1" priority="25">
      <formula>LEN(TRIM(C15))=0</formula>
    </cfRule>
  </conditionalFormatting>
  <conditionalFormatting sqref="C29:C35">
    <cfRule type="containsBlanks" dxfId="1" priority="24">
      <formula>LEN(TRIM(C29))=0</formula>
    </cfRule>
  </conditionalFormatting>
  <conditionalFormatting sqref="J50:J52">
    <cfRule type="containsBlanks" dxfId="1" priority="3">
      <formula>LEN(TRIM(J50))=0</formula>
    </cfRule>
  </conditionalFormatting>
  <conditionalFormatting sqref="O50:O52 O54">
    <cfRule type="containsBlanks" dxfId="1" priority="29">
      <formula>LEN(TRIM(O50))=0</formula>
    </cfRule>
  </conditionalFormatting>
  <dataValidations count="3">
    <dataValidation type="list" allowBlank="1" showInputMessage="1" sqref="B67:B84">
      <formula1>"管理层账表调整(CLA),已更正审计调整(AA/RA/OA),未更正审计调整(SAD)"</formula1>
    </dataValidation>
    <dataValidation type="list" allowBlank="1" showInputMessage="1" sqref="C15:C19">
      <formula1>"Minimal,Low,Moderate,High,N/A"</formula1>
    </dataValidation>
    <dataValidation type="list" allowBlank="1" showInputMessage="1" sqref="O50:O55">
      <formula1>"是,否"</formula1>
    </dataValidation>
  </dataValidations>
  <hyperlinks>
    <hyperlink ref="B11" location="'汇总 '!A1" display="返回汇总页"/>
  </hyperlinks>
  <pageMargins left="0.7" right="0.7" top="0.75" bottom="0.75" header="0.3" footer="0.3"/>
  <pageSetup paperSize="9" orientation="portrait"/>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F190"/>
  <sheetViews>
    <sheetView showGridLines="0" zoomScale="89" zoomScaleNormal="89" zoomScaleSheetLayoutView="80" workbookViewId="0">
      <pane xSplit="4" ySplit="11" topLeftCell="U17" activePane="bottomRight" state="frozen"/>
      <selection/>
      <selection pane="topRight"/>
      <selection pane="bottomLeft"/>
      <selection pane="bottomRight" activeCell="H80" sqref="H80"/>
    </sheetView>
  </sheetViews>
  <sheetFormatPr defaultColWidth="9.26666666666667" defaultRowHeight="12.75" customHeight="1"/>
  <cols>
    <col min="1" max="1" width="2.45" style="362" customWidth="1"/>
    <col min="2" max="2" width="17.45" style="363" customWidth="1"/>
    <col min="3" max="3" width="18.725" style="363" customWidth="1"/>
    <col min="4" max="5" width="16.2666666666667" style="363" customWidth="1"/>
    <col min="6" max="6" width="17.45" style="363" customWidth="1"/>
    <col min="7" max="7" width="19.725" style="364" customWidth="1"/>
    <col min="8" max="8" width="14.45" style="363" customWidth="1"/>
    <col min="9" max="9" width="15.725" style="363" customWidth="1"/>
    <col min="10" max="10" width="17.2666666666667" style="363" customWidth="1"/>
    <col min="11" max="11" width="11.2666666666667" style="363" customWidth="1"/>
    <col min="12" max="12" width="16.45" style="365" customWidth="1"/>
    <col min="13" max="13" width="14" style="363" customWidth="1"/>
    <col min="14" max="14" width="10.725" style="363" customWidth="1"/>
    <col min="15" max="15" width="16.45" style="363" customWidth="1"/>
    <col min="16" max="16" width="10.725" style="363" customWidth="1"/>
    <col min="17" max="17" width="12.725" style="363" customWidth="1"/>
    <col min="18" max="18" width="16.45" style="363" customWidth="1"/>
    <col min="19" max="19" width="12.725" style="363" customWidth="1"/>
    <col min="20" max="20" width="13.45" style="363" customWidth="1"/>
    <col min="21" max="21" width="16.45" style="363" customWidth="1"/>
    <col min="22" max="22" width="13.45" style="363" customWidth="1"/>
    <col min="23" max="23" width="8.45" style="363" hidden="1" customWidth="1"/>
    <col min="24" max="24" width="16.45" style="363" hidden="1" customWidth="1"/>
    <col min="25" max="25" width="8.45" style="363" hidden="1" customWidth="1"/>
    <col min="26" max="26" width="14" style="363" customWidth="1"/>
    <col min="27" max="27" width="11.45" style="363" customWidth="1"/>
    <col min="28" max="28" width="16.725" style="363" customWidth="1"/>
    <col min="29" max="29" width="14.725" style="363" customWidth="1"/>
    <col min="30" max="30" width="2.45" style="363" customWidth="1"/>
    <col min="31" max="31" width="1.45" style="363" customWidth="1"/>
    <col min="32" max="32" width="12.725" style="363" customWidth="1"/>
    <col min="33" max="16384" width="9.26666666666667" style="363"/>
  </cols>
  <sheetData>
    <row r="1" s="357" customFormat="1" ht="31.5" customHeight="1" spans="1:32">
      <c r="B1" s="366" t="s">
        <v>183</v>
      </c>
      <c r="C1" s="367"/>
      <c r="D1" s="368"/>
      <c r="E1" s="368"/>
      <c r="F1" s="368"/>
      <c r="G1" s="368"/>
      <c r="H1" s="368"/>
      <c r="I1" s="368"/>
      <c r="J1" s="369"/>
      <c r="K1" s="368"/>
      <c r="L1" s="370"/>
      <c r="M1" s="370"/>
      <c r="N1" s="371"/>
      <c r="O1" s="371"/>
      <c r="P1" s="371"/>
      <c r="Q1" s="371"/>
      <c r="R1" s="371"/>
      <c r="S1" s="371"/>
      <c r="T1" s="371"/>
      <c r="U1" s="371"/>
      <c r="V1" s="371"/>
      <c r="W1" s="371"/>
      <c r="X1" s="371"/>
      <c r="Y1" s="371"/>
      <c r="Z1" s="371"/>
      <c r="AA1" s="371"/>
      <c r="AB1" s="371"/>
      <c r="AC1" s="372"/>
      <c r="AE1" s="373"/>
    </row>
    <row r="2" s="358" customFormat="1" ht="30" customHeight="1" spans="1:32">
      <c r="A2" s="357"/>
      <c r="B2" s="374" t="s">
        <v>184</v>
      </c>
      <c r="C2" s="375"/>
      <c r="D2" s="376"/>
      <c r="E2" s="377"/>
      <c r="F2" s="376"/>
      <c r="G2" s="377"/>
      <c r="H2" s="376"/>
      <c r="I2" s="377"/>
      <c r="J2" s="378"/>
      <c r="K2" s="377"/>
      <c r="L2" s="376"/>
      <c r="M2" s="377"/>
      <c r="N2" s="376"/>
      <c r="O2" s="377"/>
      <c r="P2" s="376"/>
      <c r="Q2" s="377"/>
      <c r="R2" s="376"/>
      <c r="S2" s="377"/>
      <c r="T2" s="376"/>
      <c r="U2" s="376"/>
      <c r="V2" s="376"/>
      <c r="W2" s="376"/>
      <c r="X2" s="376"/>
      <c r="Y2" s="376"/>
      <c r="Z2" s="376"/>
      <c r="AA2" s="376"/>
      <c r="AB2" s="376"/>
      <c r="AC2" s="379"/>
      <c r="AD2" s="380"/>
      <c r="AE2" s="381"/>
    </row>
    <row r="3" s="56" customFormat="1" ht="14.25" spans="1:32">
      <c r="A3" s="382"/>
      <c r="C3" s="383"/>
      <c r="D3" s="383"/>
      <c r="E3" s="383"/>
      <c r="F3" s="383"/>
      <c r="G3" s="383"/>
      <c r="H3" s="384"/>
      <c r="I3" s="384"/>
      <c r="J3" s="384"/>
      <c r="K3" s="384"/>
      <c r="L3" s="385"/>
      <c r="M3" s="384"/>
      <c r="N3" s="384"/>
      <c r="O3" s="386"/>
      <c r="AE3" s="381"/>
    </row>
    <row r="4" s="56" customFormat="1" ht="14.25" spans="1:32">
      <c r="A4" s="382"/>
      <c r="B4" s="18" t="s">
        <v>82</v>
      </c>
      <c r="C4" s="383"/>
      <c r="D4" s="383"/>
      <c r="E4" s="383"/>
      <c r="F4" s="383"/>
      <c r="G4" s="383"/>
      <c r="H4" s="384"/>
      <c r="I4" s="384"/>
      <c r="J4" s="384"/>
      <c r="K4" s="384"/>
      <c r="L4" s="385"/>
      <c r="M4" s="384"/>
      <c r="N4" s="384"/>
      <c r="O4" s="386"/>
      <c r="AE4" s="381"/>
    </row>
    <row r="5" s="56" customFormat="1" ht="14.25" spans="1:32">
      <c r="A5" s="382"/>
      <c r="D5" s="384"/>
      <c r="E5" s="384"/>
      <c r="F5" s="384"/>
      <c r="G5" s="384"/>
      <c r="H5" s="384"/>
      <c r="I5" s="384"/>
      <c r="J5" s="384"/>
      <c r="K5" s="384"/>
      <c r="L5" s="385"/>
      <c r="M5" s="384"/>
      <c r="N5" s="384"/>
      <c r="O5" s="386"/>
      <c r="AE5" s="381"/>
    </row>
    <row r="6" s="56" customFormat="1" ht="16.5" spans="1:32">
      <c r="A6" s="382"/>
      <c r="B6" s="387" t="s">
        <v>185</v>
      </c>
      <c r="C6" s="384"/>
      <c r="D6" s="384"/>
      <c r="E6" s="384"/>
      <c r="F6" s="384"/>
      <c r="G6" s="384"/>
      <c r="H6" s="384"/>
      <c r="I6" s="384"/>
      <c r="J6" s="384"/>
      <c r="K6" s="385"/>
      <c r="L6" s="384"/>
      <c r="M6" s="384"/>
      <c r="N6" s="386"/>
      <c r="AE6" s="381"/>
    </row>
    <row r="7" s="56" customFormat="1" ht="16.5" spans="1:32">
      <c r="A7" s="382"/>
      <c r="B7" s="387" t="s">
        <v>186</v>
      </c>
      <c r="C7" s="384"/>
      <c r="D7" s="384"/>
      <c r="E7" s="384"/>
      <c r="F7" s="384"/>
      <c r="G7" s="384"/>
      <c r="H7" s="384"/>
      <c r="I7" s="384"/>
      <c r="J7" s="384"/>
      <c r="K7" s="385"/>
      <c r="L7" s="384"/>
      <c r="M7" s="384"/>
      <c r="N7" s="386"/>
      <c r="V7" s="388"/>
      <c r="Z7" s="389"/>
      <c r="AE7" s="381"/>
    </row>
    <row r="8" s="56" customFormat="1" ht="16.5" spans="1:32">
      <c r="A8" s="382"/>
      <c r="B8" s="387" t="s">
        <v>187</v>
      </c>
      <c r="C8" s="384"/>
      <c r="D8" s="384"/>
      <c r="E8" s="384"/>
      <c r="F8" s="384"/>
      <c r="G8" s="384"/>
      <c r="H8" s="384"/>
      <c r="I8" s="384"/>
      <c r="J8" s="384"/>
      <c r="K8" s="385"/>
      <c r="L8" s="384"/>
      <c r="M8" s="384"/>
      <c r="N8" s="386"/>
      <c r="T8" s="388"/>
      <c r="U8" s="389"/>
      <c r="AE8" s="381"/>
    </row>
    <row r="9" s="62" customFormat="1" ht="16" customHeight="1" spans="1:32">
      <c r="A9" s="61"/>
      <c r="B9" s="382" t="s">
        <v>188</v>
      </c>
      <c r="C9" s="390"/>
      <c r="D9" s="390"/>
      <c r="E9" s="295"/>
      <c r="F9" s="295"/>
      <c r="G9" s="295"/>
      <c r="H9" s="295"/>
      <c r="I9" s="295"/>
      <c r="J9" s="390"/>
      <c r="K9" s="390"/>
      <c r="M9" s="295"/>
      <c r="N9" s="295"/>
      <c r="O9" s="390"/>
      <c r="P9" s="390"/>
      <c r="Q9" s="390"/>
      <c r="R9" s="390"/>
      <c r="S9" s="390"/>
      <c r="T9" s="295"/>
      <c r="V9" s="295"/>
      <c r="Z9" s="295" t="s">
        <v>189</v>
      </c>
      <c r="AA9" s="295"/>
      <c r="AB9" s="295"/>
      <c r="AD9" s="56"/>
      <c r="AE9" s="381"/>
    </row>
    <row r="10" s="359" customFormat="1" ht="16.5" spans="1:32">
      <c r="A10" s="61"/>
      <c r="B10" s="391"/>
      <c r="C10" s="392"/>
      <c r="D10" s="393" t="s">
        <v>190</v>
      </c>
      <c r="E10" s="394"/>
      <c r="F10" s="395" t="s">
        <v>191</v>
      </c>
      <c r="G10" s="396"/>
      <c r="H10" s="394"/>
      <c r="I10" s="395" t="s">
        <v>192</v>
      </c>
      <c r="J10" s="396"/>
      <c r="K10" s="394"/>
      <c r="L10" s="395" t="s">
        <v>193</v>
      </c>
      <c r="M10" s="396"/>
      <c r="N10" s="394"/>
      <c r="O10" s="395" t="s">
        <v>194</v>
      </c>
      <c r="P10" s="396"/>
      <c r="Q10" s="394"/>
      <c r="R10" s="395" t="s">
        <v>195</v>
      </c>
      <c r="S10" s="396"/>
      <c r="T10" s="394"/>
      <c r="U10" s="395" t="s">
        <v>196</v>
      </c>
      <c r="V10" s="396"/>
      <c r="W10" s="394"/>
      <c r="X10" s="395" t="s">
        <v>197</v>
      </c>
      <c r="Y10" s="396"/>
      <c r="Z10" s="394"/>
      <c r="AA10" s="395" t="s">
        <v>198</v>
      </c>
      <c r="AB10" s="396"/>
      <c r="AC10" s="397"/>
      <c r="AD10" s="57"/>
      <c r="AE10" s="398"/>
    </row>
    <row r="11" s="360" customFormat="1" ht="16.5" spans="1:32">
      <c r="A11" s="295"/>
      <c r="B11" s="399"/>
      <c r="C11" s="400"/>
      <c r="D11" s="290"/>
      <c r="E11" s="341" t="s">
        <v>199</v>
      </c>
      <c r="F11" s="401" t="s">
        <v>200</v>
      </c>
      <c r="G11" s="341" t="s">
        <v>201</v>
      </c>
      <c r="H11" s="341" t="s">
        <v>199</v>
      </c>
      <c r="I11" s="401" t="s">
        <v>200</v>
      </c>
      <c r="J11" s="341" t="s">
        <v>201</v>
      </c>
      <c r="K11" s="341" t="s">
        <v>199</v>
      </c>
      <c r="L11" s="401" t="s">
        <v>200</v>
      </c>
      <c r="M11" s="341" t="s">
        <v>201</v>
      </c>
      <c r="N11" s="341" t="s">
        <v>199</v>
      </c>
      <c r="O11" s="401" t="s">
        <v>200</v>
      </c>
      <c r="P11" s="341" t="s">
        <v>201</v>
      </c>
      <c r="Q11" s="341" t="s">
        <v>199</v>
      </c>
      <c r="R11" s="401" t="s">
        <v>200</v>
      </c>
      <c r="S11" s="341" t="s">
        <v>201</v>
      </c>
      <c r="T11" s="341" t="s">
        <v>199</v>
      </c>
      <c r="U11" s="401" t="s">
        <v>200</v>
      </c>
      <c r="V11" s="341" t="s">
        <v>201</v>
      </c>
      <c r="W11" s="341" t="s">
        <v>199</v>
      </c>
      <c r="X11" s="401" t="s">
        <v>200</v>
      </c>
      <c r="Y11" s="341" t="s">
        <v>201</v>
      </c>
      <c r="Z11" s="341" t="s">
        <v>199</v>
      </c>
      <c r="AA11" s="401" t="s">
        <v>200</v>
      </c>
      <c r="AB11" s="341" t="s">
        <v>201</v>
      </c>
      <c r="AC11" s="402" t="s">
        <v>202</v>
      </c>
      <c r="AD11" s="56"/>
      <c r="AE11" s="381"/>
    </row>
    <row r="12" s="62" customFormat="1" ht="16.5" spans="1:32">
      <c r="A12" s="61"/>
      <c r="B12" s="403"/>
      <c r="C12" s="404" t="s">
        <v>203</v>
      </c>
      <c r="D12" s="405" t="s">
        <v>93</v>
      </c>
      <c r="E12" s="324">
        <v>23791563.89</v>
      </c>
      <c r="F12" s="324"/>
      <c r="G12" s="324">
        <f t="shared" ref="G12:G17" si="0">SUM(E12:F12)</f>
        <v>23791563.89</v>
      </c>
      <c r="H12" s="324">
        <v>55495050.61</v>
      </c>
      <c r="I12" s="324">
        <f>'K.00 Lead Sheet'!E71</f>
        <v>-2309027.52</v>
      </c>
      <c r="J12" s="324">
        <f>SUM(H12:I12)</f>
        <v>53186023.09</v>
      </c>
      <c r="K12" s="324">
        <v>827014.13</v>
      </c>
      <c r="L12" s="324"/>
      <c r="M12" s="324">
        <f t="shared" ref="M12:M17" si="1">SUM(K12:L12)</f>
        <v>827014.13</v>
      </c>
      <c r="N12" s="324">
        <v>115247.79</v>
      </c>
      <c r="O12" s="324"/>
      <c r="P12" s="324">
        <f t="shared" ref="P12:P17" si="2">SUM(N12:O12)</f>
        <v>115247.79</v>
      </c>
      <c r="Q12" s="324">
        <v>1510708.22</v>
      </c>
      <c r="R12" s="324"/>
      <c r="S12" s="324">
        <f>SUM(Q12:R12)</f>
        <v>1510708.22</v>
      </c>
      <c r="T12" s="324">
        <v>6414640.19</v>
      </c>
      <c r="U12" s="324"/>
      <c r="V12" s="324">
        <f>SUM(T12:U12)</f>
        <v>6414640.19</v>
      </c>
      <c r="W12" s="324"/>
      <c r="X12" s="324"/>
      <c r="Y12" s="324">
        <f>SUM(W12:X12)</f>
        <v>0</v>
      </c>
      <c r="Z12" s="324">
        <f t="shared" ref="Z12:AB17" si="3">SUM(E12,H12,K12,N12,Q12,T12,W12)</f>
        <v>88154224.83</v>
      </c>
      <c r="AA12" s="324">
        <f t="shared" si="3"/>
        <v>-2309027.52</v>
      </c>
      <c r="AB12" s="324">
        <f t="shared" si="3"/>
        <v>85845197.31</v>
      </c>
      <c r="AC12" s="406">
        <f>AB12-'K.00 Lead Sheet'!J50</f>
        <v>0</v>
      </c>
      <c r="AD12" s="56"/>
      <c r="AE12" s="381"/>
      <c r="AF12" s="407"/>
    </row>
    <row r="13" s="62" customFormat="1" ht="16.5" spans="1:32">
      <c r="A13" s="61"/>
      <c r="B13" s="408"/>
      <c r="C13" s="409" t="s">
        <v>204</v>
      </c>
      <c r="D13" s="410" t="s">
        <v>205</v>
      </c>
      <c r="E13" s="324">
        <v>0</v>
      </c>
      <c r="F13" s="324"/>
      <c r="G13" s="324">
        <f t="shared" si="0"/>
        <v>0</v>
      </c>
      <c r="H13" s="324">
        <v>9928664.38</v>
      </c>
      <c r="I13" s="324"/>
      <c r="J13" s="324">
        <f t="shared" ref="J13:J17" si="4">SUM(H13:I13)</f>
        <v>9928664.38</v>
      </c>
      <c r="K13" s="324">
        <v>22283.18</v>
      </c>
      <c r="L13" s="324"/>
      <c r="M13" s="324">
        <f t="shared" si="1"/>
        <v>22283.18</v>
      </c>
      <c r="N13" s="324">
        <v>0</v>
      </c>
      <c r="O13" s="324"/>
      <c r="P13" s="324">
        <f t="shared" si="2"/>
        <v>0</v>
      </c>
      <c r="Q13" s="324">
        <v>95951.3</v>
      </c>
      <c r="R13" s="324"/>
      <c r="S13" s="324">
        <f t="shared" ref="S13:S17" si="5">SUM(Q13:R13)</f>
        <v>95951.3</v>
      </c>
      <c r="T13" s="324">
        <v>268805.3</v>
      </c>
      <c r="U13" s="324"/>
      <c r="V13" s="324">
        <f>SUM(T13:U13)</f>
        <v>268805.3</v>
      </c>
      <c r="W13" s="324"/>
      <c r="X13" s="324"/>
      <c r="Y13" s="324">
        <f>SUM(W13:X13)</f>
        <v>0</v>
      </c>
      <c r="Z13" s="324">
        <f t="shared" si="3"/>
        <v>10315704.16</v>
      </c>
      <c r="AA13" s="324">
        <f t="shared" si="3"/>
        <v>0</v>
      </c>
      <c r="AB13" s="324">
        <f t="shared" si="3"/>
        <v>10315704.16</v>
      </c>
      <c r="AC13" s="411"/>
      <c r="AD13" s="56"/>
      <c r="AE13" s="381"/>
    </row>
    <row r="14" s="62" customFormat="1" ht="16.5" spans="1:32">
      <c r="A14" s="61"/>
      <c r="B14" s="408"/>
      <c r="C14" s="409" t="s">
        <v>206</v>
      </c>
      <c r="D14" s="412" t="s">
        <v>207</v>
      </c>
      <c r="E14" s="324">
        <v>0</v>
      </c>
      <c r="F14" s="324"/>
      <c r="G14" s="324">
        <f t="shared" si="0"/>
        <v>0</v>
      </c>
      <c r="H14" s="324">
        <v>0</v>
      </c>
      <c r="I14" s="324"/>
      <c r="J14" s="324">
        <f t="shared" si="4"/>
        <v>0</v>
      </c>
      <c r="K14" s="324">
        <v>0</v>
      </c>
      <c r="L14" s="324"/>
      <c r="M14" s="324">
        <f t="shared" si="1"/>
        <v>0</v>
      </c>
      <c r="N14" s="324">
        <v>0</v>
      </c>
      <c r="O14" s="324"/>
      <c r="P14" s="324">
        <f t="shared" si="2"/>
        <v>0</v>
      </c>
      <c r="Q14" s="324">
        <v>0</v>
      </c>
      <c r="R14" s="324"/>
      <c r="S14" s="324">
        <f t="shared" si="5"/>
        <v>0</v>
      </c>
      <c r="T14" s="324">
        <v>254328.68</v>
      </c>
      <c r="U14" s="324"/>
      <c r="V14" s="324">
        <f>SUM(T14:U14)</f>
        <v>254328.68</v>
      </c>
      <c r="W14" s="324"/>
      <c r="X14" s="324"/>
      <c r="Y14" s="324">
        <f t="shared" ref="Y14:Y17" si="6">SUM(W14:X14)</f>
        <v>0</v>
      </c>
      <c r="Z14" s="324">
        <f t="shared" si="3"/>
        <v>254328.68</v>
      </c>
      <c r="AA14" s="324">
        <f t="shared" si="3"/>
        <v>0</v>
      </c>
      <c r="AB14" s="324">
        <f t="shared" si="3"/>
        <v>254328.68</v>
      </c>
      <c r="AC14" s="411"/>
      <c r="AD14" s="56"/>
      <c r="AE14" s="381"/>
    </row>
    <row r="15" s="62" customFormat="1" ht="16.15" customHeight="1" spans="1:32">
      <c r="A15" s="61"/>
      <c r="B15" s="413" t="s">
        <v>157</v>
      </c>
      <c r="C15" s="409" t="s">
        <v>208</v>
      </c>
      <c r="D15" s="410" t="s">
        <v>209</v>
      </c>
      <c r="E15" s="324">
        <v>0</v>
      </c>
      <c r="F15" s="324"/>
      <c r="G15" s="324">
        <f t="shared" si="0"/>
        <v>0</v>
      </c>
      <c r="H15" s="324">
        <v>-2809645.18</v>
      </c>
      <c r="I15" s="324">
        <f>'K.00 Lead Sheet'!$E$76</f>
        <v>1724074.12</v>
      </c>
      <c r="J15" s="324">
        <f t="shared" si="4"/>
        <v>-1085571.06</v>
      </c>
      <c r="K15" s="324">
        <v>0</v>
      </c>
      <c r="L15" s="324"/>
      <c r="M15" s="324">
        <f t="shared" si="1"/>
        <v>0</v>
      </c>
      <c r="N15" s="324">
        <v>0</v>
      </c>
      <c r="O15" s="324"/>
      <c r="P15" s="324">
        <f t="shared" si="2"/>
        <v>0</v>
      </c>
      <c r="Q15" s="324">
        <v>-30714.81</v>
      </c>
      <c r="R15" s="324"/>
      <c r="S15" s="324">
        <f t="shared" si="5"/>
        <v>-30714.81</v>
      </c>
      <c r="T15" s="324">
        <v>-280710.66</v>
      </c>
      <c r="U15" s="324"/>
      <c r="V15" s="324">
        <f t="shared" ref="V15:V17" si="7">SUM(T15:U15)</f>
        <v>-280710.66</v>
      </c>
      <c r="W15" s="324"/>
      <c r="X15" s="324"/>
      <c r="Y15" s="324">
        <f t="shared" si="6"/>
        <v>0</v>
      </c>
      <c r="Z15" s="324">
        <f t="shared" si="3"/>
        <v>-3121070.65</v>
      </c>
      <c r="AA15" s="324">
        <f>SUM(F15,I15,L15,O15,R15,U15,X15)</f>
        <v>1724074.12</v>
      </c>
      <c r="AB15" s="324">
        <f t="shared" si="3"/>
        <v>-1396996.53</v>
      </c>
      <c r="AC15" s="411"/>
      <c r="AD15" s="56"/>
      <c r="AE15" s="381"/>
    </row>
    <row r="16" s="62" customFormat="1" ht="16.5" spans="1:32">
      <c r="A16" s="61"/>
      <c r="B16" s="408"/>
      <c r="C16" s="343" t="s">
        <v>210</v>
      </c>
      <c r="D16" s="412"/>
      <c r="E16" s="324">
        <v>0</v>
      </c>
      <c r="F16" s="324"/>
      <c r="G16" s="324">
        <f t="shared" si="0"/>
        <v>0</v>
      </c>
      <c r="H16" s="324">
        <v>0</v>
      </c>
      <c r="I16" s="324"/>
      <c r="J16" s="324">
        <f t="shared" si="4"/>
        <v>0</v>
      </c>
      <c r="K16" s="324">
        <v>0</v>
      </c>
      <c r="L16" s="324"/>
      <c r="M16" s="324">
        <f t="shared" si="1"/>
        <v>0</v>
      </c>
      <c r="N16" s="324">
        <v>0</v>
      </c>
      <c r="O16" s="324"/>
      <c r="P16" s="324">
        <f t="shared" si="2"/>
        <v>0</v>
      </c>
      <c r="Q16" s="324">
        <v>0</v>
      </c>
      <c r="R16" s="324"/>
      <c r="S16" s="324">
        <f t="shared" si="5"/>
        <v>0</v>
      </c>
      <c r="T16" s="324">
        <v>0</v>
      </c>
      <c r="U16" s="324"/>
      <c r="V16" s="324">
        <f t="shared" si="7"/>
        <v>0</v>
      </c>
      <c r="W16" s="324"/>
      <c r="X16" s="324"/>
      <c r="Y16" s="324">
        <f t="shared" si="6"/>
        <v>0</v>
      </c>
      <c r="Z16" s="324">
        <f t="shared" si="3"/>
        <v>0</v>
      </c>
      <c r="AA16" s="324">
        <f t="shared" si="3"/>
        <v>0</v>
      </c>
      <c r="AB16" s="324">
        <f t="shared" si="3"/>
        <v>0</v>
      </c>
      <c r="AC16" s="411"/>
      <c r="AD16" s="56"/>
      <c r="AE16" s="381"/>
    </row>
    <row r="17" s="62" customFormat="1" ht="17.25" customHeight="1" spans="1:32">
      <c r="A17" s="61"/>
      <c r="B17" s="408"/>
      <c r="C17" s="409" t="s">
        <v>211</v>
      </c>
      <c r="D17" s="410"/>
      <c r="E17" s="324">
        <v>0</v>
      </c>
      <c r="F17" s="324"/>
      <c r="G17" s="324">
        <f t="shared" si="0"/>
        <v>0</v>
      </c>
      <c r="H17" s="324">
        <v>0</v>
      </c>
      <c r="I17" s="324"/>
      <c r="J17" s="324">
        <f t="shared" si="4"/>
        <v>0</v>
      </c>
      <c r="K17" s="324">
        <v>0</v>
      </c>
      <c r="L17" s="324"/>
      <c r="M17" s="324">
        <f t="shared" si="1"/>
        <v>0</v>
      </c>
      <c r="N17" s="324">
        <v>0</v>
      </c>
      <c r="O17" s="324"/>
      <c r="P17" s="324">
        <f t="shared" si="2"/>
        <v>0</v>
      </c>
      <c r="Q17" s="324">
        <v>0</v>
      </c>
      <c r="R17" s="324"/>
      <c r="S17" s="324">
        <f t="shared" si="5"/>
        <v>0</v>
      </c>
      <c r="T17" s="324">
        <v>0</v>
      </c>
      <c r="U17" s="324"/>
      <c r="V17" s="324">
        <f t="shared" si="7"/>
        <v>0</v>
      </c>
      <c r="W17" s="324"/>
      <c r="X17" s="324"/>
      <c r="Y17" s="324">
        <f t="shared" si="6"/>
        <v>0</v>
      </c>
      <c r="Z17" s="324">
        <f t="shared" si="3"/>
        <v>0</v>
      </c>
      <c r="AA17" s="324">
        <f t="shared" si="3"/>
        <v>0</v>
      </c>
      <c r="AB17" s="324">
        <f t="shared" si="3"/>
        <v>0</v>
      </c>
      <c r="AC17" s="411"/>
      <c r="AD17" s="56"/>
      <c r="AE17" s="381"/>
    </row>
    <row r="18" s="62" customFormat="1" ht="16.5" spans="1:32">
      <c r="A18" s="61"/>
      <c r="B18" s="414"/>
      <c r="C18" s="415" t="s">
        <v>212</v>
      </c>
      <c r="D18" s="416" t="s">
        <v>109</v>
      </c>
      <c r="E18" s="417">
        <f t="shared" ref="E18:Y18" si="8">E12+E13+E14+E15+E16+E17</f>
        <v>23791563.89</v>
      </c>
      <c r="F18" s="417">
        <f t="shared" si="8"/>
        <v>0</v>
      </c>
      <c r="G18" s="417">
        <f t="shared" si="8"/>
        <v>23791563.89</v>
      </c>
      <c r="H18" s="417">
        <f t="shared" ref="H18" si="9">H12+H13+H14+H15+H16+H17</f>
        <v>62614069.81</v>
      </c>
      <c r="I18" s="417">
        <f t="shared" si="8"/>
        <v>-584953.4</v>
      </c>
      <c r="J18" s="417">
        <f t="shared" si="8"/>
        <v>62029116.41</v>
      </c>
      <c r="K18" s="417">
        <f t="shared" ref="K18" si="10">K12+K13+K14+K15+K16+K17</f>
        <v>849297.31</v>
      </c>
      <c r="L18" s="417">
        <f t="shared" si="8"/>
        <v>0</v>
      </c>
      <c r="M18" s="417">
        <f t="shared" si="8"/>
        <v>849297.31</v>
      </c>
      <c r="N18" s="417">
        <f t="shared" ref="N18:P18" si="11">N12+N13+N14+N15+N16+N17</f>
        <v>115247.79</v>
      </c>
      <c r="O18" s="417">
        <f t="shared" si="11"/>
        <v>0</v>
      </c>
      <c r="P18" s="417">
        <f t="shared" si="11"/>
        <v>115247.79</v>
      </c>
      <c r="Q18" s="417">
        <f t="shared" ref="Q18" si="12">Q12+Q13+Q14+Q15+Q16+Q17</f>
        <v>1575944.71</v>
      </c>
      <c r="R18" s="417">
        <f t="shared" si="8"/>
        <v>0</v>
      </c>
      <c r="S18" s="417">
        <f t="shared" si="8"/>
        <v>1575944.71</v>
      </c>
      <c r="T18" s="417">
        <f t="shared" ref="T18" si="13">T12+T13+T14+T15+T16+T17</f>
        <v>6657063.51</v>
      </c>
      <c r="U18" s="417">
        <f t="shared" si="8"/>
        <v>0</v>
      </c>
      <c r="V18" s="417">
        <f t="shared" si="8"/>
        <v>6657063.51</v>
      </c>
      <c r="W18" s="417">
        <f t="shared" ref="W18" si="14">W12+W13+W14+W15+W16+W17</f>
        <v>0</v>
      </c>
      <c r="X18" s="417">
        <f t="shared" si="8"/>
        <v>0</v>
      </c>
      <c r="Y18" s="417">
        <f t="shared" si="8"/>
        <v>0</v>
      </c>
      <c r="Z18" s="417">
        <f>Z12+Z13+Z14+Z16+Z17+Z15</f>
        <v>95603187.02</v>
      </c>
      <c r="AA18" s="417">
        <f>AA12+AA13+AA14+AA15+AA16+AA17</f>
        <v>-584953.4</v>
      </c>
      <c r="AB18" s="417">
        <f>AB12+AB13+AB14+AB15+AB16+AB17</f>
        <v>95018233.62</v>
      </c>
      <c r="AC18" s="406">
        <f>AB18-'K.00 Lead Sheet'!I50</f>
        <v>0</v>
      </c>
      <c r="AD18" s="56"/>
      <c r="AE18" s="381"/>
    </row>
    <row r="19" s="62" customFormat="1" ht="16.5" spans="1:32">
      <c r="A19" s="61"/>
      <c r="B19" s="418"/>
      <c r="C19" s="415" t="s">
        <v>203</v>
      </c>
      <c r="D19" s="405" t="s">
        <v>93</v>
      </c>
      <c r="E19" s="324">
        <v>1176556.93</v>
      </c>
      <c r="F19" s="324"/>
      <c r="G19" s="324">
        <f t="shared" ref="G19:G23" si="15">SUM(E19:F19)</f>
        <v>1176556.93</v>
      </c>
      <c r="H19" s="324">
        <v>10276670.88</v>
      </c>
      <c r="I19" s="324">
        <f>('K.00 Lead Sheet'!E69+'K.00 Lead Sheet'!E81+'K.00 Lead Sheet'!E80)*-1</f>
        <v>-1645181.38</v>
      </c>
      <c r="J19" s="324">
        <f>SUM(H19:I19)</f>
        <v>8631489.5</v>
      </c>
      <c r="K19" s="324">
        <v>411822.41</v>
      </c>
      <c r="L19" s="324"/>
      <c r="M19" s="324">
        <f>SUM(K19:L19)</f>
        <v>411822.41</v>
      </c>
      <c r="N19" s="324">
        <v>70873.76</v>
      </c>
      <c r="O19" s="324"/>
      <c r="P19" s="324">
        <f>SUM(N19:O19)</f>
        <v>70873.76</v>
      </c>
      <c r="Q19" s="324">
        <v>986572.04</v>
      </c>
      <c r="R19" s="324"/>
      <c r="S19" s="324">
        <f t="shared" ref="S19:S23" si="16">SUM(Q19:R19)</f>
        <v>986572.04</v>
      </c>
      <c r="T19" s="324">
        <v>2366209.94</v>
      </c>
      <c r="U19" s="324"/>
      <c r="V19" s="324">
        <f>SUM(T19:U19)</f>
        <v>2366209.94</v>
      </c>
      <c r="W19" s="324"/>
      <c r="X19" s="324"/>
      <c r="Y19" s="324">
        <f>SUM(W19:X19)</f>
        <v>0</v>
      </c>
      <c r="Z19" s="324">
        <f t="shared" ref="Z19:AB23" si="17">SUM(E19,H19,K19,N19,Q19,T19,W19)</f>
        <v>15288705.96</v>
      </c>
      <c r="AA19" s="324">
        <f t="shared" si="17"/>
        <v>-1645181.38</v>
      </c>
      <c r="AB19" s="324">
        <f t="shared" si="17"/>
        <v>13643524.58</v>
      </c>
      <c r="AC19" s="406">
        <f>AB19-'K.00 Lead Sheet'!J51</f>
        <v>0</v>
      </c>
      <c r="AD19" s="56"/>
      <c r="AE19" s="381"/>
      <c r="AF19" s="407"/>
    </row>
    <row r="20" s="62" customFormat="1" ht="16.5" spans="1:32">
      <c r="A20" s="61"/>
      <c r="B20" s="408"/>
      <c r="C20" s="409" t="s">
        <v>213</v>
      </c>
      <c r="D20" s="410" t="s">
        <v>214</v>
      </c>
      <c r="E20" s="324">
        <v>412149.2</v>
      </c>
      <c r="F20" s="324"/>
      <c r="G20" s="324">
        <f t="shared" si="15"/>
        <v>412149.2</v>
      </c>
      <c r="H20" s="324">
        <v>2505797.45</v>
      </c>
      <c r="I20" s="324">
        <f>'K.00 Lead Sheet'!E80</f>
        <v>-146238.29</v>
      </c>
      <c r="J20" s="324">
        <f>SUM(H20:I20)</f>
        <v>2359559.16</v>
      </c>
      <c r="K20" s="324">
        <v>48080.5</v>
      </c>
      <c r="L20" s="324"/>
      <c r="M20" s="324">
        <f>SUM(K20:L20)</f>
        <v>48080.5</v>
      </c>
      <c r="N20" s="324">
        <v>9102.08</v>
      </c>
      <c r="O20" s="324"/>
      <c r="P20" s="324">
        <f>SUM(N20:O20)</f>
        <v>9102.08</v>
      </c>
      <c r="Q20" s="324">
        <v>95420.29</v>
      </c>
      <c r="R20" s="324"/>
      <c r="S20" s="324">
        <f t="shared" si="16"/>
        <v>95420.29</v>
      </c>
      <c r="T20" s="324">
        <v>399890.71</v>
      </c>
      <c r="U20" s="324"/>
      <c r="V20" s="324">
        <f>SUM(T20:U20)</f>
        <v>399890.71</v>
      </c>
      <c r="W20" s="324"/>
      <c r="X20" s="324"/>
      <c r="Y20" s="324">
        <f>SUM(W20:X20)</f>
        <v>0</v>
      </c>
      <c r="Z20" s="324">
        <f t="shared" si="17"/>
        <v>3470440.23</v>
      </c>
      <c r="AA20" s="324">
        <f t="shared" si="17"/>
        <v>-146238.29</v>
      </c>
      <c r="AB20" s="324">
        <f t="shared" si="17"/>
        <v>3324201.94</v>
      </c>
      <c r="AC20" s="411" t="s">
        <v>215</v>
      </c>
      <c r="AD20" s="56"/>
      <c r="AE20" s="381"/>
    </row>
    <row r="21" s="62" customFormat="1" ht="16.5" spans="1:32">
      <c r="A21" s="61"/>
      <c r="B21" s="413" t="s">
        <v>159</v>
      </c>
      <c r="C21" s="409" t="s">
        <v>208</v>
      </c>
      <c r="D21" s="410" t="s">
        <v>209</v>
      </c>
      <c r="E21" s="324">
        <v>0</v>
      </c>
      <c r="F21" s="324"/>
      <c r="G21" s="324">
        <f t="shared" si="15"/>
        <v>0</v>
      </c>
      <c r="H21" s="324">
        <f>-711776.44-1468039.01</f>
        <v>-2179815.45</v>
      </c>
      <c r="I21" s="324">
        <f>('K.00 Lead Sheet'!E75)*-1</f>
        <v>1206466.27</v>
      </c>
      <c r="J21" s="324">
        <f>SUM(H21:I21)</f>
        <v>-973349.18</v>
      </c>
      <c r="K21" s="324">
        <v>0</v>
      </c>
      <c r="L21" s="324"/>
      <c r="M21" s="324">
        <f>SUM(K21:L21)</f>
        <v>0</v>
      </c>
      <c r="N21" s="324">
        <v>0</v>
      </c>
      <c r="O21" s="324"/>
      <c r="P21" s="324">
        <f>SUM(N21:O21)</f>
        <v>0</v>
      </c>
      <c r="Q21" s="324">
        <v>-29179.08</v>
      </c>
      <c r="R21" s="324"/>
      <c r="S21" s="324">
        <f t="shared" si="16"/>
        <v>-29179.08</v>
      </c>
      <c r="T21" s="324">
        <v>-262136.69</v>
      </c>
      <c r="U21" s="324"/>
      <c r="V21" s="324">
        <f t="shared" ref="V21:V23" si="18">SUM(T21:U21)</f>
        <v>-262136.69</v>
      </c>
      <c r="W21" s="324"/>
      <c r="X21" s="324"/>
      <c r="Y21" s="324">
        <f>SUM(W21:X21)</f>
        <v>0</v>
      </c>
      <c r="Z21" s="324">
        <f t="shared" si="17"/>
        <v>-2471131.22</v>
      </c>
      <c r="AA21" s="324">
        <f t="shared" si="17"/>
        <v>1206466.27</v>
      </c>
      <c r="AB21" s="324">
        <f t="shared" si="17"/>
        <v>-1264664.95</v>
      </c>
      <c r="AC21" s="411"/>
      <c r="AD21" s="56"/>
      <c r="AE21" s="381"/>
    </row>
    <row r="22" s="62" customFormat="1" ht="16.5" spans="1:32">
      <c r="A22" s="61"/>
      <c r="B22" s="408"/>
      <c r="C22" s="409" t="s">
        <v>210</v>
      </c>
      <c r="D22" s="412"/>
      <c r="E22" s="324">
        <v>0</v>
      </c>
      <c r="F22" s="324"/>
      <c r="G22" s="324">
        <f t="shared" si="15"/>
        <v>0</v>
      </c>
      <c r="H22" s="324">
        <v>0</v>
      </c>
      <c r="I22" s="324"/>
      <c r="J22" s="324">
        <f>SUM(H22:I22)</f>
        <v>0</v>
      </c>
      <c r="K22" s="324">
        <v>0</v>
      </c>
      <c r="L22" s="324"/>
      <c r="M22" s="324">
        <f>SUM(K22:L22)</f>
        <v>0</v>
      </c>
      <c r="N22" s="324">
        <v>0</v>
      </c>
      <c r="O22" s="324"/>
      <c r="P22" s="324">
        <f>SUM(N22:O22)</f>
        <v>0</v>
      </c>
      <c r="Q22" s="324">
        <v>0</v>
      </c>
      <c r="R22" s="324"/>
      <c r="S22" s="324">
        <f t="shared" si="16"/>
        <v>0</v>
      </c>
      <c r="T22" s="324">
        <v>0</v>
      </c>
      <c r="U22" s="324"/>
      <c r="V22" s="324">
        <f t="shared" si="18"/>
        <v>0</v>
      </c>
      <c r="W22" s="324"/>
      <c r="X22" s="324"/>
      <c r="Y22" s="324">
        <f>SUM(W22:X22)</f>
        <v>0</v>
      </c>
      <c r="Z22" s="324">
        <f t="shared" si="17"/>
        <v>0</v>
      </c>
      <c r="AA22" s="324">
        <f t="shared" si="17"/>
        <v>0</v>
      </c>
      <c r="AB22" s="324">
        <f t="shared" si="17"/>
        <v>0</v>
      </c>
      <c r="AC22" s="411"/>
      <c r="AD22" s="56"/>
      <c r="AE22" s="381"/>
    </row>
    <row r="23" s="62" customFormat="1" ht="14.25" spans="1:32">
      <c r="A23" s="61"/>
      <c r="B23" s="408"/>
      <c r="C23" s="409" t="s">
        <v>211</v>
      </c>
      <c r="D23" s="290"/>
      <c r="E23" s="324">
        <v>0</v>
      </c>
      <c r="F23" s="324"/>
      <c r="G23" s="324">
        <f t="shared" si="15"/>
        <v>0</v>
      </c>
      <c r="H23" s="324">
        <v>0</v>
      </c>
      <c r="I23" s="324"/>
      <c r="J23" s="324">
        <f>SUM(H23:I23)</f>
        <v>0</v>
      </c>
      <c r="K23" s="324">
        <v>0</v>
      </c>
      <c r="L23" s="324"/>
      <c r="M23" s="324">
        <f>SUM(K23:L23)</f>
        <v>0</v>
      </c>
      <c r="N23" s="324">
        <v>0</v>
      </c>
      <c r="O23" s="324"/>
      <c r="P23" s="324">
        <f>SUM(N23:O23)</f>
        <v>0</v>
      </c>
      <c r="Q23" s="324">
        <v>0</v>
      </c>
      <c r="R23" s="324"/>
      <c r="S23" s="324">
        <f t="shared" si="16"/>
        <v>0</v>
      </c>
      <c r="T23" s="324">
        <v>0</v>
      </c>
      <c r="U23" s="324"/>
      <c r="V23" s="324">
        <f t="shared" si="18"/>
        <v>0</v>
      </c>
      <c r="W23" s="324"/>
      <c r="X23" s="324"/>
      <c r="Y23" s="324">
        <f>SUM(W23:X23)</f>
        <v>0</v>
      </c>
      <c r="Z23" s="324">
        <f t="shared" si="17"/>
        <v>0</v>
      </c>
      <c r="AA23" s="324">
        <f t="shared" si="17"/>
        <v>0</v>
      </c>
      <c r="AB23" s="324">
        <f t="shared" si="17"/>
        <v>0</v>
      </c>
      <c r="AC23" s="411"/>
      <c r="AD23" s="56"/>
      <c r="AE23" s="381"/>
    </row>
    <row r="24" s="62" customFormat="1" ht="16.5" spans="1:32">
      <c r="A24" s="61"/>
      <c r="B24" s="414"/>
      <c r="C24" s="415" t="s">
        <v>212</v>
      </c>
      <c r="D24" s="416" t="s">
        <v>109</v>
      </c>
      <c r="E24" s="417">
        <f t="shared" ref="E24:AB24" si="19">E19+E20+E21+E22+E23</f>
        <v>1588706.13</v>
      </c>
      <c r="F24" s="417">
        <f t="shared" si="19"/>
        <v>0</v>
      </c>
      <c r="G24" s="417">
        <f t="shared" si="19"/>
        <v>1588706.13</v>
      </c>
      <c r="H24" s="417">
        <f t="shared" si="19"/>
        <v>10602652.88</v>
      </c>
      <c r="I24" s="417">
        <f t="shared" si="19"/>
        <v>-584953.4</v>
      </c>
      <c r="J24" s="417">
        <f t="shared" si="19"/>
        <v>10017699.48</v>
      </c>
      <c r="K24" s="417">
        <f t="shared" si="19"/>
        <v>459902.91</v>
      </c>
      <c r="L24" s="417">
        <f t="shared" si="19"/>
        <v>0</v>
      </c>
      <c r="M24" s="417">
        <f t="shared" si="19"/>
        <v>459902.91</v>
      </c>
      <c r="N24" s="417">
        <f t="shared" si="19"/>
        <v>79975.84</v>
      </c>
      <c r="O24" s="417">
        <f t="shared" si="19"/>
        <v>0</v>
      </c>
      <c r="P24" s="417">
        <f t="shared" si="19"/>
        <v>79975.84</v>
      </c>
      <c r="Q24" s="417">
        <f t="shared" si="19"/>
        <v>1052813.25</v>
      </c>
      <c r="R24" s="417">
        <f t="shared" si="19"/>
        <v>0</v>
      </c>
      <c r="S24" s="417">
        <f t="shared" si="19"/>
        <v>1052813.25</v>
      </c>
      <c r="T24" s="417">
        <f t="shared" si="19"/>
        <v>2503963.96</v>
      </c>
      <c r="U24" s="417">
        <f t="shared" si="19"/>
        <v>0</v>
      </c>
      <c r="V24" s="417">
        <f t="shared" si="19"/>
        <v>2503963.96</v>
      </c>
      <c r="W24" s="417">
        <f t="shared" si="19"/>
        <v>0</v>
      </c>
      <c r="X24" s="417">
        <f t="shared" si="19"/>
        <v>0</v>
      </c>
      <c r="Y24" s="417">
        <f t="shared" si="19"/>
        <v>0</v>
      </c>
      <c r="Z24" s="417">
        <f t="shared" si="19"/>
        <v>16288014.97</v>
      </c>
      <c r="AA24" s="417">
        <f t="shared" si="19"/>
        <v>-584953.4</v>
      </c>
      <c r="AB24" s="417">
        <f t="shared" si="19"/>
        <v>15703061.57</v>
      </c>
      <c r="AC24" s="406">
        <f>AB24-'K.00 Lead Sheet'!I51</f>
        <v>0</v>
      </c>
      <c r="AD24" s="56"/>
      <c r="AE24" s="381"/>
    </row>
    <row r="25" s="62" customFormat="1" ht="16.5" spans="1:32">
      <c r="A25" s="61"/>
      <c r="B25" s="418"/>
      <c r="C25" s="415" t="s">
        <v>203</v>
      </c>
      <c r="D25" s="405" t="s">
        <v>93</v>
      </c>
      <c r="E25" s="324">
        <v>0</v>
      </c>
      <c r="F25" s="324"/>
      <c r="G25" s="324">
        <f t="shared" ref="G25:G29" si="20">SUM(E25:F25)</f>
        <v>0</v>
      </c>
      <c r="H25" s="324">
        <v>0</v>
      </c>
      <c r="I25" s="324"/>
      <c r="J25" s="324">
        <f>SUM(H25:I25)</f>
        <v>0</v>
      </c>
      <c r="K25" s="324">
        <v>0</v>
      </c>
      <c r="L25" s="324"/>
      <c r="M25" s="324">
        <f>SUM(K25:L25)</f>
        <v>0</v>
      </c>
      <c r="N25" s="324">
        <v>0</v>
      </c>
      <c r="O25" s="324"/>
      <c r="P25" s="324">
        <f>SUM(N25:O25)</f>
        <v>0</v>
      </c>
      <c r="Q25" s="324">
        <v>0</v>
      </c>
      <c r="R25" s="324"/>
      <c r="S25" s="324">
        <f t="shared" ref="S25:S29" si="21">SUM(Q25:R25)</f>
        <v>0</v>
      </c>
      <c r="T25" s="324">
        <v>0</v>
      </c>
      <c r="U25" s="324"/>
      <c r="V25" s="324">
        <f t="shared" ref="V25:V29" si="22">SUM(T25:U25)</f>
        <v>0</v>
      </c>
      <c r="W25" s="324"/>
      <c r="X25" s="324"/>
      <c r="Y25" s="324">
        <f>SUM(W25:X25)</f>
        <v>0</v>
      </c>
      <c r="Z25" s="324">
        <f t="shared" ref="Z25:AB29" si="23">SUM(E25,H25,K25,N25,Q25,T25,W25)</f>
        <v>0</v>
      </c>
      <c r="AA25" s="324">
        <f t="shared" si="23"/>
        <v>0</v>
      </c>
      <c r="AB25" s="324">
        <f t="shared" si="23"/>
        <v>0</v>
      </c>
      <c r="AC25" s="406">
        <f>AB25-'K.00 Lead Sheet'!J52</f>
        <v>0</v>
      </c>
      <c r="AD25" s="56"/>
      <c r="AE25" s="381"/>
    </row>
    <row r="26" s="62" customFormat="1" ht="16.5" spans="1:32">
      <c r="A26" s="61"/>
      <c r="B26" s="408"/>
      <c r="C26" s="409" t="s">
        <v>213</v>
      </c>
      <c r="D26" s="410" t="s">
        <v>216</v>
      </c>
      <c r="E26" s="324">
        <v>0</v>
      </c>
      <c r="F26" s="324"/>
      <c r="G26" s="324">
        <f t="shared" si="20"/>
        <v>0</v>
      </c>
      <c r="H26" s="324">
        <v>0</v>
      </c>
      <c r="I26" s="324"/>
      <c r="J26" s="324">
        <f>SUM(H26:I26)</f>
        <v>0</v>
      </c>
      <c r="K26" s="324">
        <v>0</v>
      </c>
      <c r="L26" s="324"/>
      <c r="M26" s="324">
        <f>SUM(K26:L26)</f>
        <v>0</v>
      </c>
      <c r="N26" s="324">
        <v>0</v>
      </c>
      <c r="O26" s="324"/>
      <c r="P26" s="324">
        <f>SUM(N26:O26)</f>
        <v>0</v>
      </c>
      <c r="Q26" s="324">
        <v>0</v>
      </c>
      <c r="R26" s="324"/>
      <c r="S26" s="324">
        <f t="shared" si="21"/>
        <v>0</v>
      </c>
      <c r="T26" s="324">
        <v>0</v>
      </c>
      <c r="U26" s="324"/>
      <c r="V26" s="324">
        <f t="shared" si="22"/>
        <v>0</v>
      </c>
      <c r="W26" s="324"/>
      <c r="X26" s="324"/>
      <c r="Y26" s="324">
        <f>SUM(W26:X26)</f>
        <v>0</v>
      </c>
      <c r="Z26" s="324">
        <f t="shared" si="23"/>
        <v>0</v>
      </c>
      <c r="AA26" s="324">
        <f t="shared" si="23"/>
        <v>0</v>
      </c>
      <c r="AB26" s="324">
        <f t="shared" si="23"/>
        <v>0</v>
      </c>
      <c r="AC26" s="411"/>
      <c r="AD26" s="56"/>
      <c r="AE26" s="381"/>
    </row>
    <row r="27" s="62" customFormat="1" ht="16.5" spans="1:32">
      <c r="A27" s="61"/>
      <c r="B27" s="413" t="s">
        <v>162</v>
      </c>
      <c r="C27" s="409" t="s">
        <v>208</v>
      </c>
      <c r="D27" s="410" t="s">
        <v>209</v>
      </c>
      <c r="E27" s="324">
        <v>0</v>
      </c>
      <c r="F27" s="324"/>
      <c r="G27" s="324">
        <f t="shared" si="20"/>
        <v>0</v>
      </c>
      <c r="H27" s="324">
        <v>0</v>
      </c>
      <c r="I27" s="324"/>
      <c r="J27" s="324">
        <f>SUM(H27:I27)</f>
        <v>0</v>
      </c>
      <c r="K27" s="324">
        <v>0</v>
      </c>
      <c r="L27" s="324"/>
      <c r="M27" s="324">
        <f>SUM(K27:L27)</f>
        <v>0</v>
      </c>
      <c r="N27" s="324">
        <v>0</v>
      </c>
      <c r="O27" s="324"/>
      <c r="P27" s="324">
        <f>SUM(N27:O27)</f>
        <v>0</v>
      </c>
      <c r="Q27" s="324">
        <v>0</v>
      </c>
      <c r="R27" s="324"/>
      <c r="S27" s="324">
        <f t="shared" si="21"/>
        <v>0</v>
      </c>
      <c r="T27" s="324">
        <v>0</v>
      </c>
      <c r="U27" s="324"/>
      <c r="V27" s="324">
        <f t="shared" si="22"/>
        <v>0</v>
      </c>
      <c r="W27" s="324"/>
      <c r="X27" s="324"/>
      <c r="Y27" s="324">
        <f t="shared" ref="Y27:Y29" si="24">SUM(W27:X27)</f>
        <v>0</v>
      </c>
      <c r="Z27" s="324">
        <f t="shared" si="23"/>
        <v>0</v>
      </c>
      <c r="AA27" s="324">
        <f t="shared" si="23"/>
        <v>0</v>
      </c>
      <c r="AB27" s="324">
        <f t="shared" si="23"/>
        <v>0</v>
      </c>
      <c r="AC27" s="411"/>
      <c r="AD27" s="56"/>
      <c r="AE27" s="381"/>
    </row>
    <row r="28" s="62" customFormat="1" ht="16.5" spans="1:32">
      <c r="A28" s="61"/>
      <c r="B28" s="408"/>
      <c r="C28" s="343" t="s">
        <v>210</v>
      </c>
      <c r="D28" s="290"/>
      <c r="E28" s="324">
        <v>0</v>
      </c>
      <c r="F28" s="324"/>
      <c r="G28" s="324">
        <f t="shared" si="20"/>
        <v>0</v>
      </c>
      <c r="H28" s="324">
        <v>0</v>
      </c>
      <c r="I28" s="324"/>
      <c r="J28" s="324">
        <f>SUM(H28:I28)</f>
        <v>0</v>
      </c>
      <c r="K28" s="324">
        <v>0</v>
      </c>
      <c r="L28" s="324"/>
      <c r="M28" s="324">
        <f>SUM(K28:L28)</f>
        <v>0</v>
      </c>
      <c r="N28" s="324">
        <v>0</v>
      </c>
      <c r="O28" s="324"/>
      <c r="P28" s="324">
        <f>SUM(N28:O28)</f>
        <v>0</v>
      </c>
      <c r="Q28" s="324">
        <v>0</v>
      </c>
      <c r="R28" s="324"/>
      <c r="S28" s="324">
        <f t="shared" si="21"/>
        <v>0</v>
      </c>
      <c r="T28" s="324">
        <v>0</v>
      </c>
      <c r="U28" s="324"/>
      <c r="V28" s="324">
        <f t="shared" si="22"/>
        <v>0</v>
      </c>
      <c r="W28" s="324"/>
      <c r="X28" s="324"/>
      <c r="Y28" s="324">
        <f t="shared" si="24"/>
        <v>0</v>
      </c>
      <c r="Z28" s="324">
        <f t="shared" si="23"/>
        <v>0</v>
      </c>
      <c r="AA28" s="324">
        <f t="shared" si="23"/>
        <v>0</v>
      </c>
      <c r="AB28" s="324">
        <f t="shared" si="23"/>
        <v>0</v>
      </c>
      <c r="AC28" s="411"/>
      <c r="AD28" s="56"/>
      <c r="AE28" s="381"/>
    </row>
    <row r="29" s="62" customFormat="1" ht="13.5" customHeight="1" spans="1:32">
      <c r="A29" s="61"/>
      <c r="B29" s="408"/>
      <c r="C29" s="419" t="s">
        <v>211</v>
      </c>
      <c r="D29" s="290"/>
      <c r="E29" s="324">
        <v>0</v>
      </c>
      <c r="F29" s="324"/>
      <c r="G29" s="324">
        <f t="shared" si="20"/>
        <v>0</v>
      </c>
      <c r="H29" s="324">
        <v>0</v>
      </c>
      <c r="I29" s="324"/>
      <c r="J29" s="324">
        <f>SUM(H29:I29)</f>
        <v>0</v>
      </c>
      <c r="K29" s="324">
        <v>0</v>
      </c>
      <c r="L29" s="324"/>
      <c r="M29" s="324">
        <f>SUM(K29:L29)</f>
        <v>0</v>
      </c>
      <c r="N29" s="324">
        <v>0</v>
      </c>
      <c r="O29" s="324"/>
      <c r="P29" s="324">
        <f>SUM(N29:O29)</f>
        <v>0</v>
      </c>
      <c r="Q29" s="324">
        <v>0</v>
      </c>
      <c r="R29" s="324"/>
      <c r="S29" s="324">
        <f t="shared" si="21"/>
        <v>0</v>
      </c>
      <c r="T29" s="324">
        <v>0</v>
      </c>
      <c r="U29" s="324"/>
      <c r="V29" s="324">
        <f t="shared" si="22"/>
        <v>0</v>
      </c>
      <c r="W29" s="324"/>
      <c r="X29" s="324"/>
      <c r="Y29" s="324">
        <f t="shared" si="24"/>
        <v>0</v>
      </c>
      <c r="Z29" s="324">
        <f t="shared" si="23"/>
        <v>0</v>
      </c>
      <c r="AA29" s="324">
        <f t="shared" si="23"/>
        <v>0</v>
      </c>
      <c r="AB29" s="324">
        <f t="shared" si="23"/>
        <v>0</v>
      </c>
      <c r="AC29" s="411"/>
      <c r="AD29" s="56"/>
      <c r="AE29" s="381"/>
    </row>
    <row r="30" s="62" customFormat="1" ht="16.5" spans="1:32">
      <c r="A30" s="61"/>
      <c r="B30" s="414"/>
      <c r="C30" s="415" t="s">
        <v>212</v>
      </c>
      <c r="D30" s="416" t="s">
        <v>109</v>
      </c>
      <c r="E30" s="417">
        <f>E25+E26+E27+E28+E29</f>
        <v>0</v>
      </c>
      <c r="F30" s="417">
        <f>F25+F26+F27+F28+F29</f>
        <v>0</v>
      </c>
      <c r="G30" s="417">
        <f t="shared" ref="G30:AB30" si="25">G25+G26+G27+G28+G29</f>
        <v>0</v>
      </c>
      <c r="H30" s="417">
        <f t="shared" si="25"/>
        <v>0</v>
      </c>
      <c r="I30" s="417">
        <f t="shared" si="25"/>
        <v>0</v>
      </c>
      <c r="J30" s="417">
        <f t="shared" si="25"/>
        <v>0</v>
      </c>
      <c r="K30" s="417">
        <f t="shared" si="25"/>
        <v>0</v>
      </c>
      <c r="L30" s="417">
        <f t="shared" si="25"/>
        <v>0</v>
      </c>
      <c r="M30" s="417">
        <f t="shared" si="25"/>
        <v>0</v>
      </c>
      <c r="N30" s="417">
        <f t="shared" si="25"/>
        <v>0</v>
      </c>
      <c r="O30" s="417">
        <f t="shared" si="25"/>
        <v>0</v>
      </c>
      <c r="P30" s="417">
        <f t="shared" si="25"/>
        <v>0</v>
      </c>
      <c r="Q30" s="417">
        <f t="shared" si="25"/>
        <v>0</v>
      </c>
      <c r="R30" s="417">
        <f t="shared" si="25"/>
        <v>0</v>
      </c>
      <c r="S30" s="417">
        <f t="shared" si="25"/>
        <v>0</v>
      </c>
      <c r="T30" s="417">
        <f t="shared" si="25"/>
        <v>0</v>
      </c>
      <c r="U30" s="417">
        <f t="shared" si="25"/>
        <v>0</v>
      </c>
      <c r="V30" s="417">
        <f t="shared" si="25"/>
        <v>0</v>
      </c>
      <c r="W30" s="417">
        <f t="shared" si="25"/>
        <v>0</v>
      </c>
      <c r="X30" s="417">
        <f t="shared" si="25"/>
        <v>0</v>
      </c>
      <c r="Y30" s="417">
        <f t="shared" si="25"/>
        <v>0</v>
      </c>
      <c r="Z30" s="417">
        <f t="shared" si="25"/>
        <v>0</v>
      </c>
      <c r="AA30" s="417">
        <f t="shared" si="25"/>
        <v>0</v>
      </c>
      <c r="AB30" s="417">
        <f t="shared" si="25"/>
        <v>0</v>
      </c>
      <c r="AC30" s="406">
        <f>AB30-'K.00 Lead Sheet'!I52</f>
        <v>0</v>
      </c>
      <c r="AD30" s="56"/>
      <c r="AE30" s="381"/>
    </row>
    <row r="31" s="62" customFormat="1" ht="16.5" spans="1:32">
      <c r="A31" s="61"/>
      <c r="B31" s="420" t="s">
        <v>217</v>
      </c>
      <c r="C31" s="415" t="s">
        <v>203</v>
      </c>
      <c r="D31" s="416" t="s">
        <v>109</v>
      </c>
      <c r="E31" s="324">
        <f t="shared" ref="E31:AB31" si="26">E12-E19-E25</f>
        <v>22615006.96</v>
      </c>
      <c r="F31" s="421">
        <f t="shared" si="26"/>
        <v>0</v>
      </c>
      <c r="G31" s="324">
        <f t="shared" si="26"/>
        <v>22615006.96</v>
      </c>
      <c r="H31" s="324">
        <f t="shared" si="26"/>
        <v>45218379.73</v>
      </c>
      <c r="I31" s="324">
        <f t="shared" si="26"/>
        <v>-663846.14</v>
      </c>
      <c r="J31" s="324">
        <f t="shared" si="26"/>
        <v>44554533.59</v>
      </c>
      <c r="K31" s="324">
        <f t="shared" si="26"/>
        <v>415191.72</v>
      </c>
      <c r="L31" s="324">
        <f t="shared" si="26"/>
        <v>0</v>
      </c>
      <c r="M31" s="324">
        <f t="shared" si="26"/>
        <v>415191.72</v>
      </c>
      <c r="N31" s="324">
        <f t="shared" si="26"/>
        <v>44374.03</v>
      </c>
      <c r="O31" s="324">
        <f t="shared" si="26"/>
        <v>0</v>
      </c>
      <c r="P31" s="324">
        <f t="shared" si="26"/>
        <v>44374.03</v>
      </c>
      <c r="Q31" s="324">
        <f t="shared" si="26"/>
        <v>524136.18</v>
      </c>
      <c r="R31" s="324">
        <f t="shared" si="26"/>
        <v>0</v>
      </c>
      <c r="S31" s="324">
        <f t="shared" si="26"/>
        <v>524136.18</v>
      </c>
      <c r="T31" s="324">
        <f t="shared" si="26"/>
        <v>4048430.25</v>
      </c>
      <c r="U31" s="324">
        <f t="shared" si="26"/>
        <v>0</v>
      </c>
      <c r="V31" s="324">
        <f t="shared" si="26"/>
        <v>4048430.25</v>
      </c>
      <c r="W31" s="324">
        <f t="shared" si="26"/>
        <v>0</v>
      </c>
      <c r="X31" s="324">
        <f t="shared" si="26"/>
        <v>0</v>
      </c>
      <c r="Y31" s="324">
        <f t="shared" si="26"/>
        <v>0</v>
      </c>
      <c r="Z31" s="324">
        <f t="shared" si="26"/>
        <v>72865518.87</v>
      </c>
      <c r="AA31" s="324">
        <f t="shared" si="26"/>
        <v>-663846.14</v>
      </c>
      <c r="AB31" s="324">
        <f t="shared" si="26"/>
        <v>72201672.73</v>
      </c>
      <c r="AC31" s="406">
        <f>AB31-'K.00 Lead Sheet'!J56</f>
        <v>0</v>
      </c>
      <c r="AD31" s="56"/>
      <c r="AE31" s="381"/>
    </row>
    <row r="32" s="62" customFormat="1" ht="16.5" spans="1:32">
      <c r="A32" s="61"/>
      <c r="B32" s="414"/>
      <c r="C32" s="422" t="s">
        <v>212</v>
      </c>
      <c r="D32" s="416" t="s">
        <v>109</v>
      </c>
      <c r="E32" s="423">
        <f t="shared" ref="E32:AB32" si="27">E18-E24-E30</f>
        <v>22202857.76</v>
      </c>
      <c r="F32" s="424">
        <f t="shared" si="27"/>
        <v>0</v>
      </c>
      <c r="G32" s="425">
        <f t="shared" si="27"/>
        <v>22202857.76</v>
      </c>
      <c r="H32" s="424">
        <f t="shared" si="27"/>
        <v>52011416.93</v>
      </c>
      <c r="I32" s="424">
        <f t="shared" si="27"/>
        <v>0</v>
      </c>
      <c r="J32" s="424">
        <f t="shared" si="27"/>
        <v>52011416.93</v>
      </c>
      <c r="K32" s="424">
        <f t="shared" si="27"/>
        <v>389394.4</v>
      </c>
      <c r="L32" s="424">
        <f t="shared" si="27"/>
        <v>0</v>
      </c>
      <c r="M32" s="424">
        <f t="shared" si="27"/>
        <v>389394.4</v>
      </c>
      <c r="N32" s="424">
        <f t="shared" si="27"/>
        <v>35271.95</v>
      </c>
      <c r="O32" s="424">
        <f t="shared" si="27"/>
        <v>0</v>
      </c>
      <c r="P32" s="424">
        <f t="shared" si="27"/>
        <v>35271.95</v>
      </c>
      <c r="Q32" s="424">
        <f t="shared" si="27"/>
        <v>523131.46</v>
      </c>
      <c r="R32" s="424">
        <f t="shared" si="27"/>
        <v>0</v>
      </c>
      <c r="S32" s="424">
        <f t="shared" si="27"/>
        <v>523131.46</v>
      </c>
      <c r="T32" s="424">
        <f t="shared" si="27"/>
        <v>4153099.55</v>
      </c>
      <c r="U32" s="424">
        <f t="shared" si="27"/>
        <v>0</v>
      </c>
      <c r="V32" s="424">
        <f t="shared" si="27"/>
        <v>4153099.55</v>
      </c>
      <c r="W32" s="424">
        <f t="shared" si="27"/>
        <v>0</v>
      </c>
      <c r="X32" s="424">
        <f t="shared" si="27"/>
        <v>0</v>
      </c>
      <c r="Y32" s="424">
        <f t="shared" si="27"/>
        <v>0</v>
      </c>
      <c r="Z32" s="424">
        <f t="shared" si="27"/>
        <v>79315172.05</v>
      </c>
      <c r="AA32" s="424">
        <f t="shared" si="27"/>
        <v>0</v>
      </c>
      <c r="AB32" s="424">
        <f t="shared" si="27"/>
        <v>79315172.05</v>
      </c>
      <c r="AC32" s="406">
        <f>AB32-'K.00 Lead Sheet'!I56</f>
        <v>0</v>
      </c>
      <c r="AD32" s="56"/>
      <c r="AE32" s="381"/>
    </row>
    <row r="33" s="62" customFormat="1" ht="16.5" spans="1:110">
      <c r="A33" s="61"/>
      <c r="B33" s="420" t="s">
        <v>218</v>
      </c>
      <c r="C33" s="323" t="s">
        <v>219</v>
      </c>
      <c r="D33" s="426" t="s">
        <v>220</v>
      </c>
      <c r="E33" s="324">
        <f>E18-E12</f>
        <v>0</v>
      </c>
      <c r="F33" s="324"/>
      <c r="G33" s="324">
        <f>G18-G12</f>
        <v>0</v>
      </c>
      <c r="H33" s="324">
        <f>H18-H12</f>
        <v>7119019.2</v>
      </c>
      <c r="I33" s="324"/>
      <c r="J33" s="324">
        <f>J18-J12</f>
        <v>8843093.32</v>
      </c>
      <c r="K33" s="324">
        <f>K18-K12</f>
        <v>22283.1800000001</v>
      </c>
      <c r="L33" s="324"/>
      <c r="M33" s="324">
        <f>M18-M12</f>
        <v>22283.1800000001</v>
      </c>
      <c r="N33" s="324">
        <f>N18-N12</f>
        <v>0</v>
      </c>
      <c r="O33" s="324"/>
      <c r="P33" s="324">
        <f>P18-P12</f>
        <v>0</v>
      </c>
      <c r="Q33" s="324">
        <f>Q18-Q12</f>
        <v>65236.49</v>
      </c>
      <c r="R33" s="324"/>
      <c r="S33" s="324">
        <f>S18-S12</f>
        <v>65236.49</v>
      </c>
      <c r="T33" s="324">
        <f>T18-T12</f>
        <v>242423.319999999</v>
      </c>
      <c r="U33" s="324"/>
      <c r="V33" s="324">
        <f>V18-V12</f>
        <v>242423.319999999</v>
      </c>
      <c r="W33" s="324">
        <f>W18-W12</f>
        <v>0</v>
      </c>
      <c r="X33" s="324"/>
      <c r="Y33" s="324">
        <f>Y18-Y12</f>
        <v>0</v>
      </c>
      <c r="Z33" s="324">
        <f>Z18-Z12</f>
        <v>7448962.19</v>
      </c>
      <c r="AA33" s="324">
        <f>AA18-AA12</f>
        <v>1724074.12</v>
      </c>
      <c r="AB33" s="324">
        <f>AB18-AB12</f>
        <v>9173036.31</v>
      </c>
      <c r="AC33" s="324"/>
      <c r="AD33" s="56"/>
      <c r="AE33" s="381"/>
    </row>
    <row r="34" s="62" customFormat="1" ht="16.5" spans="1:110">
      <c r="A34" s="61"/>
      <c r="B34" s="413"/>
      <c r="C34" s="323" t="s">
        <v>221</v>
      </c>
      <c r="D34" s="426" t="s">
        <v>222</v>
      </c>
      <c r="E34" s="427">
        <f>IFERROR(E33/E12,1)</f>
        <v>0</v>
      </c>
      <c r="F34" s="427"/>
      <c r="G34" s="427">
        <f>IFERROR(G33/G12,1)</f>
        <v>0</v>
      </c>
      <c r="H34" s="427">
        <f>IFERROR(H33/H12,1)</f>
        <v>0.128282056178847</v>
      </c>
      <c r="I34" s="427"/>
      <c r="J34" s="427">
        <f>IFERROR(J33/J12,1)</f>
        <v>0.166267241019994</v>
      </c>
      <c r="K34" s="427">
        <f>IFERROR(K33/K12,1)</f>
        <v>0.0269441345578945</v>
      </c>
      <c r="L34" s="427"/>
      <c r="M34" s="427">
        <f>IFERROR(M33/M12,1)</f>
        <v>0.0269441345578945</v>
      </c>
      <c r="N34" s="427">
        <f>IFERROR(N33/N12,1)</f>
        <v>0</v>
      </c>
      <c r="O34" s="427"/>
      <c r="P34" s="427">
        <f>IFERROR(P33/P12,1)</f>
        <v>0</v>
      </c>
      <c r="Q34" s="427">
        <f>IFERROR(Q33/Q12,1)</f>
        <v>0.0431827199563394</v>
      </c>
      <c r="R34" s="427"/>
      <c r="S34" s="427">
        <f>IFERROR(S33/S12,1)</f>
        <v>0.0431827199563394</v>
      </c>
      <c r="T34" s="427">
        <f>IFERROR(T33/T12,1)</f>
        <v>0.0377921929865874</v>
      </c>
      <c r="U34" s="427"/>
      <c r="V34" s="427">
        <f>IFERROR(V33/V12,1)</f>
        <v>0.0377921929865874</v>
      </c>
      <c r="W34" s="427">
        <f>IFERROR(W33/W12,1)</f>
        <v>1</v>
      </c>
      <c r="X34" s="427"/>
      <c r="Y34" s="427">
        <f>IFERROR(Y33/Y12,1)</f>
        <v>1</v>
      </c>
      <c r="Z34" s="427">
        <f>IFERROR(Z33/Z12,1)</f>
        <v>0.0844992081135631</v>
      </c>
      <c r="AA34" s="427">
        <f>IFERROR(AA33/AA12,1)</f>
        <v>-0.746666769913595</v>
      </c>
      <c r="AB34" s="427">
        <f>IFERROR(AB33/AB12,1)</f>
        <v>0.10685555625057</v>
      </c>
      <c r="AC34" s="428"/>
      <c r="AD34" s="56"/>
      <c r="AE34" s="381"/>
    </row>
    <row r="35" s="62" customFormat="1" ht="16.5" spans="1:110">
      <c r="A35" s="61"/>
      <c r="B35" s="413"/>
      <c r="C35" s="323" t="s">
        <v>223</v>
      </c>
      <c r="D35" s="426" t="s">
        <v>220</v>
      </c>
      <c r="E35" s="428">
        <f>E24-E19</f>
        <v>412149.2</v>
      </c>
      <c r="F35" s="428"/>
      <c r="G35" s="428">
        <f>G24-G19</f>
        <v>412149.2</v>
      </c>
      <c r="H35" s="428">
        <f>H24-H19</f>
        <v>325982.000000002</v>
      </c>
      <c r="I35" s="428"/>
      <c r="J35" s="428">
        <f>J24-J19</f>
        <v>1386209.98</v>
      </c>
      <c r="K35" s="428">
        <f>K24-K19</f>
        <v>48080.5</v>
      </c>
      <c r="L35" s="428"/>
      <c r="M35" s="428">
        <f>M24-M19</f>
        <v>48080.5</v>
      </c>
      <c r="N35" s="428">
        <f>N24-N19</f>
        <v>9102.08</v>
      </c>
      <c r="O35" s="428"/>
      <c r="P35" s="428">
        <f>P24-P19</f>
        <v>9102.08</v>
      </c>
      <c r="Q35" s="428">
        <f>Q24-Q19</f>
        <v>66241.21</v>
      </c>
      <c r="R35" s="428"/>
      <c r="S35" s="428">
        <f>S24-S19</f>
        <v>66241.21</v>
      </c>
      <c r="T35" s="428">
        <f>T24-T19</f>
        <v>137754.02</v>
      </c>
      <c r="U35" s="428"/>
      <c r="V35" s="428">
        <f>V24-V19</f>
        <v>137754.02</v>
      </c>
      <c r="W35" s="428">
        <f>W24-W19</f>
        <v>0</v>
      </c>
      <c r="X35" s="428"/>
      <c r="Y35" s="428">
        <f>Y24-Y19</f>
        <v>0</v>
      </c>
      <c r="Z35" s="428">
        <f>Z24-Z19</f>
        <v>999309.009999998</v>
      </c>
      <c r="AA35" s="428">
        <f>AA24-AA19</f>
        <v>1060227.98</v>
      </c>
      <c r="AB35" s="428">
        <f>AB24-AB19</f>
        <v>2059536.99</v>
      </c>
      <c r="AC35" s="428"/>
      <c r="AD35" s="56"/>
      <c r="AE35" s="381"/>
    </row>
    <row r="36" s="62" customFormat="1" ht="16.5" spans="1:110">
      <c r="A36" s="61"/>
      <c r="B36" s="413"/>
      <c r="C36" s="323" t="s">
        <v>224</v>
      </c>
      <c r="D36" s="426" t="s">
        <v>222</v>
      </c>
      <c r="E36" s="427">
        <f>IFERROR(E35/E19,1)</f>
        <v>0.350301111226297</v>
      </c>
      <c r="F36" s="427"/>
      <c r="G36" s="427">
        <f>IFERROR(G35/G19,1)</f>
        <v>0.350301111226297</v>
      </c>
      <c r="H36" s="427">
        <f>IFERROR(H35/H19,1)</f>
        <v>0.0317205838161475</v>
      </c>
      <c r="I36" s="427"/>
      <c r="J36" s="427">
        <f>IFERROR(J35/J19,1)</f>
        <v>0.160599161940706</v>
      </c>
      <c r="K36" s="427">
        <f>IFERROR(K35/K19,1)</f>
        <v>0.116750567313712</v>
      </c>
      <c r="L36" s="427"/>
      <c r="M36" s="427">
        <f>IFERROR(M35/M19,1)</f>
        <v>0.116750567313712</v>
      </c>
      <c r="N36" s="427">
        <f>IFERROR(N35/N19,1)</f>
        <v>0.128426656071302</v>
      </c>
      <c r="O36" s="427"/>
      <c r="P36" s="427">
        <f>IFERROR(P35/P19,1)</f>
        <v>0.128426656071302</v>
      </c>
      <c r="Q36" s="427">
        <f>IFERROR(Q35/Q19,1)</f>
        <v>0.0671428008440215</v>
      </c>
      <c r="R36" s="427"/>
      <c r="S36" s="427">
        <f>IFERROR(S35/S19,1)</f>
        <v>0.0671428008440215</v>
      </c>
      <c r="T36" s="427">
        <f>IFERROR(T35/T19,1)</f>
        <v>0.0582171588713722</v>
      </c>
      <c r="U36" s="427"/>
      <c r="V36" s="427">
        <f>IFERROR(V35/V19,1)</f>
        <v>0.0582171588713722</v>
      </c>
      <c r="W36" s="427">
        <f>IFERROR(W35/W19,1)</f>
        <v>1</v>
      </c>
      <c r="X36" s="427"/>
      <c r="Y36" s="427">
        <f>IFERROR(Y35/Y19,1)</f>
        <v>1</v>
      </c>
      <c r="Z36" s="427">
        <f>IFERROR(Z35/Z19,1)</f>
        <v>0.065362563228994</v>
      </c>
      <c r="AA36" s="427">
        <f>IFERROR(AA35/AA19,1)</f>
        <v>-0.644444432017581</v>
      </c>
      <c r="AB36" s="427">
        <f>IFERROR(AB35/AB19,1)</f>
        <v>0.150953441533654</v>
      </c>
      <c r="AC36" s="428"/>
      <c r="AD36" s="56"/>
      <c r="AE36" s="381"/>
    </row>
    <row r="37" s="62" customFormat="1" ht="16.5" spans="1:110">
      <c r="A37" s="61"/>
      <c r="B37" s="413"/>
      <c r="C37" s="323" t="s">
        <v>225</v>
      </c>
      <c r="D37" s="426" t="s">
        <v>220</v>
      </c>
      <c r="E37" s="428">
        <f>E30-E25</f>
        <v>0</v>
      </c>
      <c r="F37" s="428"/>
      <c r="G37" s="428">
        <f>G30-G25</f>
        <v>0</v>
      </c>
      <c r="H37" s="428">
        <f>H30-H25</f>
        <v>0</v>
      </c>
      <c r="I37" s="428"/>
      <c r="J37" s="428">
        <f>J30-J25</f>
        <v>0</v>
      </c>
      <c r="K37" s="428">
        <f>K30-K25</f>
        <v>0</v>
      </c>
      <c r="L37" s="428"/>
      <c r="M37" s="428">
        <f>M30-M25</f>
        <v>0</v>
      </c>
      <c r="N37" s="428">
        <f>N30-N25</f>
        <v>0</v>
      </c>
      <c r="O37" s="428"/>
      <c r="P37" s="428">
        <f>P30-P25</f>
        <v>0</v>
      </c>
      <c r="Q37" s="428">
        <f>Q30-Q25</f>
        <v>0</v>
      </c>
      <c r="R37" s="428"/>
      <c r="S37" s="428">
        <f>S30-S25</f>
        <v>0</v>
      </c>
      <c r="T37" s="428">
        <f>T30-T25</f>
        <v>0</v>
      </c>
      <c r="U37" s="428"/>
      <c r="V37" s="428">
        <f>V30-V25</f>
        <v>0</v>
      </c>
      <c r="W37" s="428">
        <f>W30-W25</f>
        <v>0</v>
      </c>
      <c r="X37" s="428"/>
      <c r="Y37" s="428">
        <f>Y30-Y25</f>
        <v>0</v>
      </c>
      <c r="Z37" s="428">
        <f>Z30-Z25</f>
        <v>0</v>
      </c>
      <c r="AA37" s="428">
        <f>AA30-AA25</f>
        <v>0</v>
      </c>
      <c r="AB37" s="428">
        <f>AB30-AB25</f>
        <v>0</v>
      </c>
      <c r="AC37" s="428"/>
      <c r="AD37" s="56"/>
      <c r="AE37" s="381"/>
    </row>
    <row r="38" s="62" customFormat="1" ht="16.5" spans="1:110">
      <c r="A38" s="61"/>
      <c r="B38" s="413"/>
      <c r="C38" s="323" t="s">
        <v>226</v>
      </c>
      <c r="D38" s="426" t="s">
        <v>222</v>
      </c>
      <c r="E38" s="427">
        <f>IFERROR(E37/E25,1)</f>
        <v>1</v>
      </c>
      <c r="F38" s="427"/>
      <c r="G38" s="427">
        <f>IFERROR(G37/G25,1)</f>
        <v>1</v>
      </c>
      <c r="H38" s="427">
        <f>IFERROR(H37/H25,1)</f>
        <v>1</v>
      </c>
      <c r="I38" s="427"/>
      <c r="J38" s="427">
        <f>IFERROR(J37/J25,1)</f>
        <v>1</v>
      </c>
      <c r="K38" s="427">
        <f>IFERROR(K37/K25,1)</f>
        <v>1</v>
      </c>
      <c r="L38" s="427"/>
      <c r="M38" s="427">
        <f>IFERROR(M37/M25,1)</f>
        <v>1</v>
      </c>
      <c r="N38" s="427">
        <f>IFERROR(N37/N25,1)</f>
        <v>1</v>
      </c>
      <c r="O38" s="427"/>
      <c r="P38" s="427">
        <f>IFERROR(P37/P25,1)</f>
        <v>1</v>
      </c>
      <c r="Q38" s="427">
        <f>IFERROR(Q37/Q25,1)</f>
        <v>1</v>
      </c>
      <c r="R38" s="427"/>
      <c r="S38" s="427">
        <f>IFERROR(S37/S25,1)</f>
        <v>1</v>
      </c>
      <c r="T38" s="427">
        <f>IFERROR(T37/T25,1)</f>
        <v>1</v>
      </c>
      <c r="U38" s="427"/>
      <c r="V38" s="427">
        <f>IFERROR(V37/V25,1)</f>
        <v>1</v>
      </c>
      <c r="W38" s="427">
        <f>IFERROR(W37/W25,1)</f>
        <v>1</v>
      </c>
      <c r="X38" s="427"/>
      <c r="Y38" s="427">
        <f>IFERROR(Y37/Y25,1)</f>
        <v>1</v>
      </c>
      <c r="Z38" s="427">
        <f>IFERROR(Z37/Z25,1)</f>
        <v>1</v>
      </c>
      <c r="AA38" s="427">
        <f>IFERROR(AA37/AA25,1)</f>
        <v>1</v>
      </c>
      <c r="AB38" s="427">
        <f>IFERROR(AB37/AB25,1)</f>
        <v>1</v>
      </c>
      <c r="AC38" s="428"/>
      <c r="AD38" s="56"/>
      <c r="AE38" s="381"/>
    </row>
    <row r="39" s="62" customFormat="1" ht="14.65" customHeight="1" spans="1:110">
      <c r="A39" s="61"/>
      <c r="B39" s="413"/>
      <c r="C39" s="323" t="s">
        <v>227</v>
      </c>
      <c r="D39" s="426" t="s">
        <v>220</v>
      </c>
      <c r="E39" s="428">
        <f>E32-E31</f>
        <v>-412149.199999999</v>
      </c>
      <c r="F39" s="428"/>
      <c r="G39" s="428">
        <f>G32-G31</f>
        <v>-412149.199999999</v>
      </c>
      <c r="H39" s="428">
        <f>H32-H31</f>
        <v>6793037.2</v>
      </c>
      <c r="I39" s="428"/>
      <c r="J39" s="428">
        <f>J32-J31</f>
        <v>7456883.34</v>
      </c>
      <c r="K39" s="428">
        <f>K32-K31</f>
        <v>-25797.3199999999</v>
      </c>
      <c r="L39" s="428"/>
      <c r="M39" s="428">
        <f>M32-M31</f>
        <v>-25797.3199999999</v>
      </c>
      <c r="N39" s="428">
        <f>N32-N31</f>
        <v>-9102.08</v>
      </c>
      <c r="O39" s="428"/>
      <c r="P39" s="428">
        <f>P32-P31</f>
        <v>-9102.08</v>
      </c>
      <c r="Q39" s="428">
        <f>Q32-Q31</f>
        <v>-1004.71999999997</v>
      </c>
      <c r="R39" s="428"/>
      <c r="S39" s="428">
        <f>S32-S31</f>
        <v>-1004.71999999997</v>
      </c>
      <c r="T39" s="428">
        <f>T32-T31</f>
        <v>104669.299999999</v>
      </c>
      <c r="U39" s="428"/>
      <c r="V39" s="428">
        <f>V32-V31</f>
        <v>104669.299999999</v>
      </c>
      <c r="W39" s="428">
        <f>W32-W31</f>
        <v>0</v>
      </c>
      <c r="X39" s="428"/>
      <c r="Y39" s="428">
        <f>Y32-Y31</f>
        <v>0</v>
      </c>
      <c r="Z39" s="428">
        <f>Z32-Z31</f>
        <v>6449653.17999999</v>
      </c>
      <c r="AA39" s="428">
        <f>AA32-AA31</f>
        <v>663846.14</v>
      </c>
      <c r="AB39" s="428">
        <f>AB32-AB31</f>
        <v>7113499.31999999</v>
      </c>
      <c r="AC39" s="428"/>
      <c r="AD39" s="56"/>
      <c r="AE39" s="381"/>
    </row>
    <row r="40" s="62" customFormat="1" ht="14.65" customHeight="1" spans="1:110">
      <c r="A40" s="61"/>
      <c r="B40" s="429"/>
      <c r="C40" s="323" t="s">
        <v>228</v>
      </c>
      <c r="D40" s="426" t="s">
        <v>222</v>
      </c>
      <c r="E40" s="427">
        <f>IFERROR(E39/E31,1)</f>
        <v>-0.0182245886870158</v>
      </c>
      <c r="F40" s="427"/>
      <c r="G40" s="427">
        <f>IFERROR(G39/G31,1)</f>
        <v>-0.0182245886870158</v>
      </c>
      <c r="H40" s="427">
        <f>IFERROR(H39/H31,1)</f>
        <v>0.150227346502935</v>
      </c>
      <c r="I40" s="427"/>
      <c r="J40" s="427">
        <f>IFERROR(J39/J31,1)</f>
        <v>0.167365310309828</v>
      </c>
      <c r="K40" s="427">
        <f>IFERROR(K39/K31,1)</f>
        <v>-0.0621335126818038</v>
      </c>
      <c r="L40" s="427"/>
      <c r="M40" s="427">
        <f>IFERROR(M39/M31,1)</f>
        <v>-0.0621335126818038</v>
      </c>
      <c r="N40" s="427">
        <f>IFERROR(N39/N31,1)</f>
        <v>-0.205121779563407</v>
      </c>
      <c r="O40" s="427"/>
      <c r="P40" s="427">
        <f>IFERROR(P39/P31,1)</f>
        <v>-0.205121779563407</v>
      </c>
      <c r="Q40" s="427">
        <f>IFERROR(Q39/Q31,1)</f>
        <v>-0.00191690640398068</v>
      </c>
      <c r="R40" s="427"/>
      <c r="S40" s="427">
        <f>IFERROR(S39/S31,1)</f>
        <v>-0.00191690640398068</v>
      </c>
      <c r="T40" s="427">
        <f>IFERROR(T39/T31,1)</f>
        <v>0.0258542925372123</v>
      </c>
      <c r="U40" s="427"/>
      <c r="V40" s="427">
        <f>IFERROR(V39/V31,1)</f>
        <v>0.0258542925372123</v>
      </c>
      <c r="W40" s="427">
        <f>IFERROR(W39/W31,1)</f>
        <v>1</v>
      </c>
      <c r="X40" s="427"/>
      <c r="Y40" s="427">
        <f>IFERROR(Y39/Y31,1)</f>
        <v>1</v>
      </c>
      <c r="Z40" s="427">
        <f>IFERROR(Z39/Z31,1)</f>
        <v>0.0885144754339412</v>
      </c>
      <c r="AA40" s="427">
        <f>IFERROR(AA39/AA31,1)</f>
        <v>-1</v>
      </c>
      <c r="AB40" s="427">
        <f>IFERROR(AB39/AB31,1)</f>
        <v>0.0985226387565993</v>
      </c>
      <c r="AC40" s="428"/>
      <c r="AD40" s="56"/>
      <c r="AE40" s="381"/>
    </row>
    <row r="41" s="62" customFormat="1" ht="14.65" customHeight="1" spans="1:110">
      <c r="A41" s="61"/>
      <c r="B41" s="430"/>
      <c r="C41" s="431"/>
      <c r="D41" s="432"/>
      <c r="E41" s="433"/>
      <c r="F41" s="433"/>
      <c r="G41" s="433"/>
      <c r="H41" s="433"/>
      <c r="I41" s="433"/>
      <c r="J41" s="433"/>
      <c r="K41" s="433"/>
      <c r="L41" s="433"/>
      <c r="M41" s="433"/>
      <c r="N41" s="433"/>
      <c r="O41" s="433"/>
      <c r="P41" s="433"/>
      <c r="Q41" s="433"/>
      <c r="R41" s="433"/>
      <c r="S41" s="433"/>
      <c r="T41" s="433"/>
      <c r="U41" s="433"/>
      <c r="V41" s="433"/>
      <c r="W41" s="433"/>
      <c r="X41" s="433"/>
      <c r="Y41" s="433"/>
      <c r="Z41" s="433"/>
      <c r="AA41" s="433"/>
      <c r="AB41" s="433"/>
      <c r="AC41" s="434"/>
      <c r="AD41" s="56"/>
      <c r="AE41" s="381"/>
    </row>
    <row r="42" s="62" customFormat="1" ht="16.5" spans="1:110">
      <c r="A42" s="435"/>
      <c r="B42" s="436" t="s">
        <v>229</v>
      </c>
      <c r="C42" s="437"/>
      <c r="D42" s="437"/>
      <c r="E42" s="438">
        <v>23791563.89</v>
      </c>
      <c r="F42" s="439"/>
      <c r="G42" s="439"/>
      <c r="H42" s="438">
        <v>62614069.81</v>
      </c>
      <c r="I42" s="439"/>
      <c r="J42" s="437"/>
      <c r="K42" s="438">
        <v>849297.31</v>
      </c>
      <c r="L42" s="437"/>
      <c r="M42" s="439"/>
      <c r="N42" s="438">
        <v>115247.79</v>
      </c>
      <c r="O42" s="439"/>
      <c r="P42" s="439"/>
      <c r="Q42" s="438">
        <v>1575944.71</v>
      </c>
      <c r="R42" s="439"/>
      <c r="S42" s="437"/>
      <c r="T42" s="438">
        <v>6657063.51</v>
      </c>
      <c r="U42" s="440"/>
      <c r="V42" s="440"/>
      <c r="W42" s="438"/>
      <c r="X42" s="440"/>
      <c r="Y42" s="440"/>
      <c r="Z42" s="438">
        <f>SUM(E42,H42,K42,N42,Q42,T42,W42)</f>
        <v>95603187.02</v>
      </c>
      <c r="AA42" s="440"/>
      <c r="AB42" s="441"/>
      <c r="AC42" s="441"/>
      <c r="AD42" s="56"/>
      <c r="AE42" s="381"/>
      <c r="AF42" s="441"/>
      <c r="AG42" s="441"/>
      <c r="AH42" s="441"/>
      <c r="AI42" s="441"/>
      <c r="AJ42" s="441"/>
      <c r="AK42" s="441"/>
      <c r="AL42" s="441"/>
      <c r="AM42" s="441"/>
      <c r="AN42" s="441"/>
      <c r="AO42" s="441"/>
      <c r="AP42" s="441"/>
      <c r="AQ42" s="441"/>
      <c r="AR42" s="441"/>
      <c r="AS42" s="441"/>
      <c r="AT42" s="441"/>
      <c r="AU42" s="441"/>
      <c r="AV42" s="441"/>
      <c r="AW42" s="441"/>
      <c r="AX42" s="441"/>
      <c r="AY42" s="441"/>
      <c r="AZ42" s="441"/>
      <c r="BA42" s="441"/>
      <c r="BB42" s="441"/>
      <c r="BC42" s="441"/>
      <c r="BD42" s="441"/>
      <c r="BE42" s="441"/>
      <c r="BF42" s="441"/>
      <c r="BG42" s="441"/>
      <c r="BH42" s="441"/>
      <c r="BI42" s="441"/>
      <c r="BJ42" s="441"/>
      <c r="BK42" s="441"/>
      <c r="BL42" s="441"/>
      <c r="BM42" s="441"/>
      <c r="BN42" s="441"/>
      <c r="BO42" s="441"/>
      <c r="BP42" s="441"/>
      <c r="BQ42" s="441"/>
      <c r="BR42" s="441"/>
      <c r="BS42" s="441"/>
      <c r="BT42" s="441"/>
      <c r="BU42" s="441"/>
      <c r="BV42" s="441"/>
      <c r="BW42" s="441"/>
      <c r="BX42" s="441"/>
      <c r="BY42" s="441"/>
      <c r="BZ42" s="441"/>
      <c r="CA42" s="441"/>
      <c r="CB42" s="441"/>
      <c r="CC42" s="441"/>
      <c r="CD42" s="441"/>
      <c r="CE42" s="441"/>
      <c r="CF42" s="441"/>
      <c r="CG42" s="441"/>
      <c r="CH42" s="441"/>
      <c r="CI42" s="441"/>
      <c r="CJ42" s="441"/>
      <c r="CK42" s="441"/>
      <c r="CL42" s="441"/>
      <c r="CM42" s="441"/>
      <c r="CN42" s="441"/>
      <c r="CO42" s="441"/>
      <c r="CP42" s="441"/>
      <c r="CQ42" s="441"/>
      <c r="CR42" s="441"/>
      <c r="CS42" s="441"/>
      <c r="CT42" s="441"/>
      <c r="CU42" s="441"/>
      <c r="CV42" s="441"/>
      <c r="CW42" s="441"/>
      <c r="CX42" s="441"/>
      <c r="CY42" s="441"/>
      <c r="CZ42" s="441"/>
      <c r="DA42" s="441"/>
      <c r="DB42" s="441"/>
      <c r="DC42" s="441"/>
      <c r="DD42" s="441"/>
      <c r="DE42" s="441"/>
      <c r="DF42" s="441"/>
    </row>
    <row r="43" s="56" customFormat="1" ht="16.5" spans="1:110">
      <c r="A43" s="442"/>
      <c r="B43" s="436" t="s">
        <v>230</v>
      </c>
      <c r="C43" s="443"/>
      <c r="D43" s="444"/>
      <c r="E43" s="445">
        <f>E18-E42</f>
        <v>0</v>
      </c>
      <c r="F43" s="445"/>
      <c r="G43" s="445"/>
      <c r="H43" s="445">
        <f>H18-H42</f>
        <v>0</v>
      </c>
      <c r="I43" s="445"/>
      <c r="J43" s="445"/>
      <c r="K43" s="445">
        <f>K18-K42</f>
        <v>0</v>
      </c>
      <c r="L43" s="445"/>
      <c r="M43" s="445"/>
      <c r="N43" s="445">
        <f>N18-N42</f>
        <v>0</v>
      </c>
      <c r="O43" s="445"/>
      <c r="P43" s="445"/>
      <c r="Q43" s="445">
        <f>Q18-Q42</f>
        <v>0</v>
      </c>
      <c r="R43" s="445"/>
      <c r="S43" s="445"/>
      <c r="T43" s="445">
        <f>T18-T42</f>
        <v>0</v>
      </c>
      <c r="U43" s="446"/>
      <c r="V43" s="446"/>
      <c r="W43" s="445">
        <f>W18-W42</f>
        <v>0</v>
      </c>
      <c r="X43" s="446"/>
      <c r="Y43" s="446"/>
      <c r="Z43" s="445">
        <f>Z18-Z42</f>
        <v>0</v>
      </c>
      <c r="AA43" s="446"/>
      <c r="AB43" s="447"/>
      <c r="AC43" s="447"/>
      <c r="AE43" s="381"/>
      <c r="AF43" s="448"/>
      <c r="AG43" s="448"/>
      <c r="AH43" s="448"/>
      <c r="AI43" s="448"/>
      <c r="AJ43" s="448"/>
      <c r="AK43" s="448"/>
      <c r="AL43" s="448"/>
      <c r="AM43" s="448"/>
      <c r="AN43" s="448"/>
      <c r="AO43" s="448"/>
      <c r="AP43" s="448"/>
      <c r="AQ43" s="448"/>
      <c r="AR43" s="448"/>
      <c r="AS43" s="448"/>
      <c r="AT43" s="448"/>
      <c r="AU43" s="448"/>
      <c r="AV43" s="448"/>
      <c r="AW43" s="448"/>
      <c r="AX43" s="448"/>
      <c r="AY43" s="448"/>
      <c r="AZ43" s="448"/>
      <c r="BA43" s="448"/>
      <c r="BB43" s="448"/>
      <c r="BC43" s="448"/>
      <c r="BD43" s="448"/>
      <c r="BE43" s="448"/>
      <c r="BF43" s="448"/>
      <c r="BG43" s="448"/>
      <c r="BH43" s="448"/>
      <c r="BI43" s="448"/>
      <c r="BJ43" s="448"/>
      <c r="BK43" s="448"/>
      <c r="BL43" s="448"/>
      <c r="BM43" s="448"/>
      <c r="BN43" s="448"/>
      <c r="BO43" s="448"/>
      <c r="BP43" s="448"/>
      <c r="BQ43" s="448"/>
      <c r="BR43" s="448"/>
      <c r="BS43" s="448"/>
      <c r="BT43" s="448"/>
      <c r="BU43" s="448"/>
      <c r="BV43" s="448"/>
      <c r="BW43" s="448"/>
      <c r="BX43" s="448"/>
      <c r="BY43" s="448"/>
      <c r="BZ43" s="448"/>
      <c r="CA43" s="448"/>
      <c r="CB43" s="448"/>
      <c r="CC43" s="448"/>
      <c r="CD43" s="448"/>
      <c r="CE43" s="448"/>
      <c r="CF43" s="448"/>
      <c r="CG43" s="448"/>
      <c r="CH43" s="448"/>
      <c r="CI43" s="448"/>
      <c r="CJ43" s="448"/>
      <c r="CK43" s="448"/>
      <c r="CL43" s="448"/>
      <c r="CM43" s="448"/>
      <c r="CN43" s="448"/>
      <c r="CO43" s="448"/>
      <c r="CP43" s="448"/>
      <c r="CQ43" s="448"/>
      <c r="CR43" s="448"/>
      <c r="CS43" s="448"/>
      <c r="CT43" s="448"/>
      <c r="CU43" s="448"/>
      <c r="CV43" s="448"/>
      <c r="CW43" s="448"/>
      <c r="CX43" s="448"/>
      <c r="CY43" s="448"/>
      <c r="CZ43" s="448"/>
      <c r="DA43" s="448"/>
      <c r="DB43" s="448"/>
      <c r="DC43" s="448"/>
      <c r="DD43" s="448"/>
      <c r="DE43" s="448"/>
      <c r="DF43" s="448"/>
    </row>
    <row r="44" s="361" customFormat="1" ht="16.5" spans="1:110">
      <c r="A44" s="442"/>
      <c r="B44" s="436" t="s">
        <v>231</v>
      </c>
      <c r="C44" s="443"/>
      <c r="D44" s="444"/>
      <c r="E44" s="438">
        <v>1588706.13</v>
      </c>
      <c r="F44" s="439"/>
      <c r="G44" s="439"/>
      <c r="H44" s="438">
        <v>10602652.88</v>
      </c>
      <c r="I44" s="439"/>
      <c r="J44" s="437"/>
      <c r="K44" s="438">
        <v>459902.91</v>
      </c>
      <c r="L44" s="437"/>
      <c r="M44" s="439"/>
      <c r="N44" s="438">
        <v>79975.84</v>
      </c>
      <c r="O44" s="439"/>
      <c r="P44" s="439"/>
      <c r="Q44" s="438">
        <v>1052813.25</v>
      </c>
      <c r="R44" s="445"/>
      <c r="S44" s="445"/>
      <c r="T44" s="438">
        <v>2503963.96</v>
      </c>
      <c r="U44" s="446"/>
      <c r="V44" s="446"/>
      <c r="W44" s="438"/>
      <c r="X44" s="446"/>
      <c r="Y44" s="446"/>
      <c r="Z44" s="438">
        <f>SUM(E44,H44,K44,N44,Q44,T44,W44)</f>
        <v>16288014.97</v>
      </c>
      <c r="AA44" s="446"/>
      <c r="AB44" s="447"/>
      <c r="AC44" s="447"/>
      <c r="AD44" s="56"/>
      <c r="AE44" s="381"/>
      <c r="AF44" s="448"/>
      <c r="AG44" s="448"/>
      <c r="AH44" s="448"/>
      <c r="AI44" s="448"/>
      <c r="AJ44" s="448"/>
      <c r="AK44" s="448"/>
      <c r="AL44" s="448"/>
      <c r="AM44" s="448"/>
      <c r="AN44" s="448"/>
      <c r="AO44" s="448"/>
      <c r="AP44" s="448"/>
      <c r="AQ44" s="448"/>
      <c r="AR44" s="448"/>
      <c r="AS44" s="448"/>
      <c r="AT44" s="448"/>
      <c r="AU44" s="448"/>
      <c r="AV44" s="448"/>
      <c r="AW44" s="448"/>
      <c r="AX44" s="448"/>
      <c r="AY44" s="448"/>
      <c r="AZ44" s="448"/>
      <c r="BA44" s="448"/>
      <c r="BB44" s="448"/>
      <c r="BC44" s="448"/>
      <c r="BD44" s="448"/>
      <c r="BE44" s="448"/>
      <c r="BF44" s="448"/>
      <c r="BG44" s="448"/>
      <c r="BH44" s="448"/>
      <c r="BI44" s="448"/>
      <c r="BJ44" s="448"/>
      <c r="BK44" s="448"/>
      <c r="BL44" s="448"/>
      <c r="BM44" s="448"/>
      <c r="BN44" s="448"/>
      <c r="BO44" s="448"/>
      <c r="BP44" s="448"/>
      <c r="BQ44" s="448"/>
      <c r="BR44" s="448"/>
      <c r="BS44" s="448"/>
      <c r="BT44" s="448"/>
      <c r="BU44" s="448"/>
      <c r="BV44" s="448"/>
      <c r="BW44" s="448"/>
      <c r="BX44" s="448"/>
      <c r="BY44" s="448"/>
      <c r="BZ44" s="448"/>
      <c r="CA44" s="448"/>
      <c r="CB44" s="448"/>
      <c r="CC44" s="448"/>
      <c r="CD44" s="448"/>
      <c r="CE44" s="448"/>
      <c r="CF44" s="448"/>
      <c r="CG44" s="448"/>
      <c r="CH44" s="448"/>
      <c r="CI44" s="448"/>
      <c r="CJ44" s="448"/>
      <c r="CK44" s="448"/>
      <c r="CL44" s="448"/>
      <c r="CM44" s="448"/>
      <c r="CN44" s="448"/>
      <c r="CO44" s="448"/>
      <c r="CP44" s="448"/>
      <c r="CQ44" s="448"/>
      <c r="CR44" s="448"/>
      <c r="CS44" s="448"/>
      <c r="CT44" s="448"/>
      <c r="CU44" s="448"/>
      <c r="CV44" s="448"/>
      <c r="CW44" s="448"/>
      <c r="CX44" s="448"/>
      <c r="CY44" s="448"/>
      <c r="CZ44" s="448"/>
      <c r="DA44" s="448"/>
      <c r="DB44" s="448"/>
      <c r="DC44" s="448"/>
      <c r="DD44" s="448"/>
      <c r="DE44" s="448"/>
      <c r="DF44" s="448"/>
    </row>
    <row r="45" s="361" customFormat="1" ht="16.5" spans="1:110">
      <c r="A45" s="442"/>
      <c r="B45" s="436" t="s">
        <v>230</v>
      </c>
      <c r="C45" s="443"/>
      <c r="D45" s="444"/>
      <c r="E45" s="445">
        <f>E24-E44</f>
        <v>0</v>
      </c>
      <c r="F45" s="445"/>
      <c r="G45" s="445"/>
      <c r="H45" s="445">
        <f>H24-H44</f>
        <v>0</v>
      </c>
      <c r="I45" s="445"/>
      <c r="J45" s="445"/>
      <c r="K45" s="445">
        <f>K24-K44</f>
        <v>0</v>
      </c>
      <c r="L45" s="445"/>
      <c r="M45" s="445"/>
      <c r="N45" s="445">
        <f>N24-N44</f>
        <v>0</v>
      </c>
      <c r="O45" s="445"/>
      <c r="P45" s="445"/>
      <c r="Q45" s="445">
        <f>Q24-Q44</f>
        <v>0</v>
      </c>
      <c r="R45" s="445"/>
      <c r="S45" s="445"/>
      <c r="T45" s="445">
        <f>T24-T44</f>
        <v>0</v>
      </c>
      <c r="U45" s="446"/>
      <c r="V45" s="446"/>
      <c r="W45" s="445">
        <f>W24-W44</f>
        <v>0</v>
      </c>
      <c r="X45" s="446"/>
      <c r="Y45" s="446"/>
      <c r="Z45" s="445">
        <f>Z24-Z44</f>
        <v>0</v>
      </c>
      <c r="AA45" s="446"/>
      <c r="AB45" s="447"/>
      <c r="AC45" s="447"/>
      <c r="AD45" s="56"/>
      <c r="AE45" s="381"/>
      <c r="AF45" s="448"/>
      <c r="AG45" s="448"/>
      <c r="AH45" s="448"/>
      <c r="AI45" s="448"/>
      <c r="AJ45" s="448"/>
      <c r="AK45" s="448"/>
      <c r="AL45" s="448"/>
      <c r="AM45" s="448"/>
      <c r="AN45" s="448"/>
      <c r="AO45" s="448"/>
      <c r="AP45" s="448"/>
      <c r="AQ45" s="448"/>
      <c r="AR45" s="448"/>
      <c r="AS45" s="448"/>
      <c r="AT45" s="448"/>
      <c r="AU45" s="448"/>
      <c r="AV45" s="448"/>
      <c r="AW45" s="448"/>
      <c r="AX45" s="448"/>
      <c r="AY45" s="448"/>
      <c r="AZ45" s="448"/>
      <c r="BA45" s="448"/>
      <c r="BB45" s="448"/>
      <c r="BC45" s="448"/>
      <c r="BD45" s="448"/>
      <c r="BE45" s="448"/>
      <c r="BF45" s="448"/>
      <c r="BG45" s="448"/>
      <c r="BH45" s="448"/>
      <c r="BI45" s="448"/>
      <c r="BJ45" s="448"/>
      <c r="BK45" s="448"/>
      <c r="BL45" s="448"/>
      <c r="BM45" s="448"/>
      <c r="BN45" s="448"/>
      <c r="BO45" s="448"/>
      <c r="BP45" s="448"/>
      <c r="BQ45" s="448"/>
      <c r="BR45" s="448"/>
      <c r="BS45" s="448"/>
      <c r="BT45" s="448"/>
      <c r="BU45" s="448"/>
      <c r="BV45" s="448"/>
      <c r="BW45" s="448"/>
      <c r="BX45" s="448"/>
      <c r="BY45" s="448"/>
      <c r="BZ45" s="448"/>
      <c r="CA45" s="448"/>
      <c r="CB45" s="448"/>
      <c r="CC45" s="448"/>
      <c r="CD45" s="448"/>
      <c r="CE45" s="448"/>
      <c r="CF45" s="448"/>
      <c r="CG45" s="448"/>
      <c r="CH45" s="448"/>
      <c r="CI45" s="448"/>
      <c r="CJ45" s="448"/>
      <c r="CK45" s="448"/>
      <c r="CL45" s="448"/>
      <c r="CM45" s="448"/>
      <c r="CN45" s="448"/>
      <c r="CO45" s="448"/>
      <c r="CP45" s="448"/>
      <c r="CQ45" s="448"/>
      <c r="CR45" s="448"/>
      <c r="CS45" s="448"/>
      <c r="CT45" s="448"/>
      <c r="CU45" s="448"/>
      <c r="CV45" s="448"/>
      <c r="CW45" s="448"/>
      <c r="CX45" s="448"/>
      <c r="CY45" s="448"/>
      <c r="CZ45" s="448"/>
      <c r="DA45" s="448"/>
      <c r="DB45" s="448"/>
      <c r="DC45" s="448"/>
      <c r="DD45" s="448"/>
      <c r="DE45" s="448"/>
      <c r="DF45" s="448"/>
    </row>
    <row r="46" s="361" customFormat="1" ht="16.5" spans="1:110">
      <c r="A46" s="442"/>
      <c r="B46" s="436" t="s">
        <v>232</v>
      </c>
      <c r="C46" s="443"/>
      <c r="D46" s="444"/>
      <c r="E46" s="438">
        <v>0</v>
      </c>
      <c r="F46" s="439"/>
      <c r="G46" s="439"/>
      <c r="H46" s="438">
        <v>0</v>
      </c>
      <c r="I46" s="439"/>
      <c r="J46" s="437"/>
      <c r="K46" s="438">
        <v>0</v>
      </c>
      <c r="L46" s="437"/>
      <c r="M46" s="439"/>
      <c r="N46" s="438">
        <v>0</v>
      </c>
      <c r="O46" s="439"/>
      <c r="P46" s="439"/>
      <c r="Q46" s="438">
        <v>0</v>
      </c>
      <c r="R46" s="445"/>
      <c r="S46" s="445"/>
      <c r="T46" s="438">
        <v>0</v>
      </c>
      <c r="U46" s="446"/>
      <c r="V46" s="446"/>
      <c r="W46" s="438"/>
      <c r="X46" s="446"/>
      <c r="Y46" s="446"/>
      <c r="Z46" s="438">
        <f>SUM(E46,H46,K46,N46,Q46,T46,W46)</f>
        <v>0</v>
      </c>
      <c r="AA46" s="446"/>
      <c r="AB46" s="447"/>
      <c r="AC46" s="447"/>
      <c r="AD46" s="56"/>
      <c r="AE46" s="381"/>
      <c r="AF46" s="448"/>
      <c r="AG46" s="448"/>
      <c r="AH46" s="448"/>
      <c r="AI46" s="448"/>
      <c r="AJ46" s="448"/>
      <c r="AK46" s="448"/>
      <c r="AL46" s="448"/>
      <c r="AM46" s="448"/>
      <c r="AN46" s="448"/>
      <c r="AO46" s="448"/>
      <c r="AP46" s="448"/>
      <c r="AQ46" s="448"/>
      <c r="AR46" s="448"/>
      <c r="AS46" s="448"/>
      <c r="AT46" s="448"/>
      <c r="AU46" s="448"/>
      <c r="AV46" s="448"/>
      <c r="AW46" s="448"/>
      <c r="AX46" s="448"/>
      <c r="AY46" s="448"/>
      <c r="AZ46" s="448"/>
      <c r="BA46" s="448"/>
      <c r="BB46" s="448"/>
      <c r="BC46" s="448"/>
      <c r="BD46" s="448"/>
      <c r="BE46" s="448"/>
      <c r="BF46" s="448"/>
      <c r="BG46" s="448"/>
      <c r="BH46" s="448"/>
      <c r="BI46" s="448"/>
      <c r="BJ46" s="448"/>
      <c r="BK46" s="448"/>
      <c r="BL46" s="448"/>
      <c r="BM46" s="448"/>
      <c r="BN46" s="448"/>
      <c r="BO46" s="448"/>
      <c r="BP46" s="448"/>
      <c r="BQ46" s="448"/>
      <c r="BR46" s="448"/>
      <c r="BS46" s="448"/>
      <c r="BT46" s="448"/>
      <c r="BU46" s="448"/>
      <c r="BV46" s="448"/>
      <c r="BW46" s="448"/>
      <c r="BX46" s="448"/>
      <c r="BY46" s="448"/>
      <c r="BZ46" s="448"/>
      <c r="CA46" s="448"/>
      <c r="CB46" s="448"/>
      <c r="CC46" s="448"/>
      <c r="CD46" s="448"/>
      <c r="CE46" s="448"/>
      <c r="CF46" s="448"/>
      <c r="CG46" s="448"/>
      <c r="CH46" s="448"/>
      <c r="CI46" s="448"/>
      <c r="CJ46" s="448"/>
      <c r="CK46" s="448"/>
      <c r="CL46" s="448"/>
      <c r="CM46" s="448"/>
      <c r="CN46" s="448"/>
      <c r="CO46" s="448"/>
      <c r="CP46" s="448"/>
      <c r="CQ46" s="448"/>
      <c r="CR46" s="448"/>
      <c r="CS46" s="448"/>
      <c r="CT46" s="448"/>
      <c r="CU46" s="448"/>
      <c r="CV46" s="448"/>
      <c r="CW46" s="448"/>
      <c r="CX46" s="448"/>
      <c r="CY46" s="448"/>
      <c r="CZ46" s="448"/>
      <c r="DA46" s="448"/>
      <c r="DB46" s="448"/>
      <c r="DC46" s="448"/>
      <c r="DD46" s="448"/>
      <c r="DE46" s="448"/>
      <c r="DF46" s="448"/>
    </row>
    <row r="47" s="361" customFormat="1" ht="16.5" spans="1:110">
      <c r="A47" s="442"/>
      <c r="B47" s="436" t="s">
        <v>230</v>
      </c>
      <c r="C47" s="443"/>
      <c r="D47" s="444"/>
      <c r="E47" s="445">
        <f>E30-E46</f>
        <v>0</v>
      </c>
      <c r="F47" s="445"/>
      <c r="G47" s="445"/>
      <c r="H47" s="445">
        <f>H30-H46</f>
        <v>0</v>
      </c>
      <c r="I47" s="445"/>
      <c r="J47" s="445"/>
      <c r="K47" s="445">
        <f>K30-K46</f>
        <v>0</v>
      </c>
      <c r="L47" s="445"/>
      <c r="M47" s="445"/>
      <c r="N47" s="445">
        <f>N30-N46</f>
        <v>0</v>
      </c>
      <c r="O47" s="445"/>
      <c r="P47" s="445"/>
      <c r="Q47" s="445">
        <f>Q30-Q46</f>
        <v>0</v>
      </c>
      <c r="R47" s="445"/>
      <c r="S47" s="445"/>
      <c r="T47" s="445">
        <f>T30-T46</f>
        <v>0</v>
      </c>
      <c r="U47" s="446"/>
      <c r="V47" s="446"/>
      <c r="W47" s="445">
        <f>W30-W46</f>
        <v>0</v>
      </c>
      <c r="X47" s="446"/>
      <c r="Y47" s="446"/>
      <c r="Z47" s="445">
        <f>Z30-Z46</f>
        <v>0</v>
      </c>
      <c r="AA47" s="446"/>
      <c r="AB47" s="447"/>
      <c r="AC47" s="447"/>
      <c r="AD47" s="56"/>
      <c r="AE47" s="381"/>
      <c r="AF47" s="448"/>
      <c r="AG47" s="448"/>
      <c r="AH47" s="448"/>
      <c r="AI47" s="448"/>
      <c r="AJ47" s="448"/>
      <c r="AK47" s="448"/>
      <c r="AL47" s="448"/>
      <c r="AM47" s="448"/>
      <c r="AN47" s="448"/>
      <c r="AO47" s="448"/>
      <c r="AP47" s="448"/>
      <c r="AQ47" s="448"/>
      <c r="AR47" s="448"/>
      <c r="AS47" s="448"/>
      <c r="AT47" s="448"/>
      <c r="AU47" s="448"/>
      <c r="AV47" s="448"/>
      <c r="AW47" s="448"/>
      <c r="AX47" s="448"/>
      <c r="AY47" s="448"/>
      <c r="AZ47" s="448"/>
      <c r="BA47" s="448"/>
      <c r="BB47" s="448"/>
      <c r="BC47" s="448"/>
      <c r="BD47" s="448"/>
      <c r="BE47" s="448"/>
      <c r="BF47" s="448"/>
      <c r="BG47" s="448"/>
      <c r="BH47" s="448"/>
      <c r="BI47" s="448"/>
      <c r="BJ47" s="448"/>
      <c r="BK47" s="448"/>
      <c r="BL47" s="448"/>
      <c r="BM47" s="448"/>
      <c r="BN47" s="448"/>
      <c r="BO47" s="448"/>
      <c r="BP47" s="448"/>
      <c r="BQ47" s="448"/>
      <c r="BR47" s="448"/>
      <c r="BS47" s="448"/>
      <c r="BT47" s="448"/>
      <c r="BU47" s="448"/>
      <c r="BV47" s="448"/>
      <c r="BW47" s="448"/>
      <c r="BX47" s="448"/>
      <c r="BY47" s="448"/>
      <c r="BZ47" s="448"/>
      <c r="CA47" s="448"/>
      <c r="CB47" s="448"/>
      <c r="CC47" s="448"/>
      <c r="CD47" s="448"/>
      <c r="CE47" s="448"/>
      <c r="CF47" s="448"/>
      <c r="CG47" s="448"/>
      <c r="CH47" s="448"/>
      <c r="CI47" s="448"/>
      <c r="CJ47" s="448"/>
      <c r="CK47" s="448"/>
      <c r="CL47" s="448"/>
      <c r="CM47" s="448"/>
      <c r="CN47" s="448"/>
      <c r="CO47" s="448"/>
      <c r="CP47" s="448"/>
      <c r="CQ47" s="448"/>
      <c r="CR47" s="448"/>
      <c r="CS47" s="448"/>
      <c r="CT47" s="448"/>
      <c r="CU47" s="448"/>
      <c r="CV47" s="448"/>
      <c r="CW47" s="448"/>
      <c r="CX47" s="448"/>
      <c r="CY47" s="448"/>
      <c r="CZ47" s="448"/>
      <c r="DA47" s="448"/>
      <c r="DB47" s="448"/>
      <c r="DC47" s="448"/>
      <c r="DD47" s="448"/>
      <c r="DE47" s="448"/>
      <c r="DF47" s="448"/>
    </row>
    <row r="48" s="361" customFormat="1" ht="16.5" spans="1:110">
      <c r="A48" s="442"/>
      <c r="B48" s="436" t="s">
        <v>233</v>
      </c>
      <c r="C48" s="443"/>
      <c r="D48" s="444"/>
      <c r="E48" s="438">
        <f>E42-E44-E46</f>
        <v>22202857.76</v>
      </c>
      <c r="F48" s="439"/>
      <c r="G48" s="439"/>
      <c r="H48" s="438">
        <f>H42-H44-H46</f>
        <v>52011416.93</v>
      </c>
      <c r="I48" s="439"/>
      <c r="J48" s="437"/>
      <c r="K48" s="438">
        <f>K42-K44-K46</f>
        <v>389394.4</v>
      </c>
      <c r="L48" s="437"/>
      <c r="M48" s="439"/>
      <c r="N48" s="438">
        <f>N42-N44-N46</f>
        <v>35271.95</v>
      </c>
      <c r="O48" s="439"/>
      <c r="P48" s="439"/>
      <c r="Q48" s="438">
        <f>Q42-Q44-Q46</f>
        <v>523131.46</v>
      </c>
      <c r="R48" s="445"/>
      <c r="S48" s="445"/>
      <c r="T48" s="438">
        <f>T42-T44-T46</f>
        <v>4153099.55</v>
      </c>
      <c r="U48" s="446"/>
      <c r="V48" s="446"/>
      <c r="W48" s="438"/>
      <c r="X48" s="446"/>
      <c r="Y48" s="446"/>
      <c r="Z48" s="438">
        <f>SUM(E48,H48,K48,N48,Q48,T48,W48)</f>
        <v>79315172.05</v>
      </c>
      <c r="AA48" s="446"/>
      <c r="AB48" s="447"/>
      <c r="AC48" s="447"/>
      <c r="AD48" s="56"/>
      <c r="AE48" s="381"/>
      <c r="AF48" s="448"/>
      <c r="AG48" s="448"/>
      <c r="AH48" s="448"/>
      <c r="AI48" s="448"/>
      <c r="AJ48" s="448"/>
      <c r="AK48" s="448"/>
      <c r="AL48" s="448"/>
      <c r="AM48" s="448"/>
      <c r="AN48" s="448"/>
      <c r="AO48" s="448"/>
      <c r="AP48" s="448"/>
      <c r="AQ48" s="448"/>
      <c r="AR48" s="448"/>
      <c r="AS48" s="448"/>
      <c r="AT48" s="448"/>
      <c r="AU48" s="448"/>
      <c r="AV48" s="448"/>
      <c r="AW48" s="448"/>
      <c r="AX48" s="448"/>
      <c r="AY48" s="448"/>
      <c r="AZ48" s="448"/>
      <c r="BA48" s="448"/>
      <c r="BB48" s="448"/>
      <c r="BC48" s="448"/>
      <c r="BD48" s="448"/>
      <c r="BE48" s="448"/>
      <c r="BF48" s="448"/>
      <c r="BG48" s="448"/>
      <c r="BH48" s="448"/>
      <c r="BI48" s="448"/>
      <c r="BJ48" s="448"/>
      <c r="BK48" s="448"/>
      <c r="BL48" s="448"/>
      <c r="BM48" s="448"/>
      <c r="BN48" s="448"/>
      <c r="BO48" s="448"/>
      <c r="BP48" s="448"/>
      <c r="BQ48" s="448"/>
      <c r="BR48" s="448"/>
      <c r="BS48" s="448"/>
      <c r="BT48" s="448"/>
      <c r="BU48" s="448"/>
      <c r="BV48" s="448"/>
      <c r="BW48" s="448"/>
      <c r="BX48" s="448"/>
      <c r="BY48" s="448"/>
      <c r="BZ48" s="448"/>
      <c r="CA48" s="448"/>
      <c r="CB48" s="448"/>
      <c r="CC48" s="448"/>
      <c r="CD48" s="448"/>
      <c r="CE48" s="448"/>
      <c r="CF48" s="448"/>
      <c r="CG48" s="448"/>
      <c r="CH48" s="448"/>
      <c r="CI48" s="448"/>
      <c r="CJ48" s="448"/>
      <c r="CK48" s="448"/>
      <c r="CL48" s="448"/>
      <c r="CM48" s="448"/>
      <c r="CN48" s="448"/>
      <c r="CO48" s="448"/>
      <c r="CP48" s="448"/>
      <c r="CQ48" s="448"/>
      <c r="CR48" s="448"/>
      <c r="CS48" s="448"/>
      <c r="CT48" s="448"/>
      <c r="CU48" s="448"/>
      <c r="CV48" s="448"/>
      <c r="CW48" s="448"/>
      <c r="CX48" s="448"/>
      <c r="CY48" s="448"/>
      <c r="CZ48" s="448"/>
      <c r="DA48" s="448"/>
      <c r="DB48" s="448"/>
      <c r="DC48" s="448"/>
      <c r="DD48" s="448"/>
      <c r="DE48" s="448"/>
      <c r="DF48" s="448"/>
    </row>
    <row r="49" s="361" customFormat="1" ht="16.5" spans="1:110">
      <c r="A49" s="442"/>
      <c r="B49" s="436" t="s">
        <v>230</v>
      </c>
      <c r="C49" s="443"/>
      <c r="D49" s="444"/>
      <c r="E49" s="445">
        <f>E32-E48</f>
        <v>0</v>
      </c>
      <c r="F49" s="445"/>
      <c r="G49" s="445"/>
      <c r="H49" s="445">
        <f>H32-H48</f>
        <v>0</v>
      </c>
      <c r="I49" s="445"/>
      <c r="J49" s="445"/>
      <c r="K49" s="445">
        <f>K32-K48</f>
        <v>0</v>
      </c>
      <c r="L49" s="445"/>
      <c r="M49" s="445"/>
      <c r="N49" s="445">
        <f>N32-N48</f>
        <v>0</v>
      </c>
      <c r="O49" s="445"/>
      <c r="P49" s="445"/>
      <c r="Q49" s="445">
        <f>Q32-Q48</f>
        <v>0</v>
      </c>
      <c r="R49" s="445"/>
      <c r="S49" s="445"/>
      <c r="T49" s="445">
        <f>T32-T48</f>
        <v>0</v>
      </c>
      <c r="U49" s="446"/>
      <c r="V49" s="446"/>
      <c r="W49" s="445">
        <f>W32-W48</f>
        <v>0</v>
      </c>
      <c r="X49" s="446"/>
      <c r="Y49" s="446"/>
      <c r="Z49" s="445">
        <f>Z32-Z48</f>
        <v>0</v>
      </c>
      <c r="AA49" s="446"/>
      <c r="AB49" s="447"/>
      <c r="AC49" s="447"/>
      <c r="AD49" s="56"/>
      <c r="AE49" s="381"/>
      <c r="AF49" s="448"/>
      <c r="AG49" s="448"/>
      <c r="AH49" s="448"/>
      <c r="AI49" s="448"/>
      <c r="AJ49" s="448"/>
      <c r="AK49" s="448"/>
      <c r="AL49" s="448"/>
      <c r="AM49" s="448"/>
      <c r="AN49" s="448"/>
      <c r="AO49" s="448"/>
      <c r="AP49" s="448"/>
      <c r="AQ49" s="448"/>
      <c r="AR49" s="448"/>
      <c r="AS49" s="448"/>
      <c r="AT49" s="448"/>
      <c r="AU49" s="448"/>
      <c r="AV49" s="448"/>
      <c r="AW49" s="448"/>
      <c r="AX49" s="448"/>
      <c r="AY49" s="448"/>
      <c r="AZ49" s="448"/>
      <c r="BA49" s="448"/>
      <c r="BB49" s="448"/>
      <c r="BC49" s="448"/>
      <c r="BD49" s="448"/>
      <c r="BE49" s="448"/>
      <c r="BF49" s="448"/>
      <c r="BG49" s="448"/>
      <c r="BH49" s="448"/>
      <c r="BI49" s="448"/>
      <c r="BJ49" s="448"/>
      <c r="BK49" s="448"/>
      <c r="BL49" s="448"/>
      <c r="BM49" s="448"/>
      <c r="BN49" s="448"/>
      <c r="BO49" s="448"/>
      <c r="BP49" s="448"/>
      <c r="BQ49" s="448"/>
      <c r="BR49" s="448"/>
      <c r="BS49" s="448"/>
      <c r="BT49" s="448"/>
      <c r="BU49" s="448"/>
      <c r="BV49" s="448"/>
      <c r="BW49" s="448"/>
      <c r="BX49" s="448"/>
      <c r="BY49" s="448"/>
      <c r="BZ49" s="448"/>
      <c r="CA49" s="448"/>
      <c r="CB49" s="448"/>
      <c r="CC49" s="448"/>
      <c r="CD49" s="448"/>
      <c r="CE49" s="448"/>
      <c r="CF49" s="448"/>
      <c r="CG49" s="448"/>
      <c r="CH49" s="448"/>
      <c r="CI49" s="448"/>
      <c r="CJ49" s="448"/>
      <c r="CK49" s="448"/>
      <c r="CL49" s="448"/>
      <c r="CM49" s="448"/>
      <c r="CN49" s="448"/>
      <c r="CO49" s="448"/>
      <c r="CP49" s="448"/>
      <c r="CQ49" s="448"/>
      <c r="CR49" s="448"/>
      <c r="CS49" s="448"/>
      <c r="CT49" s="448"/>
      <c r="CU49" s="448"/>
      <c r="CV49" s="448"/>
      <c r="CW49" s="448"/>
      <c r="CX49" s="448"/>
      <c r="CY49" s="448"/>
      <c r="CZ49" s="448"/>
      <c r="DA49" s="448"/>
      <c r="DB49" s="448"/>
      <c r="DC49" s="448"/>
      <c r="DD49" s="448"/>
      <c r="DE49" s="448"/>
      <c r="DF49" s="448"/>
    </row>
    <row r="50" s="361" customFormat="1" ht="14.25" spans="1:110">
      <c r="A50" s="449"/>
      <c r="B50" s="450"/>
      <c r="C50" s="451"/>
      <c r="D50" s="452"/>
      <c r="E50" s="453"/>
      <c r="F50" s="453"/>
      <c r="G50" s="453"/>
      <c r="H50" s="453"/>
      <c r="I50" s="453"/>
      <c r="J50" s="453"/>
      <c r="K50" s="453"/>
      <c r="L50" s="453"/>
      <c r="M50" s="453"/>
      <c r="N50" s="453"/>
      <c r="O50" s="453"/>
      <c r="P50" s="453"/>
      <c r="Q50" s="453"/>
      <c r="R50" s="453"/>
      <c r="S50" s="453"/>
      <c r="T50" s="453"/>
      <c r="U50" s="454"/>
      <c r="V50" s="454"/>
      <c r="W50" s="453"/>
      <c r="X50" s="454"/>
      <c r="Y50" s="454"/>
      <c r="Z50" s="454"/>
      <c r="AA50" s="454"/>
      <c r="AB50" s="454"/>
      <c r="AC50" s="454"/>
      <c r="AD50" s="56"/>
      <c r="AE50" s="381"/>
    </row>
    <row r="51" s="361" customFormat="1" ht="16.5" spans="1:110">
      <c r="A51" s="449"/>
      <c r="B51" s="387" t="s">
        <v>234</v>
      </c>
      <c r="C51" s="451"/>
      <c r="D51" s="452"/>
      <c r="E51" s="453"/>
      <c r="F51" s="453"/>
      <c r="G51" s="453"/>
      <c r="H51" s="453"/>
      <c r="I51" s="453"/>
      <c r="J51" s="453"/>
      <c r="K51" s="453"/>
      <c r="L51" s="453"/>
      <c r="M51" s="453"/>
      <c r="N51" s="453"/>
      <c r="O51" s="453"/>
      <c r="P51" s="453"/>
      <c r="Q51" s="453"/>
      <c r="R51" s="453"/>
      <c r="S51" s="453"/>
      <c r="T51" s="453"/>
      <c r="U51" s="454"/>
      <c r="V51" s="454"/>
      <c r="W51" s="453"/>
      <c r="X51" s="454"/>
      <c r="Y51" s="454"/>
      <c r="Z51" s="454"/>
      <c r="AA51" s="454"/>
      <c r="AB51" s="454"/>
      <c r="AC51" s="454"/>
      <c r="AD51" s="56"/>
      <c r="AE51" s="381"/>
    </row>
    <row r="52" s="361" customFormat="1" ht="16.5" spans="1:110">
      <c r="A52" s="449"/>
      <c r="B52" s="382" t="s">
        <v>235</v>
      </c>
      <c r="C52" s="451"/>
      <c r="D52" s="452"/>
      <c r="E52" s="453"/>
      <c r="F52" s="453"/>
      <c r="H52" s="455" t="s">
        <v>236</v>
      </c>
      <c r="I52" s="453"/>
      <c r="J52" s="453"/>
      <c r="K52" s="453"/>
      <c r="L52" s="453"/>
      <c r="M52" s="453"/>
      <c r="N52" s="453"/>
      <c r="O52" s="453"/>
      <c r="P52" s="453"/>
      <c r="Q52" s="453"/>
      <c r="R52" s="453"/>
      <c r="S52" s="453"/>
      <c r="T52" s="453"/>
      <c r="U52" s="454"/>
      <c r="V52" s="454"/>
      <c r="W52" s="453"/>
      <c r="X52" s="454"/>
      <c r="Y52" s="454"/>
      <c r="Z52" s="454"/>
      <c r="AA52" s="454"/>
      <c r="AB52" s="454"/>
      <c r="AC52" s="454"/>
      <c r="AD52" s="56"/>
      <c r="AE52" s="381"/>
    </row>
    <row r="53" s="56" customFormat="1" ht="15.65" customHeight="1" spans="1:110">
      <c r="A53" s="382"/>
      <c r="B53" s="456"/>
      <c r="C53" s="457"/>
      <c r="D53" s="458" t="s">
        <v>237</v>
      </c>
      <c r="E53" s="457"/>
      <c r="F53" s="459"/>
      <c r="H53" s="460" t="s">
        <v>238</v>
      </c>
      <c r="I53" s="461"/>
      <c r="J53" s="461"/>
      <c r="K53" s="462"/>
      <c r="M53" s="463"/>
      <c r="AE53" s="381"/>
    </row>
    <row r="54" s="56" customFormat="1" ht="16.5" spans="1:110">
      <c r="A54" s="382"/>
      <c r="B54" s="464" t="s">
        <v>239</v>
      </c>
      <c r="C54" s="465" t="s">
        <v>240</v>
      </c>
      <c r="D54" s="465" t="s">
        <v>241</v>
      </c>
      <c r="E54" s="465" t="s">
        <v>242</v>
      </c>
      <c r="F54" s="465" t="s">
        <v>243</v>
      </c>
      <c r="G54" s="466"/>
      <c r="H54" s="465" t="s">
        <v>240</v>
      </c>
      <c r="I54" s="465" t="s">
        <v>241</v>
      </c>
      <c r="J54" s="465" t="s">
        <v>242</v>
      </c>
      <c r="K54" s="465" t="s">
        <v>243</v>
      </c>
      <c r="M54" s="463"/>
      <c r="AE54" s="381"/>
    </row>
    <row r="55" s="56" customFormat="1" ht="15.75" customHeight="1" spans="1:110">
      <c r="A55" s="382"/>
      <c r="B55" s="467" t="str">
        <f>F10</f>
        <v>房屋建筑物</v>
      </c>
      <c r="C55" s="468">
        <f>SUMIF('FA list'!A:A,'K.01 Agree SL to GL'!B55,'FA list'!N:N)</f>
        <v>23791563.89</v>
      </c>
      <c r="D55" s="468">
        <f>SUMIFS('FA list'!P:P,'FA list'!A:A,'K.01 Agree SL to GL'!$B55)</f>
        <v>1588706.13</v>
      </c>
      <c r="E55" s="468">
        <v>0</v>
      </c>
      <c r="F55" s="468">
        <f>C55-D55-E55</f>
        <v>22202857.76</v>
      </c>
      <c r="H55" s="469">
        <f>C55-E18</f>
        <v>0</v>
      </c>
      <c r="I55" s="469">
        <f>D55-E24</f>
        <v>0</v>
      </c>
      <c r="J55" s="469">
        <f>E55-E30</f>
        <v>0</v>
      </c>
      <c r="K55" s="469">
        <f>F55-E32</f>
        <v>0</v>
      </c>
      <c r="M55" s="463"/>
      <c r="AE55" s="381"/>
    </row>
    <row r="56" s="56" customFormat="1" ht="15.75" customHeight="1" spans="1:110">
      <c r="A56" s="382"/>
      <c r="B56" s="467" t="str">
        <f>I10</f>
        <v>生产设备</v>
      </c>
      <c r="C56" s="468">
        <f>SUMIF('FA list'!A:A,'K.01 Agree SL to GL'!B56,'FA list'!N:N)</f>
        <v>62614069.81</v>
      </c>
      <c r="D56" s="468">
        <f>SUMIFS('FA list'!P:P,'FA list'!A:A,'K.01 Agree SL to GL'!$B56)</f>
        <v>10602652.88</v>
      </c>
      <c r="E56" s="468">
        <v>0</v>
      </c>
      <c r="F56" s="468">
        <f t="shared" ref="F56:F60" si="28">C56-D56-E56</f>
        <v>52011416.93</v>
      </c>
      <c r="H56" s="469">
        <f>C56-H18</f>
        <v>0</v>
      </c>
      <c r="I56" s="469">
        <f>D56-H24</f>
        <v>2.42143869400024e-8</v>
      </c>
      <c r="J56" s="469">
        <f>E56-H30</f>
        <v>0</v>
      </c>
      <c r="K56" s="469">
        <f>F56-H32</f>
        <v>0</v>
      </c>
      <c r="M56" s="463"/>
      <c r="AE56" s="381"/>
    </row>
    <row r="57" s="56" customFormat="1" ht="15.75" customHeight="1" spans="1:110">
      <c r="A57" s="382"/>
      <c r="B57" s="467" t="str">
        <f>L10</f>
        <v>家具工具</v>
      </c>
      <c r="C57" s="468">
        <f>SUMIF('FA list'!A:A,'K.01 Agree SL to GL'!B57,'FA list'!N:N)</f>
        <v>849297.31</v>
      </c>
      <c r="D57" s="468">
        <f>SUMIFS('FA list'!P:P,'FA list'!A:A,'K.01 Agree SL to GL'!$B57)</f>
        <v>459902.91</v>
      </c>
      <c r="E57" s="468">
        <v>0</v>
      </c>
      <c r="F57" s="468">
        <f t="shared" si="28"/>
        <v>389394.4</v>
      </c>
      <c r="H57" s="470">
        <f>C57-K18</f>
        <v>0</v>
      </c>
      <c r="I57" s="470">
        <f>D57-K24</f>
        <v>0</v>
      </c>
      <c r="J57" s="470">
        <f>E57-K30</f>
        <v>0</v>
      </c>
      <c r="K57" s="470">
        <f>F57-K32</f>
        <v>0</v>
      </c>
      <c r="M57" s="463"/>
      <c r="AE57" s="381"/>
    </row>
    <row r="58" s="56" customFormat="1" ht="15.75" customHeight="1" spans="1:110">
      <c r="A58" s="382"/>
      <c r="B58" s="467" t="str">
        <f>O10</f>
        <v>运输工具</v>
      </c>
      <c r="C58" s="468">
        <f>SUMIF('FA list'!A:A,'K.01 Agree SL to GL'!B58,'FA list'!N:N)</f>
        <v>115247.79</v>
      </c>
      <c r="D58" s="468">
        <f>SUMIFS('FA list'!P:P,'FA list'!A:A,'K.01 Agree SL to GL'!$B58)</f>
        <v>79975.84</v>
      </c>
      <c r="E58" s="468">
        <v>0</v>
      </c>
      <c r="F58" s="468">
        <f t="shared" si="28"/>
        <v>35271.95</v>
      </c>
      <c r="H58" s="469">
        <f>C58-N18</f>
        <v>0</v>
      </c>
      <c r="I58" s="469">
        <f>D58-N24</f>
        <v>0</v>
      </c>
      <c r="J58" s="469">
        <f>E58-N30</f>
        <v>0</v>
      </c>
      <c r="K58" s="469">
        <f>F58-N32</f>
        <v>0</v>
      </c>
      <c r="M58" s="463"/>
      <c r="AE58" s="381"/>
    </row>
    <row r="59" s="56" customFormat="1" ht="15.75" customHeight="1" spans="1:110">
      <c r="A59" s="382"/>
      <c r="B59" s="467" t="str">
        <f>R10</f>
        <v>电子设备1</v>
      </c>
      <c r="C59" s="468">
        <f>SUMIF('FA list'!A:A,'K.01 Agree SL to GL'!B59,'FA list'!N:N)</f>
        <v>1575944.71</v>
      </c>
      <c r="D59" s="468">
        <f>SUMIFS('FA list'!P:P,'FA list'!A:A,'K.01 Agree SL to GL'!$B59)</f>
        <v>1052813.25</v>
      </c>
      <c r="E59" s="468">
        <v>0</v>
      </c>
      <c r="F59" s="468">
        <f t="shared" si="28"/>
        <v>523131.460000004</v>
      </c>
      <c r="H59" s="469">
        <f>C59-Q18</f>
        <v>3.49245965480804e-9</v>
      </c>
      <c r="I59" s="469">
        <f>D59-Q24</f>
        <v>0</v>
      </c>
      <c r="J59" s="469">
        <f>E59-Q30</f>
        <v>0</v>
      </c>
      <c r="K59" s="469">
        <f>F59-Q32</f>
        <v>3.95812094211578e-9</v>
      </c>
      <c r="M59" s="463"/>
      <c r="AE59" s="381"/>
    </row>
    <row r="60" s="56" customFormat="1" ht="15.75" customHeight="1" spans="1:110">
      <c r="A60" s="79"/>
      <c r="B60" s="467" t="str">
        <f>U10</f>
        <v>电子设备2</v>
      </c>
      <c r="C60" s="468">
        <f>SUMIF('FA list'!A:A,'K.01 Agree SL to GL'!B60,'FA list'!N:N)</f>
        <v>6657063.51</v>
      </c>
      <c r="D60" s="468">
        <f>SUMIFS('FA list'!P:P,'FA list'!A:A,'K.01 Agree SL to GL'!$B60)</f>
        <v>2503963.96</v>
      </c>
      <c r="E60" s="468">
        <v>0</v>
      </c>
      <c r="F60" s="468">
        <f t="shared" si="28"/>
        <v>4153099.55</v>
      </c>
      <c r="G60" s="384"/>
      <c r="H60" s="471">
        <f>C60-T18</f>
        <v>0</v>
      </c>
      <c r="I60" s="471">
        <f>D60-T24</f>
        <v>0</v>
      </c>
      <c r="J60" s="471">
        <f>E60-T30</f>
        <v>0</v>
      </c>
      <c r="K60" s="471">
        <f>F60-T32</f>
        <v>0</v>
      </c>
      <c r="M60" s="472"/>
      <c r="AE60" s="381"/>
    </row>
    <row r="61" s="56" customFormat="1" ht="15.65" customHeight="1" spans="1:110">
      <c r="A61" s="473"/>
      <c r="B61" s="474" t="s">
        <v>244</v>
      </c>
      <c r="C61" s="475">
        <f>SUM(C55:C60)</f>
        <v>95603187.02</v>
      </c>
      <c r="D61" s="475">
        <f>SUM(D55:D60)</f>
        <v>16288014.97</v>
      </c>
      <c r="E61" s="475">
        <f>SUM(E55:E60)</f>
        <v>0</v>
      </c>
      <c r="F61" s="475">
        <f>SUM(F55:F60)</f>
        <v>79315172.05</v>
      </c>
      <c r="G61" s="476"/>
      <c r="H61" s="327">
        <f>C61-Z18</f>
        <v>0</v>
      </c>
      <c r="I61" s="469">
        <f>D61-Z24</f>
        <v>2.98023223876953e-8</v>
      </c>
      <c r="J61" s="469">
        <f>E61-Z30</f>
        <v>0</v>
      </c>
      <c r="K61" s="469">
        <f>F61-Z32</f>
        <v>0</v>
      </c>
      <c r="M61" s="472"/>
      <c r="AE61" s="381"/>
    </row>
    <row r="62" s="59" customFormat="1" ht="14.25" spans="1:110">
      <c r="A62" s="79"/>
      <c r="C62" s="477" t="s">
        <v>109</v>
      </c>
      <c r="D62" s="477" t="s">
        <v>109</v>
      </c>
      <c r="E62" s="477" t="s">
        <v>109</v>
      </c>
      <c r="F62" s="477" t="s">
        <v>109</v>
      </c>
      <c r="L62" s="478"/>
      <c r="M62" s="478"/>
      <c r="N62" s="478"/>
      <c r="AD62" s="56"/>
      <c r="AE62" s="381"/>
    </row>
    <row r="63" s="59" customFormat="1" ht="14.25" spans="1:110">
      <c r="A63" s="79"/>
      <c r="C63" s="477"/>
      <c r="D63" s="477"/>
      <c r="E63" s="477"/>
      <c r="F63" s="477"/>
      <c r="L63" s="478"/>
      <c r="M63" s="478"/>
      <c r="N63" s="478"/>
      <c r="AD63" s="56"/>
      <c r="AE63" s="381"/>
    </row>
    <row r="64" s="361" customFormat="1" ht="16.5" spans="1:110">
      <c r="A64" s="449"/>
      <c r="B64" s="479" t="s">
        <v>245</v>
      </c>
      <c r="C64" s="480"/>
      <c r="D64" s="481"/>
      <c r="E64" s="481"/>
      <c r="F64" s="481"/>
      <c r="G64" s="481"/>
      <c r="H64" s="481"/>
      <c r="I64" s="481"/>
      <c r="J64" s="481"/>
      <c r="K64" s="482"/>
      <c r="L64" s="481"/>
      <c r="M64" s="482"/>
      <c r="N64" s="482"/>
      <c r="O64" s="481"/>
      <c r="P64" s="481"/>
      <c r="Q64" s="481"/>
      <c r="R64" s="481"/>
      <c r="S64" s="482"/>
      <c r="T64" s="483"/>
      <c r="X64" s="484"/>
      <c r="Y64" s="485"/>
      <c r="AD64" s="56"/>
      <c r="AE64" s="381"/>
    </row>
    <row r="65" s="56" customFormat="1" ht="14.25" spans="1:31">
      <c r="A65" s="382"/>
      <c r="B65" s="271" t="s">
        <v>246</v>
      </c>
      <c r="C65" s="272"/>
      <c r="D65" s="272"/>
      <c r="E65" s="272"/>
      <c r="F65" s="273"/>
      <c r="G65" s="363"/>
      <c r="H65" s="363"/>
      <c r="I65" s="363"/>
      <c r="J65" s="363"/>
      <c r="K65" s="365"/>
      <c r="L65" s="363"/>
      <c r="M65" s="363"/>
      <c r="N65" s="363"/>
      <c r="O65" s="363"/>
      <c r="AE65" s="381"/>
    </row>
    <row r="66" s="56" customFormat="1" ht="14.25" spans="1:31">
      <c r="A66" s="382"/>
      <c r="B66" s="275"/>
      <c r="C66" s="276"/>
      <c r="D66" s="276"/>
      <c r="E66" s="276"/>
      <c r="F66" s="277"/>
      <c r="G66" s="363"/>
      <c r="H66" s="363"/>
      <c r="I66" s="363"/>
      <c r="J66" s="363"/>
      <c r="K66" s="365"/>
      <c r="L66" s="363"/>
      <c r="M66" s="363"/>
      <c r="N66" s="363"/>
      <c r="O66" s="363"/>
      <c r="AE66" s="381"/>
    </row>
    <row r="67" s="56" customFormat="1" ht="14.25" spans="1:31">
      <c r="A67" s="382"/>
      <c r="B67" s="275"/>
      <c r="C67" s="276"/>
      <c r="D67" s="276"/>
      <c r="E67" s="276"/>
      <c r="F67" s="277"/>
      <c r="G67" s="363"/>
      <c r="H67" s="363"/>
      <c r="I67" s="363"/>
      <c r="J67" s="363"/>
      <c r="K67" s="365"/>
      <c r="L67" s="363"/>
      <c r="M67" s="363"/>
      <c r="N67" s="363"/>
      <c r="O67" s="363"/>
      <c r="AE67" s="381"/>
    </row>
    <row r="68" s="56" customFormat="1" ht="14.25" spans="1:31">
      <c r="A68" s="382"/>
      <c r="B68" s="278"/>
      <c r="C68" s="279"/>
      <c r="D68" s="279"/>
      <c r="E68" s="279"/>
      <c r="F68" s="280"/>
      <c r="G68" s="363"/>
      <c r="H68" s="363"/>
      <c r="I68" s="363"/>
      <c r="J68" s="363"/>
      <c r="K68" s="365"/>
      <c r="L68" s="363"/>
      <c r="M68" s="363"/>
      <c r="N68" s="363"/>
      <c r="O68" s="363"/>
      <c r="AE68" s="381"/>
    </row>
    <row r="69" s="56" customFormat="1" ht="14.25" spans="1:31">
      <c r="A69" s="382"/>
      <c r="B69" s="486"/>
      <c r="C69" s="486"/>
      <c r="D69" s="486"/>
      <c r="E69" s="486"/>
      <c r="F69" s="486"/>
      <c r="G69" s="363"/>
      <c r="H69" s="363"/>
      <c r="I69" s="363"/>
      <c r="J69" s="363"/>
      <c r="K69" s="365"/>
      <c r="L69" s="363"/>
      <c r="M69" s="363"/>
      <c r="N69" s="363"/>
      <c r="O69" s="363"/>
      <c r="AE69" s="381"/>
    </row>
    <row r="70" s="62" customFormat="1" ht="16.5" spans="1:31">
      <c r="A70" s="61"/>
      <c r="B70" s="487" t="s">
        <v>247</v>
      </c>
      <c r="D70" s="488"/>
      <c r="E70" s="488"/>
      <c r="F70" s="488"/>
      <c r="G70" s="489"/>
      <c r="I70" s="490"/>
      <c r="J70" s="489"/>
      <c r="K70" s="489"/>
      <c r="M70" s="489"/>
      <c r="AE70" s="67"/>
    </row>
    <row r="71" s="62" customFormat="1" ht="16.5" spans="1:31">
      <c r="A71" s="61"/>
      <c r="B71" s="491" t="s">
        <v>248</v>
      </c>
      <c r="G71" s="139"/>
      <c r="J71" s="156"/>
      <c r="AE71" s="67"/>
    </row>
    <row r="72" s="62" customFormat="1" ht="16.5" spans="1:31">
      <c r="A72" s="382"/>
      <c r="B72" s="391" t="s">
        <v>249</v>
      </c>
      <c r="C72" s="492"/>
      <c r="D72" s="492"/>
      <c r="E72" s="493"/>
      <c r="F72" s="494"/>
      <c r="G72" s="495"/>
      <c r="I72" s="363"/>
      <c r="J72" s="363"/>
      <c r="K72" s="363"/>
      <c r="L72" s="56"/>
      <c r="M72" s="365"/>
      <c r="N72" s="363"/>
      <c r="P72" s="56"/>
      <c r="Q72" s="56"/>
      <c r="R72" s="56"/>
      <c r="S72" s="56"/>
      <c r="T72" s="56"/>
      <c r="AE72" s="67"/>
    </row>
    <row r="73" s="62" customFormat="1" ht="16.5" spans="1:31">
      <c r="A73" s="382"/>
      <c r="B73" s="496" t="s">
        <v>250</v>
      </c>
      <c r="C73" s="390" t="s">
        <v>251</v>
      </c>
      <c r="D73" s="359" t="s">
        <v>252</v>
      </c>
      <c r="E73" s="359" t="s">
        <v>253</v>
      </c>
      <c r="F73" s="390" t="s">
        <v>254</v>
      </c>
      <c r="G73" s="497"/>
      <c r="I73" s="363"/>
      <c r="J73" s="363"/>
      <c r="K73" s="363"/>
      <c r="L73" s="56"/>
      <c r="M73" s="365"/>
      <c r="N73" s="363"/>
      <c r="P73" s="56"/>
      <c r="Q73" s="56"/>
      <c r="R73" s="56"/>
      <c r="S73" s="56"/>
      <c r="T73" s="56"/>
      <c r="AE73" s="67"/>
    </row>
    <row r="74" s="62" customFormat="1" customHeight="1" spans="1:31">
      <c r="A74" s="382"/>
      <c r="B74" s="498" t="s">
        <v>71</v>
      </c>
      <c r="C74" s="499" t="s">
        <v>255</v>
      </c>
      <c r="D74" s="141" t="s">
        <v>256</v>
      </c>
      <c r="E74" s="384" t="s">
        <v>257</v>
      </c>
      <c r="F74" s="336">
        <v>512164.77</v>
      </c>
      <c r="G74" s="497"/>
      <c r="I74" s="363"/>
      <c r="J74" s="363"/>
      <c r="K74" s="363"/>
      <c r="L74" s="56"/>
      <c r="M74" s="365"/>
      <c r="N74" s="363"/>
      <c r="P74" s="56"/>
      <c r="Q74" s="56"/>
      <c r="R74" s="56"/>
      <c r="S74" s="56"/>
      <c r="T74" s="56"/>
      <c r="AE74" s="67"/>
    </row>
    <row r="75" s="62" customFormat="1" customHeight="1" spans="1:31">
      <c r="A75" s="382"/>
      <c r="B75" s="498" t="s">
        <v>71</v>
      </c>
      <c r="C75" s="499" t="s">
        <v>258</v>
      </c>
      <c r="D75" s="500" t="s">
        <v>259</v>
      </c>
      <c r="E75" s="62" t="s">
        <v>260</v>
      </c>
      <c r="F75" s="336">
        <v>17670.38</v>
      </c>
      <c r="G75" s="497"/>
      <c r="I75" s="363"/>
      <c r="J75" s="363"/>
      <c r="K75" s="363"/>
      <c r="L75" s="56"/>
      <c r="M75" s="365"/>
      <c r="N75" s="363"/>
      <c r="P75" s="56"/>
      <c r="Q75" s="56"/>
      <c r="R75" s="56"/>
      <c r="S75" s="56"/>
      <c r="T75" s="56"/>
      <c r="AE75" s="67"/>
    </row>
    <row r="76" s="62" customFormat="1" customHeight="1" spans="1:31">
      <c r="A76" s="382"/>
      <c r="B76" s="498" t="s">
        <v>71</v>
      </c>
      <c r="C76" s="499" t="s">
        <v>261</v>
      </c>
      <c r="D76" s="500" t="s">
        <v>262</v>
      </c>
      <c r="E76" s="62" t="s">
        <v>263</v>
      </c>
      <c r="F76" s="336">
        <v>2218226.23</v>
      </c>
      <c r="G76" s="497"/>
      <c r="I76" s="363"/>
      <c r="J76" s="363"/>
      <c r="K76" s="363"/>
      <c r="L76" s="56"/>
      <c r="M76" s="365"/>
      <c r="N76" s="363"/>
      <c r="P76" s="56"/>
      <c r="Q76" s="56"/>
      <c r="R76" s="56"/>
      <c r="S76" s="56"/>
      <c r="T76" s="56"/>
      <c r="AE76" s="67"/>
    </row>
    <row r="77" s="62" customFormat="1" customHeight="1" spans="1:31">
      <c r="A77" s="382"/>
      <c r="B77" s="498" t="s">
        <v>71</v>
      </c>
      <c r="C77" s="499" t="s">
        <v>264</v>
      </c>
      <c r="D77" s="500" t="s">
        <v>265</v>
      </c>
      <c r="E77" s="62" t="s">
        <v>266</v>
      </c>
      <c r="F77" s="336">
        <v>722378.85</v>
      </c>
      <c r="G77" s="497"/>
      <c r="I77" s="365"/>
      <c r="J77" s="363"/>
      <c r="K77" s="363"/>
      <c r="L77" s="56"/>
      <c r="M77" s="365"/>
      <c r="N77" s="363"/>
      <c r="P77" s="56"/>
      <c r="Q77" s="56"/>
      <c r="R77" s="56"/>
      <c r="S77" s="56"/>
      <c r="T77" s="56"/>
      <c r="AE77" s="67"/>
    </row>
    <row r="78" s="62" customFormat="1" customHeight="1" spans="1:31">
      <c r="A78" s="382"/>
      <c r="B78" s="501"/>
      <c r="E78" s="62" t="s">
        <v>267</v>
      </c>
      <c r="F78" s="502">
        <f>SUM(F74:F77)</f>
        <v>3470440.23</v>
      </c>
      <c r="G78" s="497"/>
      <c r="I78" s="363"/>
      <c r="J78" s="363"/>
      <c r="K78" s="363"/>
      <c r="L78" s="56"/>
      <c r="M78" s="365"/>
      <c r="N78" s="363"/>
      <c r="P78" s="56"/>
      <c r="Q78" s="56"/>
      <c r="R78" s="56"/>
      <c r="S78" s="56"/>
      <c r="T78" s="56"/>
      <c r="AE78" s="67"/>
    </row>
    <row r="79" s="62" customFormat="1" customHeight="1" spans="1:31">
      <c r="A79" s="382"/>
      <c r="B79" s="503" t="s">
        <v>268</v>
      </c>
      <c r="C79" s="61"/>
      <c r="D79" s="382" t="s">
        <v>89</v>
      </c>
      <c r="E79" s="62" t="s">
        <v>269</v>
      </c>
      <c r="F79" s="504">
        <f>Z20</f>
        <v>3470440.23</v>
      </c>
      <c r="G79" s="497"/>
      <c r="I79" s="363"/>
      <c r="J79" s="363"/>
      <c r="K79" s="363"/>
      <c r="L79" s="56"/>
      <c r="M79" s="365"/>
      <c r="N79" s="363"/>
      <c r="P79" s="56"/>
      <c r="Q79" s="56"/>
      <c r="R79" s="56"/>
      <c r="S79" s="56"/>
      <c r="T79" s="56"/>
      <c r="AE79" s="67"/>
    </row>
    <row r="80" s="62" customFormat="1" ht="17.25" spans="1:31">
      <c r="A80" s="382"/>
      <c r="B80" s="501"/>
      <c r="E80" s="62" t="s">
        <v>270</v>
      </c>
      <c r="F80" s="505">
        <f>F78-F79</f>
        <v>0</v>
      </c>
      <c r="G80" s="497"/>
      <c r="I80" s="363"/>
      <c r="J80" s="363"/>
      <c r="K80" s="363"/>
      <c r="L80" s="56"/>
      <c r="M80" s="365"/>
      <c r="N80" s="363"/>
      <c r="P80" s="56"/>
      <c r="Q80" s="56"/>
      <c r="R80" s="56"/>
      <c r="S80" s="56"/>
      <c r="T80" s="56"/>
      <c r="AE80" s="67"/>
    </row>
    <row r="81" s="62" customFormat="1" ht="13.5" spans="1:31">
      <c r="A81" s="382"/>
      <c r="B81" s="399"/>
      <c r="C81" s="506"/>
      <c r="D81" s="506"/>
      <c r="E81" s="506"/>
      <c r="F81" s="506"/>
      <c r="G81" s="507"/>
      <c r="I81" s="363"/>
      <c r="J81" s="363"/>
      <c r="K81" s="363"/>
      <c r="L81" s="56"/>
      <c r="M81" s="365"/>
      <c r="N81" s="363"/>
      <c r="P81" s="56"/>
      <c r="Q81" s="56"/>
      <c r="R81" s="56"/>
      <c r="S81" s="56"/>
      <c r="T81" s="56"/>
      <c r="AE81" s="67"/>
    </row>
    <row r="82" s="62" customFormat="1" customHeight="1" spans="1:31">
      <c r="A82" s="61"/>
      <c r="F82" s="139"/>
      <c r="I82" s="156"/>
      <c r="AE82" s="67"/>
    </row>
    <row r="83" s="62" customFormat="1" customHeight="1" spans="1:31">
      <c r="A83" s="61"/>
      <c r="B83" s="141" t="s">
        <v>156</v>
      </c>
      <c r="C83" s="142"/>
      <c r="D83" s="508"/>
      <c r="E83" s="508"/>
      <c r="F83" s="508"/>
      <c r="G83" s="508"/>
      <c r="H83" s="508"/>
      <c r="I83" s="508"/>
      <c r="J83" s="144"/>
      <c r="K83" s="508"/>
      <c r="N83" s="145"/>
      <c r="AE83" s="67"/>
    </row>
    <row r="84" s="62" customFormat="1" customHeight="1" spans="1:31">
      <c r="A84" s="61"/>
      <c r="B84" s="509" t="s">
        <v>271</v>
      </c>
      <c r="C84" s="510"/>
      <c r="D84" s="510"/>
      <c r="E84" s="510"/>
      <c r="F84" s="510"/>
      <c r="G84" s="511"/>
      <c r="H84" s="508"/>
      <c r="I84" s="61"/>
      <c r="AE84" s="67"/>
    </row>
    <row r="85" s="62" customFormat="1" customHeight="1" spans="1:31">
      <c r="B85" s="512"/>
      <c r="C85" s="513"/>
      <c r="D85" s="513"/>
      <c r="E85" s="513"/>
      <c r="F85" s="513"/>
      <c r="G85" s="514"/>
      <c r="H85" s="508"/>
      <c r="I85" s="61"/>
      <c r="J85" s="508"/>
      <c r="K85" s="508"/>
      <c r="AE85" s="67"/>
    </row>
    <row r="86" s="62" customFormat="1" customHeight="1" spans="1:31">
      <c r="B86" s="515"/>
      <c r="C86" s="516"/>
      <c r="D86" s="516"/>
      <c r="E86" s="516"/>
      <c r="F86" s="516"/>
      <c r="G86" s="517"/>
      <c r="I86" s="156"/>
      <c r="AE86" s="67"/>
    </row>
    <row r="87" s="56" customFormat="1" ht="15" customHeight="1" spans="1:31">
      <c r="A87" s="382"/>
      <c r="B87" s="363"/>
      <c r="C87" s="363"/>
      <c r="D87" s="363"/>
      <c r="E87" s="363"/>
      <c r="F87" s="364"/>
      <c r="G87" s="363"/>
      <c r="H87" s="363"/>
      <c r="I87" s="363"/>
      <c r="J87" s="363"/>
      <c r="K87" s="365"/>
      <c r="L87" s="363"/>
      <c r="M87" s="363"/>
      <c r="N87" s="363"/>
      <c r="O87" s="363"/>
      <c r="AE87" s="381"/>
    </row>
    <row r="88" ht="7.5" customHeight="1" spans="1:31">
      <c r="A88" s="381"/>
      <c r="B88" s="381"/>
      <c r="C88" s="381"/>
      <c r="D88" s="381"/>
      <c r="E88" s="381"/>
      <c r="F88" s="381"/>
      <c r="G88" s="381"/>
      <c r="H88" s="381"/>
      <c r="I88" s="381"/>
      <c r="J88" s="373"/>
      <c r="K88" s="381"/>
      <c r="L88" s="381"/>
      <c r="M88" s="381"/>
      <c r="N88" s="381"/>
      <c r="O88" s="381"/>
      <c r="P88" s="381"/>
      <c r="Q88" s="381"/>
      <c r="R88" s="381"/>
      <c r="S88" s="381"/>
      <c r="T88" s="381"/>
      <c r="U88" s="381"/>
      <c r="V88" s="381"/>
      <c r="W88" s="381"/>
      <c r="X88" s="381"/>
      <c r="Y88" s="381"/>
      <c r="Z88" s="381"/>
      <c r="AA88" s="381"/>
      <c r="AB88" s="381"/>
      <c r="AC88" s="381"/>
      <c r="AD88" s="381"/>
      <c r="AE88" s="381"/>
    </row>
    <row r="89" ht="22.5" customHeight="1"/>
    <row r="92" customHeight="1" spans="1:31">
      <c r="F92" s="518"/>
    </row>
    <row r="98" customHeight="1" spans="1:16">
      <c r="B98" s="519"/>
      <c r="C98" s="519"/>
      <c r="D98" s="519"/>
      <c r="E98" s="520"/>
      <c r="F98" s="519"/>
      <c r="G98" s="519"/>
      <c r="H98" s="519"/>
      <c r="I98" s="519"/>
      <c r="J98" s="521"/>
      <c r="K98" s="519"/>
      <c r="L98" s="519"/>
      <c r="M98" s="519"/>
    </row>
    <row r="99" customHeight="1" spans="1:16">
      <c r="B99" s="519"/>
      <c r="C99" s="519"/>
      <c r="D99" s="519"/>
      <c r="E99" s="520"/>
      <c r="F99" s="519"/>
      <c r="G99" s="519"/>
      <c r="H99" s="519"/>
      <c r="I99" s="519"/>
      <c r="J99" s="521"/>
      <c r="K99" s="519"/>
      <c r="L99" s="519"/>
      <c r="M99" s="519"/>
    </row>
    <row r="100" customHeight="1" spans="1:16">
      <c r="B100" s="519"/>
      <c r="C100" s="519"/>
      <c r="D100" s="519"/>
      <c r="E100" s="520"/>
      <c r="F100" s="519"/>
      <c r="G100" s="519"/>
      <c r="H100" s="519"/>
      <c r="I100" s="519"/>
      <c r="J100" s="521"/>
      <c r="K100" s="519"/>
      <c r="L100" s="519"/>
      <c r="M100" s="519"/>
    </row>
    <row r="101" customHeight="1" spans="1:16">
      <c r="B101" s="519"/>
      <c r="C101" s="519"/>
      <c r="D101" s="519"/>
      <c r="E101" s="520"/>
      <c r="F101" s="519"/>
      <c r="G101" s="519"/>
      <c r="H101" s="519"/>
      <c r="I101" s="519"/>
      <c r="J101" s="521"/>
      <c r="K101" s="519"/>
      <c r="L101" s="519"/>
      <c r="M101" s="519"/>
    </row>
    <row r="102" customHeight="1" spans="1:16">
      <c r="B102" s="519"/>
      <c r="C102" s="519"/>
      <c r="D102" s="519"/>
      <c r="E102" s="520"/>
      <c r="F102" s="519"/>
      <c r="G102" s="519"/>
      <c r="H102" s="519"/>
      <c r="I102" s="519"/>
      <c r="J102" s="521"/>
      <c r="K102" s="519"/>
      <c r="L102" s="519"/>
      <c r="M102" s="519"/>
    </row>
    <row r="103" customHeight="1" spans="1:16">
      <c r="B103" s="519"/>
      <c r="C103" s="519"/>
      <c r="D103" s="519"/>
      <c r="E103" s="520"/>
      <c r="F103" s="519"/>
      <c r="G103" s="519"/>
      <c r="H103" s="519"/>
      <c r="I103" s="519"/>
      <c r="J103" s="521"/>
      <c r="K103" s="519"/>
      <c r="L103" s="519"/>
      <c r="M103" s="519"/>
    </row>
    <row r="104" customHeight="1" spans="1:16">
      <c r="B104" s="519"/>
      <c r="C104" s="519"/>
      <c r="D104" s="519"/>
      <c r="E104" s="520"/>
      <c r="F104" s="519"/>
      <c r="G104" s="519"/>
      <c r="H104" s="519"/>
      <c r="I104" s="519"/>
      <c r="J104" s="521"/>
      <c r="K104" s="519"/>
      <c r="L104" s="519"/>
      <c r="M104" s="519"/>
    </row>
    <row r="105" customHeight="1" spans="1:16">
      <c r="B105" s="519"/>
      <c r="C105" s="519"/>
      <c r="D105" s="519"/>
      <c r="E105" s="520"/>
      <c r="F105" s="519"/>
      <c r="G105" s="519"/>
      <c r="H105" s="519"/>
      <c r="I105" s="519"/>
      <c r="J105" s="521"/>
      <c r="K105" s="519"/>
      <c r="L105" s="519"/>
      <c r="M105" s="519"/>
    </row>
    <row r="106" customHeight="1" spans="1:16">
      <c r="B106" s="519"/>
      <c r="C106" s="519"/>
      <c r="D106" s="519"/>
      <c r="E106" s="520"/>
      <c r="F106" s="519"/>
      <c r="G106" s="519"/>
      <c r="H106" s="519"/>
      <c r="I106" s="519"/>
      <c r="J106" s="521"/>
      <c r="K106" s="519"/>
      <c r="L106" s="519"/>
      <c r="M106" s="519"/>
    </row>
    <row r="107" customHeight="1" spans="1:16">
      <c r="B107" s="519"/>
      <c r="C107" s="519"/>
      <c r="D107" s="519"/>
      <c r="E107" s="520"/>
      <c r="F107" s="519"/>
      <c r="G107" s="519"/>
      <c r="H107" s="519"/>
      <c r="I107" s="519"/>
      <c r="J107" s="521"/>
      <c r="K107" s="519"/>
      <c r="L107" s="519"/>
      <c r="M107" s="519"/>
    </row>
    <row r="108" s="56" customFormat="1" customHeight="1" spans="1:16">
      <c r="A108" s="382"/>
      <c r="B108" s="522"/>
      <c r="C108" s="519"/>
      <c r="D108" s="519"/>
      <c r="E108" s="519"/>
      <c r="F108" s="520"/>
      <c r="G108" s="519"/>
      <c r="H108" s="519"/>
      <c r="I108" s="519"/>
      <c r="J108" s="519"/>
      <c r="K108" s="521"/>
      <c r="L108" s="519"/>
      <c r="M108" s="519"/>
      <c r="N108" s="519"/>
      <c r="P108" s="363"/>
    </row>
    <row r="118" s="56" customFormat="1" customHeight="1" spans="1:16">
      <c r="A118" s="382"/>
      <c r="C118" s="363"/>
      <c r="D118" s="363"/>
      <c r="E118" s="363"/>
      <c r="F118" s="363"/>
      <c r="G118" s="364"/>
      <c r="H118" s="363"/>
      <c r="I118" s="363"/>
      <c r="J118" s="363"/>
      <c r="K118" s="363"/>
      <c r="L118" s="365"/>
      <c r="M118" s="363"/>
      <c r="N118" s="363"/>
      <c r="O118" s="363"/>
      <c r="P118" s="363"/>
    </row>
    <row r="119" s="56" customFormat="1" customHeight="1" spans="1:16">
      <c r="A119" s="382"/>
      <c r="C119" s="363"/>
      <c r="D119" s="363"/>
      <c r="E119" s="363"/>
      <c r="F119" s="363"/>
      <c r="G119" s="364"/>
      <c r="H119" s="363"/>
      <c r="I119" s="363"/>
      <c r="J119" s="363"/>
      <c r="K119" s="363"/>
      <c r="L119" s="365"/>
      <c r="M119" s="363"/>
      <c r="N119" s="363"/>
      <c r="O119" s="363"/>
      <c r="P119" s="363"/>
    </row>
    <row r="120" s="56" customFormat="1" customHeight="1" spans="1:16">
      <c r="A120" s="382"/>
      <c r="C120" s="363"/>
      <c r="D120" s="363"/>
      <c r="E120" s="363"/>
      <c r="F120" s="363"/>
      <c r="G120" s="364"/>
      <c r="H120" s="363"/>
      <c r="I120" s="363"/>
      <c r="J120" s="363"/>
      <c r="K120" s="363"/>
      <c r="L120" s="365"/>
      <c r="M120" s="363"/>
      <c r="N120" s="363"/>
      <c r="O120" s="363"/>
      <c r="P120" s="363"/>
    </row>
    <row r="121" s="56" customFormat="1" customHeight="1" spans="1:16">
      <c r="A121" s="382"/>
      <c r="C121" s="363"/>
      <c r="D121" s="363"/>
      <c r="E121" s="363"/>
      <c r="F121" s="363"/>
      <c r="G121" s="364"/>
      <c r="H121" s="363"/>
      <c r="I121" s="363"/>
      <c r="J121" s="363"/>
      <c r="K121" s="363"/>
      <c r="L121" s="365"/>
      <c r="M121" s="363"/>
      <c r="N121" s="363"/>
      <c r="O121" s="363"/>
      <c r="P121" s="363"/>
    </row>
    <row r="122" s="56" customFormat="1" customHeight="1" spans="1:16">
      <c r="A122" s="382"/>
      <c r="C122" s="363"/>
      <c r="D122" s="363"/>
      <c r="E122" s="363"/>
      <c r="F122" s="363"/>
      <c r="G122" s="364"/>
      <c r="H122" s="363"/>
      <c r="I122" s="363"/>
      <c r="J122" s="363"/>
      <c r="K122" s="363"/>
      <c r="L122" s="365"/>
      <c r="M122" s="363"/>
      <c r="N122" s="363"/>
      <c r="O122" s="363"/>
      <c r="P122" s="363"/>
    </row>
    <row r="123" s="56" customFormat="1" customHeight="1" spans="1:16">
      <c r="A123" s="382"/>
      <c r="C123" s="363"/>
      <c r="D123" s="363"/>
      <c r="E123" s="363"/>
      <c r="F123" s="363"/>
      <c r="G123" s="364"/>
      <c r="H123" s="363"/>
      <c r="I123" s="363"/>
      <c r="J123" s="363"/>
      <c r="K123" s="363"/>
      <c r="L123" s="365"/>
      <c r="M123" s="363"/>
      <c r="N123" s="363"/>
      <c r="O123" s="363"/>
      <c r="P123" s="363"/>
    </row>
    <row r="124" s="56" customFormat="1" customHeight="1" spans="1:16">
      <c r="A124" s="382"/>
      <c r="C124" s="363"/>
      <c r="D124" s="363"/>
      <c r="E124" s="363"/>
      <c r="F124" s="363"/>
      <c r="G124" s="364"/>
      <c r="H124" s="363"/>
      <c r="I124" s="363"/>
      <c r="J124" s="363"/>
      <c r="K124" s="363"/>
      <c r="L124" s="365"/>
      <c r="M124" s="363"/>
      <c r="N124" s="363"/>
      <c r="O124" s="363"/>
      <c r="P124" s="363"/>
    </row>
    <row r="125" s="56" customFormat="1" customHeight="1" spans="1:16">
      <c r="A125" s="382"/>
      <c r="C125" s="363"/>
      <c r="D125" s="363"/>
      <c r="E125" s="363"/>
      <c r="F125" s="363"/>
      <c r="G125" s="364"/>
      <c r="H125" s="363"/>
      <c r="I125" s="363"/>
      <c r="J125" s="363"/>
      <c r="K125" s="363"/>
      <c r="L125" s="365"/>
      <c r="M125" s="363"/>
      <c r="N125" s="363"/>
      <c r="O125" s="363"/>
      <c r="P125" s="363"/>
    </row>
    <row r="126" s="56" customFormat="1" customHeight="1" spans="1:16">
      <c r="A126" s="382"/>
      <c r="C126" s="363"/>
      <c r="D126" s="363"/>
      <c r="E126" s="363"/>
      <c r="F126" s="363"/>
      <c r="G126" s="364"/>
      <c r="H126" s="363"/>
      <c r="I126" s="363"/>
      <c r="J126" s="363"/>
      <c r="K126" s="363"/>
      <c r="L126" s="365"/>
      <c r="M126" s="363"/>
      <c r="N126" s="363"/>
      <c r="O126" s="363"/>
      <c r="P126" s="363"/>
    </row>
    <row r="127" s="56" customFormat="1" customHeight="1" spans="1:16">
      <c r="A127" s="382"/>
      <c r="C127" s="363"/>
      <c r="D127" s="363"/>
      <c r="E127" s="363"/>
      <c r="F127" s="363"/>
      <c r="G127" s="364"/>
      <c r="H127" s="363"/>
      <c r="I127" s="363"/>
      <c r="J127" s="363"/>
      <c r="K127" s="363"/>
      <c r="L127" s="365"/>
      <c r="M127" s="363"/>
      <c r="N127" s="363"/>
      <c r="O127" s="363"/>
      <c r="P127" s="363"/>
    </row>
    <row r="128" s="56" customFormat="1" customHeight="1" spans="1:16">
      <c r="A128" s="382"/>
      <c r="C128" s="363"/>
      <c r="D128" s="363"/>
      <c r="E128" s="363"/>
      <c r="F128" s="363"/>
      <c r="G128" s="364"/>
      <c r="H128" s="363"/>
      <c r="I128" s="363"/>
      <c r="J128" s="363"/>
      <c r="K128" s="363"/>
      <c r="L128" s="365"/>
      <c r="M128" s="363"/>
      <c r="N128" s="363"/>
      <c r="O128" s="363"/>
      <c r="P128" s="363"/>
    </row>
    <row r="129" s="56" customFormat="1" customHeight="1" spans="1:16">
      <c r="A129" s="382"/>
      <c r="C129" s="363"/>
      <c r="D129" s="363"/>
      <c r="E129" s="363"/>
      <c r="F129" s="363"/>
      <c r="G129" s="364"/>
      <c r="H129" s="363"/>
      <c r="I129" s="363"/>
      <c r="J129" s="363"/>
      <c r="K129" s="363"/>
      <c r="L129" s="365"/>
      <c r="M129" s="363"/>
      <c r="N129" s="363"/>
      <c r="O129" s="363"/>
      <c r="P129" s="363"/>
    </row>
    <row r="130" s="56" customFormat="1" customHeight="1" spans="1:16">
      <c r="A130" s="382"/>
      <c r="C130" s="363"/>
      <c r="D130" s="363"/>
      <c r="E130" s="363"/>
      <c r="F130" s="363"/>
      <c r="G130" s="364"/>
      <c r="H130" s="363"/>
      <c r="I130" s="363"/>
      <c r="J130" s="363"/>
      <c r="K130" s="363"/>
      <c r="L130" s="365"/>
      <c r="M130" s="363"/>
      <c r="N130" s="363"/>
      <c r="O130" s="363"/>
      <c r="P130" s="363"/>
    </row>
    <row r="131" s="56" customFormat="1" customHeight="1" spans="1:16">
      <c r="A131" s="382"/>
      <c r="C131" s="363"/>
      <c r="D131" s="363"/>
      <c r="E131" s="363"/>
      <c r="F131" s="363"/>
      <c r="G131" s="364"/>
      <c r="H131" s="363"/>
      <c r="I131" s="363"/>
      <c r="J131" s="363"/>
      <c r="K131" s="363"/>
      <c r="L131" s="365"/>
      <c r="M131" s="363"/>
      <c r="N131" s="363"/>
      <c r="O131" s="363"/>
      <c r="P131" s="363"/>
    </row>
    <row r="132" s="56" customFormat="1" customHeight="1" spans="1:16">
      <c r="A132" s="382"/>
      <c r="C132" s="363"/>
      <c r="D132" s="363"/>
      <c r="E132" s="363"/>
      <c r="F132" s="363"/>
      <c r="G132" s="364"/>
      <c r="H132" s="363"/>
      <c r="I132" s="363"/>
      <c r="J132" s="363"/>
      <c r="K132" s="363"/>
      <c r="L132" s="365"/>
      <c r="M132" s="363"/>
      <c r="N132" s="363"/>
      <c r="O132" s="363"/>
      <c r="P132" s="363"/>
    </row>
    <row r="133" s="56" customFormat="1" customHeight="1" spans="1:16">
      <c r="A133" s="382"/>
      <c r="C133" s="363"/>
      <c r="D133" s="363"/>
      <c r="E133" s="363"/>
      <c r="F133" s="363"/>
      <c r="G133" s="364"/>
      <c r="H133" s="363"/>
      <c r="I133" s="363"/>
      <c r="J133" s="363"/>
      <c r="K133" s="363"/>
      <c r="L133" s="365"/>
      <c r="M133" s="363"/>
      <c r="N133" s="363"/>
      <c r="O133" s="363"/>
      <c r="P133" s="363"/>
    </row>
    <row r="134" s="56" customFormat="1" customHeight="1" spans="1:16">
      <c r="A134" s="382"/>
      <c r="C134" s="363"/>
      <c r="D134" s="363"/>
      <c r="E134" s="363"/>
      <c r="F134" s="363"/>
      <c r="G134" s="364"/>
      <c r="H134" s="363"/>
      <c r="I134" s="363"/>
      <c r="J134" s="363"/>
      <c r="K134" s="363"/>
      <c r="L134" s="365"/>
      <c r="M134" s="363"/>
      <c r="N134" s="363"/>
      <c r="O134" s="363"/>
      <c r="P134" s="363"/>
    </row>
    <row r="135" s="56" customFormat="1" customHeight="1" spans="1:16">
      <c r="A135" s="382"/>
      <c r="C135" s="363"/>
      <c r="D135" s="363"/>
      <c r="E135" s="363"/>
      <c r="F135" s="363"/>
      <c r="G135" s="364"/>
      <c r="H135" s="363"/>
      <c r="I135" s="363"/>
      <c r="J135" s="363"/>
      <c r="K135" s="363"/>
      <c r="L135" s="365"/>
      <c r="M135" s="363"/>
      <c r="N135" s="363"/>
      <c r="O135" s="363"/>
      <c r="P135" s="363"/>
    </row>
    <row r="136" s="56" customFormat="1" customHeight="1" spans="1:16">
      <c r="A136" s="382"/>
      <c r="C136" s="363"/>
      <c r="D136" s="363"/>
      <c r="E136" s="363"/>
      <c r="F136" s="363"/>
      <c r="G136" s="364"/>
      <c r="H136" s="363"/>
      <c r="I136" s="363"/>
      <c r="J136" s="363"/>
      <c r="K136" s="363"/>
      <c r="L136" s="365"/>
      <c r="M136" s="363"/>
      <c r="N136" s="363"/>
      <c r="O136" s="363"/>
      <c r="P136" s="363"/>
    </row>
    <row r="137" s="56" customFormat="1" customHeight="1" spans="1:16">
      <c r="A137" s="382"/>
      <c r="C137" s="363"/>
      <c r="D137" s="363"/>
      <c r="E137" s="363"/>
      <c r="F137" s="363"/>
      <c r="G137" s="364"/>
      <c r="H137" s="363"/>
      <c r="I137" s="363"/>
      <c r="J137" s="363"/>
      <c r="K137" s="363"/>
      <c r="L137" s="365"/>
      <c r="M137" s="363"/>
      <c r="N137" s="363"/>
      <c r="O137" s="363"/>
      <c r="P137" s="363"/>
    </row>
    <row r="138" s="56" customFormat="1" customHeight="1" spans="1:16">
      <c r="A138" s="382"/>
      <c r="C138" s="363"/>
      <c r="D138" s="363"/>
      <c r="E138" s="363"/>
      <c r="F138" s="363"/>
      <c r="G138" s="364"/>
      <c r="H138" s="363"/>
      <c r="I138" s="363"/>
      <c r="J138" s="363"/>
      <c r="K138" s="363"/>
      <c r="L138" s="365"/>
      <c r="M138" s="363"/>
      <c r="N138" s="363"/>
      <c r="O138" s="363"/>
      <c r="P138" s="363"/>
    </row>
    <row r="139" s="56" customFormat="1" customHeight="1" spans="1:16">
      <c r="A139" s="382"/>
      <c r="C139" s="363"/>
      <c r="D139" s="363"/>
      <c r="E139" s="363"/>
      <c r="F139" s="363"/>
      <c r="G139" s="364"/>
      <c r="H139" s="363"/>
      <c r="I139" s="363"/>
      <c r="J139" s="363"/>
      <c r="K139" s="363"/>
      <c r="L139" s="365"/>
      <c r="M139" s="363"/>
      <c r="N139" s="363"/>
      <c r="O139" s="363"/>
      <c r="P139" s="363"/>
    </row>
    <row r="140" s="56" customFormat="1" customHeight="1" spans="1:16">
      <c r="A140" s="382"/>
      <c r="C140" s="363"/>
      <c r="D140" s="363"/>
      <c r="E140" s="363"/>
      <c r="F140" s="363"/>
      <c r="G140" s="364"/>
      <c r="H140" s="363"/>
      <c r="I140" s="363"/>
      <c r="J140" s="363"/>
      <c r="K140" s="363"/>
      <c r="L140" s="365"/>
      <c r="M140" s="363"/>
      <c r="N140" s="363"/>
      <c r="O140" s="363"/>
      <c r="P140" s="363"/>
    </row>
    <row r="141" s="56" customFormat="1" customHeight="1" spans="1:16">
      <c r="A141" s="382"/>
      <c r="C141" s="363"/>
      <c r="D141" s="363"/>
      <c r="E141" s="363"/>
      <c r="F141" s="363"/>
      <c r="G141" s="364"/>
      <c r="H141" s="363"/>
      <c r="I141" s="363"/>
      <c r="J141" s="363"/>
      <c r="K141" s="363"/>
      <c r="L141" s="365"/>
      <c r="M141" s="363"/>
      <c r="N141" s="363"/>
      <c r="O141" s="363"/>
      <c r="P141" s="363"/>
    </row>
    <row r="142" s="56" customFormat="1" customHeight="1" spans="1:16">
      <c r="A142" s="382"/>
      <c r="C142" s="363"/>
      <c r="D142" s="363"/>
      <c r="E142" s="363"/>
      <c r="F142" s="363"/>
      <c r="G142" s="364"/>
      <c r="H142" s="363"/>
      <c r="I142" s="363"/>
      <c r="J142" s="363"/>
      <c r="K142" s="363"/>
      <c r="L142" s="365"/>
      <c r="M142" s="363"/>
      <c r="N142" s="363"/>
      <c r="O142" s="363"/>
      <c r="P142" s="363"/>
    </row>
    <row r="143" s="56" customFormat="1" customHeight="1" spans="1:16">
      <c r="A143" s="382"/>
      <c r="C143" s="363"/>
      <c r="D143" s="363"/>
      <c r="E143" s="363"/>
      <c r="F143" s="363"/>
      <c r="G143" s="364"/>
      <c r="H143" s="363"/>
      <c r="I143" s="363"/>
      <c r="J143" s="363"/>
      <c r="K143" s="363"/>
      <c r="L143" s="365"/>
      <c r="M143" s="363"/>
      <c r="N143" s="363"/>
      <c r="O143" s="363"/>
      <c r="P143" s="363"/>
    </row>
    <row r="144" s="56" customFormat="1" customHeight="1" spans="1:16">
      <c r="A144" s="382"/>
      <c r="C144" s="363"/>
      <c r="D144" s="363"/>
      <c r="E144" s="363"/>
      <c r="F144" s="363"/>
      <c r="G144" s="364"/>
      <c r="H144" s="363"/>
      <c r="I144" s="363"/>
      <c r="J144" s="363"/>
      <c r="K144" s="363"/>
      <c r="L144" s="365"/>
      <c r="M144" s="363"/>
      <c r="N144" s="363"/>
      <c r="O144" s="363"/>
      <c r="P144" s="363"/>
    </row>
    <row r="145" s="56" customFormat="1" customHeight="1" spans="1:16">
      <c r="A145" s="382"/>
      <c r="C145" s="363"/>
      <c r="D145" s="363"/>
      <c r="E145" s="363"/>
      <c r="F145" s="363"/>
      <c r="G145" s="364"/>
      <c r="H145" s="363"/>
      <c r="I145" s="363"/>
      <c r="J145" s="363"/>
      <c r="K145" s="363"/>
      <c r="L145" s="365"/>
      <c r="M145" s="363"/>
      <c r="N145" s="363"/>
      <c r="O145" s="363"/>
      <c r="P145" s="363"/>
    </row>
    <row r="146" s="56" customFormat="1" customHeight="1" spans="1:16">
      <c r="A146" s="382"/>
      <c r="C146" s="363"/>
      <c r="D146" s="363"/>
      <c r="E146" s="363"/>
      <c r="F146" s="363"/>
      <c r="G146" s="364"/>
      <c r="H146" s="363"/>
      <c r="I146" s="363"/>
      <c r="J146" s="363"/>
      <c r="K146" s="363"/>
      <c r="L146" s="365"/>
      <c r="M146" s="363"/>
      <c r="N146" s="363"/>
      <c r="O146" s="363"/>
      <c r="P146" s="363"/>
    </row>
    <row r="147" s="56" customFormat="1" customHeight="1" spans="1:16">
      <c r="A147" s="382"/>
      <c r="C147" s="363"/>
      <c r="D147" s="363"/>
      <c r="E147" s="363"/>
      <c r="F147" s="363"/>
      <c r="G147" s="364"/>
      <c r="H147" s="363"/>
      <c r="I147" s="363"/>
      <c r="J147" s="363"/>
      <c r="K147" s="363"/>
      <c r="L147" s="365"/>
      <c r="M147" s="363"/>
      <c r="N147" s="363"/>
      <c r="O147" s="363"/>
      <c r="P147" s="363"/>
    </row>
    <row r="148" s="56" customFormat="1" customHeight="1" spans="1:16">
      <c r="A148" s="382"/>
      <c r="C148" s="363"/>
      <c r="D148" s="363"/>
      <c r="E148" s="363"/>
      <c r="F148" s="363"/>
      <c r="G148" s="364"/>
      <c r="H148" s="363"/>
      <c r="I148" s="363"/>
      <c r="J148" s="363"/>
      <c r="K148" s="363"/>
      <c r="L148" s="365"/>
      <c r="M148" s="363"/>
      <c r="N148" s="363"/>
      <c r="O148" s="363"/>
      <c r="P148" s="363"/>
    </row>
    <row r="149" s="56" customFormat="1" customHeight="1" spans="1:16">
      <c r="A149" s="382"/>
      <c r="C149" s="363"/>
      <c r="D149" s="363"/>
      <c r="E149" s="363"/>
      <c r="F149" s="363"/>
      <c r="G149" s="364"/>
      <c r="H149" s="363"/>
      <c r="I149" s="363"/>
      <c r="J149" s="363"/>
      <c r="K149" s="363"/>
      <c r="L149" s="365"/>
      <c r="M149" s="363"/>
      <c r="N149" s="363"/>
      <c r="O149" s="363"/>
      <c r="P149" s="363"/>
    </row>
    <row r="150" s="56" customFormat="1" customHeight="1" spans="1:16">
      <c r="A150" s="382"/>
      <c r="C150" s="363"/>
      <c r="D150" s="363"/>
      <c r="E150" s="363"/>
      <c r="F150" s="363"/>
      <c r="G150" s="364"/>
      <c r="H150" s="363"/>
      <c r="I150" s="363"/>
      <c r="J150" s="363"/>
      <c r="K150" s="363"/>
      <c r="L150" s="365"/>
      <c r="M150" s="363"/>
      <c r="N150" s="363"/>
      <c r="O150" s="363"/>
      <c r="P150" s="363"/>
    </row>
    <row r="151" s="56" customFormat="1" customHeight="1" spans="1:16">
      <c r="A151" s="382"/>
      <c r="C151" s="363"/>
      <c r="D151" s="363"/>
      <c r="E151" s="363"/>
      <c r="F151" s="363"/>
      <c r="G151" s="364"/>
      <c r="H151" s="363"/>
      <c r="I151" s="363"/>
      <c r="J151" s="363"/>
      <c r="K151" s="363"/>
      <c r="L151" s="365"/>
      <c r="M151" s="363"/>
      <c r="N151" s="363"/>
      <c r="O151" s="363"/>
      <c r="P151" s="363"/>
    </row>
    <row r="152" s="56" customFormat="1" customHeight="1" spans="1:16">
      <c r="A152" s="382"/>
      <c r="C152" s="363"/>
      <c r="D152" s="363"/>
      <c r="E152" s="363"/>
      <c r="F152" s="363"/>
      <c r="G152" s="364"/>
      <c r="H152" s="363"/>
      <c r="I152" s="363"/>
      <c r="J152" s="363"/>
      <c r="K152" s="363"/>
      <c r="L152" s="365"/>
      <c r="M152" s="363"/>
      <c r="N152" s="363"/>
      <c r="O152" s="363"/>
      <c r="P152" s="363"/>
    </row>
    <row r="153" s="56" customFormat="1" customHeight="1" spans="1:16">
      <c r="A153" s="382"/>
      <c r="C153" s="363"/>
      <c r="D153" s="363"/>
      <c r="E153" s="363"/>
      <c r="F153" s="363"/>
      <c r="G153" s="364"/>
      <c r="H153" s="363"/>
      <c r="I153" s="363"/>
      <c r="J153" s="363"/>
      <c r="K153" s="363"/>
      <c r="L153" s="365"/>
      <c r="M153" s="363"/>
      <c r="N153" s="363"/>
      <c r="O153" s="363"/>
      <c r="P153" s="363"/>
    </row>
    <row r="154" s="56" customFormat="1" customHeight="1" spans="1:16">
      <c r="A154" s="382"/>
      <c r="C154" s="363"/>
      <c r="D154" s="363"/>
      <c r="E154" s="363"/>
      <c r="F154" s="363"/>
      <c r="G154" s="364"/>
      <c r="H154" s="363"/>
      <c r="I154" s="363"/>
      <c r="J154" s="363"/>
      <c r="K154" s="363"/>
      <c r="L154" s="365"/>
      <c r="M154" s="363"/>
      <c r="N154" s="363"/>
      <c r="O154" s="363"/>
      <c r="P154" s="363"/>
    </row>
    <row r="155" s="56" customFormat="1" customHeight="1" spans="1:16">
      <c r="A155" s="382"/>
      <c r="C155" s="363"/>
      <c r="D155" s="363"/>
      <c r="E155" s="363"/>
      <c r="F155" s="363"/>
      <c r="G155" s="364"/>
      <c r="H155" s="363"/>
      <c r="I155" s="363"/>
      <c r="J155" s="363"/>
      <c r="K155" s="363"/>
      <c r="L155" s="365"/>
      <c r="M155" s="363"/>
      <c r="N155" s="363"/>
      <c r="O155" s="363"/>
      <c r="P155" s="363"/>
    </row>
    <row r="156" s="56" customFormat="1" customHeight="1" spans="1:16">
      <c r="A156" s="382"/>
      <c r="C156" s="363"/>
      <c r="D156" s="363"/>
      <c r="E156" s="363"/>
      <c r="F156" s="363"/>
      <c r="G156" s="364"/>
      <c r="H156" s="363"/>
      <c r="I156" s="363"/>
      <c r="J156" s="363"/>
      <c r="K156" s="363"/>
      <c r="L156" s="365"/>
      <c r="M156" s="363"/>
      <c r="N156" s="363"/>
      <c r="O156" s="363"/>
      <c r="P156" s="363"/>
    </row>
    <row r="157" s="56" customFormat="1" customHeight="1" spans="1:16">
      <c r="A157" s="382"/>
      <c r="C157" s="363"/>
      <c r="D157" s="363"/>
      <c r="E157" s="363"/>
      <c r="F157" s="363"/>
      <c r="G157" s="364"/>
      <c r="H157" s="363"/>
      <c r="I157" s="363"/>
      <c r="J157" s="363"/>
      <c r="K157" s="363"/>
      <c r="L157" s="365"/>
      <c r="M157" s="363"/>
      <c r="N157" s="363"/>
      <c r="O157" s="363"/>
      <c r="P157" s="363"/>
    </row>
    <row r="158" s="56" customFormat="1" customHeight="1" spans="1:16">
      <c r="A158" s="382"/>
      <c r="C158" s="363"/>
      <c r="D158" s="363"/>
      <c r="E158" s="363"/>
      <c r="F158" s="363"/>
      <c r="G158" s="364"/>
      <c r="H158" s="363"/>
      <c r="I158" s="363"/>
      <c r="J158" s="363"/>
      <c r="K158" s="363"/>
      <c r="L158" s="365"/>
      <c r="M158" s="363"/>
      <c r="N158" s="363"/>
      <c r="O158" s="363"/>
      <c r="P158" s="363"/>
    </row>
    <row r="159" s="56" customFormat="1" customHeight="1" spans="1:16">
      <c r="A159" s="382"/>
      <c r="C159" s="363"/>
      <c r="D159" s="363"/>
      <c r="E159" s="363"/>
      <c r="F159" s="363"/>
      <c r="G159" s="364"/>
      <c r="H159" s="363"/>
      <c r="I159" s="363"/>
      <c r="J159" s="363"/>
      <c r="K159" s="363"/>
      <c r="L159" s="365"/>
      <c r="M159" s="363"/>
      <c r="N159" s="363"/>
      <c r="O159" s="363"/>
      <c r="P159" s="363"/>
    </row>
    <row r="160" s="56" customFormat="1" customHeight="1" spans="1:16">
      <c r="A160" s="382"/>
      <c r="C160" s="363"/>
      <c r="D160" s="363"/>
      <c r="E160" s="363"/>
      <c r="F160" s="363"/>
      <c r="G160" s="364"/>
      <c r="H160" s="363"/>
      <c r="I160" s="363"/>
      <c r="J160" s="363"/>
      <c r="K160" s="363"/>
      <c r="L160" s="365"/>
      <c r="M160" s="363"/>
      <c r="N160" s="363"/>
      <c r="O160" s="363"/>
      <c r="P160" s="363"/>
    </row>
    <row r="161" s="56" customFormat="1" customHeight="1" spans="1:16">
      <c r="A161" s="382"/>
      <c r="C161" s="363"/>
      <c r="D161" s="363"/>
      <c r="E161" s="363"/>
      <c r="F161" s="363"/>
      <c r="G161" s="364"/>
      <c r="H161" s="363"/>
      <c r="I161" s="363"/>
      <c r="J161" s="363"/>
      <c r="K161" s="363"/>
      <c r="L161" s="365"/>
      <c r="M161" s="363"/>
      <c r="N161" s="363"/>
      <c r="O161" s="363"/>
      <c r="P161" s="363"/>
    </row>
    <row r="162" s="56" customFormat="1" customHeight="1" spans="1:16">
      <c r="A162" s="382"/>
      <c r="C162" s="363"/>
      <c r="D162" s="363"/>
      <c r="E162" s="363"/>
      <c r="F162" s="363"/>
      <c r="G162" s="364"/>
      <c r="H162" s="363"/>
      <c r="I162" s="363"/>
      <c r="J162" s="363"/>
      <c r="K162" s="363"/>
      <c r="L162" s="365"/>
      <c r="M162" s="363"/>
      <c r="N162" s="363"/>
      <c r="O162" s="363"/>
      <c r="P162" s="363"/>
    </row>
    <row r="163" s="56" customFormat="1" customHeight="1" spans="1:16">
      <c r="A163" s="382"/>
      <c r="C163" s="363"/>
      <c r="D163" s="363"/>
      <c r="E163" s="363"/>
      <c r="F163" s="363"/>
      <c r="G163" s="364"/>
      <c r="H163" s="363"/>
      <c r="I163" s="363"/>
      <c r="J163" s="363"/>
      <c r="K163" s="363"/>
      <c r="L163" s="365"/>
      <c r="M163" s="363"/>
      <c r="N163" s="363"/>
      <c r="O163" s="363"/>
      <c r="P163" s="363"/>
    </row>
    <row r="164" s="56" customFormat="1" customHeight="1" spans="1:16">
      <c r="A164" s="382"/>
      <c r="C164" s="363"/>
      <c r="D164" s="363"/>
      <c r="E164" s="363"/>
      <c r="F164" s="363"/>
      <c r="G164" s="364"/>
      <c r="H164" s="363"/>
      <c r="I164" s="363"/>
      <c r="J164" s="363"/>
      <c r="K164" s="363"/>
      <c r="L164" s="365"/>
      <c r="M164" s="363"/>
      <c r="N164" s="363"/>
      <c r="O164" s="363"/>
      <c r="P164" s="363"/>
    </row>
    <row r="165" s="56" customFormat="1" customHeight="1" spans="1:16">
      <c r="A165" s="382"/>
      <c r="C165" s="363"/>
      <c r="D165" s="363"/>
      <c r="E165" s="363"/>
      <c r="F165" s="363"/>
      <c r="G165" s="364"/>
      <c r="H165" s="363"/>
      <c r="I165" s="363"/>
      <c r="J165" s="363"/>
      <c r="K165" s="363"/>
      <c r="L165" s="365"/>
      <c r="M165" s="363"/>
      <c r="N165" s="363"/>
      <c r="O165" s="363"/>
      <c r="P165" s="363"/>
    </row>
    <row r="166" s="56" customFormat="1" customHeight="1" spans="1:16">
      <c r="A166" s="382"/>
      <c r="C166" s="363"/>
      <c r="D166" s="363"/>
      <c r="E166" s="363"/>
      <c r="F166" s="363"/>
      <c r="G166" s="364"/>
      <c r="H166" s="363"/>
      <c r="I166" s="363"/>
      <c r="J166" s="363"/>
      <c r="K166" s="363"/>
      <c r="L166" s="365"/>
      <c r="M166" s="363"/>
      <c r="N166" s="363"/>
      <c r="O166" s="363"/>
      <c r="P166" s="363"/>
    </row>
    <row r="167" s="56" customFormat="1" customHeight="1" spans="1:16">
      <c r="A167" s="382"/>
      <c r="C167" s="363"/>
      <c r="D167" s="363"/>
      <c r="E167" s="363"/>
      <c r="F167" s="363"/>
      <c r="G167" s="364"/>
      <c r="H167" s="363"/>
      <c r="I167" s="363"/>
      <c r="J167" s="363"/>
      <c r="K167" s="363"/>
      <c r="L167" s="365"/>
      <c r="M167" s="363"/>
      <c r="N167" s="363"/>
      <c r="O167" s="363"/>
      <c r="P167" s="363"/>
    </row>
    <row r="168" s="56" customFormat="1" customHeight="1" spans="1:16">
      <c r="A168" s="382"/>
      <c r="C168" s="363"/>
      <c r="D168" s="363"/>
      <c r="E168" s="363"/>
      <c r="F168" s="363"/>
      <c r="G168" s="364"/>
      <c r="H168" s="363"/>
      <c r="I168" s="363"/>
      <c r="J168" s="363"/>
      <c r="K168" s="363"/>
      <c r="L168" s="365"/>
      <c r="M168" s="363"/>
      <c r="N168" s="363"/>
      <c r="O168" s="363"/>
      <c r="P168" s="363"/>
    </row>
    <row r="169" s="56" customFormat="1" customHeight="1" spans="1:16">
      <c r="A169" s="382"/>
      <c r="C169" s="363"/>
      <c r="D169" s="363"/>
      <c r="E169" s="363"/>
      <c r="F169" s="363"/>
      <c r="G169" s="364"/>
      <c r="H169" s="363"/>
      <c r="I169" s="363"/>
      <c r="J169" s="363"/>
      <c r="K169" s="363"/>
      <c r="L169" s="365"/>
      <c r="M169" s="363"/>
      <c r="N169" s="363"/>
      <c r="O169" s="363"/>
      <c r="P169" s="363"/>
    </row>
    <row r="170" s="56" customFormat="1" customHeight="1" spans="1:16">
      <c r="A170" s="382"/>
      <c r="C170" s="363"/>
      <c r="D170" s="363"/>
      <c r="E170" s="363"/>
      <c r="F170" s="363"/>
      <c r="G170" s="364"/>
      <c r="H170" s="363"/>
      <c r="I170" s="363"/>
      <c r="J170" s="363"/>
      <c r="K170" s="363"/>
      <c r="L170" s="365"/>
      <c r="M170" s="363"/>
      <c r="N170" s="363"/>
      <c r="O170" s="363"/>
      <c r="P170" s="363"/>
    </row>
    <row r="171" s="56" customFormat="1" customHeight="1" spans="1:16">
      <c r="A171" s="382"/>
      <c r="C171" s="363"/>
      <c r="D171" s="363"/>
      <c r="E171" s="363"/>
      <c r="F171" s="363"/>
      <c r="G171" s="364"/>
      <c r="H171" s="363"/>
      <c r="I171" s="363"/>
      <c r="J171" s="363"/>
      <c r="K171" s="363"/>
      <c r="L171" s="365"/>
      <c r="M171" s="363"/>
      <c r="N171" s="363"/>
      <c r="O171" s="363"/>
      <c r="P171" s="363"/>
    </row>
    <row r="172" s="56" customFormat="1" customHeight="1" spans="1:16">
      <c r="A172" s="382"/>
      <c r="C172" s="363"/>
      <c r="D172" s="363"/>
      <c r="E172" s="363"/>
      <c r="F172" s="363"/>
      <c r="G172" s="364"/>
      <c r="H172" s="363"/>
      <c r="I172" s="363"/>
      <c r="J172" s="363"/>
      <c r="K172" s="363"/>
      <c r="L172" s="365"/>
      <c r="M172" s="363"/>
      <c r="N172" s="363"/>
      <c r="O172" s="363"/>
      <c r="P172" s="363"/>
    </row>
    <row r="173" s="56" customFormat="1" customHeight="1" spans="1:16">
      <c r="A173" s="382"/>
      <c r="C173" s="363"/>
      <c r="D173" s="363"/>
      <c r="E173" s="363"/>
      <c r="F173" s="363"/>
      <c r="G173" s="364"/>
      <c r="H173" s="363"/>
      <c r="I173" s="363"/>
      <c r="J173" s="363"/>
      <c r="K173" s="363"/>
      <c r="L173" s="365"/>
      <c r="M173" s="363"/>
      <c r="N173" s="363"/>
      <c r="O173" s="363"/>
      <c r="P173" s="363"/>
    </row>
    <row r="174" s="56" customFormat="1" customHeight="1" spans="1:16">
      <c r="A174" s="382"/>
      <c r="C174" s="363"/>
      <c r="D174" s="363"/>
      <c r="E174" s="363"/>
      <c r="F174" s="363"/>
      <c r="G174" s="364"/>
      <c r="H174" s="363"/>
      <c r="I174" s="363"/>
      <c r="J174" s="363"/>
      <c r="K174" s="363"/>
      <c r="L174" s="365"/>
      <c r="M174" s="363"/>
      <c r="N174" s="363"/>
      <c r="O174" s="363"/>
      <c r="P174" s="363"/>
    </row>
    <row r="175" s="56" customFormat="1" customHeight="1" spans="1:16">
      <c r="A175" s="382"/>
      <c r="C175" s="363"/>
      <c r="D175" s="363"/>
      <c r="E175" s="363"/>
      <c r="F175" s="363"/>
      <c r="G175" s="364"/>
      <c r="H175" s="363"/>
      <c r="I175" s="363"/>
      <c r="J175" s="363"/>
      <c r="K175" s="363"/>
      <c r="L175" s="365"/>
      <c r="M175" s="363"/>
      <c r="N175" s="363"/>
      <c r="O175" s="363"/>
      <c r="P175" s="363"/>
    </row>
    <row r="176" s="56" customFormat="1" customHeight="1" spans="1:16">
      <c r="A176" s="382"/>
      <c r="C176" s="363"/>
      <c r="D176" s="363"/>
      <c r="E176" s="363"/>
      <c r="F176" s="363"/>
      <c r="G176" s="364"/>
      <c r="H176" s="363"/>
      <c r="I176" s="363"/>
      <c r="J176" s="363"/>
      <c r="K176" s="363"/>
      <c r="L176" s="365"/>
      <c r="M176" s="363"/>
      <c r="N176" s="363"/>
      <c r="O176" s="363"/>
      <c r="P176" s="363"/>
    </row>
    <row r="177" s="56" customFormat="1" customHeight="1" spans="1:19">
      <c r="A177" s="382"/>
      <c r="C177" s="363"/>
      <c r="D177" s="363"/>
      <c r="E177" s="363"/>
      <c r="F177" s="363"/>
      <c r="G177" s="364"/>
      <c r="H177" s="363"/>
      <c r="I177" s="363"/>
      <c r="J177" s="363"/>
      <c r="K177" s="363"/>
      <c r="L177" s="365"/>
      <c r="M177" s="363"/>
      <c r="N177" s="363"/>
      <c r="O177" s="363"/>
      <c r="P177" s="363"/>
      <c r="Q177" s="363"/>
      <c r="R177" s="363"/>
      <c r="S177" s="363"/>
    </row>
    <row r="178" s="56" customFormat="1" customHeight="1" spans="1:19">
      <c r="A178" s="382"/>
      <c r="C178" s="363"/>
      <c r="D178" s="363"/>
      <c r="E178" s="363"/>
      <c r="F178" s="363"/>
      <c r="G178" s="364"/>
      <c r="H178" s="363"/>
      <c r="I178" s="363"/>
      <c r="J178" s="363"/>
      <c r="K178" s="363"/>
      <c r="L178" s="365"/>
      <c r="M178" s="363"/>
      <c r="N178" s="363"/>
      <c r="O178" s="363"/>
      <c r="P178" s="363"/>
      <c r="Q178" s="363"/>
      <c r="R178" s="363"/>
      <c r="S178" s="363"/>
    </row>
    <row r="179" s="56" customFormat="1" customHeight="1" spans="1:19">
      <c r="A179" s="382"/>
      <c r="C179" s="363"/>
      <c r="D179" s="363"/>
      <c r="E179" s="363"/>
      <c r="F179" s="363"/>
      <c r="G179" s="364"/>
      <c r="H179" s="363"/>
      <c r="I179" s="363"/>
      <c r="J179" s="363"/>
      <c r="K179" s="363"/>
      <c r="L179" s="365"/>
      <c r="M179" s="363"/>
      <c r="N179" s="363"/>
      <c r="O179" s="363"/>
      <c r="P179" s="363"/>
      <c r="Q179" s="363"/>
      <c r="R179" s="363"/>
      <c r="S179" s="363"/>
    </row>
    <row r="180" s="56" customFormat="1" customHeight="1" spans="1:19">
      <c r="A180" s="382"/>
      <c r="B180" s="363"/>
      <c r="C180" s="363"/>
      <c r="D180" s="363"/>
      <c r="E180" s="363"/>
      <c r="F180" s="363"/>
      <c r="G180" s="364"/>
      <c r="H180" s="363"/>
      <c r="I180" s="363"/>
      <c r="J180" s="363"/>
      <c r="K180" s="363"/>
      <c r="L180" s="365"/>
      <c r="M180" s="363"/>
      <c r="N180" s="363"/>
      <c r="O180" s="363"/>
      <c r="P180" s="363"/>
      <c r="Q180" s="363"/>
      <c r="R180" s="363"/>
      <c r="S180" s="363"/>
    </row>
    <row r="181" s="56" customFormat="1" customHeight="1" spans="1:19">
      <c r="A181" s="382"/>
      <c r="B181" s="363"/>
      <c r="C181" s="363"/>
      <c r="D181" s="363"/>
      <c r="E181" s="363"/>
      <c r="F181" s="363"/>
      <c r="G181" s="364"/>
      <c r="H181" s="363"/>
      <c r="I181" s="363"/>
      <c r="J181" s="363"/>
      <c r="K181" s="363"/>
      <c r="L181" s="365"/>
      <c r="M181" s="363"/>
      <c r="N181" s="363"/>
      <c r="O181" s="363"/>
      <c r="P181" s="363"/>
      <c r="Q181" s="363"/>
      <c r="R181" s="363"/>
      <c r="S181" s="363"/>
    </row>
    <row r="182" s="56" customFormat="1" customHeight="1" spans="1:19">
      <c r="A182" s="382"/>
      <c r="B182" s="363"/>
      <c r="C182" s="363"/>
      <c r="D182" s="363"/>
      <c r="E182" s="363"/>
      <c r="F182" s="363"/>
      <c r="G182" s="364"/>
      <c r="H182" s="363"/>
      <c r="I182" s="363"/>
      <c r="J182" s="363"/>
      <c r="K182" s="363"/>
      <c r="L182" s="365"/>
      <c r="M182" s="363"/>
      <c r="N182" s="363"/>
      <c r="O182" s="363"/>
      <c r="P182" s="363"/>
      <c r="Q182" s="363"/>
      <c r="R182" s="363"/>
      <c r="S182" s="363"/>
    </row>
    <row r="183" s="56" customFormat="1" customHeight="1" spans="1:19">
      <c r="A183" s="382"/>
      <c r="B183" s="363"/>
      <c r="C183" s="363"/>
      <c r="D183" s="363"/>
      <c r="E183" s="363"/>
      <c r="F183" s="363"/>
      <c r="G183" s="364"/>
      <c r="H183" s="363"/>
      <c r="I183" s="363"/>
      <c r="J183" s="363"/>
      <c r="K183" s="363"/>
      <c r="L183" s="365"/>
      <c r="M183" s="363"/>
      <c r="N183" s="363"/>
      <c r="O183" s="363"/>
      <c r="P183" s="363"/>
      <c r="Q183" s="363"/>
      <c r="R183" s="363"/>
      <c r="S183" s="363"/>
    </row>
    <row r="184" s="56" customFormat="1" customHeight="1" spans="1:19">
      <c r="A184" s="382"/>
      <c r="B184" s="363"/>
      <c r="C184" s="363"/>
      <c r="D184" s="363"/>
      <c r="E184" s="363"/>
      <c r="F184" s="363"/>
      <c r="G184" s="364"/>
      <c r="H184" s="363"/>
      <c r="I184" s="363"/>
      <c r="J184" s="363"/>
      <c r="K184" s="363"/>
      <c r="L184" s="365"/>
      <c r="M184" s="363"/>
      <c r="N184" s="363"/>
      <c r="O184" s="363"/>
      <c r="P184" s="363"/>
      <c r="Q184" s="363"/>
      <c r="R184" s="363"/>
      <c r="S184" s="363"/>
    </row>
    <row r="185" s="56" customFormat="1" customHeight="1" spans="1:19">
      <c r="A185" s="382"/>
      <c r="B185" s="363"/>
      <c r="C185" s="363"/>
      <c r="D185" s="363"/>
      <c r="E185" s="363"/>
      <c r="F185" s="363"/>
      <c r="G185" s="364"/>
      <c r="H185" s="363"/>
      <c r="I185" s="363"/>
      <c r="J185" s="363"/>
      <c r="K185" s="363"/>
      <c r="L185" s="365"/>
      <c r="M185" s="363"/>
      <c r="N185" s="363"/>
      <c r="O185" s="363"/>
      <c r="P185" s="363"/>
      <c r="Q185" s="363"/>
      <c r="R185" s="363"/>
      <c r="S185" s="363"/>
    </row>
    <row r="186" s="56" customFormat="1" customHeight="1" spans="1:19">
      <c r="A186" s="382"/>
      <c r="B186" s="363"/>
      <c r="C186" s="363"/>
      <c r="D186" s="363"/>
      <c r="E186" s="363"/>
      <c r="F186" s="363"/>
      <c r="G186" s="364"/>
      <c r="H186" s="363"/>
      <c r="I186" s="363"/>
      <c r="J186" s="363"/>
      <c r="K186" s="363"/>
      <c r="L186" s="365"/>
      <c r="M186" s="363"/>
      <c r="N186" s="363"/>
      <c r="O186" s="363"/>
      <c r="P186" s="363"/>
      <c r="Q186" s="363"/>
      <c r="R186" s="363"/>
      <c r="S186" s="363"/>
    </row>
    <row r="187" s="56" customFormat="1" customHeight="1" spans="1:19">
      <c r="A187" s="382"/>
      <c r="B187" s="363"/>
      <c r="C187" s="363"/>
      <c r="D187" s="363"/>
      <c r="E187" s="363"/>
      <c r="F187" s="363"/>
      <c r="G187" s="364"/>
      <c r="H187" s="363"/>
      <c r="I187" s="363"/>
      <c r="J187" s="363"/>
      <c r="K187" s="363"/>
      <c r="L187" s="365"/>
      <c r="M187" s="363"/>
      <c r="N187" s="363"/>
      <c r="O187" s="363"/>
      <c r="P187" s="363"/>
      <c r="Q187" s="363"/>
      <c r="R187" s="363"/>
      <c r="S187" s="363"/>
    </row>
    <row r="188" s="56" customFormat="1" customHeight="1" spans="1:19">
      <c r="A188" s="382"/>
      <c r="B188" s="363"/>
      <c r="C188" s="363"/>
      <c r="D188" s="363"/>
      <c r="E188" s="363"/>
      <c r="F188" s="363"/>
      <c r="G188" s="364"/>
      <c r="H188" s="363"/>
      <c r="I188" s="363"/>
      <c r="J188" s="363"/>
      <c r="K188" s="363"/>
      <c r="L188" s="365"/>
      <c r="M188" s="363"/>
      <c r="N188" s="363"/>
      <c r="O188" s="363"/>
      <c r="P188" s="363"/>
      <c r="Q188" s="363"/>
      <c r="R188" s="363"/>
      <c r="S188" s="363"/>
    </row>
    <row r="189" s="56" customFormat="1" customHeight="1" spans="1:19">
      <c r="A189" s="382"/>
      <c r="B189" s="363"/>
      <c r="C189" s="363"/>
      <c r="D189" s="363"/>
      <c r="E189" s="363"/>
      <c r="F189" s="363"/>
      <c r="G189" s="364"/>
      <c r="H189" s="363"/>
      <c r="I189" s="363"/>
      <c r="J189" s="363"/>
      <c r="K189" s="363"/>
      <c r="L189" s="365"/>
      <c r="M189" s="363"/>
      <c r="N189" s="363"/>
      <c r="O189" s="363"/>
      <c r="P189" s="363"/>
      <c r="Q189" s="363"/>
      <c r="R189" s="363"/>
      <c r="S189" s="363"/>
    </row>
    <row r="190" s="56" customFormat="1" customHeight="1" spans="1:19">
      <c r="A190" s="382"/>
      <c r="B190" s="363"/>
      <c r="C190" s="363"/>
      <c r="D190" s="363"/>
      <c r="E190" s="363"/>
      <c r="F190" s="363"/>
      <c r="G190" s="364"/>
      <c r="H190" s="363"/>
      <c r="I190" s="363"/>
      <c r="J190" s="363"/>
      <c r="K190" s="363"/>
      <c r="L190" s="365"/>
      <c r="M190" s="363"/>
      <c r="N190" s="363"/>
      <c r="O190" s="363"/>
      <c r="P190" s="363"/>
      <c r="Q190" s="363"/>
      <c r="R190" s="363"/>
      <c r="S190" s="363"/>
    </row>
  </sheetData>
  <mergeCells count="5">
    <mergeCell ref="Z9:AB9"/>
    <mergeCell ref="H53:K53"/>
    <mergeCell ref="B33:B40"/>
    <mergeCell ref="B65:F68"/>
    <mergeCell ref="B84:G86"/>
  </mergeCells>
  <conditionalFormatting sqref="E42">
    <cfRule type="containsBlanks" dxfId="1" priority="48">
      <formula>LEN(TRIM(E42))=0</formula>
    </cfRule>
  </conditionalFormatting>
  <conditionalFormatting sqref="H42">
    <cfRule type="containsBlanks" dxfId="1" priority="42">
      <formula>LEN(TRIM(H42))=0</formula>
    </cfRule>
  </conditionalFormatting>
  <conditionalFormatting sqref="K42">
    <cfRule type="containsBlanks" dxfId="1" priority="38">
      <formula>LEN(TRIM(K42))=0</formula>
    </cfRule>
  </conditionalFormatting>
  <conditionalFormatting sqref="N42">
    <cfRule type="containsBlanks" dxfId="1" priority="34">
      <formula>LEN(TRIM(N42))=0</formula>
    </cfRule>
  </conditionalFormatting>
  <conditionalFormatting sqref="Q42">
    <cfRule type="containsBlanks" dxfId="1" priority="30">
      <formula>LEN(TRIM(Q42))=0</formula>
    </cfRule>
  </conditionalFormatting>
  <conditionalFormatting sqref="T42">
    <cfRule type="containsBlanks" dxfId="1" priority="26">
      <formula>LEN(TRIM(T42))=0</formula>
    </cfRule>
  </conditionalFormatting>
  <conditionalFormatting sqref="W42">
    <cfRule type="containsBlanks" dxfId="1" priority="22">
      <formula>LEN(TRIM(W42))=0</formula>
    </cfRule>
  </conditionalFormatting>
  <conditionalFormatting sqref="Z42">
    <cfRule type="containsBlanks" dxfId="1" priority="18">
      <formula>LEN(TRIM(Z42))=0</formula>
    </cfRule>
  </conditionalFormatting>
  <conditionalFormatting sqref="E44">
    <cfRule type="containsBlanks" dxfId="1" priority="45">
      <formula>LEN(TRIM(E44))=0</formula>
    </cfRule>
  </conditionalFormatting>
  <conditionalFormatting sqref="H44">
    <cfRule type="containsBlanks" dxfId="1" priority="41">
      <formula>LEN(TRIM(H44))=0</formula>
    </cfRule>
  </conditionalFormatting>
  <conditionalFormatting sqref="K44">
    <cfRule type="containsBlanks" dxfId="1" priority="37">
      <formula>LEN(TRIM(K44))=0</formula>
    </cfRule>
  </conditionalFormatting>
  <conditionalFormatting sqref="N44">
    <cfRule type="containsBlanks" dxfId="1" priority="33">
      <formula>LEN(TRIM(N44))=0</formula>
    </cfRule>
  </conditionalFormatting>
  <conditionalFormatting sqref="Q44">
    <cfRule type="containsBlanks" dxfId="1" priority="29">
      <formula>LEN(TRIM(Q44))=0</formula>
    </cfRule>
  </conditionalFormatting>
  <conditionalFormatting sqref="T44">
    <cfRule type="containsBlanks" dxfId="1" priority="25">
      <formula>LEN(TRIM(T44))=0</formula>
    </cfRule>
  </conditionalFormatting>
  <conditionalFormatting sqref="W44">
    <cfRule type="containsBlanks" dxfId="1" priority="21">
      <formula>LEN(TRIM(W44))=0</formula>
    </cfRule>
  </conditionalFormatting>
  <conditionalFormatting sqref="Z44">
    <cfRule type="containsBlanks" dxfId="1" priority="14">
      <formula>LEN(TRIM(Z44))=0</formula>
    </cfRule>
  </conditionalFormatting>
  <conditionalFormatting sqref="E46">
    <cfRule type="containsBlanks" dxfId="1" priority="44">
      <formula>LEN(TRIM(E46))=0</formula>
    </cfRule>
  </conditionalFormatting>
  <conditionalFormatting sqref="H46">
    <cfRule type="containsBlanks" dxfId="1" priority="40">
      <formula>LEN(TRIM(H46))=0</formula>
    </cfRule>
  </conditionalFormatting>
  <conditionalFormatting sqref="K46">
    <cfRule type="containsBlanks" dxfId="1" priority="36">
      <formula>LEN(TRIM(K46))=0</formula>
    </cfRule>
  </conditionalFormatting>
  <conditionalFormatting sqref="N46">
    <cfRule type="containsBlanks" dxfId="1" priority="32">
      <formula>LEN(TRIM(N46))=0</formula>
    </cfRule>
  </conditionalFormatting>
  <conditionalFormatting sqref="Q46">
    <cfRule type="containsBlanks" dxfId="1" priority="28">
      <formula>LEN(TRIM(Q46))=0</formula>
    </cfRule>
  </conditionalFormatting>
  <conditionalFormatting sqref="T46">
    <cfRule type="containsBlanks" dxfId="1" priority="24">
      <formula>LEN(TRIM(T46))=0</formula>
    </cfRule>
  </conditionalFormatting>
  <conditionalFormatting sqref="W46">
    <cfRule type="containsBlanks" dxfId="1" priority="20">
      <formula>LEN(TRIM(W46))=0</formula>
    </cfRule>
  </conditionalFormatting>
  <conditionalFormatting sqref="Z46">
    <cfRule type="containsBlanks" dxfId="1" priority="13">
      <formula>LEN(TRIM(Z46))=0</formula>
    </cfRule>
  </conditionalFormatting>
  <conditionalFormatting sqref="E48">
    <cfRule type="containsBlanks" dxfId="1" priority="43">
      <formula>LEN(TRIM(E48))=0</formula>
    </cfRule>
  </conditionalFormatting>
  <conditionalFormatting sqref="H48">
    <cfRule type="containsBlanks" dxfId="1" priority="5">
      <formula>LEN(TRIM(H48))=0</formula>
    </cfRule>
  </conditionalFormatting>
  <conditionalFormatting sqref="K48">
    <cfRule type="containsBlanks" dxfId="1" priority="4">
      <formula>LEN(TRIM(K48))=0</formula>
    </cfRule>
  </conditionalFormatting>
  <conditionalFormatting sqref="N48">
    <cfRule type="containsBlanks" dxfId="1" priority="3">
      <formula>LEN(TRIM(N48))=0</formula>
    </cfRule>
  </conditionalFormatting>
  <conditionalFormatting sqref="Q48">
    <cfRule type="containsBlanks" dxfId="1" priority="2">
      <formula>LEN(TRIM(Q48))=0</formula>
    </cfRule>
  </conditionalFormatting>
  <conditionalFormatting sqref="T48">
    <cfRule type="containsBlanks" dxfId="1" priority="1">
      <formula>LEN(TRIM(T48))=0</formula>
    </cfRule>
  </conditionalFormatting>
  <conditionalFormatting sqref="W48">
    <cfRule type="containsBlanks" dxfId="1" priority="19">
      <formula>LEN(TRIM(W48))=0</formula>
    </cfRule>
  </conditionalFormatting>
  <conditionalFormatting sqref="Z48">
    <cfRule type="containsBlanks" dxfId="1" priority="12">
      <formula>LEN(TRIM(Z48))=0</formula>
    </cfRule>
  </conditionalFormatting>
  <conditionalFormatting sqref="B65">
    <cfRule type="containsBlanks" dxfId="1" priority="9">
      <formula>LEN(TRIM(B65))=0</formula>
    </cfRule>
  </conditionalFormatting>
  <conditionalFormatting sqref="F10 I10 L10 O10 R10 U10 X10">
    <cfRule type="containsBlanks" dxfId="1" priority="49">
      <formula>LEN(TRIM(F10))=0</formula>
    </cfRule>
  </conditionalFormatting>
  <conditionalFormatting sqref="E12:E17 H12:H17 K12:K17 N12:N17 Q12:Q17 T12:T17 W12:W17 E19:E23 H19:H23 K19:K23 N19:N23 Q19:Q23 T19:T23 W19:W23 E25:E29 H25:H29 K25:K29 N25:N29 Q25:Q29 T25:T29 W25:W29">
    <cfRule type="containsBlanks" dxfId="1" priority="50">
      <formula>LEN(TRIM(E12))=0</formula>
    </cfRule>
  </conditionalFormatting>
  <conditionalFormatting sqref="B55:F60">
    <cfRule type="containsBlanks" dxfId="1" priority="8">
      <formula>LEN(TRIM(B55))=0</formula>
    </cfRule>
  </conditionalFormatting>
  <conditionalFormatting sqref="B74:D77">
    <cfRule type="containsBlanks" dxfId="1" priority="6">
      <formula>LEN(TRIM(B74))=0</formula>
    </cfRule>
  </conditionalFormatting>
  <conditionalFormatting sqref="F74:F77 B84">
    <cfRule type="containsBlanks" dxfId="1" priority="7">
      <formula>LEN(TRIM(B74))=0</formula>
    </cfRule>
  </conditionalFormatting>
  <hyperlinks>
    <hyperlink ref="B4" location="'汇总 '!A1" display="返回汇总页"/>
  </hyperlinks>
  <pageMargins left="0.7" right="0.7" top="0.75" bottom="0.75" header="0.3" footer="0.3"/>
  <pageSetup paperSize="9" orientation="portrait"/>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990"/>
  <sheetViews>
    <sheetView tabSelected="1" workbookViewId="0">
      <pane xSplit="2" ySplit="1" topLeftCell="C653" activePane="bottomRight" state="frozen"/>
      <selection/>
      <selection pane="topRight"/>
      <selection pane="bottomLeft"/>
      <selection pane="bottomRight" activeCell="C662" sqref="C662"/>
    </sheetView>
  </sheetViews>
  <sheetFormatPr defaultColWidth="9" defaultRowHeight="13.5"/>
  <cols>
    <col min="1" max="1" width="17" customWidth="1"/>
    <col min="2" max="2" width="8.90833333333333" customWidth="1"/>
    <col min="3" max="3" width="27.9083333333333" customWidth="1"/>
    <col min="4" max="4" width="8.90833333333333" customWidth="1"/>
    <col min="5" max="5" width="36.0916666666667" customWidth="1"/>
    <col min="6" max="7" width="12.725" customWidth="1"/>
    <col min="8" max="8" width="10.45" customWidth="1"/>
    <col min="9" max="9" width="8.90833333333333" customWidth="1"/>
    <col min="10" max="10" width="13.3666666666667" customWidth="1"/>
    <col min="11" max="12" width="13.6333333333333" customWidth="1"/>
    <col min="13" max="13" width="15.725" customWidth="1"/>
    <col min="14" max="14" width="13.6333333333333" customWidth="1"/>
    <col min="15" max="15" width="14.3666666666667" customWidth="1"/>
    <col min="16" max="16" width="15.9083333333333" customWidth="1"/>
    <col min="17" max="17" width="14.3666666666667" customWidth="1"/>
    <col min="18" max="18" width="11.725" customWidth="1"/>
    <col min="19" max="19" width="14.3666666666667" customWidth="1"/>
    <col min="20" max="20" width="12.3666666666667" customWidth="1"/>
    <col min="21" max="21" width="13.0916666666667" customWidth="1"/>
    <col min="22" max="22" width="18.9083333333333" customWidth="1"/>
  </cols>
  <sheetData>
    <row r="1" ht="27" customHeight="1" spans="1:22">
      <c r="A1" s="341" t="s">
        <v>272</v>
      </c>
      <c r="B1" s="341" t="s">
        <v>273</v>
      </c>
      <c r="C1" s="341" t="s">
        <v>274</v>
      </c>
      <c r="D1" s="341" t="s">
        <v>275</v>
      </c>
      <c r="E1" s="341" t="s">
        <v>276</v>
      </c>
      <c r="F1" s="342" t="s">
        <v>277</v>
      </c>
      <c r="G1" s="342" t="s">
        <v>278</v>
      </c>
      <c r="H1" s="341" t="s">
        <v>279</v>
      </c>
      <c r="I1" s="341" t="s">
        <v>280</v>
      </c>
      <c r="J1" s="342" t="s">
        <v>281</v>
      </c>
      <c r="K1" s="342" t="s">
        <v>282</v>
      </c>
      <c r="L1" s="342" t="s">
        <v>283</v>
      </c>
      <c r="M1" s="342" t="s">
        <v>284</v>
      </c>
      <c r="N1" s="342" t="s">
        <v>285</v>
      </c>
      <c r="O1" s="341" t="s">
        <v>286</v>
      </c>
      <c r="P1" s="341" t="s">
        <v>287</v>
      </c>
      <c r="Q1" s="341" t="s">
        <v>288</v>
      </c>
      <c r="R1" s="341" t="s">
        <v>289</v>
      </c>
      <c r="S1" s="341" t="s">
        <v>290</v>
      </c>
      <c r="T1" s="341" t="s">
        <v>291</v>
      </c>
      <c r="U1" s="342" t="s">
        <v>292</v>
      </c>
      <c r="V1" s="342" t="s">
        <v>293</v>
      </c>
    </row>
    <row r="2" customHeight="1" spans="1:22">
      <c r="A2" s="343" t="s">
        <v>192</v>
      </c>
      <c r="B2" s="343">
        <v>400202</v>
      </c>
      <c r="C2" s="343" t="s">
        <v>294</v>
      </c>
      <c r="D2" s="344">
        <v>1</v>
      </c>
      <c r="E2" s="343" t="s">
        <v>295</v>
      </c>
      <c r="F2" s="345">
        <v>45657</v>
      </c>
      <c r="G2" s="345">
        <v>45657</v>
      </c>
      <c r="H2" s="343">
        <v>202501</v>
      </c>
      <c r="I2" s="344">
        <v>120</v>
      </c>
      <c r="J2" s="342">
        <v>104</v>
      </c>
      <c r="K2" s="346">
        <v>9500</v>
      </c>
      <c r="L2" s="346"/>
      <c r="M2" s="346"/>
      <c r="N2" s="346">
        <f>K2+L2-M2</f>
        <v>9500</v>
      </c>
      <c r="O2" s="342">
        <v>300.84</v>
      </c>
      <c r="P2" s="347">
        <v>1203.36</v>
      </c>
      <c r="Q2" s="347">
        <v>8296.64</v>
      </c>
      <c r="R2" s="342">
        <v>0</v>
      </c>
      <c r="S2" s="347">
        <v>8296.64</v>
      </c>
      <c r="T2" s="341" t="s">
        <v>296</v>
      </c>
      <c r="U2" s="342">
        <v>66021204</v>
      </c>
      <c r="V2" s="342"/>
    </row>
    <row r="3" customHeight="1" spans="1:22">
      <c r="A3" s="343" t="s">
        <v>192</v>
      </c>
      <c r="B3" s="343">
        <v>400203</v>
      </c>
      <c r="C3" s="343" t="s">
        <v>294</v>
      </c>
      <c r="D3" s="344">
        <v>1</v>
      </c>
      <c r="E3" s="343" t="s">
        <v>295</v>
      </c>
      <c r="F3" s="345">
        <v>45657</v>
      </c>
      <c r="G3" s="345">
        <v>45657</v>
      </c>
      <c r="H3" s="343">
        <v>202501</v>
      </c>
      <c r="I3" s="344">
        <v>120</v>
      </c>
      <c r="J3" s="342">
        <v>104</v>
      </c>
      <c r="K3" s="346">
        <v>9500</v>
      </c>
      <c r="L3" s="346"/>
      <c r="M3" s="346"/>
      <c r="N3" s="346">
        <f t="shared" ref="N3:N66" si="0">K3+L3-M3</f>
        <v>9500</v>
      </c>
      <c r="O3" s="342">
        <v>300.84</v>
      </c>
      <c r="P3" s="347">
        <v>1203.36</v>
      </c>
      <c r="Q3" s="347">
        <v>8296.64</v>
      </c>
      <c r="R3" s="342">
        <v>0</v>
      </c>
      <c r="S3" s="347">
        <v>8296.64</v>
      </c>
      <c r="T3" s="341" t="s">
        <v>296</v>
      </c>
      <c r="U3" s="342">
        <v>66021204</v>
      </c>
      <c r="V3" s="342"/>
    </row>
    <row r="4" customHeight="1" spans="1:22">
      <c r="A4" s="343" t="s">
        <v>192</v>
      </c>
      <c r="B4" s="343">
        <v>400204</v>
      </c>
      <c r="C4" s="343" t="s">
        <v>294</v>
      </c>
      <c r="D4" s="344">
        <v>1</v>
      </c>
      <c r="E4" s="343" t="s">
        <v>295</v>
      </c>
      <c r="F4" s="345">
        <v>45657</v>
      </c>
      <c r="G4" s="345">
        <v>45657</v>
      </c>
      <c r="H4" s="343">
        <v>202501</v>
      </c>
      <c r="I4" s="344">
        <v>120</v>
      </c>
      <c r="J4" s="342">
        <v>104</v>
      </c>
      <c r="K4" s="346">
        <v>9500</v>
      </c>
      <c r="L4" s="346"/>
      <c r="M4" s="346"/>
      <c r="N4" s="346">
        <f t="shared" si="0"/>
        <v>9500</v>
      </c>
      <c r="O4" s="342">
        <v>300.84</v>
      </c>
      <c r="P4" s="347">
        <v>1203.36</v>
      </c>
      <c r="Q4" s="347">
        <v>8296.64</v>
      </c>
      <c r="R4" s="342">
        <v>0</v>
      </c>
      <c r="S4" s="347">
        <v>8296.64</v>
      </c>
      <c r="T4" s="341" t="s">
        <v>296</v>
      </c>
      <c r="U4" s="342">
        <v>66021204</v>
      </c>
      <c r="V4" s="342"/>
    </row>
    <row r="5" customHeight="1" spans="1:22">
      <c r="A5" s="343" t="s">
        <v>192</v>
      </c>
      <c r="B5" s="343">
        <v>400205</v>
      </c>
      <c r="C5" s="343" t="s">
        <v>294</v>
      </c>
      <c r="D5" s="344">
        <v>1</v>
      </c>
      <c r="E5" s="343" t="s">
        <v>295</v>
      </c>
      <c r="F5" s="345">
        <v>45657</v>
      </c>
      <c r="G5" s="345">
        <v>45657</v>
      </c>
      <c r="H5" s="343">
        <v>202501</v>
      </c>
      <c r="I5" s="344">
        <v>120</v>
      </c>
      <c r="J5" s="342">
        <v>104</v>
      </c>
      <c r="K5" s="346">
        <v>9500</v>
      </c>
      <c r="L5" s="346"/>
      <c r="M5" s="346"/>
      <c r="N5" s="346">
        <f t="shared" si="0"/>
        <v>9500</v>
      </c>
      <c r="O5" s="342">
        <v>300.84</v>
      </c>
      <c r="P5" s="347">
        <v>1203.36</v>
      </c>
      <c r="Q5" s="347">
        <v>8296.64</v>
      </c>
      <c r="R5" s="342">
        <v>0</v>
      </c>
      <c r="S5" s="347">
        <v>8296.64</v>
      </c>
      <c r="T5" s="341" t="s">
        <v>296</v>
      </c>
      <c r="U5" s="342">
        <v>66021204</v>
      </c>
      <c r="V5" s="342"/>
    </row>
    <row r="6" customHeight="1" spans="1:22">
      <c r="A6" s="343" t="s">
        <v>192</v>
      </c>
      <c r="B6" s="343">
        <v>400206</v>
      </c>
      <c r="C6" s="343" t="s">
        <v>294</v>
      </c>
      <c r="D6" s="344">
        <v>1</v>
      </c>
      <c r="E6" s="343" t="s">
        <v>295</v>
      </c>
      <c r="F6" s="345">
        <v>45657</v>
      </c>
      <c r="G6" s="345">
        <v>45657</v>
      </c>
      <c r="H6" s="343">
        <v>202501</v>
      </c>
      <c r="I6" s="344">
        <v>120</v>
      </c>
      <c r="J6" s="342">
        <v>104</v>
      </c>
      <c r="K6" s="346">
        <v>9500</v>
      </c>
      <c r="L6" s="346"/>
      <c r="M6" s="346"/>
      <c r="N6" s="346">
        <f t="shared" si="0"/>
        <v>9500</v>
      </c>
      <c r="O6" s="342">
        <v>300.84</v>
      </c>
      <c r="P6" s="347">
        <v>1203.36</v>
      </c>
      <c r="Q6" s="347">
        <v>8296.64</v>
      </c>
      <c r="R6" s="342">
        <v>0</v>
      </c>
      <c r="S6" s="347">
        <v>8296.64</v>
      </c>
      <c r="T6" s="341" t="s">
        <v>296</v>
      </c>
      <c r="U6" s="342">
        <v>66021204</v>
      </c>
      <c r="V6" s="342"/>
    </row>
    <row r="7" customHeight="1" spans="1:22">
      <c r="A7" s="343" t="s">
        <v>192</v>
      </c>
      <c r="B7" s="343">
        <v>400207</v>
      </c>
      <c r="C7" s="343" t="s">
        <v>297</v>
      </c>
      <c r="D7" s="344">
        <v>1</v>
      </c>
      <c r="E7" s="343" t="s">
        <v>298</v>
      </c>
      <c r="F7" s="345">
        <v>45747</v>
      </c>
      <c r="G7" s="345">
        <v>45747</v>
      </c>
      <c r="H7" s="343">
        <v>202504</v>
      </c>
      <c r="I7" s="344">
        <v>60</v>
      </c>
      <c r="J7" s="342">
        <v>47</v>
      </c>
      <c r="K7" s="346">
        <v>1069334.7</v>
      </c>
      <c r="L7" s="346"/>
      <c r="M7" s="346"/>
      <c r="N7" s="346">
        <f t="shared" si="0"/>
        <v>1069334.7</v>
      </c>
      <c r="O7" s="347">
        <v>67724.52</v>
      </c>
      <c r="P7" s="347">
        <v>220104.69</v>
      </c>
      <c r="Q7" s="347">
        <v>849230.01</v>
      </c>
      <c r="R7" s="342">
        <v>0</v>
      </c>
      <c r="S7" s="347">
        <v>849230.01</v>
      </c>
      <c r="T7" s="341" t="s">
        <v>299</v>
      </c>
      <c r="U7" s="342">
        <v>510102</v>
      </c>
      <c r="V7" s="342" t="s">
        <v>300</v>
      </c>
    </row>
    <row r="8" customHeight="1" spans="1:22">
      <c r="A8" s="343" t="s">
        <v>192</v>
      </c>
      <c r="B8" s="343">
        <v>400208</v>
      </c>
      <c r="C8" s="343" t="s">
        <v>297</v>
      </c>
      <c r="D8" s="344">
        <v>1</v>
      </c>
      <c r="E8" s="343" t="s">
        <v>298</v>
      </c>
      <c r="F8" s="345">
        <v>45747</v>
      </c>
      <c r="G8" s="345">
        <v>45747</v>
      </c>
      <c r="H8" s="343">
        <v>202504</v>
      </c>
      <c r="I8" s="344">
        <v>60</v>
      </c>
      <c r="J8" s="342">
        <v>47</v>
      </c>
      <c r="K8" s="346">
        <v>807839.55</v>
      </c>
      <c r="L8" s="346"/>
      <c r="M8" s="346"/>
      <c r="N8" s="346">
        <f t="shared" si="0"/>
        <v>807839.55</v>
      </c>
      <c r="O8" s="347">
        <v>51163.16</v>
      </c>
      <c r="P8" s="347">
        <v>166280.27</v>
      </c>
      <c r="Q8" s="347">
        <v>641559.28</v>
      </c>
      <c r="R8" s="342">
        <v>0</v>
      </c>
      <c r="S8" s="347">
        <v>641559.28</v>
      </c>
      <c r="T8" s="341" t="s">
        <v>299</v>
      </c>
      <c r="U8" s="342">
        <v>510102</v>
      </c>
      <c r="V8" s="342" t="s">
        <v>301</v>
      </c>
    </row>
    <row r="9" customHeight="1" spans="1:22">
      <c r="A9" s="343" t="s">
        <v>192</v>
      </c>
      <c r="B9" s="343">
        <v>400209</v>
      </c>
      <c r="C9" s="343" t="s">
        <v>302</v>
      </c>
      <c r="D9" s="344">
        <v>47</v>
      </c>
      <c r="E9" s="343" t="s">
        <v>303</v>
      </c>
      <c r="F9" s="345">
        <v>45790</v>
      </c>
      <c r="G9" s="345">
        <v>45790</v>
      </c>
      <c r="H9" s="343">
        <v>202506</v>
      </c>
      <c r="I9" s="344">
        <v>60</v>
      </c>
      <c r="J9" s="342">
        <v>49</v>
      </c>
      <c r="K9" s="346">
        <v>2880320</v>
      </c>
      <c r="L9" s="346"/>
      <c r="M9" s="346"/>
      <c r="N9" s="346">
        <f t="shared" si="0"/>
        <v>2880320</v>
      </c>
      <c r="O9" s="347">
        <v>182420.28</v>
      </c>
      <c r="P9" s="347">
        <v>501655.77</v>
      </c>
      <c r="Q9" s="347">
        <v>2378664.23</v>
      </c>
      <c r="R9" s="342">
        <v>0</v>
      </c>
      <c r="S9" s="347">
        <v>2378664.23</v>
      </c>
      <c r="T9" s="341" t="s">
        <v>304</v>
      </c>
      <c r="U9" s="342">
        <v>5301010301</v>
      </c>
      <c r="V9" s="342"/>
    </row>
    <row r="10" customHeight="1" spans="1:22">
      <c r="A10" s="343" t="s">
        <v>192</v>
      </c>
      <c r="B10" s="343">
        <v>400210</v>
      </c>
      <c r="C10" s="343" t="s">
        <v>305</v>
      </c>
      <c r="D10" s="344">
        <v>1</v>
      </c>
      <c r="E10" s="343" t="s">
        <v>306</v>
      </c>
      <c r="F10" s="345">
        <v>45827</v>
      </c>
      <c r="G10" s="345">
        <v>45827</v>
      </c>
      <c r="H10" s="343">
        <v>202507</v>
      </c>
      <c r="I10" s="344">
        <v>60</v>
      </c>
      <c r="J10" s="342">
        <v>50</v>
      </c>
      <c r="K10" s="346">
        <v>633884.58</v>
      </c>
      <c r="L10" s="346"/>
      <c r="M10" s="346"/>
      <c r="N10" s="346">
        <f t="shared" si="0"/>
        <v>633884.58</v>
      </c>
      <c r="O10" s="347">
        <v>40146.04</v>
      </c>
      <c r="P10" s="347">
        <v>100365.1</v>
      </c>
      <c r="Q10" s="347">
        <v>533519.48</v>
      </c>
      <c r="R10" s="342">
        <v>0</v>
      </c>
      <c r="S10" s="347">
        <v>533519.48</v>
      </c>
      <c r="T10" s="341" t="s">
        <v>299</v>
      </c>
      <c r="U10" s="342">
        <v>5301010301</v>
      </c>
      <c r="V10" s="342" t="s">
        <v>307</v>
      </c>
    </row>
    <row r="11" customHeight="1" spans="1:22">
      <c r="A11" s="343" t="s">
        <v>192</v>
      </c>
      <c r="B11" s="343">
        <v>400211</v>
      </c>
      <c r="C11" s="343" t="s">
        <v>308</v>
      </c>
      <c r="D11" s="344">
        <v>20</v>
      </c>
      <c r="E11" s="343" t="s">
        <v>309</v>
      </c>
      <c r="F11" s="345">
        <v>45824</v>
      </c>
      <c r="G11" s="345">
        <v>45824</v>
      </c>
      <c r="H11" s="343">
        <v>202507</v>
      </c>
      <c r="I11" s="344">
        <v>120</v>
      </c>
      <c r="J11" s="342">
        <v>110</v>
      </c>
      <c r="K11" s="346">
        <v>574952</v>
      </c>
      <c r="L11" s="346"/>
      <c r="M11" s="346"/>
      <c r="N11" s="346">
        <f t="shared" si="0"/>
        <v>574952</v>
      </c>
      <c r="O11" s="347">
        <v>18206.8</v>
      </c>
      <c r="P11" s="347">
        <v>45517</v>
      </c>
      <c r="Q11" s="347">
        <v>529435</v>
      </c>
      <c r="R11" s="342">
        <v>0</v>
      </c>
      <c r="S11" s="347">
        <v>529435</v>
      </c>
      <c r="T11" s="341" t="s">
        <v>296</v>
      </c>
      <c r="U11" s="342">
        <v>66021204</v>
      </c>
      <c r="V11" s="342"/>
    </row>
    <row r="12" customHeight="1" spans="1:22">
      <c r="A12" s="343" t="s">
        <v>192</v>
      </c>
      <c r="B12" s="343">
        <v>400212</v>
      </c>
      <c r="C12" s="343" t="s">
        <v>310</v>
      </c>
      <c r="D12" s="344">
        <v>1</v>
      </c>
      <c r="E12" s="343" t="s">
        <v>311</v>
      </c>
      <c r="F12" s="345">
        <v>45875</v>
      </c>
      <c r="G12" s="345">
        <v>45875</v>
      </c>
      <c r="H12" s="343">
        <v>202509</v>
      </c>
      <c r="I12" s="344">
        <v>120</v>
      </c>
      <c r="J12" s="342">
        <v>112</v>
      </c>
      <c r="K12" s="346">
        <v>23008.85</v>
      </c>
      <c r="L12" s="346"/>
      <c r="M12" s="346"/>
      <c r="N12" s="346">
        <f t="shared" si="0"/>
        <v>23008.85</v>
      </c>
      <c r="O12" s="342">
        <v>728.6</v>
      </c>
      <c r="P12" s="347">
        <v>1457.2</v>
      </c>
      <c r="Q12" s="347">
        <v>21551.65</v>
      </c>
      <c r="R12" s="342">
        <v>0</v>
      </c>
      <c r="S12" s="347">
        <v>21551.65</v>
      </c>
      <c r="T12" s="341" t="s">
        <v>296</v>
      </c>
      <c r="U12" s="342">
        <v>66021204</v>
      </c>
      <c r="V12" s="342" t="s">
        <v>312</v>
      </c>
    </row>
    <row r="13" customHeight="1" spans="1:22">
      <c r="A13" s="343" t="s">
        <v>192</v>
      </c>
      <c r="B13" s="343">
        <v>400213</v>
      </c>
      <c r="C13" s="343" t="s">
        <v>310</v>
      </c>
      <c r="D13" s="344">
        <v>1</v>
      </c>
      <c r="E13" s="343" t="s">
        <v>313</v>
      </c>
      <c r="F13" s="345">
        <v>45875</v>
      </c>
      <c r="G13" s="345">
        <v>45875</v>
      </c>
      <c r="H13" s="343">
        <v>202509</v>
      </c>
      <c r="I13" s="344">
        <v>120</v>
      </c>
      <c r="J13" s="342">
        <v>112</v>
      </c>
      <c r="K13" s="346">
        <v>31858.4</v>
      </c>
      <c r="L13" s="346"/>
      <c r="M13" s="346"/>
      <c r="N13" s="346">
        <f t="shared" si="0"/>
        <v>31858.4</v>
      </c>
      <c r="O13" s="347">
        <v>1008.84</v>
      </c>
      <c r="P13" s="347">
        <v>2017.68</v>
      </c>
      <c r="Q13" s="347">
        <v>29840.72</v>
      </c>
      <c r="R13" s="342">
        <v>0</v>
      </c>
      <c r="S13" s="347">
        <v>29840.72</v>
      </c>
      <c r="T13" s="341" t="s">
        <v>296</v>
      </c>
      <c r="U13" s="342">
        <v>66021204</v>
      </c>
      <c r="V13" s="342" t="s">
        <v>314</v>
      </c>
    </row>
    <row r="14" customHeight="1" spans="1:22">
      <c r="A14" s="343" t="s">
        <v>192</v>
      </c>
      <c r="B14" s="343">
        <v>400214</v>
      </c>
      <c r="C14" s="343" t="s">
        <v>315</v>
      </c>
      <c r="D14" s="344">
        <v>1</v>
      </c>
      <c r="E14" s="343" t="s">
        <v>316</v>
      </c>
      <c r="F14" s="345">
        <v>45923</v>
      </c>
      <c r="G14" s="345">
        <v>45923</v>
      </c>
      <c r="H14" s="343">
        <v>202510</v>
      </c>
      <c r="I14" s="344">
        <v>120</v>
      </c>
      <c r="J14" s="342">
        <v>113</v>
      </c>
      <c r="K14" s="346">
        <v>107180.49</v>
      </c>
      <c r="L14" s="346"/>
      <c r="M14" s="346"/>
      <c r="N14" s="346">
        <f t="shared" si="0"/>
        <v>107180.49</v>
      </c>
      <c r="O14" s="347">
        <v>3394.04</v>
      </c>
      <c r="P14" s="347">
        <v>5939.57</v>
      </c>
      <c r="Q14" s="347">
        <v>101240.92</v>
      </c>
      <c r="R14" s="342">
        <v>0</v>
      </c>
      <c r="S14" s="347">
        <v>101240.92</v>
      </c>
      <c r="T14" s="341" t="s">
        <v>296</v>
      </c>
      <c r="U14" s="342">
        <v>66021204</v>
      </c>
      <c r="V14" s="342"/>
    </row>
    <row r="15" customHeight="1" spans="1:22">
      <c r="A15" s="343" t="s">
        <v>192</v>
      </c>
      <c r="B15" s="343">
        <v>400215</v>
      </c>
      <c r="C15" s="343" t="s">
        <v>317</v>
      </c>
      <c r="D15" s="344">
        <v>1</v>
      </c>
      <c r="E15" s="343" t="s">
        <v>318</v>
      </c>
      <c r="F15" s="345">
        <v>45950</v>
      </c>
      <c r="G15" s="345">
        <v>45950</v>
      </c>
      <c r="H15" s="343">
        <v>202511</v>
      </c>
      <c r="I15" s="344">
        <v>120</v>
      </c>
      <c r="J15" s="342">
        <v>114</v>
      </c>
      <c r="K15" s="346">
        <v>1741906.74</v>
      </c>
      <c r="L15" s="346"/>
      <c r="M15" s="346"/>
      <c r="N15" s="346">
        <f t="shared" si="0"/>
        <v>1741906.74</v>
      </c>
      <c r="O15" s="347">
        <v>55160.38</v>
      </c>
      <c r="P15" s="347">
        <v>82740.57</v>
      </c>
      <c r="Q15" s="347">
        <v>1659166.17</v>
      </c>
      <c r="R15" s="342">
        <v>0</v>
      </c>
      <c r="S15" s="347">
        <v>1659166.17</v>
      </c>
      <c r="T15" s="341" t="s">
        <v>296</v>
      </c>
      <c r="U15" s="342">
        <v>66021204</v>
      </c>
      <c r="V15" s="342" t="s">
        <v>319</v>
      </c>
    </row>
    <row r="16" customHeight="1" spans="1:22">
      <c r="A16" s="343" t="s">
        <v>192</v>
      </c>
      <c r="B16" s="343">
        <v>400216</v>
      </c>
      <c r="C16" s="343" t="s">
        <v>320</v>
      </c>
      <c r="D16" s="344">
        <v>1</v>
      </c>
      <c r="E16" s="343" t="s">
        <v>321</v>
      </c>
      <c r="F16" s="345">
        <v>45959</v>
      </c>
      <c r="G16" s="345">
        <v>45959</v>
      </c>
      <c r="H16" s="343">
        <v>202511</v>
      </c>
      <c r="I16" s="344">
        <v>120</v>
      </c>
      <c r="J16" s="342">
        <v>114</v>
      </c>
      <c r="K16" s="346">
        <v>1241895.44</v>
      </c>
      <c r="L16" s="346"/>
      <c r="M16" s="346"/>
      <c r="N16" s="346">
        <f t="shared" si="0"/>
        <v>1241895.44</v>
      </c>
      <c r="O16" s="347">
        <v>39326.68</v>
      </c>
      <c r="P16" s="347">
        <v>58990.02</v>
      </c>
      <c r="Q16" s="347">
        <v>1182905.42</v>
      </c>
      <c r="R16" s="342">
        <v>0</v>
      </c>
      <c r="S16" s="347">
        <v>1182905.42</v>
      </c>
      <c r="T16" s="341" t="s">
        <v>296</v>
      </c>
      <c r="U16" s="342">
        <v>66021204</v>
      </c>
      <c r="V16" s="342" t="s">
        <v>322</v>
      </c>
    </row>
    <row r="17" customHeight="1" spans="1:22">
      <c r="A17" s="343" t="s">
        <v>192</v>
      </c>
      <c r="B17" s="343">
        <v>400217</v>
      </c>
      <c r="C17" s="343" t="s">
        <v>323</v>
      </c>
      <c r="D17" s="344">
        <v>1</v>
      </c>
      <c r="E17" s="343" t="s">
        <v>324</v>
      </c>
      <c r="F17" s="345">
        <v>45982</v>
      </c>
      <c r="G17" s="345">
        <v>45982</v>
      </c>
      <c r="H17" s="343">
        <v>202512</v>
      </c>
      <c r="I17" s="344">
        <v>120</v>
      </c>
      <c r="J17" s="342">
        <v>115</v>
      </c>
      <c r="K17" s="346">
        <v>1755498.38</v>
      </c>
      <c r="L17" s="346"/>
      <c r="M17" s="346"/>
      <c r="N17" s="346">
        <f t="shared" si="0"/>
        <v>1755498.38</v>
      </c>
      <c r="O17" s="347">
        <v>55590.8</v>
      </c>
      <c r="P17" s="347">
        <v>69488.5</v>
      </c>
      <c r="Q17" s="347">
        <v>1686009.88</v>
      </c>
      <c r="R17" s="342">
        <v>0</v>
      </c>
      <c r="S17" s="347">
        <v>1686009.88</v>
      </c>
      <c r="T17" s="341" t="s">
        <v>296</v>
      </c>
      <c r="U17" s="342">
        <v>66021204</v>
      </c>
      <c r="V17" s="342" t="s">
        <v>325</v>
      </c>
    </row>
    <row r="18" customHeight="1" spans="1:22">
      <c r="A18" s="343" t="s">
        <v>192</v>
      </c>
      <c r="B18" s="343">
        <v>400218</v>
      </c>
      <c r="C18" s="343" t="s">
        <v>326</v>
      </c>
      <c r="D18" s="344">
        <v>2</v>
      </c>
      <c r="E18" s="343" t="s">
        <v>327</v>
      </c>
      <c r="F18" s="345">
        <v>46006</v>
      </c>
      <c r="G18" s="345">
        <v>46006</v>
      </c>
      <c r="H18" s="343">
        <v>202601</v>
      </c>
      <c r="I18" s="344">
        <v>120</v>
      </c>
      <c r="J18" s="342">
        <v>116</v>
      </c>
      <c r="K18" s="346">
        <v>16637.17</v>
      </c>
      <c r="L18" s="346"/>
      <c r="M18" s="346"/>
      <c r="N18" s="346">
        <f t="shared" si="0"/>
        <v>16637.17</v>
      </c>
      <c r="O18" s="342">
        <v>526.84</v>
      </c>
      <c r="P18" s="347">
        <v>526.84</v>
      </c>
      <c r="Q18" s="347">
        <v>16110.33</v>
      </c>
      <c r="R18" s="342">
        <v>0</v>
      </c>
      <c r="S18" s="347">
        <v>16110.33</v>
      </c>
      <c r="T18" s="341" t="s">
        <v>296</v>
      </c>
      <c r="U18" s="342">
        <v>66021204</v>
      </c>
      <c r="V18" s="342" t="s">
        <v>328</v>
      </c>
    </row>
    <row r="19" customHeight="1" spans="1:22">
      <c r="A19" s="343" t="s">
        <v>192</v>
      </c>
      <c r="B19" s="343">
        <v>400219</v>
      </c>
      <c r="C19" s="343" t="s">
        <v>329</v>
      </c>
      <c r="D19" s="344">
        <v>1</v>
      </c>
      <c r="E19" s="343" t="s">
        <v>330</v>
      </c>
      <c r="F19" s="345">
        <v>46035</v>
      </c>
      <c r="G19" s="345">
        <v>46035</v>
      </c>
      <c r="H19" s="343">
        <v>202602</v>
      </c>
      <c r="I19" s="344">
        <v>120</v>
      </c>
      <c r="J19" s="342">
        <v>117</v>
      </c>
      <c r="K19" s="346">
        <v>0</v>
      </c>
      <c r="L19" s="346">
        <v>840303.95</v>
      </c>
      <c r="M19" s="346"/>
      <c r="N19" s="346">
        <f t="shared" si="0"/>
        <v>840303.95</v>
      </c>
      <c r="O19" s="347">
        <v>19957.23</v>
      </c>
      <c r="P19" s="347">
        <v>19957.23</v>
      </c>
      <c r="Q19" s="347">
        <v>820346.72</v>
      </c>
      <c r="R19" s="342">
        <v>0</v>
      </c>
      <c r="S19" s="347">
        <v>820346.72</v>
      </c>
      <c r="T19" s="341" t="s">
        <v>299</v>
      </c>
      <c r="U19" s="342">
        <v>510102</v>
      </c>
      <c r="V19" s="342" t="s">
        <v>331</v>
      </c>
    </row>
    <row r="20" customHeight="1" spans="1:22">
      <c r="A20" s="343" t="s">
        <v>192</v>
      </c>
      <c r="B20" s="343">
        <v>400220</v>
      </c>
      <c r="C20" s="343" t="s">
        <v>332</v>
      </c>
      <c r="D20" s="344">
        <v>8</v>
      </c>
      <c r="E20" s="343" t="s">
        <v>333</v>
      </c>
      <c r="F20" s="345">
        <v>46051</v>
      </c>
      <c r="G20" s="345">
        <v>46051</v>
      </c>
      <c r="H20" s="343">
        <v>202602</v>
      </c>
      <c r="I20" s="344">
        <v>120</v>
      </c>
      <c r="J20" s="342">
        <v>117</v>
      </c>
      <c r="K20" s="346">
        <v>0</v>
      </c>
      <c r="L20" s="346">
        <v>260065.6</v>
      </c>
      <c r="M20" s="346"/>
      <c r="N20" s="346">
        <f t="shared" si="0"/>
        <v>260065.6</v>
      </c>
      <c r="O20" s="347">
        <v>6176.55</v>
      </c>
      <c r="P20" s="347">
        <v>6176.55</v>
      </c>
      <c r="Q20" s="347">
        <v>253889.05</v>
      </c>
      <c r="R20" s="342">
        <v>0</v>
      </c>
      <c r="S20" s="347">
        <v>253889.05</v>
      </c>
      <c r="T20" s="341" t="s">
        <v>304</v>
      </c>
      <c r="U20" s="342">
        <v>5301010301</v>
      </c>
      <c r="V20" s="342" t="s">
        <v>334</v>
      </c>
    </row>
    <row r="21" customHeight="1" spans="1:22">
      <c r="A21" s="343" t="s">
        <v>192</v>
      </c>
      <c r="B21" s="343">
        <v>400221</v>
      </c>
      <c r="C21" s="343" t="s">
        <v>332</v>
      </c>
      <c r="D21" s="344">
        <v>12</v>
      </c>
      <c r="E21" s="343" t="s">
        <v>335</v>
      </c>
      <c r="F21" s="345">
        <v>46051</v>
      </c>
      <c r="G21" s="345">
        <v>46051</v>
      </c>
      <c r="H21" s="343">
        <v>202602</v>
      </c>
      <c r="I21" s="344">
        <v>120</v>
      </c>
      <c r="J21" s="342">
        <v>117</v>
      </c>
      <c r="K21" s="346">
        <v>0</v>
      </c>
      <c r="L21" s="346">
        <v>309970.08</v>
      </c>
      <c r="M21" s="346"/>
      <c r="N21" s="346">
        <f t="shared" si="0"/>
        <v>309970.08</v>
      </c>
      <c r="O21" s="347">
        <v>7361.79</v>
      </c>
      <c r="P21" s="347">
        <v>7361.79</v>
      </c>
      <c r="Q21" s="347">
        <v>302608.29</v>
      </c>
      <c r="R21" s="342">
        <v>0</v>
      </c>
      <c r="S21" s="347">
        <v>302608.29</v>
      </c>
      <c r="T21" s="341" t="s">
        <v>304</v>
      </c>
      <c r="U21" s="342">
        <v>5301010301</v>
      </c>
      <c r="V21" s="342" t="s">
        <v>336</v>
      </c>
    </row>
    <row r="22" customHeight="1" spans="1:22">
      <c r="A22" s="343" t="s">
        <v>192</v>
      </c>
      <c r="B22" s="343">
        <v>400222</v>
      </c>
      <c r="C22" s="343" t="s">
        <v>332</v>
      </c>
      <c r="D22" s="344">
        <v>47</v>
      </c>
      <c r="E22" s="343" t="s">
        <v>337</v>
      </c>
      <c r="F22" s="345">
        <v>46051</v>
      </c>
      <c r="G22" s="345">
        <v>46051</v>
      </c>
      <c r="H22" s="343">
        <v>202602</v>
      </c>
      <c r="I22" s="344">
        <v>120</v>
      </c>
      <c r="J22" s="342">
        <v>117</v>
      </c>
      <c r="K22" s="346">
        <v>0</v>
      </c>
      <c r="L22" s="346">
        <v>2757398.24</v>
      </c>
      <c r="M22" s="346"/>
      <c r="N22" s="346">
        <f t="shared" si="0"/>
        <v>2757398.24</v>
      </c>
      <c r="O22" s="347">
        <v>65488.2</v>
      </c>
      <c r="P22" s="347">
        <v>65488.2</v>
      </c>
      <c r="Q22" s="347">
        <v>2691910.04</v>
      </c>
      <c r="R22" s="342">
        <v>0</v>
      </c>
      <c r="S22" s="347">
        <v>2691910.04</v>
      </c>
      <c r="T22" s="341" t="s">
        <v>304</v>
      </c>
      <c r="U22" s="342">
        <v>5301010301</v>
      </c>
      <c r="V22" s="342" t="s">
        <v>338</v>
      </c>
    </row>
    <row r="23" customHeight="1" spans="1:22">
      <c r="A23" s="343" t="s">
        <v>192</v>
      </c>
      <c r="B23" s="343">
        <v>400223</v>
      </c>
      <c r="C23" s="343" t="s">
        <v>332</v>
      </c>
      <c r="D23" s="344">
        <v>47</v>
      </c>
      <c r="E23" s="343" t="s">
        <v>339</v>
      </c>
      <c r="F23" s="345">
        <v>46051</v>
      </c>
      <c r="G23" s="345">
        <v>46051</v>
      </c>
      <c r="H23" s="343">
        <v>202602</v>
      </c>
      <c r="I23" s="344">
        <v>120</v>
      </c>
      <c r="J23" s="342">
        <v>117</v>
      </c>
      <c r="K23" s="346">
        <v>0</v>
      </c>
      <c r="L23" s="346">
        <v>2757398.24</v>
      </c>
      <c r="M23" s="346"/>
      <c r="N23" s="346">
        <f t="shared" si="0"/>
        <v>2757398.24</v>
      </c>
      <c r="O23" s="347">
        <v>65488.2</v>
      </c>
      <c r="P23" s="347">
        <v>65488.2</v>
      </c>
      <c r="Q23" s="347">
        <v>2691910.04</v>
      </c>
      <c r="R23" s="342">
        <v>0</v>
      </c>
      <c r="S23" s="347">
        <v>2691910.04</v>
      </c>
      <c r="T23" s="341" t="s">
        <v>304</v>
      </c>
      <c r="U23" s="342">
        <v>5301010301</v>
      </c>
      <c r="V23" s="342" t="s">
        <v>340</v>
      </c>
    </row>
    <row r="24" customHeight="1" spans="1:22">
      <c r="A24" s="343" t="s">
        <v>192</v>
      </c>
      <c r="B24" s="343">
        <v>400224</v>
      </c>
      <c r="C24" s="343" t="s">
        <v>341</v>
      </c>
      <c r="D24" s="344">
        <v>1</v>
      </c>
      <c r="E24" s="343" t="s">
        <v>342</v>
      </c>
      <c r="F24" s="345">
        <v>46056</v>
      </c>
      <c r="G24" s="345">
        <v>46056</v>
      </c>
      <c r="H24" s="343">
        <v>202603</v>
      </c>
      <c r="I24" s="344">
        <v>120</v>
      </c>
      <c r="J24" s="342">
        <v>118</v>
      </c>
      <c r="K24" s="346">
        <v>0</v>
      </c>
      <c r="L24" s="346">
        <v>908210.92</v>
      </c>
      <c r="M24" s="346"/>
      <c r="N24" s="346">
        <f t="shared" si="0"/>
        <v>908210.92</v>
      </c>
      <c r="O24" s="347">
        <v>14380</v>
      </c>
      <c r="P24" s="347">
        <v>14380</v>
      </c>
      <c r="Q24" s="347">
        <v>893830.92</v>
      </c>
      <c r="R24" s="342">
        <v>0</v>
      </c>
      <c r="S24" s="347">
        <v>893830.92</v>
      </c>
      <c r="T24" s="341" t="s">
        <v>299</v>
      </c>
      <c r="U24" s="342">
        <v>510102</v>
      </c>
      <c r="V24" s="342" t="s">
        <v>343</v>
      </c>
    </row>
    <row r="25" customHeight="1" spans="1:22">
      <c r="A25" s="343" t="s">
        <v>192</v>
      </c>
      <c r="B25" s="343">
        <v>400225</v>
      </c>
      <c r="C25" s="343" t="s">
        <v>344</v>
      </c>
      <c r="D25" s="344">
        <v>1</v>
      </c>
      <c r="E25" s="343" t="s">
        <v>345</v>
      </c>
      <c r="F25" s="345">
        <v>46142</v>
      </c>
      <c r="G25" s="345">
        <v>46142</v>
      </c>
      <c r="H25" s="343">
        <v>202605</v>
      </c>
      <c r="I25" s="344">
        <v>120</v>
      </c>
      <c r="J25" s="342">
        <v>120</v>
      </c>
      <c r="K25" s="346">
        <v>0</v>
      </c>
      <c r="L25" s="346">
        <v>1298078.6</v>
      </c>
      <c r="M25" s="346"/>
      <c r="N25" s="346">
        <f t="shared" si="0"/>
        <v>1298078.6</v>
      </c>
      <c r="O25" s="342">
        <v>0</v>
      </c>
      <c r="P25" s="347">
        <v>0</v>
      </c>
      <c r="Q25" s="347">
        <v>1298078.6</v>
      </c>
      <c r="R25" s="342">
        <v>0</v>
      </c>
      <c r="S25" s="347">
        <v>1298078.6</v>
      </c>
      <c r="T25" s="341" t="s">
        <v>299</v>
      </c>
      <c r="U25" s="342">
        <v>510102</v>
      </c>
      <c r="V25" s="342" t="s">
        <v>346</v>
      </c>
    </row>
    <row r="26" customHeight="1" spans="1:22">
      <c r="A26" s="343" t="s">
        <v>192</v>
      </c>
      <c r="B26" s="343">
        <v>400226</v>
      </c>
      <c r="C26" s="343" t="s">
        <v>347</v>
      </c>
      <c r="D26" s="344">
        <v>1</v>
      </c>
      <c r="E26" s="343" t="s">
        <v>348</v>
      </c>
      <c r="F26" s="345">
        <v>46142</v>
      </c>
      <c r="G26" s="345">
        <v>46142</v>
      </c>
      <c r="H26" s="343">
        <v>202605</v>
      </c>
      <c r="I26" s="344">
        <v>120</v>
      </c>
      <c r="J26" s="342">
        <v>120</v>
      </c>
      <c r="K26" s="346">
        <v>0</v>
      </c>
      <c r="L26" s="346">
        <v>797238.75</v>
      </c>
      <c r="M26" s="346"/>
      <c r="N26" s="346">
        <f t="shared" si="0"/>
        <v>797238.75</v>
      </c>
      <c r="O26" s="342">
        <v>0</v>
      </c>
      <c r="P26" s="347">
        <v>0</v>
      </c>
      <c r="Q26" s="347">
        <v>797238.75</v>
      </c>
      <c r="R26" s="342">
        <v>0</v>
      </c>
      <c r="S26" s="347">
        <v>797238.75</v>
      </c>
      <c r="T26" s="341" t="s">
        <v>304</v>
      </c>
      <c r="U26" s="342">
        <v>5301010301</v>
      </c>
      <c r="V26" s="342" t="s">
        <v>349</v>
      </c>
    </row>
    <row r="27" customHeight="1" spans="1:22">
      <c r="A27" s="343" t="s">
        <v>194</v>
      </c>
      <c r="B27" s="343">
        <v>500001</v>
      </c>
      <c r="C27" s="343" t="s">
        <v>350</v>
      </c>
      <c r="D27" s="344">
        <v>1</v>
      </c>
      <c r="E27" s="343"/>
      <c r="F27" s="345">
        <v>44855</v>
      </c>
      <c r="G27" s="345">
        <v>44855</v>
      </c>
      <c r="H27" s="343">
        <v>202211</v>
      </c>
      <c r="I27" s="344">
        <v>48</v>
      </c>
      <c r="J27" s="342">
        <v>6</v>
      </c>
      <c r="K27" s="346">
        <v>20092.92</v>
      </c>
      <c r="L27" s="346"/>
      <c r="M27" s="346"/>
      <c r="N27" s="346">
        <f t="shared" si="0"/>
        <v>20092.92</v>
      </c>
      <c r="O27" s="347">
        <v>1590.7</v>
      </c>
      <c r="P27" s="347">
        <v>16702.22</v>
      </c>
      <c r="Q27" s="347">
        <v>3390.7</v>
      </c>
      <c r="R27" s="342">
        <v>0</v>
      </c>
      <c r="S27" s="347">
        <v>3390.7</v>
      </c>
      <c r="T27" s="341" t="s">
        <v>296</v>
      </c>
      <c r="U27" s="342">
        <v>66021205</v>
      </c>
      <c r="V27" s="342"/>
    </row>
    <row r="28" customHeight="1" spans="1:22">
      <c r="A28" s="343" t="s">
        <v>194</v>
      </c>
      <c r="B28" s="343">
        <v>500002</v>
      </c>
      <c r="C28" s="343" t="s">
        <v>351</v>
      </c>
      <c r="D28" s="344">
        <v>1</v>
      </c>
      <c r="E28" s="343"/>
      <c r="F28" s="345">
        <v>44855</v>
      </c>
      <c r="G28" s="345">
        <v>44855</v>
      </c>
      <c r="H28" s="343">
        <v>202211</v>
      </c>
      <c r="I28" s="344">
        <v>48</v>
      </c>
      <c r="J28" s="342">
        <v>6</v>
      </c>
      <c r="K28" s="346">
        <v>72721.24</v>
      </c>
      <c r="L28" s="346"/>
      <c r="M28" s="346"/>
      <c r="N28" s="346">
        <f t="shared" si="0"/>
        <v>72721.24</v>
      </c>
      <c r="O28" s="347">
        <v>5757.1</v>
      </c>
      <c r="P28" s="347">
        <v>60449.53</v>
      </c>
      <c r="Q28" s="347">
        <v>12271.71</v>
      </c>
      <c r="R28" s="342">
        <v>0</v>
      </c>
      <c r="S28" s="347">
        <v>12271.71</v>
      </c>
      <c r="T28" s="341" t="s">
        <v>296</v>
      </c>
      <c r="U28" s="342">
        <v>66021205</v>
      </c>
      <c r="V28" s="342"/>
    </row>
    <row r="29" customHeight="1" spans="1:22">
      <c r="A29" s="343" t="s">
        <v>194</v>
      </c>
      <c r="B29" s="343">
        <v>500003</v>
      </c>
      <c r="C29" s="343" t="s">
        <v>352</v>
      </c>
      <c r="D29" s="344">
        <v>1</v>
      </c>
      <c r="E29" s="343" t="s">
        <v>353</v>
      </c>
      <c r="F29" s="345">
        <v>45657</v>
      </c>
      <c r="G29" s="345">
        <v>45657</v>
      </c>
      <c r="H29" s="343">
        <v>202501</v>
      </c>
      <c r="I29" s="344">
        <v>60</v>
      </c>
      <c r="J29" s="342">
        <v>44</v>
      </c>
      <c r="K29" s="346">
        <v>1371.68</v>
      </c>
      <c r="L29" s="346"/>
      <c r="M29" s="346"/>
      <c r="N29" s="346">
        <f t="shared" si="0"/>
        <v>1371.68</v>
      </c>
      <c r="O29" s="342">
        <v>86.88</v>
      </c>
      <c r="P29" s="347">
        <v>347.52</v>
      </c>
      <c r="Q29" s="347">
        <v>1024.16</v>
      </c>
      <c r="R29" s="342">
        <v>0</v>
      </c>
      <c r="S29" s="347">
        <v>1024.16</v>
      </c>
      <c r="T29" s="341" t="s">
        <v>296</v>
      </c>
      <c r="U29" s="342">
        <v>66021205</v>
      </c>
      <c r="V29" s="342"/>
    </row>
    <row r="30" customHeight="1" spans="1:22">
      <c r="A30" s="343" t="s">
        <v>194</v>
      </c>
      <c r="B30" s="343">
        <v>500004</v>
      </c>
      <c r="C30" s="343" t="s">
        <v>354</v>
      </c>
      <c r="D30" s="344">
        <v>1</v>
      </c>
      <c r="E30" s="343" t="s">
        <v>355</v>
      </c>
      <c r="F30" s="345">
        <v>45742</v>
      </c>
      <c r="G30" s="345">
        <v>45742</v>
      </c>
      <c r="H30" s="343">
        <v>202504</v>
      </c>
      <c r="I30" s="344">
        <v>48</v>
      </c>
      <c r="J30" s="342">
        <v>35</v>
      </c>
      <c r="K30" s="346">
        <v>2477.88</v>
      </c>
      <c r="L30" s="346"/>
      <c r="M30" s="346"/>
      <c r="N30" s="346">
        <f t="shared" si="0"/>
        <v>2477.88</v>
      </c>
      <c r="O30" s="342">
        <v>196.16</v>
      </c>
      <c r="P30" s="347">
        <v>637.52</v>
      </c>
      <c r="Q30" s="347">
        <v>1840.36</v>
      </c>
      <c r="R30" s="342">
        <v>0</v>
      </c>
      <c r="S30" s="347">
        <v>1840.36</v>
      </c>
      <c r="T30" s="341" t="s">
        <v>296</v>
      </c>
      <c r="U30" s="342">
        <v>66021205</v>
      </c>
      <c r="V30" s="342"/>
    </row>
    <row r="31" customHeight="1" spans="1:22">
      <c r="A31" s="343" t="s">
        <v>194</v>
      </c>
      <c r="B31" s="343">
        <v>500005</v>
      </c>
      <c r="C31" s="343" t="s">
        <v>356</v>
      </c>
      <c r="D31" s="344">
        <v>2</v>
      </c>
      <c r="E31" s="343" t="s">
        <v>357</v>
      </c>
      <c r="F31" s="345">
        <v>45964</v>
      </c>
      <c r="G31" s="345">
        <v>45964</v>
      </c>
      <c r="H31" s="343">
        <v>202512</v>
      </c>
      <c r="I31" s="344">
        <v>48</v>
      </c>
      <c r="J31" s="342">
        <v>43</v>
      </c>
      <c r="K31" s="346">
        <v>18584.07</v>
      </c>
      <c r="L31" s="346"/>
      <c r="M31" s="346"/>
      <c r="N31" s="346">
        <f t="shared" si="0"/>
        <v>18584.07</v>
      </c>
      <c r="O31" s="347">
        <v>1471.24</v>
      </c>
      <c r="P31" s="347">
        <v>1839.05</v>
      </c>
      <c r="Q31" s="347">
        <v>16745.02</v>
      </c>
      <c r="R31" s="342">
        <v>0</v>
      </c>
      <c r="S31" s="347">
        <v>16745.02</v>
      </c>
      <c r="T31" s="341" t="s">
        <v>296</v>
      </c>
      <c r="U31" s="342">
        <v>66021205</v>
      </c>
      <c r="V31" s="342" t="s">
        <v>358</v>
      </c>
    </row>
    <row r="32" customHeight="1" spans="1:22">
      <c r="A32" s="343" t="s">
        <v>191</v>
      </c>
      <c r="B32" s="343">
        <v>600001</v>
      </c>
      <c r="C32" s="343" t="s">
        <v>359</v>
      </c>
      <c r="D32" s="344">
        <v>1</v>
      </c>
      <c r="E32" s="343"/>
      <c r="F32" s="345">
        <v>45657</v>
      </c>
      <c r="G32" s="345">
        <v>45657</v>
      </c>
      <c r="H32" s="343">
        <v>202501</v>
      </c>
      <c r="I32" s="344">
        <v>120</v>
      </c>
      <c r="J32" s="342">
        <v>104</v>
      </c>
      <c r="K32" s="346">
        <v>2238913.8</v>
      </c>
      <c r="L32" s="346"/>
      <c r="M32" s="346"/>
      <c r="N32" s="346">
        <f t="shared" si="0"/>
        <v>2238913.8</v>
      </c>
      <c r="O32" s="347">
        <v>70898.92</v>
      </c>
      <c r="P32" s="347">
        <v>283595.68</v>
      </c>
      <c r="Q32" s="347">
        <v>1955318.12</v>
      </c>
      <c r="R32" s="342">
        <v>0</v>
      </c>
      <c r="S32" s="347">
        <v>1955318.12</v>
      </c>
      <c r="T32" s="341" t="s">
        <v>296</v>
      </c>
      <c r="U32" s="342">
        <v>66021206</v>
      </c>
      <c r="V32" s="342"/>
    </row>
    <row r="33" customHeight="1" spans="1:22">
      <c r="A33" s="343" t="s">
        <v>191</v>
      </c>
      <c r="B33" s="343">
        <v>600002</v>
      </c>
      <c r="C33" s="343" t="s">
        <v>296</v>
      </c>
      <c r="D33" s="344">
        <v>1</v>
      </c>
      <c r="E33" s="343"/>
      <c r="F33" s="345">
        <v>45657</v>
      </c>
      <c r="G33" s="345">
        <v>45657</v>
      </c>
      <c r="H33" s="343">
        <v>202501</v>
      </c>
      <c r="I33" s="344">
        <v>240</v>
      </c>
      <c r="J33" s="342">
        <v>224</v>
      </c>
      <c r="K33" s="346">
        <v>19391182.2</v>
      </c>
      <c r="L33" s="346"/>
      <c r="M33" s="346"/>
      <c r="N33" s="346">
        <f t="shared" si="0"/>
        <v>19391182.2</v>
      </c>
      <c r="O33" s="347">
        <v>307027.04</v>
      </c>
      <c r="P33" s="347">
        <v>1228108.16</v>
      </c>
      <c r="Q33" s="347">
        <v>18163074.04</v>
      </c>
      <c r="R33" s="342">
        <v>0</v>
      </c>
      <c r="S33" s="347">
        <v>18163074.04</v>
      </c>
      <c r="T33" s="341" t="s">
        <v>296</v>
      </c>
      <c r="U33" s="342">
        <v>66021206</v>
      </c>
      <c r="V33" s="342"/>
    </row>
    <row r="34" customHeight="1" spans="1:22">
      <c r="A34" s="343" t="s">
        <v>191</v>
      </c>
      <c r="B34" s="343">
        <v>600003</v>
      </c>
      <c r="C34" s="343" t="s">
        <v>360</v>
      </c>
      <c r="D34" s="344">
        <v>1</v>
      </c>
      <c r="E34" s="343"/>
      <c r="F34" s="345">
        <v>45889</v>
      </c>
      <c r="G34" s="345">
        <v>45889</v>
      </c>
      <c r="H34" s="343">
        <v>202508</v>
      </c>
      <c r="I34" s="344">
        <v>240</v>
      </c>
      <c r="J34" s="342">
        <v>231</v>
      </c>
      <c r="K34" s="346">
        <v>2161467.89</v>
      </c>
      <c r="L34" s="346"/>
      <c r="M34" s="346"/>
      <c r="N34" s="346">
        <f t="shared" si="0"/>
        <v>2161467.89</v>
      </c>
      <c r="O34" s="347">
        <v>34223.24</v>
      </c>
      <c r="P34" s="347">
        <v>77002.29</v>
      </c>
      <c r="Q34" s="347">
        <v>2084465.6</v>
      </c>
      <c r="R34" s="342">
        <v>0</v>
      </c>
      <c r="S34" s="347">
        <v>2084465.6</v>
      </c>
      <c r="T34" s="341" t="s">
        <v>296</v>
      </c>
      <c r="U34" s="342">
        <v>66021206</v>
      </c>
      <c r="V34" s="342"/>
    </row>
    <row r="35" customHeight="1" spans="1:22">
      <c r="A35" s="343" t="s">
        <v>193</v>
      </c>
      <c r="B35" s="343">
        <v>300095</v>
      </c>
      <c r="C35" s="343" t="s">
        <v>361</v>
      </c>
      <c r="D35" s="344">
        <v>5</v>
      </c>
      <c r="E35" s="343"/>
      <c r="F35" s="345">
        <v>45320</v>
      </c>
      <c r="G35" s="345">
        <v>45320</v>
      </c>
      <c r="H35" s="343">
        <v>202402</v>
      </c>
      <c r="I35" s="344">
        <v>60</v>
      </c>
      <c r="J35" s="342">
        <v>33</v>
      </c>
      <c r="K35" s="346">
        <v>7566.37</v>
      </c>
      <c r="L35" s="346"/>
      <c r="M35" s="346"/>
      <c r="N35" s="346">
        <f t="shared" si="0"/>
        <v>7566.37</v>
      </c>
      <c r="O35" s="342">
        <v>479.2</v>
      </c>
      <c r="P35" s="347">
        <v>3234.6</v>
      </c>
      <c r="Q35" s="347">
        <v>4331.77</v>
      </c>
      <c r="R35" s="342">
        <v>0</v>
      </c>
      <c r="S35" s="347">
        <v>4331.77</v>
      </c>
      <c r="T35" s="341" t="s">
        <v>362</v>
      </c>
      <c r="U35" s="342">
        <v>66021203</v>
      </c>
      <c r="V35" s="342"/>
    </row>
    <row r="36" customHeight="1" spans="1:22">
      <c r="A36" s="343" t="s">
        <v>193</v>
      </c>
      <c r="B36" s="343">
        <v>300096</v>
      </c>
      <c r="C36" s="343" t="s">
        <v>363</v>
      </c>
      <c r="D36" s="344">
        <v>10</v>
      </c>
      <c r="E36" s="343"/>
      <c r="F36" s="345">
        <v>45320</v>
      </c>
      <c r="G36" s="345">
        <v>45320</v>
      </c>
      <c r="H36" s="343">
        <v>202402</v>
      </c>
      <c r="I36" s="344">
        <v>60</v>
      </c>
      <c r="J36" s="342">
        <v>33</v>
      </c>
      <c r="K36" s="346">
        <v>9831.86</v>
      </c>
      <c r="L36" s="346"/>
      <c r="M36" s="346"/>
      <c r="N36" s="346">
        <f t="shared" si="0"/>
        <v>9831.86</v>
      </c>
      <c r="O36" s="342">
        <v>622.68</v>
      </c>
      <c r="P36" s="347">
        <v>4203.09</v>
      </c>
      <c r="Q36" s="347">
        <v>5628.77</v>
      </c>
      <c r="R36" s="342">
        <v>0</v>
      </c>
      <c r="S36" s="347">
        <v>5628.77</v>
      </c>
      <c r="T36" s="341" t="s">
        <v>362</v>
      </c>
      <c r="U36" s="342">
        <v>66021203</v>
      </c>
      <c r="V36" s="342"/>
    </row>
    <row r="37" customHeight="1" spans="1:22">
      <c r="A37" s="343" t="s">
        <v>193</v>
      </c>
      <c r="B37" s="343">
        <v>300097</v>
      </c>
      <c r="C37" s="343" t="s">
        <v>364</v>
      </c>
      <c r="D37" s="344">
        <v>1</v>
      </c>
      <c r="E37" s="343"/>
      <c r="F37" s="345">
        <v>45320</v>
      </c>
      <c r="G37" s="345">
        <v>45320</v>
      </c>
      <c r="H37" s="343">
        <v>202402</v>
      </c>
      <c r="I37" s="344">
        <v>60</v>
      </c>
      <c r="J37" s="342">
        <v>33</v>
      </c>
      <c r="K37" s="346">
        <v>1250.44</v>
      </c>
      <c r="L37" s="346"/>
      <c r="M37" s="346"/>
      <c r="N37" s="346">
        <f t="shared" si="0"/>
        <v>1250.44</v>
      </c>
      <c r="O37" s="342">
        <v>79.2</v>
      </c>
      <c r="P37" s="347">
        <v>534.6</v>
      </c>
      <c r="Q37" s="342">
        <v>715.84</v>
      </c>
      <c r="R37" s="342">
        <v>0</v>
      </c>
      <c r="S37" s="342">
        <v>715.84</v>
      </c>
      <c r="T37" s="341" t="s">
        <v>362</v>
      </c>
      <c r="U37" s="342">
        <v>66021203</v>
      </c>
      <c r="V37" s="342"/>
    </row>
    <row r="38" customHeight="1" spans="1:22">
      <c r="A38" s="343" t="s">
        <v>193</v>
      </c>
      <c r="B38" s="343">
        <v>300098</v>
      </c>
      <c r="C38" s="343" t="s">
        <v>365</v>
      </c>
      <c r="D38" s="344">
        <v>20</v>
      </c>
      <c r="E38" s="343"/>
      <c r="F38" s="345">
        <v>45320</v>
      </c>
      <c r="G38" s="345">
        <v>45320</v>
      </c>
      <c r="H38" s="343">
        <v>202402</v>
      </c>
      <c r="I38" s="344">
        <v>60</v>
      </c>
      <c r="J38" s="342">
        <v>33</v>
      </c>
      <c r="K38" s="346">
        <v>8761.06</v>
      </c>
      <c r="L38" s="346"/>
      <c r="M38" s="346"/>
      <c r="N38" s="346">
        <f t="shared" si="0"/>
        <v>8761.06</v>
      </c>
      <c r="O38" s="342">
        <v>554.86</v>
      </c>
      <c r="P38" s="347">
        <v>3745.42</v>
      </c>
      <c r="Q38" s="347">
        <v>5015.64</v>
      </c>
      <c r="R38" s="342">
        <v>0</v>
      </c>
      <c r="S38" s="347">
        <v>5015.64</v>
      </c>
      <c r="T38" s="341" t="s">
        <v>362</v>
      </c>
      <c r="U38" s="342">
        <v>66021203</v>
      </c>
      <c r="V38" s="342"/>
    </row>
    <row r="39" customHeight="1" spans="1:22">
      <c r="A39" s="343" t="s">
        <v>193</v>
      </c>
      <c r="B39" s="343">
        <v>300099</v>
      </c>
      <c r="C39" s="343" t="s">
        <v>366</v>
      </c>
      <c r="D39" s="344">
        <v>1</v>
      </c>
      <c r="E39" s="343"/>
      <c r="F39" s="345">
        <v>45320</v>
      </c>
      <c r="G39" s="345">
        <v>45320</v>
      </c>
      <c r="H39" s="343">
        <v>202402</v>
      </c>
      <c r="I39" s="344">
        <v>60</v>
      </c>
      <c r="J39" s="342">
        <v>33</v>
      </c>
      <c r="K39" s="346">
        <v>2389.38</v>
      </c>
      <c r="L39" s="346"/>
      <c r="M39" s="346"/>
      <c r="N39" s="346">
        <f t="shared" si="0"/>
        <v>2389.38</v>
      </c>
      <c r="O39" s="342">
        <v>151.32</v>
      </c>
      <c r="P39" s="347">
        <v>1021.41</v>
      </c>
      <c r="Q39" s="347">
        <v>1367.97</v>
      </c>
      <c r="R39" s="342">
        <v>0</v>
      </c>
      <c r="S39" s="347">
        <v>1367.97</v>
      </c>
      <c r="T39" s="341" t="s">
        <v>362</v>
      </c>
      <c r="U39" s="342">
        <v>66021203</v>
      </c>
      <c r="V39" s="342"/>
    </row>
    <row r="40" customHeight="1" spans="1:22">
      <c r="A40" s="343" t="s">
        <v>193</v>
      </c>
      <c r="B40" s="343">
        <v>300100</v>
      </c>
      <c r="C40" s="343" t="s">
        <v>367</v>
      </c>
      <c r="D40" s="344">
        <v>25</v>
      </c>
      <c r="E40" s="343"/>
      <c r="F40" s="345">
        <v>45320</v>
      </c>
      <c r="G40" s="345">
        <v>45320</v>
      </c>
      <c r="H40" s="343">
        <v>202402</v>
      </c>
      <c r="I40" s="344">
        <v>60</v>
      </c>
      <c r="J40" s="342">
        <v>33</v>
      </c>
      <c r="K40" s="346">
        <v>5796.46</v>
      </c>
      <c r="L40" s="346"/>
      <c r="M40" s="346"/>
      <c r="N40" s="346">
        <f t="shared" si="0"/>
        <v>5796.46</v>
      </c>
      <c r="O40" s="342">
        <v>367.12</v>
      </c>
      <c r="P40" s="347">
        <v>2478.06</v>
      </c>
      <c r="Q40" s="347">
        <v>3318.4</v>
      </c>
      <c r="R40" s="342">
        <v>0</v>
      </c>
      <c r="S40" s="347">
        <v>3318.4</v>
      </c>
      <c r="T40" s="341" t="s">
        <v>362</v>
      </c>
      <c r="U40" s="342">
        <v>66021203</v>
      </c>
      <c r="V40" s="342"/>
    </row>
    <row r="41" customHeight="1" spans="1:22">
      <c r="A41" s="343" t="s">
        <v>193</v>
      </c>
      <c r="B41" s="343">
        <v>300101</v>
      </c>
      <c r="C41" s="343" t="s">
        <v>368</v>
      </c>
      <c r="D41" s="344">
        <v>1</v>
      </c>
      <c r="E41" s="343"/>
      <c r="F41" s="345">
        <v>45320</v>
      </c>
      <c r="G41" s="345">
        <v>45320</v>
      </c>
      <c r="H41" s="343">
        <v>202402</v>
      </c>
      <c r="I41" s="344">
        <v>60</v>
      </c>
      <c r="J41" s="342">
        <v>33</v>
      </c>
      <c r="K41" s="346">
        <v>14803.54</v>
      </c>
      <c r="L41" s="346"/>
      <c r="M41" s="346"/>
      <c r="N41" s="346">
        <f t="shared" si="0"/>
        <v>14803.54</v>
      </c>
      <c r="O41" s="342">
        <v>937.56</v>
      </c>
      <c r="P41" s="347">
        <v>6328.53</v>
      </c>
      <c r="Q41" s="347">
        <v>8475.01</v>
      </c>
      <c r="R41" s="342">
        <v>0</v>
      </c>
      <c r="S41" s="347">
        <v>8475.01</v>
      </c>
      <c r="T41" s="341" t="s">
        <v>362</v>
      </c>
      <c r="U41" s="342">
        <v>66021203</v>
      </c>
      <c r="V41" s="342"/>
    </row>
    <row r="42" customHeight="1" spans="1:22">
      <c r="A42" s="343" t="s">
        <v>193</v>
      </c>
      <c r="B42" s="343">
        <v>300102</v>
      </c>
      <c r="C42" s="343" t="s">
        <v>369</v>
      </c>
      <c r="D42" s="344">
        <v>6</v>
      </c>
      <c r="E42" s="343"/>
      <c r="F42" s="345">
        <v>45320</v>
      </c>
      <c r="G42" s="345">
        <v>45320</v>
      </c>
      <c r="H42" s="343">
        <v>202402</v>
      </c>
      <c r="I42" s="344">
        <v>60</v>
      </c>
      <c r="J42" s="342">
        <v>33</v>
      </c>
      <c r="K42" s="346">
        <v>7391.15</v>
      </c>
      <c r="L42" s="346"/>
      <c r="M42" s="346"/>
      <c r="N42" s="346">
        <f t="shared" si="0"/>
        <v>7391.15</v>
      </c>
      <c r="O42" s="342">
        <v>468.1</v>
      </c>
      <c r="P42" s="347">
        <v>3159.77</v>
      </c>
      <c r="Q42" s="347">
        <v>4231.38</v>
      </c>
      <c r="R42" s="342">
        <v>0</v>
      </c>
      <c r="S42" s="347">
        <v>4231.38</v>
      </c>
      <c r="T42" s="341" t="s">
        <v>362</v>
      </c>
      <c r="U42" s="342">
        <v>66021203</v>
      </c>
      <c r="V42" s="342"/>
    </row>
    <row r="43" customHeight="1" spans="1:22">
      <c r="A43" s="343" t="s">
        <v>193</v>
      </c>
      <c r="B43" s="343">
        <v>300103</v>
      </c>
      <c r="C43" s="343" t="s">
        <v>370</v>
      </c>
      <c r="D43" s="344">
        <v>1</v>
      </c>
      <c r="E43" s="343"/>
      <c r="F43" s="345">
        <v>45320</v>
      </c>
      <c r="G43" s="345">
        <v>45320</v>
      </c>
      <c r="H43" s="343">
        <v>202402</v>
      </c>
      <c r="I43" s="344">
        <v>60</v>
      </c>
      <c r="J43" s="342">
        <v>33</v>
      </c>
      <c r="K43" s="346">
        <v>3080.53</v>
      </c>
      <c r="L43" s="346"/>
      <c r="M43" s="346"/>
      <c r="N43" s="346">
        <f t="shared" si="0"/>
        <v>3080.53</v>
      </c>
      <c r="O43" s="342">
        <v>195.1</v>
      </c>
      <c r="P43" s="347">
        <v>1316.93</v>
      </c>
      <c r="Q43" s="347">
        <v>1763.6</v>
      </c>
      <c r="R43" s="342">
        <v>0</v>
      </c>
      <c r="S43" s="347">
        <v>1763.6</v>
      </c>
      <c r="T43" s="341" t="s">
        <v>362</v>
      </c>
      <c r="U43" s="342">
        <v>66021203</v>
      </c>
      <c r="V43" s="342"/>
    </row>
    <row r="44" customHeight="1" spans="1:22">
      <c r="A44" s="343" t="s">
        <v>193</v>
      </c>
      <c r="B44" s="343">
        <v>300104</v>
      </c>
      <c r="C44" s="343" t="s">
        <v>371</v>
      </c>
      <c r="D44" s="344">
        <v>1</v>
      </c>
      <c r="E44" s="343"/>
      <c r="F44" s="345">
        <v>45320</v>
      </c>
      <c r="G44" s="345">
        <v>45320</v>
      </c>
      <c r="H44" s="343">
        <v>202402</v>
      </c>
      <c r="I44" s="344">
        <v>60</v>
      </c>
      <c r="J44" s="342">
        <v>33</v>
      </c>
      <c r="K44" s="346">
        <v>823.89</v>
      </c>
      <c r="L44" s="346"/>
      <c r="M44" s="346"/>
      <c r="N44" s="346">
        <f t="shared" si="0"/>
        <v>823.89</v>
      </c>
      <c r="O44" s="342">
        <v>52.18</v>
      </c>
      <c r="P44" s="347">
        <v>352.22</v>
      </c>
      <c r="Q44" s="342">
        <v>471.67</v>
      </c>
      <c r="R44" s="342">
        <v>0</v>
      </c>
      <c r="S44" s="342">
        <v>471.67</v>
      </c>
      <c r="T44" s="341" t="s">
        <v>362</v>
      </c>
      <c r="U44" s="342">
        <v>66021203</v>
      </c>
      <c r="V44" s="342"/>
    </row>
    <row r="45" customHeight="1" spans="1:22">
      <c r="A45" s="343" t="s">
        <v>193</v>
      </c>
      <c r="B45" s="343">
        <v>300105</v>
      </c>
      <c r="C45" s="343" t="s">
        <v>372</v>
      </c>
      <c r="D45" s="344">
        <v>1</v>
      </c>
      <c r="E45" s="343"/>
      <c r="F45" s="345">
        <v>45320</v>
      </c>
      <c r="G45" s="345">
        <v>45320</v>
      </c>
      <c r="H45" s="343">
        <v>202402</v>
      </c>
      <c r="I45" s="344">
        <v>60</v>
      </c>
      <c r="J45" s="342">
        <v>33</v>
      </c>
      <c r="K45" s="346">
        <v>3803.54</v>
      </c>
      <c r="L45" s="346"/>
      <c r="M45" s="346"/>
      <c r="N45" s="346">
        <f t="shared" si="0"/>
        <v>3803.54</v>
      </c>
      <c r="O45" s="342">
        <v>240.88</v>
      </c>
      <c r="P45" s="347">
        <v>1625.94</v>
      </c>
      <c r="Q45" s="347">
        <v>2177.6</v>
      </c>
      <c r="R45" s="342">
        <v>0</v>
      </c>
      <c r="S45" s="347">
        <v>2177.6</v>
      </c>
      <c r="T45" s="341" t="s">
        <v>362</v>
      </c>
      <c r="U45" s="342">
        <v>66021203</v>
      </c>
      <c r="V45" s="342"/>
    </row>
    <row r="46" customHeight="1" spans="1:22">
      <c r="A46" s="343" t="s">
        <v>193</v>
      </c>
      <c r="B46" s="343">
        <v>300106</v>
      </c>
      <c r="C46" s="343" t="s">
        <v>373</v>
      </c>
      <c r="D46" s="344">
        <v>1</v>
      </c>
      <c r="E46" s="343" t="s">
        <v>374</v>
      </c>
      <c r="F46" s="345">
        <v>45320</v>
      </c>
      <c r="G46" s="345">
        <v>45320</v>
      </c>
      <c r="H46" s="343">
        <v>202402</v>
      </c>
      <c r="I46" s="344">
        <v>60</v>
      </c>
      <c r="J46" s="342">
        <v>33</v>
      </c>
      <c r="K46" s="346">
        <v>597.35</v>
      </c>
      <c r="L46" s="346"/>
      <c r="M46" s="346"/>
      <c r="N46" s="346">
        <f t="shared" si="0"/>
        <v>597.35</v>
      </c>
      <c r="O46" s="342">
        <v>37.84</v>
      </c>
      <c r="P46" s="347">
        <v>255.42</v>
      </c>
      <c r="Q46" s="342">
        <v>341.93</v>
      </c>
      <c r="R46" s="342">
        <v>0</v>
      </c>
      <c r="S46" s="342">
        <v>341.93</v>
      </c>
      <c r="T46" s="341" t="s">
        <v>362</v>
      </c>
      <c r="U46" s="342">
        <v>66021203</v>
      </c>
      <c r="V46" s="342"/>
    </row>
    <row r="47" customHeight="1" spans="1:22">
      <c r="A47" s="343" t="s">
        <v>193</v>
      </c>
      <c r="B47" s="343">
        <v>300107</v>
      </c>
      <c r="C47" s="343" t="s">
        <v>373</v>
      </c>
      <c r="D47" s="344">
        <v>2</v>
      </c>
      <c r="E47" s="343" t="s">
        <v>375</v>
      </c>
      <c r="F47" s="345">
        <v>45320</v>
      </c>
      <c r="G47" s="345">
        <v>45320</v>
      </c>
      <c r="H47" s="343">
        <v>202402</v>
      </c>
      <c r="I47" s="344">
        <v>60</v>
      </c>
      <c r="J47" s="342">
        <v>33</v>
      </c>
      <c r="K47" s="346">
        <v>955.75</v>
      </c>
      <c r="L47" s="346"/>
      <c r="M47" s="346"/>
      <c r="N47" s="346">
        <f t="shared" si="0"/>
        <v>955.75</v>
      </c>
      <c r="O47" s="342">
        <v>60.52</v>
      </c>
      <c r="P47" s="347">
        <v>408.51</v>
      </c>
      <c r="Q47" s="342">
        <v>547.24</v>
      </c>
      <c r="R47" s="342">
        <v>0</v>
      </c>
      <c r="S47" s="342">
        <v>547.24</v>
      </c>
      <c r="T47" s="341" t="s">
        <v>362</v>
      </c>
      <c r="U47" s="342">
        <v>66021203</v>
      </c>
      <c r="V47" s="342"/>
    </row>
    <row r="48" customHeight="1" spans="1:22">
      <c r="A48" s="343" t="s">
        <v>193</v>
      </c>
      <c r="B48" s="343">
        <v>300108</v>
      </c>
      <c r="C48" s="343" t="s">
        <v>376</v>
      </c>
      <c r="D48" s="344">
        <v>15</v>
      </c>
      <c r="E48" s="343" t="s">
        <v>375</v>
      </c>
      <c r="F48" s="345">
        <v>45320</v>
      </c>
      <c r="G48" s="345">
        <v>45320</v>
      </c>
      <c r="H48" s="343">
        <v>202402</v>
      </c>
      <c r="I48" s="344">
        <v>60</v>
      </c>
      <c r="J48" s="342">
        <v>33</v>
      </c>
      <c r="K48" s="346">
        <v>22101.77</v>
      </c>
      <c r="L48" s="346"/>
      <c r="M48" s="346"/>
      <c r="N48" s="346">
        <f t="shared" si="0"/>
        <v>22101.77</v>
      </c>
      <c r="O48" s="347">
        <v>1399.78</v>
      </c>
      <c r="P48" s="347">
        <v>9448.5</v>
      </c>
      <c r="Q48" s="347">
        <v>12653.27</v>
      </c>
      <c r="R48" s="342">
        <v>0</v>
      </c>
      <c r="S48" s="347">
        <v>12653.27</v>
      </c>
      <c r="T48" s="341" t="s">
        <v>362</v>
      </c>
      <c r="U48" s="342">
        <v>66021203</v>
      </c>
      <c r="V48" s="342"/>
    </row>
    <row r="49" customHeight="1" spans="1:22">
      <c r="A49" s="343" t="s">
        <v>193</v>
      </c>
      <c r="B49" s="343">
        <v>300109</v>
      </c>
      <c r="C49" s="343" t="s">
        <v>377</v>
      </c>
      <c r="D49" s="344">
        <v>1</v>
      </c>
      <c r="E49" s="343"/>
      <c r="F49" s="345">
        <v>45320</v>
      </c>
      <c r="G49" s="345">
        <v>45320</v>
      </c>
      <c r="H49" s="343">
        <v>202402</v>
      </c>
      <c r="I49" s="344">
        <v>60</v>
      </c>
      <c r="J49" s="342">
        <v>33</v>
      </c>
      <c r="K49" s="346">
        <v>3089.38</v>
      </c>
      <c r="L49" s="346"/>
      <c r="M49" s="346"/>
      <c r="N49" s="346">
        <f t="shared" si="0"/>
        <v>3089.38</v>
      </c>
      <c r="O49" s="342">
        <v>195.66</v>
      </c>
      <c r="P49" s="347">
        <v>1320.72</v>
      </c>
      <c r="Q49" s="347">
        <v>1768.66</v>
      </c>
      <c r="R49" s="342">
        <v>0</v>
      </c>
      <c r="S49" s="347">
        <v>1768.66</v>
      </c>
      <c r="T49" s="341" t="s">
        <v>362</v>
      </c>
      <c r="U49" s="342">
        <v>66021203</v>
      </c>
      <c r="V49" s="342"/>
    </row>
    <row r="50" customHeight="1" spans="1:22">
      <c r="A50" s="343" t="s">
        <v>193</v>
      </c>
      <c r="B50" s="343">
        <v>300110</v>
      </c>
      <c r="C50" s="343" t="s">
        <v>378</v>
      </c>
      <c r="D50" s="344">
        <v>2</v>
      </c>
      <c r="E50" s="343"/>
      <c r="F50" s="345">
        <v>45320</v>
      </c>
      <c r="G50" s="345">
        <v>45320</v>
      </c>
      <c r="H50" s="343">
        <v>202402</v>
      </c>
      <c r="I50" s="344">
        <v>60</v>
      </c>
      <c r="J50" s="342">
        <v>33</v>
      </c>
      <c r="K50" s="346">
        <v>14513.27</v>
      </c>
      <c r="L50" s="346"/>
      <c r="M50" s="346"/>
      <c r="N50" s="346">
        <f t="shared" si="0"/>
        <v>14513.27</v>
      </c>
      <c r="O50" s="342">
        <v>919.18</v>
      </c>
      <c r="P50" s="347">
        <v>6204.38</v>
      </c>
      <c r="Q50" s="347">
        <v>8308.89</v>
      </c>
      <c r="R50" s="342">
        <v>0</v>
      </c>
      <c r="S50" s="347">
        <v>8308.89</v>
      </c>
      <c r="T50" s="341" t="s">
        <v>362</v>
      </c>
      <c r="U50" s="342">
        <v>66021203</v>
      </c>
      <c r="V50" s="342"/>
    </row>
    <row r="51" customHeight="1" spans="1:22">
      <c r="A51" s="343" t="s">
        <v>193</v>
      </c>
      <c r="B51" s="343">
        <v>300111</v>
      </c>
      <c r="C51" s="343" t="s">
        <v>379</v>
      </c>
      <c r="D51" s="344">
        <v>1</v>
      </c>
      <c r="E51" s="343"/>
      <c r="F51" s="345">
        <v>45320</v>
      </c>
      <c r="G51" s="345">
        <v>45320</v>
      </c>
      <c r="H51" s="343">
        <v>202402</v>
      </c>
      <c r="I51" s="344">
        <v>60</v>
      </c>
      <c r="J51" s="342">
        <v>33</v>
      </c>
      <c r="K51" s="346">
        <v>9226.55</v>
      </c>
      <c r="L51" s="346"/>
      <c r="M51" s="346"/>
      <c r="N51" s="346">
        <f t="shared" si="0"/>
        <v>9226.55</v>
      </c>
      <c r="O51" s="342">
        <v>584.35</v>
      </c>
      <c r="P51" s="347">
        <v>3944.42</v>
      </c>
      <c r="Q51" s="347">
        <v>5282.13</v>
      </c>
      <c r="R51" s="342">
        <v>0</v>
      </c>
      <c r="S51" s="347">
        <v>5282.13</v>
      </c>
      <c r="T51" s="341" t="s">
        <v>362</v>
      </c>
      <c r="U51" s="342">
        <v>66021203</v>
      </c>
      <c r="V51" s="342"/>
    </row>
    <row r="52" customHeight="1" spans="1:22">
      <c r="A52" s="343" t="s">
        <v>193</v>
      </c>
      <c r="B52" s="343">
        <v>300112</v>
      </c>
      <c r="C52" s="343" t="s">
        <v>380</v>
      </c>
      <c r="D52" s="344">
        <v>8</v>
      </c>
      <c r="E52" s="343"/>
      <c r="F52" s="345">
        <v>45320</v>
      </c>
      <c r="G52" s="345">
        <v>45320</v>
      </c>
      <c r="H52" s="343">
        <v>202402</v>
      </c>
      <c r="I52" s="344">
        <v>60</v>
      </c>
      <c r="J52" s="342">
        <v>33</v>
      </c>
      <c r="K52" s="346">
        <v>7787.61</v>
      </c>
      <c r="L52" s="346"/>
      <c r="M52" s="346"/>
      <c r="N52" s="346">
        <f t="shared" si="0"/>
        <v>7787.61</v>
      </c>
      <c r="O52" s="342">
        <v>493.22</v>
      </c>
      <c r="P52" s="347">
        <v>3329.17</v>
      </c>
      <c r="Q52" s="347">
        <v>4458.44</v>
      </c>
      <c r="R52" s="342">
        <v>0</v>
      </c>
      <c r="S52" s="347">
        <v>4458.44</v>
      </c>
      <c r="T52" s="341" t="s">
        <v>362</v>
      </c>
      <c r="U52" s="342">
        <v>66021203</v>
      </c>
      <c r="V52" s="342"/>
    </row>
    <row r="53" customHeight="1" spans="1:22">
      <c r="A53" s="343" t="s">
        <v>193</v>
      </c>
      <c r="B53" s="343">
        <v>300113</v>
      </c>
      <c r="C53" s="343" t="s">
        <v>381</v>
      </c>
      <c r="D53" s="344">
        <v>64</v>
      </c>
      <c r="E53" s="343"/>
      <c r="F53" s="345">
        <v>45320</v>
      </c>
      <c r="G53" s="345">
        <v>45320</v>
      </c>
      <c r="H53" s="343">
        <v>202402</v>
      </c>
      <c r="I53" s="344">
        <v>60</v>
      </c>
      <c r="J53" s="342">
        <v>33</v>
      </c>
      <c r="K53" s="346">
        <v>45876.11</v>
      </c>
      <c r="L53" s="346"/>
      <c r="M53" s="346"/>
      <c r="N53" s="346">
        <f t="shared" si="0"/>
        <v>45876.11</v>
      </c>
      <c r="O53" s="347">
        <v>2905.48</v>
      </c>
      <c r="P53" s="347">
        <v>19611.99</v>
      </c>
      <c r="Q53" s="347">
        <v>26264.12</v>
      </c>
      <c r="R53" s="342">
        <v>0</v>
      </c>
      <c r="S53" s="347">
        <v>26264.12</v>
      </c>
      <c r="T53" s="341" t="s">
        <v>362</v>
      </c>
      <c r="U53" s="342">
        <v>66021203</v>
      </c>
      <c r="V53" s="342"/>
    </row>
    <row r="54" customHeight="1" spans="1:22">
      <c r="A54" s="343" t="s">
        <v>193</v>
      </c>
      <c r="B54" s="343">
        <v>300114</v>
      </c>
      <c r="C54" s="343" t="s">
        <v>382</v>
      </c>
      <c r="D54" s="344">
        <v>2</v>
      </c>
      <c r="E54" s="343"/>
      <c r="F54" s="345">
        <v>45320</v>
      </c>
      <c r="G54" s="345">
        <v>45320</v>
      </c>
      <c r="H54" s="343">
        <v>202402</v>
      </c>
      <c r="I54" s="344">
        <v>60</v>
      </c>
      <c r="J54" s="342">
        <v>33</v>
      </c>
      <c r="K54" s="346">
        <v>4725.66</v>
      </c>
      <c r="L54" s="346"/>
      <c r="M54" s="346"/>
      <c r="N54" s="346">
        <f t="shared" si="0"/>
        <v>4725.66</v>
      </c>
      <c r="O54" s="342">
        <v>299.3</v>
      </c>
      <c r="P54" s="347">
        <v>2020.16</v>
      </c>
      <c r="Q54" s="347">
        <v>2705.5</v>
      </c>
      <c r="R54" s="342">
        <v>0</v>
      </c>
      <c r="S54" s="347">
        <v>2705.5</v>
      </c>
      <c r="T54" s="341" t="s">
        <v>362</v>
      </c>
      <c r="U54" s="342">
        <v>66021203</v>
      </c>
      <c r="V54" s="342"/>
    </row>
    <row r="55" customHeight="1" spans="1:22">
      <c r="A55" s="343" t="s">
        <v>193</v>
      </c>
      <c r="B55" s="343">
        <v>300115</v>
      </c>
      <c r="C55" s="343" t="s">
        <v>383</v>
      </c>
      <c r="D55" s="344">
        <v>1</v>
      </c>
      <c r="E55" s="343"/>
      <c r="F55" s="345">
        <v>45320</v>
      </c>
      <c r="G55" s="345">
        <v>45320</v>
      </c>
      <c r="H55" s="343">
        <v>202402</v>
      </c>
      <c r="I55" s="344">
        <v>60</v>
      </c>
      <c r="J55" s="342">
        <v>33</v>
      </c>
      <c r="K55" s="346">
        <v>4327.43</v>
      </c>
      <c r="L55" s="346"/>
      <c r="M55" s="346"/>
      <c r="N55" s="346">
        <f t="shared" si="0"/>
        <v>4327.43</v>
      </c>
      <c r="O55" s="342">
        <v>274.08</v>
      </c>
      <c r="P55" s="347">
        <v>1850.04</v>
      </c>
      <c r="Q55" s="347">
        <v>2477.39</v>
      </c>
      <c r="R55" s="342">
        <v>0</v>
      </c>
      <c r="S55" s="347">
        <v>2477.39</v>
      </c>
      <c r="T55" s="341" t="s">
        <v>362</v>
      </c>
      <c r="U55" s="342">
        <v>66021203</v>
      </c>
      <c r="V55" s="342"/>
    </row>
    <row r="56" customHeight="1" spans="1:22">
      <c r="A56" s="343" t="s">
        <v>193</v>
      </c>
      <c r="B56" s="343">
        <v>300116</v>
      </c>
      <c r="C56" s="343" t="s">
        <v>384</v>
      </c>
      <c r="D56" s="344">
        <v>2</v>
      </c>
      <c r="E56" s="343"/>
      <c r="F56" s="345">
        <v>45320</v>
      </c>
      <c r="G56" s="345">
        <v>45320</v>
      </c>
      <c r="H56" s="343">
        <v>202402</v>
      </c>
      <c r="I56" s="344">
        <v>60</v>
      </c>
      <c r="J56" s="342">
        <v>33</v>
      </c>
      <c r="K56" s="346">
        <v>1315.04</v>
      </c>
      <c r="L56" s="346"/>
      <c r="M56" s="346"/>
      <c r="N56" s="346">
        <f t="shared" si="0"/>
        <v>1315.04</v>
      </c>
      <c r="O56" s="342">
        <v>83.28</v>
      </c>
      <c r="P56" s="347">
        <v>562.14</v>
      </c>
      <c r="Q56" s="342">
        <v>752.9</v>
      </c>
      <c r="R56" s="342">
        <v>0</v>
      </c>
      <c r="S56" s="342">
        <v>752.9</v>
      </c>
      <c r="T56" s="341" t="s">
        <v>362</v>
      </c>
      <c r="U56" s="342">
        <v>66021203</v>
      </c>
      <c r="V56" s="342"/>
    </row>
    <row r="57" customHeight="1" spans="1:22">
      <c r="A57" s="343" t="s">
        <v>193</v>
      </c>
      <c r="B57" s="343">
        <v>300117</v>
      </c>
      <c r="C57" s="343" t="s">
        <v>385</v>
      </c>
      <c r="D57" s="344">
        <v>1</v>
      </c>
      <c r="E57" s="343"/>
      <c r="F57" s="345">
        <v>45320</v>
      </c>
      <c r="G57" s="345">
        <v>45320</v>
      </c>
      <c r="H57" s="343">
        <v>202402</v>
      </c>
      <c r="I57" s="344">
        <v>60</v>
      </c>
      <c r="J57" s="342">
        <v>33</v>
      </c>
      <c r="K57" s="346">
        <v>14885.84</v>
      </c>
      <c r="L57" s="346"/>
      <c r="M57" s="346"/>
      <c r="N57" s="346">
        <f t="shared" si="0"/>
        <v>14885.84</v>
      </c>
      <c r="O57" s="342">
        <v>942.76</v>
      </c>
      <c r="P57" s="347">
        <v>6363.63</v>
      </c>
      <c r="Q57" s="347">
        <v>8522.21</v>
      </c>
      <c r="R57" s="342">
        <v>0</v>
      </c>
      <c r="S57" s="347">
        <v>8522.21</v>
      </c>
      <c r="T57" s="341" t="s">
        <v>362</v>
      </c>
      <c r="U57" s="342">
        <v>66021203</v>
      </c>
      <c r="V57" s="342"/>
    </row>
    <row r="58" customHeight="1" spans="1:22">
      <c r="A58" s="343" t="s">
        <v>193</v>
      </c>
      <c r="B58" s="343">
        <v>300118</v>
      </c>
      <c r="C58" s="343" t="s">
        <v>386</v>
      </c>
      <c r="D58" s="344">
        <v>1</v>
      </c>
      <c r="E58" s="343"/>
      <c r="F58" s="345">
        <v>45320</v>
      </c>
      <c r="G58" s="345">
        <v>45320</v>
      </c>
      <c r="H58" s="343">
        <v>202402</v>
      </c>
      <c r="I58" s="344">
        <v>60</v>
      </c>
      <c r="J58" s="342">
        <v>33</v>
      </c>
      <c r="K58" s="346">
        <v>2897.35</v>
      </c>
      <c r="L58" s="346"/>
      <c r="M58" s="346"/>
      <c r="N58" s="346">
        <f t="shared" si="0"/>
        <v>2897.35</v>
      </c>
      <c r="O58" s="342">
        <v>183.5</v>
      </c>
      <c r="P58" s="347">
        <v>1238.61</v>
      </c>
      <c r="Q58" s="347">
        <v>1658.74</v>
      </c>
      <c r="R58" s="342">
        <v>0</v>
      </c>
      <c r="S58" s="347">
        <v>1658.74</v>
      </c>
      <c r="T58" s="341" t="s">
        <v>362</v>
      </c>
      <c r="U58" s="342">
        <v>66021203</v>
      </c>
      <c r="V58" s="342"/>
    </row>
    <row r="59" customHeight="1" spans="1:22">
      <c r="A59" s="343" t="s">
        <v>193</v>
      </c>
      <c r="B59" s="343">
        <v>300119</v>
      </c>
      <c r="C59" s="343" t="s">
        <v>387</v>
      </c>
      <c r="D59" s="344">
        <v>2</v>
      </c>
      <c r="E59" s="343"/>
      <c r="F59" s="345">
        <v>45320</v>
      </c>
      <c r="G59" s="345">
        <v>45320</v>
      </c>
      <c r="H59" s="343">
        <v>202402</v>
      </c>
      <c r="I59" s="344">
        <v>60</v>
      </c>
      <c r="J59" s="342">
        <v>33</v>
      </c>
      <c r="K59" s="346">
        <v>4566.37</v>
      </c>
      <c r="L59" s="346"/>
      <c r="M59" s="346"/>
      <c r="N59" s="346">
        <f t="shared" si="0"/>
        <v>4566.37</v>
      </c>
      <c r="O59" s="342">
        <v>289.2</v>
      </c>
      <c r="P59" s="347">
        <v>1952.1</v>
      </c>
      <c r="Q59" s="347">
        <v>2614.27</v>
      </c>
      <c r="R59" s="342">
        <v>0</v>
      </c>
      <c r="S59" s="347">
        <v>2614.27</v>
      </c>
      <c r="T59" s="341" t="s">
        <v>362</v>
      </c>
      <c r="U59" s="342">
        <v>66021203</v>
      </c>
      <c r="V59" s="342"/>
    </row>
    <row r="60" customHeight="1" spans="1:22">
      <c r="A60" s="343" t="s">
        <v>193</v>
      </c>
      <c r="B60" s="343">
        <v>300120</v>
      </c>
      <c r="C60" s="343" t="s">
        <v>388</v>
      </c>
      <c r="D60" s="344">
        <v>8</v>
      </c>
      <c r="E60" s="343"/>
      <c r="F60" s="345">
        <v>45320</v>
      </c>
      <c r="G60" s="345">
        <v>45320</v>
      </c>
      <c r="H60" s="343">
        <v>202402</v>
      </c>
      <c r="I60" s="344">
        <v>60</v>
      </c>
      <c r="J60" s="342">
        <v>33</v>
      </c>
      <c r="K60" s="346">
        <v>5231.86</v>
      </c>
      <c r="L60" s="346"/>
      <c r="M60" s="346"/>
      <c r="N60" s="346">
        <f t="shared" si="0"/>
        <v>5231.86</v>
      </c>
      <c r="O60" s="342">
        <v>331.36</v>
      </c>
      <c r="P60" s="347">
        <v>2236.68</v>
      </c>
      <c r="Q60" s="347">
        <v>2995.18</v>
      </c>
      <c r="R60" s="342">
        <v>0</v>
      </c>
      <c r="S60" s="347">
        <v>2995.18</v>
      </c>
      <c r="T60" s="341" t="s">
        <v>362</v>
      </c>
      <c r="U60" s="342">
        <v>66021203</v>
      </c>
      <c r="V60" s="342"/>
    </row>
    <row r="61" customHeight="1" spans="1:22">
      <c r="A61" s="343" t="s">
        <v>193</v>
      </c>
      <c r="B61" s="343">
        <v>300121</v>
      </c>
      <c r="C61" s="343" t="s">
        <v>389</v>
      </c>
      <c r="D61" s="344">
        <v>3</v>
      </c>
      <c r="E61" s="343" t="s">
        <v>390</v>
      </c>
      <c r="F61" s="345">
        <v>45320</v>
      </c>
      <c r="G61" s="345">
        <v>45320</v>
      </c>
      <c r="H61" s="343">
        <v>202402</v>
      </c>
      <c r="I61" s="344">
        <v>60</v>
      </c>
      <c r="J61" s="342">
        <v>33</v>
      </c>
      <c r="K61" s="346">
        <v>2299.12</v>
      </c>
      <c r="L61" s="346"/>
      <c r="M61" s="346"/>
      <c r="N61" s="346">
        <f t="shared" si="0"/>
        <v>2299.12</v>
      </c>
      <c r="O61" s="342">
        <v>145.6</v>
      </c>
      <c r="P61" s="347">
        <v>982.8</v>
      </c>
      <c r="Q61" s="347">
        <v>1316.32</v>
      </c>
      <c r="R61" s="342">
        <v>0</v>
      </c>
      <c r="S61" s="347">
        <v>1316.32</v>
      </c>
      <c r="T61" s="341" t="s">
        <v>362</v>
      </c>
      <c r="U61" s="342">
        <v>66021203</v>
      </c>
      <c r="V61" s="342"/>
    </row>
    <row r="62" customHeight="1" spans="1:22">
      <c r="A62" s="343" t="s">
        <v>193</v>
      </c>
      <c r="B62" s="343">
        <v>300122</v>
      </c>
      <c r="C62" s="343" t="s">
        <v>389</v>
      </c>
      <c r="D62" s="344">
        <v>3</v>
      </c>
      <c r="E62" s="343" t="s">
        <v>391</v>
      </c>
      <c r="F62" s="345">
        <v>45320</v>
      </c>
      <c r="G62" s="345">
        <v>45320</v>
      </c>
      <c r="H62" s="343">
        <v>202402</v>
      </c>
      <c r="I62" s="344">
        <v>60</v>
      </c>
      <c r="J62" s="342">
        <v>33</v>
      </c>
      <c r="K62" s="346">
        <v>2299.12</v>
      </c>
      <c r="L62" s="346"/>
      <c r="M62" s="346"/>
      <c r="N62" s="346">
        <f t="shared" si="0"/>
        <v>2299.12</v>
      </c>
      <c r="O62" s="342">
        <v>145.6</v>
      </c>
      <c r="P62" s="347">
        <v>982.8</v>
      </c>
      <c r="Q62" s="347">
        <v>1316.32</v>
      </c>
      <c r="R62" s="342">
        <v>0</v>
      </c>
      <c r="S62" s="347">
        <v>1316.32</v>
      </c>
      <c r="T62" s="341" t="s">
        <v>362</v>
      </c>
      <c r="U62" s="342">
        <v>66021203</v>
      </c>
      <c r="V62" s="342"/>
    </row>
    <row r="63" customHeight="1" spans="1:22">
      <c r="A63" s="343" t="s">
        <v>193</v>
      </c>
      <c r="B63" s="343">
        <v>300123</v>
      </c>
      <c r="C63" s="343" t="s">
        <v>392</v>
      </c>
      <c r="D63" s="344">
        <v>8</v>
      </c>
      <c r="E63" s="343" t="s">
        <v>391</v>
      </c>
      <c r="F63" s="345">
        <v>45320</v>
      </c>
      <c r="G63" s="345">
        <v>45320</v>
      </c>
      <c r="H63" s="343">
        <v>202402</v>
      </c>
      <c r="I63" s="344">
        <v>60</v>
      </c>
      <c r="J63" s="342">
        <v>33</v>
      </c>
      <c r="K63" s="346">
        <v>13359.29</v>
      </c>
      <c r="L63" s="346"/>
      <c r="M63" s="346"/>
      <c r="N63" s="346">
        <f t="shared" si="0"/>
        <v>13359.29</v>
      </c>
      <c r="O63" s="342">
        <v>846.08</v>
      </c>
      <c r="P63" s="347">
        <v>5711.04</v>
      </c>
      <c r="Q63" s="347">
        <v>7648.25</v>
      </c>
      <c r="R63" s="342">
        <v>0</v>
      </c>
      <c r="S63" s="347">
        <v>7648.25</v>
      </c>
      <c r="T63" s="341" t="s">
        <v>362</v>
      </c>
      <c r="U63" s="342">
        <v>66021203</v>
      </c>
      <c r="V63" s="342"/>
    </row>
    <row r="64" customHeight="1" spans="1:22">
      <c r="A64" s="343" t="s">
        <v>193</v>
      </c>
      <c r="B64" s="343">
        <v>300124</v>
      </c>
      <c r="C64" s="343" t="s">
        <v>393</v>
      </c>
      <c r="D64" s="344">
        <v>12</v>
      </c>
      <c r="E64" s="343" t="s">
        <v>391</v>
      </c>
      <c r="F64" s="345">
        <v>45320</v>
      </c>
      <c r="G64" s="345">
        <v>45320</v>
      </c>
      <c r="H64" s="343">
        <v>202402</v>
      </c>
      <c r="I64" s="344">
        <v>60</v>
      </c>
      <c r="J64" s="342">
        <v>33</v>
      </c>
      <c r="K64" s="346">
        <v>13847.79</v>
      </c>
      <c r="L64" s="346"/>
      <c r="M64" s="346"/>
      <c r="N64" s="346">
        <f t="shared" si="0"/>
        <v>13847.79</v>
      </c>
      <c r="O64" s="342">
        <v>877.02</v>
      </c>
      <c r="P64" s="347">
        <v>5919.99</v>
      </c>
      <c r="Q64" s="347">
        <v>7927.8</v>
      </c>
      <c r="R64" s="342">
        <v>0</v>
      </c>
      <c r="S64" s="347">
        <v>7927.8</v>
      </c>
      <c r="T64" s="341" t="s">
        <v>362</v>
      </c>
      <c r="U64" s="342">
        <v>66021203</v>
      </c>
      <c r="V64" s="342"/>
    </row>
    <row r="65" customHeight="1" spans="1:22">
      <c r="A65" s="343" t="s">
        <v>193</v>
      </c>
      <c r="B65" s="343">
        <v>300125</v>
      </c>
      <c r="C65" s="343" t="s">
        <v>394</v>
      </c>
      <c r="D65" s="344">
        <v>6</v>
      </c>
      <c r="E65" s="343" t="s">
        <v>391</v>
      </c>
      <c r="F65" s="345">
        <v>45320</v>
      </c>
      <c r="G65" s="345">
        <v>45320</v>
      </c>
      <c r="H65" s="343">
        <v>202402</v>
      </c>
      <c r="I65" s="344">
        <v>60</v>
      </c>
      <c r="J65" s="342">
        <v>33</v>
      </c>
      <c r="K65" s="346">
        <v>1391.15</v>
      </c>
      <c r="L65" s="346"/>
      <c r="M65" s="346"/>
      <c r="N65" s="346">
        <f t="shared" si="0"/>
        <v>1391.15</v>
      </c>
      <c r="O65" s="342">
        <v>88.1</v>
      </c>
      <c r="P65" s="347">
        <v>594.77</v>
      </c>
      <c r="Q65" s="342">
        <v>796.38</v>
      </c>
      <c r="R65" s="342">
        <v>0</v>
      </c>
      <c r="S65" s="342">
        <v>796.38</v>
      </c>
      <c r="T65" s="341" t="s">
        <v>362</v>
      </c>
      <c r="U65" s="342">
        <v>66021203</v>
      </c>
      <c r="V65" s="342"/>
    </row>
    <row r="66" customHeight="1" spans="1:22">
      <c r="A66" s="343" t="s">
        <v>193</v>
      </c>
      <c r="B66" s="343">
        <v>300126</v>
      </c>
      <c r="C66" s="343" t="s">
        <v>395</v>
      </c>
      <c r="D66" s="344">
        <v>8</v>
      </c>
      <c r="E66" s="343" t="s">
        <v>391</v>
      </c>
      <c r="F66" s="345">
        <v>45320</v>
      </c>
      <c r="G66" s="345">
        <v>45320</v>
      </c>
      <c r="H66" s="343">
        <v>202402</v>
      </c>
      <c r="I66" s="344">
        <v>60</v>
      </c>
      <c r="J66" s="342">
        <v>33</v>
      </c>
      <c r="K66" s="346">
        <v>6244.25</v>
      </c>
      <c r="L66" s="346"/>
      <c r="M66" s="346"/>
      <c r="N66" s="346">
        <f t="shared" si="0"/>
        <v>6244.25</v>
      </c>
      <c r="O66" s="342">
        <v>395.48</v>
      </c>
      <c r="P66" s="347">
        <v>2669.49</v>
      </c>
      <c r="Q66" s="347">
        <v>3574.76</v>
      </c>
      <c r="R66" s="342">
        <v>0</v>
      </c>
      <c r="S66" s="347">
        <v>3574.76</v>
      </c>
      <c r="T66" s="341" t="s">
        <v>362</v>
      </c>
      <c r="U66" s="342">
        <v>66021203</v>
      </c>
      <c r="V66" s="342"/>
    </row>
    <row r="67" customHeight="1" spans="1:22">
      <c r="A67" s="343" t="s">
        <v>193</v>
      </c>
      <c r="B67" s="343">
        <v>300127</v>
      </c>
      <c r="C67" s="343" t="s">
        <v>396</v>
      </c>
      <c r="D67" s="344">
        <v>1</v>
      </c>
      <c r="E67" s="343" t="s">
        <v>397</v>
      </c>
      <c r="F67" s="345">
        <v>45322</v>
      </c>
      <c r="G67" s="345">
        <v>45322</v>
      </c>
      <c r="H67" s="343">
        <v>202402</v>
      </c>
      <c r="I67" s="344">
        <v>60</v>
      </c>
      <c r="J67" s="342">
        <v>33</v>
      </c>
      <c r="K67" s="346">
        <v>977</v>
      </c>
      <c r="L67" s="346"/>
      <c r="M67" s="346"/>
      <c r="N67" s="346">
        <f t="shared" ref="N67:N130" si="1">K67+L67-M67</f>
        <v>977</v>
      </c>
      <c r="O67" s="342">
        <v>61.88</v>
      </c>
      <c r="P67" s="347">
        <v>417.69</v>
      </c>
      <c r="Q67" s="342">
        <v>559.31</v>
      </c>
      <c r="R67" s="342">
        <v>0</v>
      </c>
      <c r="S67" s="342">
        <v>559.31</v>
      </c>
      <c r="T67" s="341" t="s">
        <v>362</v>
      </c>
      <c r="U67" s="342">
        <v>66021203</v>
      </c>
      <c r="V67" s="342"/>
    </row>
    <row r="68" customHeight="1" spans="1:22">
      <c r="A68" s="343" t="s">
        <v>193</v>
      </c>
      <c r="B68" s="343">
        <v>300129</v>
      </c>
      <c r="C68" s="343" t="s">
        <v>398</v>
      </c>
      <c r="D68" s="344">
        <v>1</v>
      </c>
      <c r="E68" s="343" t="s">
        <v>399</v>
      </c>
      <c r="F68" s="345">
        <v>45348</v>
      </c>
      <c r="G68" s="345">
        <v>45348</v>
      </c>
      <c r="H68" s="343">
        <v>202403</v>
      </c>
      <c r="I68" s="344">
        <v>60</v>
      </c>
      <c r="J68" s="342">
        <v>34</v>
      </c>
      <c r="K68" s="346">
        <v>2654.87</v>
      </c>
      <c r="L68" s="346"/>
      <c r="M68" s="346"/>
      <c r="N68" s="346">
        <f t="shared" si="1"/>
        <v>2654.87</v>
      </c>
      <c r="O68" s="342">
        <v>168.14</v>
      </c>
      <c r="P68" s="347">
        <v>1092.94</v>
      </c>
      <c r="Q68" s="347">
        <v>1561.93</v>
      </c>
      <c r="R68" s="342">
        <v>0</v>
      </c>
      <c r="S68" s="347">
        <v>1561.93</v>
      </c>
      <c r="T68" s="341" t="s">
        <v>362</v>
      </c>
      <c r="U68" s="342">
        <v>5301010301</v>
      </c>
      <c r="V68" s="342"/>
    </row>
    <row r="69" customHeight="1" spans="1:22">
      <c r="A69" s="343" t="s">
        <v>193</v>
      </c>
      <c r="B69" s="343">
        <v>300130</v>
      </c>
      <c r="C69" s="343" t="s">
        <v>380</v>
      </c>
      <c r="D69" s="344">
        <v>1</v>
      </c>
      <c r="E69" s="343" t="s">
        <v>400</v>
      </c>
      <c r="F69" s="345">
        <v>45348</v>
      </c>
      <c r="G69" s="345">
        <v>45348</v>
      </c>
      <c r="H69" s="343">
        <v>202403</v>
      </c>
      <c r="I69" s="344">
        <v>60</v>
      </c>
      <c r="J69" s="342">
        <v>34</v>
      </c>
      <c r="K69" s="346">
        <v>1061.94</v>
      </c>
      <c r="L69" s="346"/>
      <c r="M69" s="346"/>
      <c r="N69" s="346">
        <f t="shared" si="1"/>
        <v>1061.94</v>
      </c>
      <c r="O69" s="342">
        <v>67.26</v>
      </c>
      <c r="P69" s="347">
        <v>437.13</v>
      </c>
      <c r="Q69" s="342">
        <v>624.81</v>
      </c>
      <c r="R69" s="342">
        <v>0</v>
      </c>
      <c r="S69" s="342">
        <v>624.81</v>
      </c>
      <c r="T69" s="341" t="s">
        <v>362</v>
      </c>
      <c r="U69" s="342">
        <v>5301010301</v>
      </c>
      <c r="V69" s="342"/>
    </row>
    <row r="70" customHeight="1" spans="1:22">
      <c r="A70" s="343" t="s">
        <v>193</v>
      </c>
      <c r="B70" s="343">
        <v>300131</v>
      </c>
      <c r="C70" s="343" t="s">
        <v>398</v>
      </c>
      <c r="D70" s="344">
        <v>1</v>
      </c>
      <c r="E70" s="343" t="s">
        <v>399</v>
      </c>
      <c r="F70" s="345">
        <v>45348</v>
      </c>
      <c r="G70" s="345">
        <v>45348</v>
      </c>
      <c r="H70" s="343">
        <v>202403</v>
      </c>
      <c r="I70" s="344">
        <v>60</v>
      </c>
      <c r="J70" s="342">
        <v>34</v>
      </c>
      <c r="K70" s="346">
        <v>2654.86</v>
      </c>
      <c r="L70" s="346"/>
      <c r="M70" s="346"/>
      <c r="N70" s="346">
        <f t="shared" si="1"/>
        <v>2654.86</v>
      </c>
      <c r="O70" s="342">
        <v>168.14</v>
      </c>
      <c r="P70" s="347">
        <v>1092.93</v>
      </c>
      <c r="Q70" s="347">
        <v>1561.93</v>
      </c>
      <c r="R70" s="342">
        <v>0</v>
      </c>
      <c r="S70" s="347">
        <v>1561.93</v>
      </c>
      <c r="T70" s="341" t="s">
        <v>362</v>
      </c>
      <c r="U70" s="342">
        <v>5301010301</v>
      </c>
      <c r="V70" s="342"/>
    </row>
    <row r="71" customHeight="1" spans="1:22">
      <c r="A71" s="343" t="s">
        <v>193</v>
      </c>
      <c r="B71" s="343">
        <v>300132</v>
      </c>
      <c r="C71" s="343" t="s">
        <v>380</v>
      </c>
      <c r="D71" s="344">
        <v>1</v>
      </c>
      <c r="E71" s="343" t="s">
        <v>400</v>
      </c>
      <c r="F71" s="345">
        <v>45348</v>
      </c>
      <c r="G71" s="345">
        <v>45348</v>
      </c>
      <c r="H71" s="343">
        <v>202403</v>
      </c>
      <c r="I71" s="344">
        <v>60</v>
      </c>
      <c r="J71" s="342">
        <v>34</v>
      </c>
      <c r="K71" s="346">
        <v>1061.95</v>
      </c>
      <c r="L71" s="346"/>
      <c r="M71" s="346"/>
      <c r="N71" s="346">
        <f t="shared" si="1"/>
        <v>1061.95</v>
      </c>
      <c r="O71" s="342">
        <v>67.26</v>
      </c>
      <c r="P71" s="347">
        <v>437.14</v>
      </c>
      <c r="Q71" s="342">
        <v>624.81</v>
      </c>
      <c r="R71" s="342">
        <v>0</v>
      </c>
      <c r="S71" s="342">
        <v>624.81</v>
      </c>
      <c r="T71" s="341" t="s">
        <v>362</v>
      </c>
      <c r="U71" s="342">
        <v>5301010301</v>
      </c>
      <c r="V71" s="342"/>
    </row>
    <row r="72" customHeight="1" spans="1:22">
      <c r="A72" s="343" t="s">
        <v>193</v>
      </c>
      <c r="B72" s="343">
        <v>300133</v>
      </c>
      <c r="C72" s="343" t="s">
        <v>401</v>
      </c>
      <c r="D72" s="344">
        <v>1</v>
      </c>
      <c r="E72" s="343"/>
      <c r="F72" s="345">
        <v>45364</v>
      </c>
      <c r="G72" s="345">
        <v>45364</v>
      </c>
      <c r="H72" s="343">
        <v>202404</v>
      </c>
      <c r="I72" s="344">
        <v>60</v>
      </c>
      <c r="J72" s="342">
        <v>35</v>
      </c>
      <c r="K72" s="346">
        <v>1068</v>
      </c>
      <c r="L72" s="346"/>
      <c r="M72" s="346"/>
      <c r="N72" s="346">
        <f t="shared" si="1"/>
        <v>1068</v>
      </c>
      <c r="O72" s="342">
        <v>67.64</v>
      </c>
      <c r="P72" s="347">
        <v>422.75</v>
      </c>
      <c r="Q72" s="342">
        <v>645.25</v>
      </c>
      <c r="R72" s="342">
        <v>0</v>
      </c>
      <c r="S72" s="342">
        <v>645.25</v>
      </c>
      <c r="T72" s="341" t="s">
        <v>362</v>
      </c>
      <c r="U72" s="342">
        <v>66021203</v>
      </c>
      <c r="V72" s="342"/>
    </row>
    <row r="73" customHeight="1" spans="1:22">
      <c r="A73" s="343" t="s">
        <v>193</v>
      </c>
      <c r="B73" s="343">
        <v>300134</v>
      </c>
      <c r="C73" s="343" t="s">
        <v>402</v>
      </c>
      <c r="D73" s="344">
        <v>1</v>
      </c>
      <c r="E73" s="343"/>
      <c r="F73" s="345">
        <v>45372</v>
      </c>
      <c r="G73" s="345">
        <v>45372</v>
      </c>
      <c r="H73" s="343">
        <v>202404</v>
      </c>
      <c r="I73" s="344">
        <v>60</v>
      </c>
      <c r="J73" s="342">
        <v>35</v>
      </c>
      <c r="K73" s="346">
        <v>600.88</v>
      </c>
      <c r="L73" s="346"/>
      <c r="M73" s="346"/>
      <c r="N73" s="346">
        <f t="shared" si="1"/>
        <v>600.88</v>
      </c>
      <c r="O73" s="342">
        <v>38.06</v>
      </c>
      <c r="P73" s="347">
        <v>237.82</v>
      </c>
      <c r="Q73" s="342">
        <v>363.06</v>
      </c>
      <c r="R73" s="342">
        <v>0</v>
      </c>
      <c r="S73" s="342">
        <v>363.06</v>
      </c>
      <c r="T73" s="341" t="s">
        <v>362</v>
      </c>
      <c r="U73" s="342">
        <v>66021203</v>
      </c>
      <c r="V73" s="342"/>
    </row>
    <row r="74" customHeight="1" spans="1:22">
      <c r="A74" s="343" t="s">
        <v>193</v>
      </c>
      <c r="B74" s="343">
        <v>300135</v>
      </c>
      <c r="C74" s="343" t="s">
        <v>403</v>
      </c>
      <c r="D74" s="344">
        <v>1</v>
      </c>
      <c r="E74" s="343" t="s">
        <v>404</v>
      </c>
      <c r="F74" s="345">
        <v>45410</v>
      </c>
      <c r="G74" s="345">
        <v>45410</v>
      </c>
      <c r="H74" s="343">
        <v>202405</v>
      </c>
      <c r="I74" s="344">
        <v>60</v>
      </c>
      <c r="J74" s="342">
        <v>36</v>
      </c>
      <c r="K74" s="346">
        <v>4545</v>
      </c>
      <c r="L74" s="346"/>
      <c r="M74" s="346"/>
      <c r="N74" s="346">
        <f t="shared" si="1"/>
        <v>4545</v>
      </c>
      <c r="O74" s="342">
        <v>287.84</v>
      </c>
      <c r="P74" s="347">
        <v>1727.04</v>
      </c>
      <c r="Q74" s="347">
        <v>2817.96</v>
      </c>
      <c r="R74" s="342">
        <v>0</v>
      </c>
      <c r="S74" s="347">
        <v>2817.96</v>
      </c>
      <c r="T74" s="341" t="s">
        <v>362</v>
      </c>
      <c r="U74" s="342">
        <v>66021203</v>
      </c>
      <c r="V74" s="342"/>
    </row>
    <row r="75" customHeight="1" spans="1:22">
      <c r="A75" s="343" t="s">
        <v>193</v>
      </c>
      <c r="B75" s="343">
        <v>300136</v>
      </c>
      <c r="C75" s="343" t="s">
        <v>403</v>
      </c>
      <c r="D75" s="344">
        <v>1</v>
      </c>
      <c r="E75" s="343" t="s">
        <v>405</v>
      </c>
      <c r="F75" s="345">
        <v>45410</v>
      </c>
      <c r="G75" s="345">
        <v>45410</v>
      </c>
      <c r="H75" s="343">
        <v>202405</v>
      </c>
      <c r="I75" s="344">
        <v>60</v>
      </c>
      <c r="J75" s="342">
        <v>36</v>
      </c>
      <c r="K75" s="346">
        <v>3939</v>
      </c>
      <c r="L75" s="346"/>
      <c r="M75" s="346"/>
      <c r="N75" s="346">
        <f t="shared" si="1"/>
        <v>3939</v>
      </c>
      <c r="O75" s="342">
        <v>249.48</v>
      </c>
      <c r="P75" s="347">
        <v>1496.88</v>
      </c>
      <c r="Q75" s="347">
        <v>2442.12</v>
      </c>
      <c r="R75" s="342">
        <v>0</v>
      </c>
      <c r="S75" s="347">
        <v>2442.12</v>
      </c>
      <c r="T75" s="341" t="s">
        <v>362</v>
      </c>
      <c r="U75" s="342">
        <v>66021203</v>
      </c>
      <c r="V75" s="342"/>
    </row>
    <row r="76" customHeight="1" spans="1:22">
      <c r="A76" s="343" t="s">
        <v>193</v>
      </c>
      <c r="B76" s="343">
        <v>300137</v>
      </c>
      <c r="C76" s="343" t="s">
        <v>406</v>
      </c>
      <c r="D76" s="344">
        <v>1</v>
      </c>
      <c r="E76" s="343" t="s">
        <v>407</v>
      </c>
      <c r="F76" s="345">
        <v>45492</v>
      </c>
      <c r="G76" s="345">
        <v>45492</v>
      </c>
      <c r="H76" s="343">
        <v>202408</v>
      </c>
      <c r="I76" s="344">
        <v>60</v>
      </c>
      <c r="J76" s="342">
        <v>39</v>
      </c>
      <c r="K76" s="346">
        <v>530.09</v>
      </c>
      <c r="L76" s="346"/>
      <c r="M76" s="346"/>
      <c r="N76" s="346">
        <f t="shared" si="1"/>
        <v>530.09</v>
      </c>
      <c r="O76" s="342">
        <v>33.56</v>
      </c>
      <c r="P76" s="347">
        <v>176.19</v>
      </c>
      <c r="Q76" s="342">
        <v>353.9</v>
      </c>
      <c r="R76" s="342">
        <v>0</v>
      </c>
      <c r="S76" s="342">
        <v>353.9</v>
      </c>
      <c r="T76" s="341" t="s">
        <v>362</v>
      </c>
      <c r="U76" s="342">
        <v>66021203</v>
      </c>
      <c r="V76" s="342"/>
    </row>
    <row r="77" customHeight="1" spans="1:22">
      <c r="A77" s="343" t="s">
        <v>193</v>
      </c>
      <c r="B77" s="343">
        <v>300138</v>
      </c>
      <c r="C77" s="343" t="s">
        <v>408</v>
      </c>
      <c r="D77" s="344">
        <v>1</v>
      </c>
      <c r="E77" s="343"/>
      <c r="F77" s="345">
        <v>45503</v>
      </c>
      <c r="G77" s="345">
        <v>45503</v>
      </c>
      <c r="H77" s="343">
        <v>202408</v>
      </c>
      <c r="I77" s="344">
        <v>60</v>
      </c>
      <c r="J77" s="342">
        <v>39</v>
      </c>
      <c r="K77" s="346">
        <v>799</v>
      </c>
      <c r="L77" s="346"/>
      <c r="M77" s="346"/>
      <c r="N77" s="346">
        <f t="shared" si="1"/>
        <v>799</v>
      </c>
      <c r="O77" s="342">
        <v>50.6</v>
      </c>
      <c r="P77" s="347">
        <v>265.65</v>
      </c>
      <c r="Q77" s="342">
        <v>533.35</v>
      </c>
      <c r="R77" s="342">
        <v>0</v>
      </c>
      <c r="S77" s="342">
        <v>533.35</v>
      </c>
      <c r="T77" s="341" t="s">
        <v>362</v>
      </c>
      <c r="U77" s="342">
        <v>66021203</v>
      </c>
      <c r="V77" s="342"/>
    </row>
    <row r="78" customHeight="1" spans="1:22">
      <c r="A78" s="343" t="s">
        <v>193</v>
      </c>
      <c r="B78" s="343">
        <v>300139</v>
      </c>
      <c r="C78" s="343" t="s">
        <v>406</v>
      </c>
      <c r="D78" s="344">
        <v>1</v>
      </c>
      <c r="E78" s="343" t="s">
        <v>407</v>
      </c>
      <c r="F78" s="345">
        <v>45516</v>
      </c>
      <c r="G78" s="345">
        <v>45516</v>
      </c>
      <c r="H78" s="343">
        <v>202409</v>
      </c>
      <c r="I78" s="344">
        <v>60</v>
      </c>
      <c r="J78" s="342">
        <v>40</v>
      </c>
      <c r="K78" s="346">
        <v>450.44</v>
      </c>
      <c r="L78" s="346"/>
      <c r="M78" s="346"/>
      <c r="N78" s="346">
        <f t="shared" si="1"/>
        <v>450.44</v>
      </c>
      <c r="O78" s="342">
        <v>28.52</v>
      </c>
      <c r="P78" s="347">
        <v>142.6</v>
      </c>
      <c r="Q78" s="342">
        <v>307.84</v>
      </c>
      <c r="R78" s="342">
        <v>0</v>
      </c>
      <c r="S78" s="342">
        <v>307.84</v>
      </c>
      <c r="T78" s="341" t="s">
        <v>362</v>
      </c>
      <c r="U78" s="342">
        <v>66021203</v>
      </c>
      <c r="V78" s="342"/>
    </row>
    <row r="79" customHeight="1" spans="1:22">
      <c r="A79" s="343" t="s">
        <v>193</v>
      </c>
      <c r="B79" s="343">
        <v>300140</v>
      </c>
      <c r="C79" s="343" t="s">
        <v>406</v>
      </c>
      <c r="D79" s="344">
        <v>1</v>
      </c>
      <c r="E79" s="343" t="s">
        <v>407</v>
      </c>
      <c r="F79" s="345">
        <v>45516</v>
      </c>
      <c r="G79" s="345">
        <v>45516</v>
      </c>
      <c r="H79" s="343">
        <v>202409</v>
      </c>
      <c r="I79" s="344">
        <v>60</v>
      </c>
      <c r="J79" s="342">
        <v>40</v>
      </c>
      <c r="K79" s="346">
        <v>450.44</v>
      </c>
      <c r="L79" s="346"/>
      <c r="M79" s="346"/>
      <c r="N79" s="346">
        <f t="shared" si="1"/>
        <v>450.44</v>
      </c>
      <c r="O79" s="342">
        <v>28.52</v>
      </c>
      <c r="P79" s="347">
        <v>142.6</v>
      </c>
      <c r="Q79" s="342">
        <v>307.84</v>
      </c>
      <c r="R79" s="342">
        <v>0</v>
      </c>
      <c r="S79" s="342">
        <v>307.84</v>
      </c>
      <c r="T79" s="341" t="s">
        <v>362</v>
      </c>
      <c r="U79" s="342">
        <v>66021203</v>
      </c>
      <c r="V79" s="342"/>
    </row>
    <row r="80" customHeight="1" spans="1:22">
      <c r="A80" s="343" t="s">
        <v>193</v>
      </c>
      <c r="B80" s="343">
        <v>300141</v>
      </c>
      <c r="C80" s="343" t="s">
        <v>409</v>
      </c>
      <c r="D80" s="344">
        <v>10</v>
      </c>
      <c r="E80" s="343" t="s">
        <v>410</v>
      </c>
      <c r="F80" s="345">
        <v>45528</v>
      </c>
      <c r="G80" s="345">
        <v>45528</v>
      </c>
      <c r="H80" s="343">
        <v>202409</v>
      </c>
      <c r="I80" s="344">
        <v>60</v>
      </c>
      <c r="J80" s="342">
        <v>40</v>
      </c>
      <c r="K80" s="346">
        <v>3522.48</v>
      </c>
      <c r="L80" s="346"/>
      <c r="M80" s="346"/>
      <c r="N80" s="346">
        <f t="shared" si="1"/>
        <v>3522.48</v>
      </c>
      <c r="O80" s="342">
        <v>223.08</v>
      </c>
      <c r="P80" s="347">
        <v>1115.4</v>
      </c>
      <c r="Q80" s="347">
        <v>2407.08</v>
      </c>
      <c r="R80" s="342">
        <v>0</v>
      </c>
      <c r="S80" s="347">
        <v>2407.08</v>
      </c>
      <c r="T80" s="341" t="s">
        <v>296</v>
      </c>
      <c r="U80" s="342">
        <v>66021203</v>
      </c>
      <c r="V80" s="342"/>
    </row>
    <row r="81" customHeight="1" spans="1:22">
      <c r="A81" s="343" t="s">
        <v>193</v>
      </c>
      <c r="B81" s="343">
        <v>300142</v>
      </c>
      <c r="C81" s="343" t="s">
        <v>411</v>
      </c>
      <c r="D81" s="344">
        <v>5</v>
      </c>
      <c r="E81" s="343" t="s">
        <v>412</v>
      </c>
      <c r="F81" s="345">
        <v>45530</v>
      </c>
      <c r="G81" s="345">
        <v>45530</v>
      </c>
      <c r="H81" s="343">
        <v>202409</v>
      </c>
      <c r="I81" s="344">
        <v>60</v>
      </c>
      <c r="J81" s="342">
        <v>40</v>
      </c>
      <c r="K81" s="346">
        <v>3712.39</v>
      </c>
      <c r="L81" s="346"/>
      <c r="M81" s="346"/>
      <c r="N81" s="346">
        <f t="shared" si="1"/>
        <v>3712.39</v>
      </c>
      <c r="O81" s="342">
        <v>235.12</v>
      </c>
      <c r="P81" s="347">
        <v>1175.6</v>
      </c>
      <c r="Q81" s="347">
        <v>2536.79</v>
      </c>
      <c r="R81" s="342">
        <v>0</v>
      </c>
      <c r="S81" s="347">
        <v>2536.79</v>
      </c>
      <c r="T81" s="341" t="s">
        <v>296</v>
      </c>
      <c r="U81" s="342">
        <v>66021203</v>
      </c>
      <c r="V81" s="342"/>
    </row>
    <row r="82" customHeight="1" spans="1:22">
      <c r="A82" s="343" t="s">
        <v>193</v>
      </c>
      <c r="B82" s="343">
        <v>300143</v>
      </c>
      <c r="C82" s="343" t="s">
        <v>413</v>
      </c>
      <c r="D82" s="344">
        <v>10</v>
      </c>
      <c r="E82" s="343" t="s">
        <v>414</v>
      </c>
      <c r="F82" s="345">
        <v>45530</v>
      </c>
      <c r="G82" s="345">
        <v>45530</v>
      </c>
      <c r="H82" s="343">
        <v>202409</v>
      </c>
      <c r="I82" s="344">
        <v>60</v>
      </c>
      <c r="J82" s="342">
        <v>40</v>
      </c>
      <c r="K82" s="346">
        <v>619.47</v>
      </c>
      <c r="L82" s="346"/>
      <c r="M82" s="346"/>
      <c r="N82" s="346">
        <f t="shared" si="1"/>
        <v>619.47</v>
      </c>
      <c r="O82" s="342">
        <v>39.24</v>
      </c>
      <c r="P82" s="347">
        <v>196.2</v>
      </c>
      <c r="Q82" s="342">
        <v>423.27</v>
      </c>
      <c r="R82" s="342">
        <v>0</v>
      </c>
      <c r="S82" s="342">
        <v>423.27</v>
      </c>
      <c r="T82" s="341" t="s">
        <v>296</v>
      </c>
      <c r="U82" s="342">
        <v>66021203</v>
      </c>
      <c r="V82" s="342"/>
    </row>
    <row r="83" customHeight="1" spans="1:22">
      <c r="A83" s="343" t="s">
        <v>193</v>
      </c>
      <c r="B83" s="343">
        <v>300144</v>
      </c>
      <c r="C83" s="343" t="s">
        <v>415</v>
      </c>
      <c r="D83" s="344">
        <v>1</v>
      </c>
      <c r="E83" s="343" t="s">
        <v>416</v>
      </c>
      <c r="F83" s="345">
        <v>45559</v>
      </c>
      <c r="G83" s="345">
        <v>45559</v>
      </c>
      <c r="H83" s="343">
        <v>202410</v>
      </c>
      <c r="I83" s="344">
        <v>60</v>
      </c>
      <c r="J83" s="342">
        <v>41</v>
      </c>
      <c r="K83" s="346">
        <v>2433.63</v>
      </c>
      <c r="L83" s="346"/>
      <c r="M83" s="346"/>
      <c r="N83" s="346">
        <f t="shared" si="1"/>
        <v>2433.63</v>
      </c>
      <c r="O83" s="342">
        <v>154.12</v>
      </c>
      <c r="P83" s="347">
        <v>732.07</v>
      </c>
      <c r="Q83" s="347">
        <v>1701.56</v>
      </c>
      <c r="R83" s="342">
        <v>0</v>
      </c>
      <c r="S83" s="347">
        <v>1701.56</v>
      </c>
      <c r="T83" s="341" t="s">
        <v>296</v>
      </c>
      <c r="U83" s="342">
        <v>66021203</v>
      </c>
      <c r="V83" s="342"/>
    </row>
    <row r="84" customHeight="1" spans="1:22">
      <c r="A84" s="343" t="s">
        <v>193</v>
      </c>
      <c r="B84" s="343">
        <v>300145</v>
      </c>
      <c r="C84" s="343" t="s">
        <v>415</v>
      </c>
      <c r="D84" s="344">
        <v>1</v>
      </c>
      <c r="E84" s="343" t="s">
        <v>416</v>
      </c>
      <c r="F84" s="345">
        <v>45559</v>
      </c>
      <c r="G84" s="345">
        <v>45559</v>
      </c>
      <c r="H84" s="343">
        <v>202410</v>
      </c>
      <c r="I84" s="344">
        <v>60</v>
      </c>
      <c r="J84" s="342">
        <v>41</v>
      </c>
      <c r="K84" s="346">
        <v>2433.63</v>
      </c>
      <c r="L84" s="346"/>
      <c r="M84" s="346"/>
      <c r="N84" s="346">
        <f t="shared" si="1"/>
        <v>2433.63</v>
      </c>
      <c r="O84" s="342">
        <v>154.12</v>
      </c>
      <c r="P84" s="347">
        <v>732.07</v>
      </c>
      <c r="Q84" s="347">
        <v>1701.56</v>
      </c>
      <c r="R84" s="342">
        <v>0</v>
      </c>
      <c r="S84" s="347">
        <v>1701.56</v>
      </c>
      <c r="T84" s="341" t="s">
        <v>296</v>
      </c>
      <c r="U84" s="342">
        <v>66021203</v>
      </c>
      <c r="V84" s="342"/>
    </row>
    <row r="85" customHeight="1" spans="1:22">
      <c r="A85" s="343" t="s">
        <v>193</v>
      </c>
      <c r="B85" s="343">
        <v>300146</v>
      </c>
      <c r="C85" s="343" t="s">
        <v>417</v>
      </c>
      <c r="D85" s="344">
        <v>1</v>
      </c>
      <c r="E85" s="343"/>
      <c r="F85" s="345">
        <v>45565</v>
      </c>
      <c r="G85" s="345">
        <v>45565</v>
      </c>
      <c r="H85" s="343">
        <v>202410</v>
      </c>
      <c r="I85" s="344">
        <v>60</v>
      </c>
      <c r="J85" s="342">
        <v>41</v>
      </c>
      <c r="K85" s="346">
        <v>1494.69</v>
      </c>
      <c r="L85" s="346"/>
      <c r="M85" s="346"/>
      <c r="N85" s="346">
        <f t="shared" si="1"/>
        <v>1494.69</v>
      </c>
      <c r="O85" s="342">
        <v>94.66</v>
      </c>
      <c r="P85" s="347">
        <v>449.7</v>
      </c>
      <c r="Q85" s="347">
        <v>1044.99</v>
      </c>
      <c r="R85" s="342">
        <v>0</v>
      </c>
      <c r="S85" s="347">
        <v>1044.99</v>
      </c>
      <c r="T85" s="341" t="s">
        <v>296</v>
      </c>
      <c r="U85" s="342">
        <v>66021203</v>
      </c>
      <c r="V85" s="342"/>
    </row>
    <row r="86" customHeight="1" spans="1:22">
      <c r="A86" s="343" t="s">
        <v>193</v>
      </c>
      <c r="B86" s="343">
        <v>300147</v>
      </c>
      <c r="C86" s="343" t="s">
        <v>417</v>
      </c>
      <c r="D86" s="344">
        <v>1</v>
      </c>
      <c r="E86" s="343"/>
      <c r="F86" s="345">
        <v>45565</v>
      </c>
      <c r="G86" s="345">
        <v>45565</v>
      </c>
      <c r="H86" s="343">
        <v>202410</v>
      </c>
      <c r="I86" s="344">
        <v>60</v>
      </c>
      <c r="J86" s="342">
        <v>41</v>
      </c>
      <c r="K86" s="346">
        <v>1494.69</v>
      </c>
      <c r="L86" s="346"/>
      <c r="M86" s="346"/>
      <c r="N86" s="346">
        <f t="shared" si="1"/>
        <v>1494.69</v>
      </c>
      <c r="O86" s="342">
        <v>94.66</v>
      </c>
      <c r="P86" s="347">
        <v>449.7</v>
      </c>
      <c r="Q86" s="347">
        <v>1044.99</v>
      </c>
      <c r="R86" s="342">
        <v>0</v>
      </c>
      <c r="S86" s="347">
        <v>1044.99</v>
      </c>
      <c r="T86" s="341" t="s">
        <v>296</v>
      </c>
      <c r="U86" s="342">
        <v>66021203</v>
      </c>
      <c r="V86" s="342"/>
    </row>
    <row r="87" customHeight="1" spans="1:22">
      <c r="A87" s="343" t="s">
        <v>193</v>
      </c>
      <c r="B87" s="343">
        <v>300148</v>
      </c>
      <c r="C87" s="343" t="s">
        <v>411</v>
      </c>
      <c r="D87" s="344">
        <v>1</v>
      </c>
      <c r="E87" s="343" t="s">
        <v>418</v>
      </c>
      <c r="F87" s="345">
        <v>45589</v>
      </c>
      <c r="G87" s="345">
        <v>45589</v>
      </c>
      <c r="H87" s="343">
        <v>202411</v>
      </c>
      <c r="I87" s="344">
        <v>60</v>
      </c>
      <c r="J87" s="342">
        <v>42</v>
      </c>
      <c r="K87" s="346">
        <v>639.82</v>
      </c>
      <c r="L87" s="346"/>
      <c r="M87" s="346"/>
      <c r="N87" s="346">
        <f t="shared" si="1"/>
        <v>639.82</v>
      </c>
      <c r="O87" s="342">
        <v>40.52</v>
      </c>
      <c r="P87" s="347">
        <v>182.34</v>
      </c>
      <c r="Q87" s="342">
        <v>457.48</v>
      </c>
      <c r="R87" s="342">
        <v>0</v>
      </c>
      <c r="S87" s="342">
        <v>457.48</v>
      </c>
      <c r="T87" s="341" t="s">
        <v>296</v>
      </c>
      <c r="U87" s="342">
        <v>66021203</v>
      </c>
      <c r="V87" s="342"/>
    </row>
    <row r="88" customHeight="1" spans="1:22">
      <c r="A88" s="343" t="s">
        <v>193</v>
      </c>
      <c r="B88" s="343">
        <v>300149</v>
      </c>
      <c r="C88" s="343" t="s">
        <v>411</v>
      </c>
      <c r="D88" s="344">
        <v>1</v>
      </c>
      <c r="E88" s="343" t="s">
        <v>418</v>
      </c>
      <c r="F88" s="345">
        <v>45589</v>
      </c>
      <c r="G88" s="345">
        <v>45589</v>
      </c>
      <c r="H88" s="343">
        <v>202411</v>
      </c>
      <c r="I88" s="344">
        <v>60</v>
      </c>
      <c r="J88" s="342">
        <v>42</v>
      </c>
      <c r="K88" s="346">
        <v>639.82</v>
      </c>
      <c r="L88" s="346"/>
      <c r="M88" s="346"/>
      <c r="N88" s="346">
        <f t="shared" si="1"/>
        <v>639.82</v>
      </c>
      <c r="O88" s="342">
        <v>40.52</v>
      </c>
      <c r="P88" s="347">
        <v>182.34</v>
      </c>
      <c r="Q88" s="342">
        <v>457.48</v>
      </c>
      <c r="R88" s="342">
        <v>0</v>
      </c>
      <c r="S88" s="342">
        <v>457.48</v>
      </c>
      <c r="T88" s="341" t="s">
        <v>296</v>
      </c>
      <c r="U88" s="342">
        <v>66021203</v>
      </c>
      <c r="V88" s="342"/>
    </row>
    <row r="89" customHeight="1" spans="1:22">
      <c r="A89" s="343" t="s">
        <v>193</v>
      </c>
      <c r="B89" s="343">
        <v>300150</v>
      </c>
      <c r="C89" s="343" t="s">
        <v>411</v>
      </c>
      <c r="D89" s="344">
        <v>1</v>
      </c>
      <c r="E89" s="343" t="s">
        <v>418</v>
      </c>
      <c r="F89" s="345">
        <v>45589</v>
      </c>
      <c r="G89" s="345">
        <v>45589</v>
      </c>
      <c r="H89" s="343">
        <v>202411</v>
      </c>
      <c r="I89" s="344">
        <v>60</v>
      </c>
      <c r="J89" s="342">
        <v>42</v>
      </c>
      <c r="K89" s="346">
        <v>639.82</v>
      </c>
      <c r="L89" s="346"/>
      <c r="M89" s="346"/>
      <c r="N89" s="346">
        <f t="shared" si="1"/>
        <v>639.82</v>
      </c>
      <c r="O89" s="342">
        <v>40.52</v>
      </c>
      <c r="P89" s="347">
        <v>182.34</v>
      </c>
      <c r="Q89" s="342">
        <v>457.48</v>
      </c>
      <c r="R89" s="342">
        <v>0</v>
      </c>
      <c r="S89" s="342">
        <v>457.48</v>
      </c>
      <c r="T89" s="341" t="s">
        <v>296</v>
      </c>
      <c r="U89" s="342">
        <v>66021203</v>
      </c>
      <c r="V89" s="342"/>
    </row>
    <row r="90" customHeight="1" spans="1:22">
      <c r="A90" s="343" t="s">
        <v>193</v>
      </c>
      <c r="B90" s="343">
        <v>300151</v>
      </c>
      <c r="C90" s="343" t="s">
        <v>411</v>
      </c>
      <c r="D90" s="344">
        <v>1</v>
      </c>
      <c r="E90" s="343" t="s">
        <v>418</v>
      </c>
      <c r="F90" s="345">
        <v>45589</v>
      </c>
      <c r="G90" s="345">
        <v>45589</v>
      </c>
      <c r="H90" s="343">
        <v>202411</v>
      </c>
      <c r="I90" s="344">
        <v>60</v>
      </c>
      <c r="J90" s="342">
        <v>42</v>
      </c>
      <c r="K90" s="346">
        <v>639.82</v>
      </c>
      <c r="L90" s="346"/>
      <c r="M90" s="346"/>
      <c r="N90" s="346">
        <f t="shared" si="1"/>
        <v>639.82</v>
      </c>
      <c r="O90" s="342">
        <v>40.52</v>
      </c>
      <c r="P90" s="347">
        <v>182.34</v>
      </c>
      <c r="Q90" s="342">
        <v>457.48</v>
      </c>
      <c r="R90" s="342">
        <v>0</v>
      </c>
      <c r="S90" s="342">
        <v>457.48</v>
      </c>
      <c r="T90" s="341" t="s">
        <v>296</v>
      </c>
      <c r="U90" s="342">
        <v>66021203</v>
      </c>
      <c r="V90" s="342"/>
    </row>
    <row r="91" customHeight="1" spans="1:22">
      <c r="A91" s="343" t="s">
        <v>193</v>
      </c>
      <c r="B91" s="343">
        <v>300152</v>
      </c>
      <c r="C91" s="343" t="s">
        <v>411</v>
      </c>
      <c r="D91" s="344">
        <v>1</v>
      </c>
      <c r="E91" s="343" t="s">
        <v>418</v>
      </c>
      <c r="F91" s="345">
        <v>45589</v>
      </c>
      <c r="G91" s="345">
        <v>45589</v>
      </c>
      <c r="H91" s="343">
        <v>202411</v>
      </c>
      <c r="I91" s="344">
        <v>60</v>
      </c>
      <c r="J91" s="342">
        <v>42</v>
      </c>
      <c r="K91" s="346">
        <v>639.83</v>
      </c>
      <c r="L91" s="346"/>
      <c r="M91" s="346"/>
      <c r="N91" s="346">
        <f t="shared" si="1"/>
        <v>639.83</v>
      </c>
      <c r="O91" s="342">
        <v>40.52</v>
      </c>
      <c r="P91" s="347">
        <v>182.34</v>
      </c>
      <c r="Q91" s="342">
        <v>457.49</v>
      </c>
      <c r="R91" s="342">
        <v>0</v>
      </c>
      <c r="S91" s="342">
        <v>457.49</v>
      </c>
      <c r="T91" s="341" t="s">
        <v>296</v>
      </c>
      <c r="U91" s="342">
        <v>66021203</v>
      </c>
      <c r="V91" s="342"/>
    </row>
    <row r="92" customHeight="1" spans="1:22">
      <c r="A92" s="343" t="s">
        <v>193</v>
      </c>
      <c r="B92" s="343">
        <v>300153</v>
      </c>
      <c r="C92" s="343" t="s">
        <v>408</v>
      </c>
      <c r="D92" s="344">
        <v>1</v>
      </c>
      <c r="E92" s="343" t="s">
        <v>419</v>
      </c>
      <c r="F92" s="345">
        <v>45601</v>
      </c>
      <c r="G92" s="345">
        <v>45601</v>
      </c>
      <c r="H92" s="343">
        <v>202412</v>
      </c>
      <c r="I92" s="344">
        <v>60</v>
      </c>
      <c r="J92" s="342">
        <v>43</v>
      </c>
      <c r="K92" s="346">
        <v>799</v>
      </c>
      <c r="L92" s="346"/>
      <c r="M92" s="346"/>
      <c r="N92" s="346">
        <f t="shared" si="1"/>
        <v>799</v>
      </c>
      <c r="O92" s="342">
        <v>50.6</v>
      </c>
      <c r="P92" s="347">
        <v>215.05</v>
      </c>
      <c r="Q92" s="342">
        <v>583.95</v>
      </c>
      <c r="R92" s="342">
        <v>0</v>
      </c>
      <c r="S92" s="342">
        <v>583.95</v>
      </c>
      <c r="T92" s="341" t="s">
        <v>362</v>
      </c>
      <c r="U92" s="342">
        <v>66021203</v>
      </c>
      <c r="V92" s="342"/>
    </row>
    <row r="93" customHeight="1" spans="1:22">
      <c r="A93" s="343" t="s">
        <v>193</v>
      </c>
      <c r="B93" s="343">
        <v>300154</v>
      </c>
      <c r="C93" s="343" t="s">
        <v>411</v>
      </c>
      <c r="D93" s="344">
        <v>1</v>
      </c>
      <c r="E93" s="343" t="s">
        <v>420</v>
      </c>
      <c r="F93" s="345">
        <v>45657</v>
      </c>
      <c r="G93" s="345">
        <v>45657</v>
      </c>
      <c r="H93" s="343">
        <v>202501</v>
      </c>
      <c r="I93" s="344">
        <v>60</v>
      </c>
      <c r="J93" s="342">
        <v>44</v>
      </c>
      <c r="K93" s="346">
        <v>3982.3</v>
      </c>
      <c r="L93" s="346"/>
      <c r="M93" s="346"/>
      <c r="N93" s="346">
        <f t="shared" si="1"/>
        <v>3982.3</v>
      </c>
      <c r="O93" s="342">
        <v>252.2</v>
      </c>
      <c r="P93" s="347">
        <v>1008.8</v>
      </c>
      <c r="Q93" s="347">
        <v>2973.5</v>
      </c>
      <c r="R93" s="342">
        <v>0</v>
      </c>
      <c r="S93" s="347">
        <v>2973.5</v>
      </c>
      <c r="T93" s="341" t="s">
        <v>362</v>
      </c>
      <c r="U93" s="342">
        <v>5301010301</v>
      </c>
      <c r="V93" s="342"/>
    </row>
    <row r="94" customHeight="1" spans="1:22">
      <c r="A94" s="343" t="s">
        <v>193</v>
      </c>
      <c r="B94" s="343">
        <v>300155</v>
      </c>
      <c r="C94" s="343" t="s">
        <v>411</v>
      </c>
      <c r="D94" s="344">
        <v>1</v>
      </c>
      <c r="E94" s="343" t="s">
        <v>420</v>
      </c>
      <c r="F94" s="345">
        <v>45657</v>
      </c>
      <c r="G94" s="345">
        <v>45657</v>
      </c>
      <c r="H94" s="343">
        <v>202501</v>
      </c>
      <c r="I94" s="344">
        <v>60</v>
      </c>
      <c r="J94" s="342">
        <v>44</v>
      </c>
      <c r="K94" s="346">
        <v>3982.3</v>
      </c>
      <c r="L94" s="346"/>
      <c r="M94" s="346"/>
      <c r="N94" s="346">
        <f t="shared" si="1"/>
        <v>3982.3</v>
      </c>
      <c r="O94" s="342">
        <v>252.2</v>
      </c>
      <c r="P94" s="347">
        <v>1008.8</v>
      </c>
      <c r="Q94" s="347">
        <v>2973.5</v>
      </c>
      <c r="R94" s="342">
        <v>0</v>
      </c>
      <c r="S94" s="347">
        <v>2973.5</v>
      </c>
      <c r="T94" s="341" t="s">
        <v>362</v>
      </c>
      <c r="U94" s="342">
        <v>5301010301</v>
      </c>
      <c r="V94" s="342"/>
    </row>
    <row r="95" customHeight="1" spans="1:22">
      <c r="A95" s="343" t="s">
        <v>193</v>
      </c>
      <c r="B95" s="343">
        <v>300156</v>
      </c>
      <c r="C95" s="343" t="s">
        <v>411</v>
      </c>
      <c r="D95" s="344">
        <v>1</v>
      </c>
      <c r="E95" s="343" t="s">
        <v>420</v>
      </c>
      <c r="F95" s="345">
        <v>45657</v>
      </c>
      <c r="G95" s="345">
        <v>45657</v>
      </c>
      <c r="H95" s="343">
        <v>202501</v>
      </c>
      <c r="I95" s="344">
        <v>60</v>
      </c>
      <c r="J95" s="342">
        <v>44</v>
      </c>
      <c r="K95" s="346">
        <v>3982.3</v>
      </c>
      <c r="L95" s="346"/>
      <c r="M95" s="346"/>
      <c r="N95" s="346">
        <f t="shared" si="1"/>
        <v>3982.3</v>
      </c>
      <c r="O95" s="342">
        <v>252.2</v>
      </c>
      <c r="P95" s="347">
        <v>1008.8</v>
      </c>
      <c r="Q95" s="347">
        <v>2973.5</v>
      </c>
      <c r="R95" s="342">
        <v>0</v>
      </c>
      <c r="S95" s="347">
        <v>2973.5</v>
      </c>
      <c r="T95" s="341" t="s">
        <v>362</v>
      </c>
      <c r="U95" s="342">
        <v>5301010301</v>
      </c>
      <c r="V95" s="342"/>
    </row>
    <row r="96" customHeight="1" spans="1:22">
      <c r="A96" s="343" t="s">
        <v>193</v>
      </c>
      <c r="B96" s="343">
        <v>300157</v>
      </c>
      <c r="C96" s="343" t="s">
        <v>411</v>
      </c>
      <c r="D96" s="344">
        <v>1</v>
      </c>
      <c r="E96" s="343" t="s">
        <v>421</v>
      </c>
      <c r="F96" s="345">
        <v>45657</v>
      </c>
      <c r="G96" s="345">
        <v>45657</v>
      </c>
      <c r="H96" s="343">
        <v>202501</v>
      </c>
      <c r="I96" s="344">
        <v>60</v>
      </c>
      <c r="J96" s="342">
        <v>44</v>
      </c>
      <c r="K96" s="346">
        <v>3716.81</v>
      </c>
      <c r="L96" s="346"/>
      <c r="M96" s="346"/>
      <c r="N96" s="346">
        <f t="shared" si="1"/>
        <v>3716.81</v>
      </c>
      <c r="O96" s="342">
        <v>235.4</v>
      </c>
      <c r="P96" s="347">
        <v>941.6</v>
      </c>
      <c r="Q96" s="347">
        <v>2775.21</v>
      </c>
      <c r="R96" s="342">
        <v>0</v>
      </c>
      <c r="S96" s="347">
        <v>2775.21</v>
      </c>
      <c r="T96" s="341" t="s">
        <v>362</v>
      </c>
      <c r="U96" s="342">
        <v>5301010301</v>
      </c>
      <c r="V96" s="342"/>
    </row>
    <row r="97" customHeight="1" spans="1:22">
      <c r="A97" s="343" t="s">
        <v>193</v>
      </c>
      <c r="B97" s="343">
        <v>300158</v>
      </c>
      <c r="C97" s="343" t="s">
        <v>411</v>
      </c>
      <c r="D97" s="344">
        <v>1</v>
      </c>
      <c r="E97" s="343" t="s">
        <v>420</v>
      </c>
      <c r="F97" s="345">
        <v>45657</v>
      </c>
      <c r="G97" s="345">
        <v>45657</v>
      </c>
      <c r="H97" s="343">
        <v>202501</v>
      </c>
      <c r="I97" s="344">
        <v>60</v>
      </c>
      <c r="J97" s="342">
        <v>44</v>
      </c>
      <c r="K97" s="346">
        <v>3716.81</v>
      </c>
      <c r="L97" s="346"/>
      <c r="M97" s="346"/>
      <c r="N97" s="346">
        <f t="shared" si="1"/>
        <v>3716.81</v>
      </c>
      <c r="O97" s="342">
        <v>235.4</v>
      </c>
      <c r="P97" s="347">
        <v>941.6</v>
      </c>
      <c r="Q97" s="347">
        <v>2775.21</v>
      </c>
      <c r="R97" s="342">
        <v>0</v>
      </c>
      <c r="S97" s="347">
        <v>2775.21</v>
      </c>
      <c r="T97" s="341" t="s">
        <v>362</v>
      </c>
      <c r="U97" s="342">
        <v>5301010301</v>
      </c>
      <c r="V97" s="342"/>
    </row>
    <row r="98" customHeight="1" spans="1:22">
      <c r="A98" s="343" t="s">
        <v>193</v>
      </c>
      <c r="B98" s="343">
        <v>300159</v>
      </c>
      <c r="C98" s="343" t="s">
        <v>422</v>
      </c>
      <c r="D98" s="344">
        <v>1</v>
      </c>
      <c r="E98" s="343" t="s">
        <v>423</v>
      </c>
      <c r="F98" s="345">
        <v>45657</v>
      </c>
      <c r="G98" s="345">
        <v>45657</v>
      </c>
      <c r="H98" s="343">
        <v>202501</v>
      </c>
      <c r="I98" s="344">
        <v>60</v>
      </c>
      <c r="J98" s="342">
        <v>44</v>
      </c>
      <c r="K98" s="346">
        <v>1238.94</v>
      </c>
      <c r="L98" s="346"/>
      <c r="M98" s="346"/>
      <c r="N98" s="346">
        <f t="shared" si="1"/>
        <v>1238.94</v>
      </c>
      <c r="O98" s="342">
        <v>78.48</v>
      </c>
      <c r="P98" s="347">
        <v>313.92</v>
      </c>
      <c r="Q98" s="342">
        <v>925.02</v>
      </c>
      <c r="R98" s="342">
        <v>0</v>
      </c>
      <c r="S98" s="342">
        <v>925.02</v>
      </c>
      <c r="T98" s="341" t="s">
        <v>362</v>
      </c>
      <c r="U98" s="342">
        <v>5301010301</v>
      </c>
      <c r="V98" s="342"/>
    </row>
    <row r="99" customHeight="1" spans="1:22">
      <c r="A99" s="343" t="s">
        <v>193</v>
      </c>
      <c r="B99" s="343">
        <v>300160</v>
      </c>
      <c r="C99" s="343" t="s">
        <v>422</v>
      </c>
      <c r="D99" s="344">
        <v>1</v>
      </c>
      <c r="E99" s="343" t="s">
        <v>423</v>
      </c>
      <c r="F99" s="345">
        <v>45657</v>
      </c>
      <c r="G99" s="345">
        <v>45657</v>
      </c>
      <c r="H99" s="343">
        <v>202501</v>
      </c>
      <c r="I99" s="344">
        <v>60</v>
      </c>
      <c r="J99" s="342">
        <v>44</v>
      </c>
      <c r="K99" s="346">
        <v>1238.94</v>
      </c>
      <c r="L99" s="346"/>
      <c r="M99" s="346"/>
      <c r="N99" s="346">
        <f t="shared" si="1"/>
        <v>1238.94</v>
      </c>
      <c r="O99" s="342">
        <v>78.48</v>
      </c>
      <c r="P99" s="347">
        <v>313.92</v>
      </c>
      <c r="Q99" s="342">
        <v>925.02</v>
      </c>
      <c r="R99" s="342">
        <v>0</v>
      </c>
      <c r="S99" s="342">
        <v>925.02</v>
      </c>
      <c r="T99" s="341" t="s">
        <v>362</v>
      </c>
      <c r="U99" s="342">
        <v>5301010301</v>
      </c>
      <c r="V99" s="342"/>
    </row>
    <row r="100" customHeight="1" spans="1:22">
      <c r="A100" s="343" t="s">
        <v>193</v>
      </c>
      <c r="B100" s="343">
        <v>300161</v>
      </c>
      <c r="C100" s="343" t="s">
        <v>422</v>
      </c>
      <c r="D100" s="344">
        <v>1</v>
      </c>
      <c r="E100" s="343" t="s">
        <v>423</v>
      </c>
      <c r="F100" s="345">
        <v>45657</v>
      </c>
      <c r="G100" s="345">
        <v>45657</v>
      </c>
      <c r="H100" s="343">
        <v>202501</v>
      </c>
      <c r="I100" s="344">
        <v>60</v>
      </c>
      <c r="J100" s="342">
        <v>44</v>
      </c>
      <c r="K100" s="346">
        <v>1238.93</v>
      </c>
      <c r="L100" s="346"/>
      <c r="M100" s="346"/>
      <c r="N100" s="346">
        <f t="shared" si="1"/>
        <v>1238.93</v>
      </c>
      <c r="O100" s="342">
        <v>78.48</v>
      </c>
      <c r="P100" s="347">
        <v>313.92</v>
      </c>
      <c r="Q100" s="342">
        <v>925.01</v>
      </c>
      <c r="R100" s="342">
        <v>0</v>
      </c>
      <c r="S100" s="342">
        <v>925.01</v>
      </c>
      <c r="T100" s="341" t="s">
        <v>362</v>
      </c>
      <c r="U100" s="342">
        <v>5301010301</v>
      </c>
      <c r="V100" s="342"/>
    </row>
    <row r="101" customHeight="1" spans="1:22">
      <c r="A101" s="343" t="s">
        <v>193</v>
      </c>
      <c r="B101" s="343">
        <v>300162</v>
      </c>
      <c r="C101" s="343" t="s">
        <v>422</v>
      </c>
      <c r="D101" s="344">
        <v>1</v>
      </c>
      <c r="E101" s="343" t="s">
        <v>424</v>
      </c>
      <c r="F101" s="345">
        <v>45657</v>
      </c>
      <c r="G101" s="345">
        <v>45657</v>
      </c>
      <c r="H101" s="343">
        <v>202501</v>
      </c>
      <c r="I101" s="344">
        <v>60</v>
      </c>
      <c r="J101" s="342">
        <v>44</v>
      </c>
      <c r="K101" s="346">
        <v>1592.92</v>
      </c>
      <c r="L101" s="346"/>
      <c r="M101" s="346"/>
      <c r="N101" s="346">
        <f t="shared" si="1"/>
        <v>1592.92</v>
      </c>
      <c r="O101" s="342">
        <v>100.88</v>
      </c>
      <c r="P101" s="347">
        <v>403.52</v>
      </c>
      <c r="Q101" s="347">
        <v>1189.4</v>
      </c>
      <c r="R101" s="342">
        <v>0</v>
      </c>
      <c r="S101" s="347">
        <v>1189.4</v>
      </c>
      <c r="T101" s="341" t="s">
        <v>362</v>
      </c>
      <c r="U101" s="342">
        <v>5301010301</v>
      </c>
      <c r="V101" s="342"/>
    </row>
    <row r="102" customHeight="1" spans="1:22">
      <c r="A102" s="343" t="s">
        <v>193</v>
      </c>
      <c r="B102" s="343">
        <v>300163</v>
      </c>
      <c r="C102" s="343" t="s">
        <v>425</v>
      </c>
      <c r="D102" s="344">
        <v>1</v>
      </c>
      <c r="E102" s="343"/>
      <c r="F102" s="345">
        <v>45657</v>
      </c>
      <c r="G102" s="345">
        <v>45657</v>
      </c>
      <c r="H102" s="343">
        <v>202501</v>
      </c>
      <c r="I102" s="344">
        <v>60</v>
      </c>
      <c r="J102" s="342">
        <v>44</v>
      </c>
      <c r="K102" s="346">
        <v>1100</v>
      </c>
      <c r="L102" s="346"/>
      <c r="M102" s="346"/>
      <c r="N102" s="346">
        <f t="shared" si="1"/>
        <v>1100</v>
      </c>
      <c r="O102" s="342">
        <v>69.68</v>
      </c>
      <c r="P102" s="347">
        <v>278.72</v>
      </c>
      <c r="Q102" s="342">
        <v>821.28</v>
      </c>
      <c r="R102" s="342">
        <v>0</v>
      </c>
      <c r="S102" s="342">
        <v>821.28</v>
      </c>
      <c r="T102" s="341" t="s">
        <v>296</v>
      </c>
      <c r="U102" s="342">
        <v>66021203</v>
      </c>
      <c r="V102" s="342"/>
    </row>
    <row r="103" customHeight="1" spans="1:22">
      <c r="A103" s="343" t="s">
        <v>193</v>
      </c>
      <c r="B103" s="343">
        <v>300164</v>
      </c>
      <c r="C103" s="343" t="s">
        <v>426</v>
      </c>
      <c r="D103" s="344">
        <v>1</v>
      </c>
      <c r="E103" s="343"/>
      <c r="F103" s="345">
        <v>45657</v>
      </c>
      <c r="G103" s="345">
        <v>45657</v>
      </c>
      <c r="H103" s="343">
        <v>202501</v>
      </c>
      <c r="I103" s="344">
        <v>60</v>
      </c>
      <c r="J103" s="342">
        <v>44</v>
      </c>
      <c r="K103" s="346">
        <v>120</v>
      </c>
      <c r="L103" s="346"/>
      <c r="M103" s="346"/>
      <c r="N103" s="346">
        <f t="shared" si="1"/>
        <v>120</v>
      </c>
      <c r="O103" s="342">
        <v>7.6</v>
      </c>
      <c r="P103" s="347">
        <v>30.4</v>
      </c>
      <c r="Q103" s="342">
        <v>89.6</v>
      </c>
      <c r="R103" s="342">
        <v>0</v>
      </c>
      <c r="S103" s="342">
        <v>89.6</v>
      </c>
      <c r="T103" s="341" t="s">
        <v>296</v>
      </c>
      <c r="U103" s="342">
        <v>66021203</v>
      </c>
      <c r="V103" s="342"/>
    </row>
    <row r="104" customHeight="1" spans="1:22">
      <c r="A104" s="343" t="s">
        <v>193</v>
      </c>
      <c r="B104" s="343">
        <v>300165</v>
      </c>
      <c r="C104" s="343" t="s">
        <v>427</v>
      </c>
      <c r="D104" s="344">
        <v>1</v>
      </c>
      <c r="E104" s="343" t="s">
        <v>428</v>
      </c>
      <c r="F104" s="345">
        <v>45657</v>
      </c>
      <c r="G104" s="345">
        <v>45657</v>
      </c>
      <c r="H104" s="343">
        <v>202501</v>
      </c>
      <c r="I104" s="344">
        <v>60</v>
      </c>
      <c r="J104" s="342">
        <v>44</v>
      </c>
      <c r="K104" s="346">
        <v>1500</v>
      </c>
      <c r="L104" s="346"/>
      <c r="M104" s="346"/>
      <c r="N104" s="346">
        <f t="shared" si="1"/>
        <v>1500</v>
      </c>
      <c r="O104" s="342">
        <v>95</v>
      </c>
      <c r="P104" s="347">
        <v>380</v>
      </c>
      <c r="Q104" s="347">
        <v>1120</v>
      </c>
      <c r="R104" s="342">
        <v>0</v>
      </c>
      <c r="S104" s="347">
        <v>1120</v>
      </c>
      <c r="T104" s="341" t="s">
        <v>296</v>
      </c>
      <c r="U104" s="342">
        <v>66021203</v>
      </c>
      <c r="V104" s="342"/>
    </row>
    <row r="105" customHeight="1" spans="1:22">
      <c r="A105" s="343" t="s">
        <v>193</v>
      </c>
      <c r="B105" s="343">
        <v>300166</v>
      </c>
      <c r="C105" s="343" t="s">
        <v>429</v>
      </c>
      <c r="D105" s="344">
        <v>1</v>
      </c>
      <c r="E105" s="343" t="s">
        <v>430</v>
      </c>
      <c r="F105" s="345">
        <v>45657</v>
      </c>
      <c r="G105" s="345">
        <v>45657</v>
      </c>
      <c r="H105" s="343">
        <v>202501</v>
      </c>
      <c r="I105" s="344">
        <v>60</v>
      </c>
      <c r="J105" s="342">
        <v>44</v>
      </c>
      <c r="K105" s="346">
        <v>1650</v>
      </c>
      <c r="L105" s="346"/>
      <c r="M105" s="346"/>
      <c r="N105" s="346">
        <f t="shared" si="1"/>
        <v>1650</v>
      </c>
      <c r="O105" s="342">
        <v>104.5</v>
      </c>
      <c r="P105" s="347">
        <v>418</v>
      </c>
      <c r="Q105" s="347">
        <v>1232</v>
      </c>
      <c r="R105" s="342">
        <v>0</v>
      </c>
      <c r="S105" s="347">
        <v>1232</v>
      </c>
      <c r="T105" s="341" t="s">
        <v>296</v>
      </c>
      <c r="U105" s="342">
        <v>66021203</v>
      </c>
      <c r="V105" s="342"/>
    </row>
    <row r="106" customHeight="1" spans="1:22">
      <c r="A106" s="343" t="s">
        <v>193</v>
      </c>
      <c r="B106" s="343">
        <v>300167</v>
      </c>
      <c r="C106" s="343" t="s">
        <v>429</v>
      </c>
      <c r="D106" s="344">
        <v>1</v>
      </c>
      <c r="E106" s="343" t="s">
        <v>431</v>
      </c>
      <c r="F106" s="345">
        <v>45657</v>
      </c>
      <c r="G106" s="345">
        <v>45657</v>
      </c>
      <c r="H106" s="343">
        <v>202501</v>
      </c>
      <c r="I106" s="344">
        <v>60</v>
      </c>
      <c r="J106" s="342">
        <v>44</v>
      </c>
      <c r="K106" s="346">
        <v>1600</v>
      </c>
      <c r="L106" s="346"/>
      <c r="M106" s="346"/>
      <c r="N106" s="346">
        <f t="shared" si="1"/>
        <v>1600</v>
      </c>
      <c r="O106" s="342">
        <v>101.32</v>
      </c>
      <c r="P106" s="347">
        <v>405.28</v>
      </c>
      <c r="Q106" s="347">
        <v>1194.72</v>
      </c>
      <c r="R106" s="342">
        <v>0</v>
      </c>
      <c r="S106" s="347">
        <v>1194.72</v>
      </c>
      <c r="T106" s="341" t="s">
        <v>296</v>
      </c>
      <c r="U106" s="342">
        <v>66021203</v>
      </c>
      <c r="V106" s="342"/>
    </row>
    <row r="107" customHeight="1" spans="1:22">
      <c r="A107" s="343" t="s">
        <v>193</v>
      </c>
      <c r="B107" s="343">
        <v>300168</v>
      </c>
      <c r="C107" s="343" t="s">
        <v>432</v>
      </c>
      <c r="D107" s="344">
        <v>1</v>
      </c>
      <c r="E107" s="343" t="s">
        <v>433</v>
      </c>
      <c r="F107" s="345">
        <v>45657</v>
      </c>
      <c r="G107" s="345">
        <v>45657</v>
      </c>
      <c r="H107" s="343">
        <v>202501</v>
      </c>
      <c r="I107" s="344">
        <v>60</v>
      </c>
      <c r="J107" s="342">
        <v>44</v>
      </c>
      <c r="K107" s="346">
        <v>1600</v>
      </c>
      <c r="L107" s="346"/>
      <c r="M107" s="346"/>
      <c r="N107" s="346">
        <f t="shared" si="1"/>
        <v>1600</v>
      </c>
      <c r="O107" s="342">
        <v>101.32</v>
      </c>
      <c r="P107" s="347">
        <v>405.28</v>
      </c>
      <c r="Q107" s="347">
        <v>1194.72</v>
      </c>
      <c r="R107" s="342">
        <v>0</v>
      </c>
      <c r="S107" s="347">
        <v>1194.72</v>
      </c>
      <c r="T107" s="341" t="s">
        <v>296</v>
      </c>
      <c r="U107" s="342">
        <v>66021203</v>
      </c>
      <c r="V107" s="342"/>
    </row>
    <row r="108" customHeight="1" spans="1:22">
      <c r="A108" s="343" t="s">
        <v>193</v>
      </c>
      <c r="B108" s="343">
        <v>300169</v>
      </c>
      <c r="C108" s="343" t="s">
        <v>434</v>
      </c>
      <c r="D108" s="344">
        <v>1</v>
      </c>
      <c r="E108" s="343" t="s">
        <v>435</v>
      </c>
      <c r="F108" s="345">
        <v>45657</v>
      </c>
      <c r="G108" s="345">
        <v>45657</v>
      </c>
      <c r="H108" s="343">
        <v>202501</v>
      </c>
      <c r="I108" s="344">
        <v>60</v>
      </c>
      <c r="J108" s="342">
        <v>44</v>
      </c>
      <c r="K108" s="346">
        <v>1380</v>
      </c>
      <c r="L108" s="346"/>
      <c r="M108" s="346"/>
      <c r="N108" s="346">
        <f t="shared" si="1"/>
        <v>1380</v>
      </c>
      <c r="O108" s="342">
        <v>87.4</v>
      </c>
      <c r="P108" s="347">
        <v>349.6</v>
      </c>
      <c r="Q108" s="347">
        <v>1030.4</v>
      </c>
      <c r="R108" s="342">
        <v>0</v>
      </c>
      <c r="S108" s="347">
        <v>1030.4</v>
      </c>
      <c r="T108" s="341" t="s">
        <v>296</v>
      </c>
      <c r="U108" s="342">
        <v>66021203</v>
      </c>
      <c r="V108" s="342"/>
    </row>
    <row r="109" customHeight="1" spans="1:22">
      <c r="A109" s="343" t="s">
        <v>193</v>
      </c>
      <c r="B109" s="343">
        <v>300170</v>
      </c>
      <c r="C109" s="343" t="s">
        <v>436</v>
      </c>
      <c r="D109" s="344">
        <v>1</v>
      </c>
      <c r="E109" s="343" t="s">
        <v>437</v>
      </c>
      <c r="F109" s="345">
        <v>45657</v>
      </c>
      <c r="G109" s="345">
        <v>45657</v>
      </c>
      <c r="H109" s="343">
        <v>202501</v>
      </c>
      <c r="I109" s="344">
        <v>60</v>
      </c>
      <c r="J109" s="342">
        <v>44</v>
      </c>
      <c r="K109" s="346">
        <v>1050</v>
      </c>
      <c r="L109" s="346"/>
      <c r="M109" s="346"/>
      <c r="N109" s="346">
        <f t="shared" si="1"/>
        <v>1050</v>
      </c>
      <c r="O109" s="342">
        <v>66.5</v>
      </c>
      <c r="P109" s="347">
        <v>266</v>
      </c>
      <c r="Q109" s="342">
        <v>784</v>
      </c>
      <c r="R109" s="342">
        <v>0</v>
      </c>
      <c r="S109" s="342">
        <v>784</v>
      </c>
      <c r="T109" s="341" t="s">
        <v>296</v>
      </c>
      <c r="U109" s="342">
        <v>66021203</v>
      </c>
      <c r="V109" s="342"/>
    </row>
    <row r="110" customHeight="1" spans="1:22">
      <c r="A110" s="343" t="s">
        <v>193</v>
      </c>
      <c r="B110" s="343">
        <v>300171</v>
      </c>
      <c r="C110" s="343" t="s">
        <v>438</v>
      </c>
      <c r="D110" s="344">
        <v>2</v>
      </c>
      <c r="E110" s="343" t="s">
        <v>439</v>
      </c>
      <c r="F110" s="345">
        <v>45716</v>
      </c>
      <c r="G110" s="345">
        <v>45716</v>
      </c>
      <c r="H110" s="343">
        <v>202503</v>
      </c>
      <c r="I110" s="344">
        <v>60</v>
      </c>
      <c r="J110" s="342">
        <v>46</v>
      </c>
      <c r="K110" s="346">
        <v>738</v>
      </c>
      <c r="L110" s="346"/>
      <c r="M110" s="346"/>
      <c r="N110" s="346">
        <f t="shared" si="1"/>
        <v>738</v>
      </c>
      <c r="O110" s="342">
        <v>46.74</v>
      </c>
      <c r="P110" s="347">
        <v>163.59</v>
      </c>
      <c r="Q110" s="342">
        <v>574.41</v>
      </c>
      <c r="R110" s="342">
        <v>0</v>
      </c>
      <c r="S110" s="342">
        <v>574.41</v>
      </c>
      <c r="T110" s="341" t="s">
        <v>296</v>
      </c>
      <c r="U110" s="342">
        <v>66021203</v>
      </c>
      <c r="V110" s="342"/>
    </row>
    <row r="111" customHeight="1" spans="1:22">
      <c r="A111" s="343" t="s">
        <v>193</v>
      </c>
      <c r="B111" s="343">
        <v>300172</v>
      </c>
      <c r="C111" s="343" t="s">
        <v>440</v>
      </c>
      <c r="D111" s="344">
        <v>2</v>
      </c>
      <c r="E111" s="343" t="s">
        <v>441</v>
      </c>
      <c r="F111" s="345">
        <v>45716</v>
      </c>
      <c r="G111" s="345">
        <v>45716</v>
      </c>
      <c r="H111" s="343">
        <v>202503</v>
      </c>
      <c r="I111" s="344">
        <v>60</v>
      </c>
      <c r="J111" s="342">
        <v>46</v>
      </c>
      <c r="K111" s="346">
        <v>778</v>
      </c>
      <c r="L111" s="346"/>
      <c r="M111" s="346"/>
      <c r="N111" s="346">
        <f t="shared" si="1"/>
        <v>778</v>
      </c>
      <c r="O111" s="342">
        <v>49.28</v>
      </c>
      <c r="P111" s="347">
        <v>172.48</v>
      </c>
      <c r="Q111" s="342">
        <v>605.52</v>
      </c>
      <c r="R111" s="342">
        <v>0</v>
      </c>
      <c r="S111" s="342">
        <v>605.52</v>
      </c>
      <c r="T111" s="341" t="s">
        <v>296</v>
      </c>
      <c r="U111" s="342">
        <v>66021203</v>
      </c>
      <c r="V111" s="342"/>
    </row>
    <row r="112" customHeight="1" spans="1:22">
      <c r="A112" s="343" t="s">
        <v>193</v>
      </c>
      <c r="B112" s="343">
        <v>300173</v>
      </c>
      <c r="C112" s="343" t="s">
        <v>442</v>
      </c>
      <c r="D112" s="344">
        <v>2</v>
      </c>
      <c r="E112" s="343" t="s">
        <v>443</v>
      </c>
      <c r="F112" s="345">
        <v>45752</v>
      </c>
      <c r="G112" s="345">
        <v>45752</v>
      </c>
      <c r="H112" s="343">
        <v>202505</v>
      </c>
      <c r="I112" s="344">
        <v>60</v>
      </c>
      <c r="J112" s="342">
        <v>48</v>
      </c>
      <c r="K112" s="346">
        <v>7300.88</v>
      </c>
      <c r="L112" s="346"/>
      <c r="M112" s="346"/>
      <c r="N112" s="346">
        <f t="shared" si="1"/>
        <v>7300.88</v>
      </c>
      <c r="O112" s="342">
        <v>462.4</v>
      </c>
      <c r="P112" s="347">
        <v>1387.2</v>
      </c>
      <c r="Q112" s="347">
        <v>5913.68</v>
      </c>
      <c r="R112" s="342">
        <v>0</v>
      </c>
      <c r="S112" s="347">
        <v>5913.68</v>
      </c>
      <c r="T112" s="341" t="s">
        <v>296</v>
      </c>
      <c r="U112" s="342">
        <v>66021203</v>
      </c>
      <c r="V112" s="342"/>
    </row>
    <row r="113" customHeight="1" spans="1:22">
      <c r="A113" s="343" t="s">
        <v>193</v>
      </c>
      <c r="B113" s="343">
        <v>300174</v>
      </c>
      <c r="C113" s="343" t="s">
        <v>444</v>
      </c>
      <c r="D113" s="344">
        <v>1</v>
      </c>
      <c r="E113" s="343"/>
      <c r="F113" s="345">
        <v>45911</v>
      </c>
      <c r="G113" s="345">
        <v>45911</v>
      </c>
      <c r="H113" s="343">
        <v>202510</v>
      </c>
      <c r="I113" s="344">
        <v>60</v>
      </c>
      <c r="J113" s="342">
        <v>53</v>
      </c>
      <c r="K113" s="346">
        <v>2000</v>
      </c>
      <c r="L113" s="346"/>
      <c r="M113" s="346"/>
      <c r="N113" s="346">
        <f t="shared" si="1"/>
        <v>2000</v>
      </c>
      <c r="O113" s="342">
        <v>126.68</v>
      </c>
      <c r="P113" s="347">
        <v>221.69</v>
      </c>
      <c r="Q113" s="347">
        <v>1778.31</v>
      </c>
      <c r="R113" s="342">
        <v>0</v>
      </c>
      <c r="S113" s="347">
        <v>1778.31</v>
      </c>
      <c r="T113" s="341" t="s">
        <v>296</v>
      </c>
      <c r="U113" s="342">
        <v>66021203</v>
      </c>
      <c r="V113" s="342"/>
    </row>
    <row r="114" customHeight="1" spans="1:22">
      <c r="A114" s="343" t="s">
        <v>193</v>
      </c>
      <c r="B114" s="343">
        <v>300175</v>
      </c>
      <c r="C114" s="343" t="s">
        <v>411</v>
      </c>
      <c r="D114" s="344">
        <v>6</v>
      </c>
      <c r="E114" s="343"/>
      <c r="F114" s="345">
        <v>45929</v>
      </c>
      <c r="G114" s="345">
        <v>45929</v>
      </c>
      <c r="H114" s="343">
        <v>202510</v>
      </c>
      <c r="I114" s="344">
        <v>60</v>
      </c>
      <c r="J114" s="342">
        <v>53</v>
      </c>
      <c r="K114" s="346">
        <v>23893.81</v>
      </c>
      <c r="L114" s="346"/>
      <c r="M114" s="346"/>
      <c r="N114" s="346">
        <f t="shared" si="1"/>
        <v>23893.81</v>
      </c>
      <c r="O114" s="347">
        <v>1513.28</v>
      </c>
      <c r="P114" s="347">
        <v>2648.24</v>
      </c>
      <c r="Q114" s="347">
        <v>21245.57</v>
      </c>
      <c r="R114" s="342">
        <v>0</v>
      </c>
      <c r="S114" s="347">
        <v>21245.57</v>
      </c>
      <c r="T114" s="341" t="s">
        <v>362</v>
      </c>
      <c r="U114" s="342">
        <v>5301010301</v>
      </c>
      <c r="V114" s="342"/>
    </row>
    <row r="115" customHeight="1" spans="1:22">
      <c r="A115" s="343" t="s">
        <v>193</v>
      </c>
      <c r="B115" s="343">
        <v>300176</v>
      </c>
      <c r="C115" s="343" t="s">
        <v>398</v>
      </c>
      <c r="D115" s="344">
        <v>6</v>
      </c>
      <c r="E115" s="343" t="s">
        <v>445</v>
      </c>
      <c r="F115" s="345">
        <v>45941</v>
      </c>
      <c r="G115" s="345">
        <v>45941</v>
      </c>
      <c r="H115" s="343">
        <v>202511</v>
      </c>
      <c r="I115" s="344">
        <v>60</v>
      </c>
      <c r="J115" s="342">
        <v>54</v>
      </c>
      <c r="K115" s="346">
        <v>15897.35</v>
      </c>
      <c r="L115" s="346"/>
      <c r="M115" s="346"/>
      <c r="N115" s="346">
        <f t="shared" si="1"/>
        <v>15897.35</v>
      </c>
      <c r="O115" s="347">
        <v>1006.84</v>
      </c>
      <c r="P115" s="347">
        <v>1510.26</v>
      </c>
      <c r="Q115" s="347">
        <v>14387.09</v>
      </c>
      <c r="R115" s="342">
        <v>0</v>
      </c>
      <c r="S115" s="347">
        <v>14387.09</v>
      </c>
      <c r="T115" s="341" t="s">
        <v>362</v>
      </c>
      <c r="U115" s="342">
        <v>66021203</v>
      </c>
      <c r="V115" s="342" t="s">
        <v>446</v>
      </c>
    </row>
    <row r="116" customHeight="1" spans="1:22">
      <c r="A116" s="343" t="s">
        <v>193</v>
      </c>
      <c r="B116" s="343">
        <v>300177</v>
      </c>
      <c r="C116" s="343" t="s">
        <v>447</v>
      </c>
      <c r="D116" s="344">
        <v>1</v>
      </c>
      <c r="E116" s="343" t="s">
        <v>448</v>
      </c>
      <c r="F116" s="345">
        <v>45964</v>
      </c>
      <c r="G116" s="345">
        <v>45964</v>
      </c>
      <c r="H116" s="343">
        <v>202512</v>
      </c>
      <c r="I116" s="344">
        <v>48</v>
      </c>
      <c r="J116" s="342">
        <v>43</v>
      </c>
      <c r="K116" s="346">
        <v>5752.21</v>
      </c>
      <c r="L116" s="346"/>
      <c r="M116" s="346"/>
      <c r="N116" s="346">
        <f t="shared" si="1"/>
        <v>5752.21</v>
      </c>
      <c r="O116" s="342">
        <v>455.4</v>
      </c>
      <c r="P116" s="347">
        <v>569.25</v>
      </c>
      <c r="Q116" s="347">
        <v>5182.96</v>
      </c>
      <c r="R116" s="342">
        <v>0</v>
      </c>
      <c r="S116" s="347">
        <v>5182.96</v>
      </c>
      <c r="T116" s="341" t="s">
        <v>296</v>
      </c>
      <c r="U116" s="342">
        <v>66021203</v>
      </c>
      <c r="V116" s="342" t="s">
        <v>358</v>
      </c>
    </row>
    <row r="117" customHeight="1" spans="1:22">
      <c r="A117" s="343" t="s">
        <v>193</v>
      </c>
      <c r="B117" s="343">
        <v>300178</v>
      </c>
      <c r="C117" s="343" t="s">
        <v>449</v>
      </c>
      <c r="D117" s="344">
        <v>1</v>
      </c>
      <c r="E117" s="343" t="s">
        <v>450</v>
      </c>
      <c r="F117" s="345">
        <v>45964</v>
      </c>
      <c r="G117" s="345">
        <v>45964</v>
      </c>
      <c r="H117" s="343">
        <v>202512</v>
      </c>
      <c r="I117" s="344">
        <v>48</v>
      </c>
      <c r="J117" s="342">
        <v>43</v>
      </c>
      <c r="K117" s="346">
        <v>5309.73</v>
      </c>
      <c r="L117" s="346"/>
      <c r="M117" s="346"/>
      <c r="N117" s="346">
        <f t="shared" si="1"/>
        <v>5309.73</v>
      </c>
      <c r="O117" s="342">
        <v>420.36</v>
      </c>
      <c r="P117" s="347">
        <v>525.45</v>
      </c>
      <c r="Q117" s="347">
        <v>4784.28</v>
      </c>
      <c r="R117" s="342">
        <v>0</v>
      </c>
      <c r="S117" s="347">
        <v>4784.28</v>
      </c>
      <c r="T117" s="341" t="s">
        <v>296</v>
      </c>
      <c r="U117" s="342">
        <v>66021203</v>
      </c>
      <c r="V117" s="342" t="s">
        <v>358</v>
      </c>
    </row>
    <row r="118" customHeight="1" spans="1:22">
      <c r="A118" s="343" t="s">
        <v>193</v>
      </c>
      <c r="B118" s="343">
        <v>300179</v>
      </c>
      <c r="C118" s="343" t="s">
        <v>451</v>
      </c>
      <c r="D118" s="344">
        <v>3</v>
      </c>
      <c r="E118" s="343" t="s">
        <v>452</v>
      </c>
      <c r="F118" s="345">
        <v>45964</v>
      </c>
      <c r="G118" s="345">
        <v>45964</v>
      </c>
      <c r="H118" s="343">
        <v>202512</v>
      </c>
      <c r="I118" s="344">
        <v>48</v>
      </c>
      <c r="J118" s="342">
        <v>43</v>
      </c>
      <c r="K118" s="346">
        <v>11681.42</v>
      </c>
      <c r="L118" s="346"/>
      <c r="M118" s="346"/>
      <c r="N118" s="346">
        <f t="shared" si="1"/>
        <v>11681.42</v>
      </c>
      <c r="O118" s="342">
        <v>924.78</v>
      </c>
      <c r="P118" s="347">
        <v>1155.97</v>
      </c>
      <c r="Q118" s="347">
        <v>10525.45</v>
      </c>
      <c r="R118" s="342">
        <v>0</v>
      </c>
      <c r="S118" s="347">
        <v>10525.45</v>
      </c>
      <c r="T118" s="341" t="s">
        <v>296</v>
      </c>
      <c r="U118" s="342">
        <v>66021203</v>
      </c>
      <c r="V118" s="342" t="s">
        <v>358</v>
      </c>
    </row>
    <row r="119" customHeight="1" spans="1:22">
      <c r="A119" s="343" t="s">
        <v>193</v>
      </c>
      <c r="B119" s="343">
        <v>300180</v>
      </c>
      <c r="C119" s="343" t="s">
        <v>453</v>
      </c>
      <c r="D119" s="344">
        <v>1</v>
      </c>
      <c r="E119" s="343" t="s">
        <v>454</v>
      </c>
      <c r="F119" s="345">
        <v>45964</v>
      </c>
      <c r="G119" s="345">
        <v>45964</v>
      </c>
      <c r="H119" s="343">
        <v>202512</v>
      </c>
      <c r="I119" s="344">
        <v>48</v>
      </c>
      <c r="J119" s="342">
        <v>43</v>
      </c>
      <c r="K119" s="346">
        <v>265.49</v>
      </c>
      <c r="L119" s="346"/>
      <c r="M119" s="346"/>
      <c r="N119" s="346">
        <f t="shared" si="1"/>
        <v>265.49</v>
      </c>
      <c r="O119" s="342">
        <v>21.01</v>
      </c>
      <c r="P119" s="347">
        <v>26.26</v>
      </c>
      <c r="Q119" s="342">
        <v>239.23</v>
      </c>
      <c r="R119" s="342">
        <v>0</v>
      </c>
      <c r="S119" s="342">
        <v>239.23</v>
      </c>
      <c r="T119" s="341" t="s">
        <v>296</v>
      </c>
      <c r="U119" s="342">
        <v>66021203</v>
      </c>
      <c r="V119" s="342" t="s">
        <v>358</v>
      </c>
    </row>
    <row r="120" customHeight="1" spans="1:22">
      <c r="A120" s="343" t="s">
        <v>193</v>
      </c>
      <c r="B120" s="343">
        <v>300181</v>
      </c>
      <c r="C120" s="343" t="s">
        <v>455</v>
      </c>
      <c r="D120" s="344">
        <v>1</v>
      </c>
      <c r="E120" s="343" t="s">
        <v>456</v>
      </c>
      <c r="F120" s="345">
        <v>45964</v>
      </c>
      <c r="G120" s="345">
        <v>45964</v>
      </c>
      <c r="H120" s="343">
        <v>202512</v>
      </c>
      <c r="I120" s="344">
        <v>60</v>
      </c>
      <c r="J120" s="342">
        <v>55</v>
      </c>
      <c r="K120" s="346">
        <v>1017.7</v>
      </c>
      <c r="L120" s="346"/>
      <c r="M120" s="346"/>
      <c r="N120" s="346">
        <f t="shared" si="1"/>
        <v>1017.7</v>
      </c>
      <c r="O120" s="342">
        <v>64.44</v>
      </c>
      <c r="P120" s="347">
        <v>80.55</v>
      </c>
      <c r="Q120" s="342">
        <v>937.15</v>
      </c>
      <c r="R120" s="342">
        <v>0</v>
      </c>
      <c r="S120" s="342">
        <v>937.15</v>
      </c>
      <c r="T120" s="341" t="s">
        <v>296</v>
      </c>
      <c r="U120" s="342">
        <v>66021203</v>
      </c>
      <c r="V120" s="342" t="s">
        <v>457</v>
      </c>
    </row>
    <row r="121" customHeight="1" spans="1:22">
      <c r="A121" s="343" t="s">
        <v>193</v>
      </c>
      <c r="B121" s="343">
        <v>300182</v>
      </c>
      <c r="C121" s="343" t="s">
        <v>458</v>
      </c>
      <c r="D121" s="344">
        <v>6</v>
      </c>
      <c r="E121" s="343" t="s">
        <v>459</v>
      </c>
      <c r="F121" s="345">
        <v>46055</v>
      </c>
      <c r="G121" s="345">
        <v>46055</v>
      </c>
      <c r="H121" s="343">
        <v>202603</v>
      </c>
      <c r="I121" s="344">
        <v>60</v>
      </c>
      <c r="J121" s="342">
        <v>58</v>
      </c>
      <c r="K121" s="346">
        <v>0</v>
      </c>
      <c r="L121" s="346">
        <v>17946.9</v>
      </c>
      <c r="M121" s="346"/>
      <c r="N121" s="346">
        <f t="shared" si="1"/>
        <v>17946.9</v>
      </c>
      <c r="O121" s="342">
        <v>568.32</v>
      </c>
      <c r="P121" s="347">
        <v>568.32</v>
      </c>
      <c r="Q121" s="347">
        <v>17378.58</v>
      </c>
      <c r="R121" s="342">
        <v>0</v>
      </c>
      <c r="S121" s="347">
        <v>17378.58</v>
      </c>
      <c r="T121" s="341" t="s">
        <v>296</v>
      </c>
      <c r="U121" s="342">
        <v>66021203</v>
      </c>
      <c r="V121" s="342" t="s">
        <v>460</v>
      </c>
    </row>
    <row r="122" customHeight="1" spans="1:22">
      <c r="A122" s="343" t="s">
        <v>193</v>
      </c>
      <c r="B122" s="343">
        <v>300183</v>
      </c>
      <c r="C122" s="343" t="s">
        <v>458</v>
      </c>
      <c r="D122" s="344">
        <v>1</v>
      </c>
      <c r="E122" s="343" t="s">
        <v>461</v>
      </c>
      <c r="F122" s="345">
        <v>46115</v>
      </c>
      <c r="G122" s="345">
        <v>46115</v>
      </c>
      <c r="H122" s="343">
        <v>202605</v>
      </c>
      <c r="I122" s="344">
        <v>60</v>
      </c>
      <c r="J122" s="342">
        <v>60</v>
      </c>
      <c r="K122" s="346">
        <v>0</v>
      </c>
      <c r="L122" s="346">
        <v>4336.28</v>
      </c>
      <c r="M122" s="346"/>
      <c r="N122" s="346">
        <f t="shared" si="1"/>
        <v>4336.28</v>
      </c>
      <c r="O122" s="342">
        <v>0</v>
      </c>
      <c r="P122" s="347">
        <v>0</v>
      </c>
      <c r="Q122" s="347">
        <v>4336.28</v>
      </c>
      <c r="R122" s="342">
        <v>0</v>
      </c>
      <c r="S122" s="347">
        <v>4336.28</v>
      </c>
      <c r="T122" s="341" t="s">
        <v>296</v>
      </c>
      <c r="U122" s="342">
        <v>66021203</v>
      </c>
      <c r="V122" s="342" t="s">
        <v>462</v>
      </c>
    </row>
    <row r="123" s="340" customFormat="1" customHeight="1" spans="1:22">
      <c r="A123" s="343" t="s">
        <v>192</v>
      </c>
      <c r="B123" s="343">
        <v>400002</v>
      </c>
      <c r="C123" s="343" t="s">
        <v>463</v>
      </c>
      <c r="D123" s="344">
        <v>1</v>
      </c>
      <c r="E123" s="343" t="s">
        <v>464</v>
      </c>
      <c r="F123" s="345">
        <v>44638</v>
      </c>
      <c r="G123" s="345">
        <v>44638</v>
      </c>
      <c r="H123" s="343">
        <v>202204</v>
      </c>
      <c r="I123" s="344" t="s">
        <v>465</v>
      </c>
      <c r="J123" s="342">
        <v>11</v>
      </c>
      <c r="K123" s="346">
        <v>175403.34</v>
      </c>
      <c r="L123" s="346"/>
      <c r="M123" s="346"/>
      <c r="N123" s="346">
        <f t="shared" si="1"/>
        <v>175403.34</v>
      </c>
      <c r="O123" s="347">
        <v>11108.88</v>
      </c>
      <c r="P123" s="347">
        <v>136083.78</v>
      </c>
      <c r="Q123" s="347">
        <v>39319.56</v>
      </c>
      <c r="R123" s="342">
        <v>0</v>
      </c>
      <c r="S123" s="347">
        <v>39319.56</v>
      </c>
      <c r="T123" s="341" t="s">
        <v>299</v>
      </c>
      <c r="U123" s="342">
        <v>510102</v>
      </c>
      <c r="V123" s="342"/>
    </row>
    <row r="124" s="340" customFormat="1" customHeight="1" spans="1:22">
      <c r="A124" s="343" t="s">
        <v>192</v>
      </c>
      <c r="B124" s="343">
        <v>400051</v>
      </c>
      <c r="C124" s="343" t="s">
        <v>466</v>
      </c>
      <c r="D124" s="344">
        <v>1</v>
      </c>
      <c r="E124" s="343"/>
      <c r="F124" s="345">
        <v>44910</v>
      </c>
      <c r="G124" s="345">
        <v>44910</v>
      </c>
      <c r="H124" s="343">
        <v>202301</v>
      </c>
      <c r="I124" s="344" t="s">
        <v>465</v>
      </c>
      <c r="J124" s="342">
        <v>20</v>
      </c>
      <c r="K124" s="346">
        <v>208200</v>
      </c>
      <c r="L124" s="346"/>
      <c r="M124" s="346"/>
      <c r="N124" s="346">
        <f t="shared" si="1"/>
        <v>208200</v>
      </c>
      <c r="O124" s="347">
        <v>13186</v>
      </c>
      <c r="P124" s="347">
        <v>131860</v>
      </c>
      <c r="Q124" s="347">
        <v>76340</v>
      </c>
      <c r="R124" s="342">
        <v>0</v>
      </c>
      <c r="S124" s="347">
        <v>76340</v>
      </c>
      <c r="T124" s="341" t="s">
        <v>304</v>
      </c>
      <c r="U124" s="342">
        <v>510102</v>
      </c>
      <c r="V124" s="342"/>
    </row>
    <row r="125" s="340" customFormat="1" customHeight="1" spans="1:22">
      <c r="A125" s="343" t="s">
        <v>192</v>
      </c>
      <c r="B125" s="343">
        <v>400052</v>
      </c>
      <c r="C125" s="343" t="s">
        <v>466</v>
      </c>
      <c r="D125" s="344">
        <v>1</v>
      </c>
      <c r="E125" s="343"/>
      <c r="F125" s="345">
        <v>44910</v>
      </c>
      <c r="G125" s="345">
        <v>44910</v>
      </c>
      <c r="H125" s="343">
        <v>202301</v>
      </c>
      <c r="I125" s="344" t="s">
        <v>465</v>
      </c>
      <c r="J125" s="342">
        <v>20</v>
      </c>
      <c r="K125" s="346">
        <v>9369</v>
      </c>
      <c r="L125" s="346"/>
      <c r="M125" s="346"/>
      <c r="N125" s="346">
        <f t="shared" si="1"/>
        <v>9369</v>
      </c>
      <c r="O125" s="342">
        <v>593.38</v>
      </c>
      <c r="P125" s="347">
        <v>5933.65</v>
      </c>
      <c r="Q125" s="347">
        <v>3435.35</v>
      </c>
      <c r="R125" s="342">
        <v>0</v>
      </c>
      <c r="S125" s="347">
        <v>3435.35</v>
      </c>
      <c r="T125" s="341" t="s">
        <v>304</v>
      </c>
      <c r="U125" s="342">
        <v>510102</v>
      </c>
      <c r="V125" s="342"/>
    </row>
    <row r="126" s="340" customFormat="1" customHeight="1" spans="1:22">
      <c r="A126" s="343" t="s">
        <v>192</v>
      </c>
      <c r="B126" s="343">
        <v>400053</v>
      </c>
      <c r="C126" s="343" t="s">
        <v>466</v>
      </c>
      <c r="D126" s="344">
        <v>1</v>
      </c>
      <c r="E126" s="343"/>
      <c r="F126" s="345">
        <v>44910</v>
      </c>
      <c r="G126" s="345">
        <v>44910</v>
      </c>
      <c r="H126" s="343">
        <v>202301</v>
      </c>
      <c r="I126" s="344" t="s">
        <v>465</v>
      </c>
      <c r="J126" s="342">
        <v>20</v>
      </c>
      <c r="K126" s="346">
        <v>208200</v>
      </c>
      <c r="L126" s="346"/>
      <c r="M126" s="346"/>
      <c r="N126" s="346">
        <f t="shared" si="1"/>
        <v>208200</v>
      </c>
      <c r="O126" s="347">
        <v>13186</v>
      </c>
      <c r="P126" s="347">
        <v>131860</v>
      </c>
      <c r="Q126" s="347">
        <v>76340</v>
      </c>
      <c r="R126" s="342">
        <v>0</v>
      </c>
      <c r="S126" s="347">
        <v>76340</v>
      </c>
      <c r="T126" s="341" t="s">
        <v>304</v>
      </c>
      <c r="U126" s="342">
        <v>510102</v>
      </c>
      <c r="V126" s="342"/>
    </row>
    <row r="127" s="340" customFormat="1" customHeight="1" spans="1:22">
      <c r="A127" s="343" t="s">
        <v>192</v>
      </c>
      <c r="B127" s="343">
        <v>400054</v>
      </c>
      <c r="C127" s="343" t="s">
        <v>466</v>
      </c>
      <c r="D127" s="344">
        <v>1</v>
      </c>
      <c r="E127" s="343"/>
      <c r="F127" s="345">
        <v>44910</v>
      </c>
      <c r="G127" s="345">
        <v>44910</v>
      </c>
      <c r="H127" s="343">
        <v>202301</v>
      </c>
      <c r="I127" s="344" t="s">
        <v>465</v>
      </c>
      <c r="J127" s="342">
        <v>20</v>
      </c>
      <c r="K127" s="346">
        <v>9369</v>
      </c>
      <c r="L127" s="346"/>
      <c r="M127" s="346"/>
      <c r="N127" s="346">
        <f t="shared" si="1"/>
        <v>9369</v>
      </c>
      <c r="O127" s="342">
        <v>593.4</v>
      </c>
      <c r="P127" s="347">
        <v>5933.57</v>
      </c>
      <c r="Q127" s="347">
        <v>3435.43</v>
      </c>
      <c r="R127" s="342">
        <v>0</v>
      </c>
      <c r="S127" s="347">
        <v>3435.43</v>
      </c>
      <c r="T127" s="341" t="s">
        <v>304</v>
      </c>
      <c r="U127" s="342">
        <v>510102</v>
      </c>
      <c r="V127" s="342"/>
    </row>
    <row r="128" s="340" customFormat="1" customHeight="1" spans="1:22">
      <c r="A128" s="343" t="s">
        <v>192</v>
      </c>
      <c r="B128" s="343">
        <v>400055</v>
      </c>
      <c r="C128" s="343" t="s">
        <v>466</v>
      </c>
      <c r="D128" s="344">
        <v>1</v>
      </c>
      <c r="E128" s="343"/>
      <c r="F128" s="345">
        <v>44910</v>
      </c>
      <c r="G128" s="345">
        <v>44910</v>
      </c>
      <c r="H128" s="343">
        <v>202301</v>
      </c>
      <c r="I128" s="344" t="s">
        <v>465</v>
      </c>
      <c r="J128" s="342">
        <v>20</v>
      </c>
      <c r="K128" s="346">
        <v>9369</v>
      </c>
      <c r="L128" s="346"/>
      <c r="M128" s="346"/>
      <c r="N128" s="346">
        <f t="shared" si="1"/>
        <v>9369</v>
      </c>
      <c r="O128" s="342">
        <v>593.4</v>
      </c>
      <c r="P128" s="347">
        <v>5933.57</v>
      </c>
      <c r="Q128" s="347">
        <v>3435.43</v>
      </c>
      <c r="R128" s="342">
        <v>0</v>
      </c>
      <c r="S128" s="347">
        <v>3435.43</v>
      </c>
      <c r="T128" s="341" t="s">
        <v>304</v>
      </c>
      <c r="U128" s="342">
        <v>510102</v>
      </c>
      <c r="V128" s="342"/>
    </row>
    <row r="129" s="340" customFormat="1" customHeight="1" spans="1:22">
      <c r="A129" s="343" t="s">
        <v>192</v>
      </c>
      <c r="B129" s="343">
        <v>400056</v>
      </c>
      <c r="C129" s="343" t="s">
        <v>466</v>
      </c>
      <c r="D129" s="344">
        <v>1</v>
      </c>
      <c r="E129" s="343"/>
      <c r="F129" s="345">
        <v>44910</v>
      </c>
      <c r="G129" s="345">
        <v>44910</v>
      </c>
      <c r="H129" s="343">
        <v>202301</v>
      </c>
      <c r="I129" s="344" t="s">
        <v>465</v>
      </c>
      <c r="J129" s="342">
        <v>20</v>
      </c>
      <c r="K129" s="346">
        <v>9369</v>
      </c>
      <c r="L129" s="346"/>
      <c r="M129" s="346"/>
      <c r="N129" s="346">
        <f t="shared" si="1"/>
        <v>9369</v>
      </c>
      <c r="O129" s="342">
        <v>593.4</v>
      </c>
      <c r="P129" s="347">
        <v>5933.57</v>
      </c>
      <c r="Q129" s="347">
        <v>3435.43</v>
      </c>
      <c r="R129" s="342">
        <v>0</v>
      </c>
      <c r="S129" s="347">
        <v>3435.43</v>
      </c>
      <c r="T129" s="341" t="s">
        <v>304</v>
      </c>
      <c r="U129" s="342">
        <v>510102</v>
      </c>
      <c r="V129" s="342"/>
    </row>
    <row r="130" s="340" customFormat="1" customHeight="1" spans="1:22">
      <c r="A130" s="343" t="s">
        <v>192</v>
      </c>
      <c r="B130" s="343">
        <v>400057</v>
      </c>
      <c r="C130" s="343" t="s">
        <v>466</v>
      </c>
      <c r="D130" s="344">
        <v>1</v>
      </c>
      <c r="E130" s="343"/>
      <c r="F130" s="345">
        <v>44910</v>
      </c>
      <c r="G130" s="345">
        <v>44910</v>
      </c>
      <c r="H130" s="343">
        <v>202301</v>
      </c>
      <c r="I130" s="344" t="s">
        <v>465</v>
      </c>
      <c r="J130" s="342">
        <v>20</v>
      </c>
      <c r="K130" s="346">
        <v>9369</v>
      </c>
      <c r="L130" s="346"/>
      <c r="M130" s="346"/>
      <c r="N130" s="346">
        <f t="shared" si="1"/>
        <v>9369</v>
      </c>
      <c r="O130" s="342">
        <v>593.4</v>
      </c>
      <c r="P130" s="347">
        <v>5933.57</v>
      </c>
      <c r="Q130" s="347">
        <v>3435.43</v>
      </c>
      <c r="R130" s="342">
        <v>0</v>
      </c>
      <c r="S130" s="347">
        <v>3435.43</v>
      </c>
      <c r="T130" s="341" t="s">
        <v>304</v>
      </c>
      <c r="U130" s="342">
        <v>510102</v>
      </c>
      <c r="V130" s="342"/>
    </row>
    <row r="131" s="340" customFormat="1" customHeight="1" spans="1:22">
      <c r="A131" s="343" t="s">
        <v>192</v>
      </c>
      <c r="B131" s="343">
        <v>400058</v>
      </c>
      <c r="C131" s="343" t="s">
        <v>466</v>
      </c>
      <c r="D131" s="344">
        <v>1</v>
      </c>
      <c r="E131" s="343"/>
      <c r="F131" s="345">
        <v>44910</v>
      </c>
      <c r="G131" s="345">
        <v>44910</v>
      </c>
      <c r="H131" s="343">
        <v>202301</v>
      </c>
      <c r="I131" s="344" t="s">
        <v>465</v>
      </c>
      <c r="J131" s="342">
        <v>20</v>
      </c>
      <c r="K131" s="346">
        <v>9369</v>
      </c>
      <c r="L131" s="346"/>
      <c r="M131" s="346"/>
      <c r="N131" s="346">
        <f t="shared" ref="N131:N194" si="2">K131+L131-M131</f>
        <v>9369</v>
      </c>
      <c r="O131" s="342">
        <v>593.4</v>
      </c>
      <c r="P131" s="347">
        <v>5933.57</v>
      </c>
      <c r="Q131" s="347">
        <v>3435.43</v>
      </c>
      <c r="R131" s="342">
        <v>0</v>
      </c>
      <c r="S131" s="347">
        <v>3435.43</v>
      </c>
      <c r="T131" s="341" t="s">
        <v>304</v>
      </c>
      <c r="U131" s="342">
        <v>510102</v>
      </c>
      <c r="V131" s="342"/>
    </row>
    <row r="132" s="340" customFormat="1" customHeight="1" spans="1:22">
      <c r="A132" s="343" t="s">
        <v>192</v>
      </c>
      <c r="B132" s="343">
        <v>400059</v>
      </c>
      <c r="C132" s="343" t="s">
        <v>466</v>
      </c>
      <c r="D132" s="344">
        <v>1</v>
      </c>
      <c r="E132" s="343"/>
      <c r="F132" s="345">
        <v>44910</v>
      </c>
      <c r="G132" s="345">
        <v>44910</v>
      </c>
      <c r="H132" s="343">
        <v>202301</v>
      </c>
      <c r="I132" s="344" t="s">
        <v>465</v>
      </c>
      <c r="J132" s="342">
        <v>20</v>
      </c>
      <c r="K132" s="346">
        <v>9369</v>
      </c>
      <c r="L132" s="346"/>
      <c r="M132" s="346"/>
      <c r="N132" s="346">
        <f t="shared" si="2"/>
        <v>9369</v>
      </c>
      <c r="O132" s="342">
        <v>593.4</v>
      </c>
      <c r="P132" s="347">
        <v>5933.57</v>
      </c>
      <c r="Q132" s="347">
        <v>3435.43</v>
      </c>
      <c r="R132" s="342">
        <v>0</v>
      </c>
      <c r="S132" s="347">
        <v>3435.43</v>
      </c>
      <c r="T132" s="341" t="s">
        <v>304</v>
      </c>
      <c r="U132" s="342">
        <v>510102</v>
      </c>
      <c r="V132" s="342"/>
    </row>
    <row r="133" s="340" customFormat="1" customHeight="1" spans="1:22">
      <c r="A133" s="343" t="s">
        <v>192</v>
      </c>
      <c r="B133" s="343">
        <v>400060</v>
      </c>
      <c r="C133" s="343" t="s">
        <v>466</v>
      </c>
      <c r="D133" s="344">
        <v>1</v>
      </c>
      <c r="E133" s="343"/>
      <c r="F133" s="345">
        <v>44910</v>
      </c>
      <c r="G133" s="345">
        <v>44910</v>
      </c>
      <c r="H133" s="343">
        <v>202301</v>
      </c>
      <c r="I133" s="344" t="s">
        <v>465</v>
      </c>
      <c r="J133" s="342">
        <v>20</v>
      </c>
      <c r="K133" s="346">
        <v>9369</v>
      </c>
      <c r="L133" s="346"/>
      <c r="M133" s="346"/>
      <c r="N133" s="346">
        <f t="shared" si="2"/>
        <v>9369</v>
      </c>
      <c r="O133" s="342">
        <v>593.4</v>
      </c>
      <c r="P133" s="347">
        <v>5933.57</v>
      </c>
      <c r="Q133" s="347">
        <v>3435.43</v>
      </c>
      <c r="R133" s="342">
        <v>0</v>
      </c>
      <c r="S133" s="347">
        <v>3435.43</v>
      </c>
      <c r="T133" s="341" t="s">
        <v>304</v>
      </c>
      <c r="U133" s="342">
        <v>510102</v>
      </c>
      <c r="V133" s="342"/>
    </row>
    <row r="134" s="340" customFormat="1" customHeight="1" spans="1:22">
      <c r="A134" s="343" t="s">
        <v>192</v>
      </c>
      <c r="B134" s="343">
        <v>400061</v>
      </c>
      <c r="C134" s="343" t="s">
        <v>466</v>
      </c>
      <c r="D134" s="344">
        <v>1</v>
      </c>
      <c r="E134" s="343"/>
      <c r="F134" s="345">
        <v>44910</v>
      </c>
      <c r="G134" s="345">
        <v>44910</v>
      </c>
      <c r="H134" s="343">
        <v>202301</v>
      </c>
      <c r="I134" s="344" t="s">
        <v>465</v>
      </c>
      <c r="J134" s="342">
        <v>20</v>
      </c>
      <c r="K134" s="346">
        <v>9369</v>
      </c>
      <c r="L134" s="346"/>
      <c r="M134" s="346"/>
      <c r="N134" s="346">
        <f t="shared" si="2"/>
        <v>9369</v>
      </c>
      <c r="O134" s="342">
        <v>593.4</v>
      </c>
      <c r="P134" s="347">
        <v>5933.57</v>
      </c>
      <c r="Q134" s="347">
        <v>3435.43</v>
      </c>
      <c r="R134" s="342">
        <v>0</v>
      </c>
      <c r="S134" s="347">
        <v>3435.43</v>
      </c>
      <c r="T134" s="341" t="s">
        <v>304</v>
      </c>
      <c r="U134" s="342">
        <v>510102</v>
      </c>
      <c r="V134" s="342"/>
    </row>
    <row r="135" s="340" customFormat="1" customHeight="1" spans="1:22">
      <c r="A135" s="343" t="s">
        <v>192</v>
      </c>
      <c r="B135" s="343">
        <v>400062</v>
      </c>
      <c r="C135" s="343" t="s">
        <v>466</v>
      </c>
      <c r="D135" s="344">
        <v>1</v>
      </c>
      <c r="E135" s="343"/>
      <c r="F135" s="345">
        <v>44910</v>
      </c>
      <c r="G135" s="345">
        <v>44910</v>
      </c>
      <c r="H135" s="343">
        <v>202301</v>
      </c>
      <c r="I135" s="344" t="s">
        <v>465</v>
      </c>
      <c r="J135" s="342">
        <v>20</v>
      </c>
      <c r="K135" s="346">
        <v>9369</v>
      </c>
      <c r="L135" s="346"/>
      <c r="M135" s="346"/>
      <c r="N135" s="346">
        <f t="shared" si="2"/>
        <v>9369</v>
      </c>
      <c r="O135" s="342">
        <v>593.4</v>
      </c>
      <c r="P135" s="347">
        <v>5933.57</v>
      </c>
      <c r="Q135" s="347">
        <v>3435.43</v>
      </c>
      <c r="R135" s="342">
        <v>0</v>
      </c>
      <c r="S135" s="347">
        <v>3435.43</v>
      </c>
      <c r="T135" s="341" t="s">
        <v>304</v>
      </c>
      <c r="U135" s="342">
        <v>510102</v>
      </c>
      <c r="V135" s="342"/>
    </row>
    <row r="136" s="340" customFormat="1" customHeight="1" spans="1:22">
      <c r="A136" s="343" t="s">
        <v>192</v>
      </c>
      <c r="B136" s="343">
        <v>400063</v>
      </c>
      <c r="C136" s="343" t="s">
        <v>466</v>
      </c>
      <c r="D136" s="344">
        <v>1</v>
      </c>
      <c r="E136" s="343"/>
      <c r="F136" s="345">
        <v>44910</v>
      </c>
      <c r="G136" s="345">
        <v>44910</v>
      </c>
      <c r="H136" s="343">
        <v>202301</v>
      </c>
      <c r="I136" s="344" t="s">
        <v>465</v>
      </c>
      <c r="J136" s="342">
        <v>20</v>
      </c>
      <c r="K136" s="346">
        <v>9369</v>
      </c>
      <c r="L136" s="346"/>
      <c r="M136" s="346"/>
      <c r="N136" s="346">
        <f t="shared" si="2"/>
        <v>9369</v>
      </c>
      <c r="O136" s="342">
        <v>593.4</v>
      </c>
      <c r="P136" s="347">
        <v>5933.57</v>
      </c>
      <c r="Q136" s="347">
        <v>3435.43</v>
      </c>
      <c r="R136" s="342">
        <v>0</v>
      </c>
      <c r="S136" s="347">
        <v>3435.43</v>
      </c>
      <c r="T136" s="341" t="s">
        <v>304</v>
      </c>
      <c r="U136" s="342">
        <v>510102</v>
      </c>
      <c r="V136" s="342"/>
    </row>
    <row r="137" s="340" customFormat="1" customHeight="1" spans="1:22">
      <c r="A137" s="343" t="s">
        <v>192</v>
      </c>
      <c r="B137" s="343">
        <v>400064</v>
      </c>
      <c r="C137" s="343" t="s">
        <v>466</v>
      </c>
      <c r="D137" s="344">
        <v>1</v>
      </c>
      <c r="E137" s="343"/>
      <c r="F137" s="345">
        <v>44910</v>
      </c>
      <c r="G137" s="345">
        <v>44910</v>
      </c>
      <c r="H137" s="343">
        <v>202301</v>
      </c>
      <c r="I137" s="344" t="s">
        <v>465</v>
      </c>
      <c r="J137" s="342">
        <v>20</v>
      </c>
      <c r="K137" s="346">
        <v>9369</v>
      </c>
      <c r="L137" s="346"/>
      <c r="M137" s="346"/>
      <c r="N137" s="346">
        <f t="shared" si="2"/>
        <v>9369</v>
      </c>
      <c r="O137" s="342">
        <v>593.4</v>
      </c>
      <c r="P137" s="347">
        <v>5933.57</v>
      </c>
      <c r="Q137" s="347">
        <v>3435.43</v>
      </c>
      <c r="R137" s="342">
        <v>0</v>
      </c>
      <c r="S137" s="347">
        <v>3435.43</v>
      </c>
      <c r="T137" s="341" t="s">
        <v>304</v>
      </c>
      <c r="U137" s="342">
        <v>510102</v>
      </c>
      <c r="V137" s="342"/>
    </row>
    <row r="138" s="340" customFormat="1" customHeight="1" spans="1:22">
      <c r="A138" s="343" t="s">
        <v>192</v>
      </c>
      <c r="B138" s="343">
        <v>400065</v>
      </c>
      <c r="C138" s="343" t="s">
        <v>466</v>
      </c>
      <c r="D138" s="344">
        <v>1</v>
      </c>
      <c r="E138" s="343"/>
      <c r="F138" s="345">
        <v>44910</v>
      </c>
      <c r="G138" s="345">
        <v>44910</v>
      </c>
      <c r="H138" s="343">
        <v>202301</v>
      </c>
      <c r="I138" s="344" t="s">
        <v>465</v>
      </c>
      <c r="J138" s="342">
        <v>20</v>
      </c>
      <c r="K138" s="346">
        <v>9369</v>
      </c>
      <c r="L138" s="346"/>
      <c r="M138" s="346"/>
      <c r="N138" s="346">
        <f t="shared" si="2"/>
        <v>9369</v>
      </c>
      <c r="O138" s="342">
        <v>593.4</v>
      </c>
      <c r="P138" s="347">
        <v>5933.57</v>
      </c>
      <c r="Q138" s="347">
        <v>3435.43</v>
      </c>
      <c r="R138" s="342">
        <v>0</v>
      </c>
      <c r="S138" s="347">
        <v>3435.43</v>
      </c>
      <c r="T138" s="341" t="s">
        <v>304</v>
      </c>
      <c r="U138" s="342">
        <v>510102</v>
      </c>
      <c r="V138" s="342"/>
    </row>
    <row r="139" s="340" customFormat="1" customHeight="1" spans="1:22">
      <c r="A139" s="343" t="s">
        <v>192</v>
      </c>
      <c r="B139" s="343">
        <v>400066</v>
      </c>
      <c r="C139" s="343" t="s">
        <v>466</v>
      </c>
      <c r="D139" s="344">
        <v>1</v>
      </c>
      <c r="E139" s="343"/>
      <c r="F139" s="345">
        <v>44910</v>
      </c>
      <c r="G139" s="345">
        <v>44910</v>
      </c>
      <c r="H139" s="343">
        <v>202301</v>
      </c>
      <c r="I139" s="344" t="s">
        <v>465</v>
      </c>
      <c r="J139" s="342">
        <v>20</v>
      </c>
      <c r="K139" s="346">
        <v>9369</v>
      </c>
      <c r="L139" s="346"/>
      <c r="M139" s="346"/>
      <c r="N139" s="346">
        <f t="shared" si="2"/>
        <v>9369</v>
      </c>
      <c r="O139" s="342">
        <v>593.4</v>
      </c>
      <c r="P139" s="347">
        <v>5933.57</v>
      </c>
      <c r="Q139" s="347">
        <v>3435.43</v>
      </c>
      <c r="R139" s="342">
        <v>0</v>
      </c>
      <c r="S139" s="347">
        <v>3435.43</v>
      </c>
      <c r="T139" s="341" t="s">
        <v>304</v>
      </c>
      <c r="U139" s="342">
        <v>510102</v>
      </c>
      <c r="V139" s="342"/>
    </row>
    <row r="140" s="340" customFormat="1" customHeight="1" spans="1:22">
      <c r="A140" s="343" t="s">
        <v>192</v>
      </c>
      <c r="B140" s="343">
        <v>400067</v>
      </c>
      <c r="C140" s="343" t="s">
        <v>466</v>
      </c>
      <c r="D140" s="344">
        <v>1</v>
      </c>
      <c r="E140" s="343"/>
      <c r="F140" s="345">
        <v>44910</v>
      </c>
      <c r="G140" s="345">
        <v>44910</v>
      </c>
      <c r="H140" s="343">
        <v>202301</v>
      </c>
      <c r="I140" s="344" t="s">
        <v>465</v>
      </c>
      <c r="J140" s="342">
        <v>20</v>
      </c>
      <c r="K140" s="346">
        <v>9369</v>
      </c>
      <c r="L140" s="346"/>
      <c r="M140" s="346"/>
      <c r="N140" s="346">
        <f t="shared" si="2"/>
        <v>9369</v>
      </c>
      <c r="O140" s="342">
        <v>593.4</v>
      </c>
      <c r="P140" s="347">
        <v>5933.57</v>
      </c>
      <c r="Q140" s="347">
        <v>3435.43</v>
      </c>
      <c r="R140" s="342">
        <v>0</v>
      </c>
      <c r="S140" s="347">
        <v>3435.43</v>
      </c>
      <c r="T140" s="341" t="s">
        <v>304</v>
      </c>
      <c r="U140" s="342">
        <v>510102</v>
      </c>
      <c r="V140" s="342"/>
    </row>
    <row r="141" s="340" customFormat="1" customHeight="1" spans="1:22">
      <c r="A141" s="343" t="s">
        <v>192</v>
      </c>
      <c r="B141" s="343">
        <v>400068</v>
      </c>
      <c r="C141" s="343" t="s">
        <v>466</v>
      </c>
      <c r="D141" s="344">
        <v>1</v>
      </c>
      <c r="E141" s="343"/>
      <c r="F141" s="345">
        <v>44910</v>
      </c>
      <c r="G141" s="345">
        <v>44910</v>
      </c>
      <c r="H141" s="343">
        <v>202301</v>
      </c>
      <c r="I141" s="344" t="s">
        <v>465</v>
      </c>
      <c r="J141" s="342">
        <v>20</v>
      </c>
      <c r="K141" s="346">
        <v>9369</v>
      </c>
      <c r="L141" s="346"/>
      <c r="M141" s="346"/>
      <c r="N141" s="346">
        <f t="shared" si="2"/>
        <v>9369</v>
      </c>
      <c r="O141" s="342">
        <v>593.4</v>
      </c>
      <c r="P141" s="347">
        <v>5933.57</v>
      </c>
      <c r="Q141" s="347">
        <v>3435.43</v>
      </c>
      <c r="R141" s="342">
        <v>0</v>
      </c>
      <c r="S141" s="347">
        <v>3435.43</v>
      </c>
      <c r="T141" s="341" t="s">
        <v>304</v>
      </c>
      <c r="U141" s="342">
        <v>510102</v>
      </c>
      <c r="V141" s="342"/>
    </row>
    <row r="142" s="340" customFormat="1" customHeight="1" spans="1:22">
      <c r="A142" s="343" t="s">
        <v>192</v>
      </c>
      <c r="B142" s="343">
        <v>400069</v>
      </c>
      <c r="C142" s="343" t="s">
        <v>466</v>
      </c>
      <c r="D142" s="344">
        <v>1</v>
      </c>
      <c r="E142" s="343"/>
      <c r="F142" s="345">
        <v>44910</v>
      </c>
      <c r="G142" s="345">
        <v>44910</v>
      </c>
      <c r="H142" s="343">
        <v>202301</v>
      </c>
      <c r="I142" s="344" t="s">
        <v>465</v>
      </c>
      <c r="J142" s="342">
        <v>20</v>
      </c>
      <c r="K142" s="346">
        <v>9369</v>
      </c>
      <c r="L142" s="346"/>
      <c r="M142" s="346"/>
      <c r="N142" s="346">
        <f t="shared" si="2"/>
        <v>9369</v>
      </c>
      <c r="O142" s="342">
        <v>593.4</v>
      </c>
      <c r="P142" s="347">
        <v>5933.57</v>
      </c>
      <c r="Q142" s="347">
        <v>3435.43</v>
      </c>
      <c r="R142" s="342">
        <v>0</v>
      </c>
      <c r="S142" s="347">
        <v>3435.43</v>
      </c>
      <c r="T142" s="341" t="s">
        <v>304</v>
      </c>
      <c r="U142" s="342">
        <v>510102</v>
      </c>
      <c r="V142" s="342"/>
    </row>
    <row r="143" s="340" customFormat="1" customHeight="1" spans="1:22">
      <c r="A143" s="343" t="s">
        <v>192</v>
      </c>
      <c r="B143" s="343">
        <v>400070</v>
      </c>
      <c r="C143" s="343" t="s">
        <v>466</v>
      </c>
      <c r="D143" s="344">
        <v>1</v>
      </c>
      <c r="E143" s="343"/>
      <c r="F143" s="345">
        <v>44910</v>
      </c>
      <c r="G143" s="345">
        <v>44910</v>
      </c>
      <c r="H143" s="343">
        <v>202301</v>
      </c>
      <c r="I143" s="344" t="s">
        <v>465</v>
      </c>
      <c r="J143" s="342">
        <v>20</v>
      </c>
      <c r="K143" s="346">
        <v>9369</v>
      </c>
      <c r="L143" s="346"/>
      <c r="M143" s="346"/>
      <c r="N143" s="346">
        <f t="shared" si="2"/>
        <v>9369</v>
      </c>
      <c r="O143" s="342">
        <v>593.4</v>
      </c>
      <c r="P143" s="347">
        <v>5933.57</v>
      </c>
      <c r="Q143" s="347">
        <v>3435.43</v>
      </c>
      <c r="R143" s="342">
        <v>0</v>
      </c>
      <c r="S143" s="347">
        <v>3435.43</v>
      </c>
      <c r="T143" s="341" t="s">
        <v>304</v>
      </c>
      <c r="U143" s="342">
        <v>510102</v>
      </c>
      <c r="V143" s="342"/>
    </row>
    <row r="144" s="340" customFormat="1" customHeight="1" spans="1:22">
      <c r="A144" s="343" t="s">
        <v>192</v>
      </c>
      <c r="B144" s="343">
        <v>400071</v>
      </c>
      <c r="C144" s="343" t="s">
        <v>466</v>
      </c>
      <c r="D144" s="344">
        <v>1</v>
      </c>
      <c r="E144" s="343"/>
      <c r="F144" s="345">
        <v>44910</v>
      </c>
      <c r="G144" s="345">
        <v>44910</v>
      </c>
      <c r="H144" s="343">
        <v>202301</v>
      </c>
      <c r="I144" s="344" t="s">
        <v>465</v>
      </c>
      <c r="J144" s="342">
        <v>20</v>
      </c>
      <c r="K144" s="346">
        <v>9369</v>
      </c>
      <c r="L144" s="346"/>
      <c r="M144" s="346"/>
      <c r="N144" s="346">
        <f t="shared" si="2"/>
        <v>9369</v>
      </c>
      <c r="O144" s="342">
        <v>593.4</v>
      </c>
      <c r="P144" s="347">
        <v>5933.57</v>
      </c>
      <c r="Q144" s="347">
        <v>3435.43</v>
      </c>
      <c r="R144" s="342">
        <v>0</v>
      </c>
      <c r="S144" s="347">
        <v>3435.43</v>
      </c>
      <c r="T144" s="341" t="s">
        <v>304</v>
      </c>
      <c r="U144" s="342">
        <v>510102</v>
      </c>
      <c r="V144" s="342"/>
    </row>
    <row r="145" s="340" customFormat="1" customHeight="1" spans="1:22">
      <c r="A145" s="343" t="s">
        <v>192</v>
      </c>
      <c r="B145" s="343">
        <v>400072</v>
      </c>
      <c r="C145" s="343" t="s">
        <v>466</v>
      </c>
      <c r="D145" s="344">
        <v>1</v>
      </c>
      <c r="E145" s="343"/>
      <c r="F145" s="345">
        <v>44910</v>
      </c>
      <c r="G145" s="345">
        <v>44910</v>
      </c>
      <c r="H145" s="343">
        <v>202301</v>
      </c>
      <c r="I145" s="344" t="s">
        <v>465</v>
      </c>
      <c r="J145" s="342">
        <v>20</v>
      </c>
      <c r="K145" s="346">
        <v>9369</v>
      </c>
      <c r="L145" s="346"/>
      <c r="M145" s="346"/>
      <c r="N145" s="346">
        <f t="shared" si="2"/>
        <v>9369</v>
      </c>
      <c r="O145" s="342">
        <v>593.4</v>
      </c>
      <c r="P145" s="347">
        <v>5933.57</v>
      </c>
      <c r="Q145" s="347">
        <v>3435.43</v>
      </c>
      <c r="R145" s="342">
        <v>0</v>
      </c>
      <c r="S145" s="347">
        <v>3435.43</v>
      </c>
      <c r="T145" s="341" t="s">
        <v>304</v>
      </c>
      <c r="U145" s="342">
        <v>510102</v>
      </c>
      <c r="V145" s="342"/>
    </row>
    <row r="146" s="340" customFormat="1" customHeight="1" spans="1:22">
      <c r="A146" s="343" t="s">
        <v>192</v>
      </c>
      <c r="B146" s="343">
        <v>400073</v>
      </c>
      <c r="C146" s="343" t="s">
        <v>466</v>
      </c>
      <c r="D146" s="344">
        <v>1</v>
      </c>
      <c r="E146" s="343"/>
      <c r="F146" s="345">
        <v>44910</v>
      </c>
      <c r="G146" s="345">
        <v>44910</v>
      </c>
      <c r="H146" s="343">
        <v>202301</v>
      </c>
      <c r="I146" s="344" t="s">
        <v>465</v>
      </c>
      <c r="J146" s="342">
        <v>20</v>
      </c>
      <c r="K146" s="346">
        <v>9369</v>
      </c>
      <c r="L146" s="346"/>
      <c r="M146" s="346"/>
      <c r="N146" s="346">
        <f t="shared" si="2"/>
        <v>9369</v>
      </c>
      <c r="O146" s="342">
        <v>593.4</v>
      </c>
      <c r="P146" s="347">
        <v>5933.57</v>
      </c>
      <c r="Q146" s="347">
        <v>3435.43</v>
      </c>
      <c r="R146" s="342">
        <v>0</v>
      </c>
      <c r="S146" s="347">
        <v>3435.43</v>
      </c>
      <c r="T146" s="341" t="s">
        <v>304</v>
      </c>
      <c r="U146" s="342">
        <v>510102</v>
      </c>
      <c r="V146" s="342"/>
    </row>
    <row r="147" s="340" customFormat="1" customHeight="1" spans="1:22">
      <c r="A147" s="343" t="s">
        <v>192</v>
      </c>
      <c r="B147" s="343">
        <v>400074</v>
      </c>
      <c r="C147" s="343" t="s">
        <v>466</v>
      </c>
      <c r="D147" s="344">
        <v>1</v>
      </c>
      <c r="E147" s="343"/>
      <c r="F147" s="345">
        <v>44910</v>
      </c>
      <c r="G147" s="345">
        <v>44910</v>
      </c>
      <c r="H147" s="343">
        <v>202301</v>
      </c>
      <c r="I147" s="344" t="s">
        <v>465</v>
      </c>
      <c r="J147" s="342">
        <v>20</v>
      </c>
      <c r="K147" s="346">
        <v>9369</v>
      </c>
      <c r="L147" s="346"/>
      <c r="M147" s="346"/>
      <c r="N147" s="346">
        <f t="shared" si="2"/>
        <v>9369</v>
      </c>
      <c r="O147" s="342">
        <v>593.4</v>
      </c>
      <c r="P147" s="347">
        <v>5933.57</v>
      </c>
      <c r="Q147" s="347">
        <v>3435.43</v>
      </c>
      <c r="R147" s="342">
        <v>0</v>
      </c>
      <c r="S147" s="347">
        <v>3435.43</v>
      </c>
      <c r="T147" s="341" t="s">
        <v>304</v>
      </c>
      <c r="U147" s="342">
        <v>510102</v>
      </c>
      <c r="V147" s="342"/>
    </row>
    <row r="148" s="340" customFormat="1" customHeight="1" spans="1:22">
      <c r="A148" s="343" t="s">
        <v>192</v>
      </c>
      <c r="B148" s="343">
        <v>400075</v>
      </c>
      <c r="C148" s="343" t="s">
        <v>466</v>
      </c>
      <c r="D148" s="344">
        <v>1</v>
      </c>
      <c r="E148" s="343"/>
      <c r="F148" s="345">
        <v>44910</v>
      </c>
      <c r="G148" s="345">
        <v>44910</v>
      </c>
      <c r="H148" s="343">
        <v>202301</v>
      </c>
      <c r="I148" s="344" t="s">
        <v>465</v>
      </c>
      <c r="J148" s="342">
        <v>20</v>
      </c>
      <c r="K148" s="346">
        <v>242900</v>
      </c>
      <c r="L148" s="346"/>
      <c r="M148" s="346"/>
      <c r="N148" s="346">
        <f t="shared" si="2"/>
        <v>242900</v>
      </c>
      <c r="O148" s="347">
        <v>15383.66</v>
      </c>
      <c r="P148" s="347">
        <v>153836.7</v>
      </c>
      <c r="Q148" s="347">
        <v>89063.3</v>
      </c>
      <c r="R148" s="342">
        <v>0</v>
      </c>
      <c r="S148" s="347">
        <v>89063.3</v>
      </c>
      <c r="T148" s="341" t="s">
        <v>304</v>
      </c>
      <c r="U148" s="342">
        <v>510102</v>
      </c>
      <c r="V148" s="342"/>
    </row>
    <row r="149" s="340" customFormat="1" customHeight="1" spans="1:22">
      <c r="A149" s="343" t="s">
        <v>192</v>
      </c>
      <c r="B149" s="343">
        <v>400076</v>
      </c>
      <c r="C149" s="343" t="s">
        <v>466</v>
      </c>
      <c r="D149" s="344">
        <v>1</v>
      </c>
      <c r="E149" s="343"/>
      <c r="F149" s="345">
        <v>44910</v>
      </c>
      <c r="G149" s="345">
        <v>44910</v>
      </c>
      <c r="H149" s="343">
        <v>202301</v>
      </c>
      <c r="I149" s="344" t="s">
        <v>465</v>
      </c>
      <c r="J149" s="342">
        <v>20</v>
      </c>
      <c r="K149" s="346">
        <v>9369</v>
      </c>
      <c r="L149" s="346"/>
      <c r="M149" s="346"/>
      <c r="N149" s="346">
        <f t="shared" si="2"/>
        <v>9369</v>
      </c>
      <c r="O149" s="342">
        <v>593.4</v>
      </c>
      <c r="P149" s="347">
        <v>5933.57</v>
      </c>
      <c r="Q149" s="347">
        <v>3435.43</v>
      </c>
      <c r="R149" s="342">
        <v>0</v>
      </c>
      <c r="S149" s="347">
        <v>3435.43</v>
      </c>
      <c r="T149" s="341" t="s">
        <v>304</v>
      </c>
      <c r="U149" s="342">
        <v>510102</v>
      </c>
      <c r="V149" s="342"/>
    </row>
    <row r="150" s="340" customFormat="1" customHeight="1" spans="1:22">
      <c r="A150" s="343" t="s">
        <v>192</v>
      </c>
      <c r="B150" s="343">
        <v>400077</v>
      </c>
      <c r="C150" s="343" t="s">
        <v>466</v>
      </c>
      <c r="D150" s="344">
        <v>1</v>
      </c>
      <c r="E150" s="343"/>
      <c r="F150" s="345">
        <v>44910</v>
      </c>
      <c r="G150" s="345">
        <v>44910</v>
      </c>
      <c r="H150" s="343">
        <v>202301</v>
      </c>
      <c r="I150" s="344" t="s">
        <v>465</v>
      </c>
      <c r="J150" s="342">
        <v>20</v>
      </c>
      <c r="K150" s="346">
        <v>9369</v>
      </c>
      <c r="L150" s="346"/>
      <c r="M150" s="346"/>
      <c r="N150" s="346">
        <f t="shared" si="2"/>
        <v>9369</v>
      </c>
      <c r="O150" s="342">
        <v>593.4</v>
      </c>
      <c r="P150" s="347">
        <v>5933.57</v>
      </c>
      <c r="Q150" s="347">
        <v>3435.43</v>
      </c>
      <c r="R150" s="342">
        <v>0</v>
      </c>
      <c r="S150" s="347">
        <v>3435.43</v>
      </c>
      <c r="T150" s="341" t="s">
        <v>304</v>
      </c>
      <c r="U150" s="342">
        <v>510102</v>
      </c>
      <c r="V150" s="342"/>
    </row>
    <row r="151" s="340" customFormat="1" customHeight="1" spans="1:22">
      <c r="A151" s="343" t="s">
        <v>192</v>
      </c>
      <c r="B151" s="343">
        <v>400078</v>
      </c>
      <c r="C151" s="343" t="s">
        <v>466</v>
      </c>
      <c r="D151" s="344">
        <v>1</v>
      </c>
      <c r="E151" s="343"/>
      <c r="F151" s="345">
        <v>44910</v>
      </c>
      <c r="G151" s="345">
        <v>44910</v>
      </c>
      <c r="H151" s="343">
        <v>202301</v>
      </c>
      <c r="I151" s="344" t="s">
        <v>465</v>
      </c>
      <c r="J151" s="342">
        <v>20</v>
      </c>
      <c r="K151" s="346">
        <v>9369</v>
      </c>
      <c r="L151" s="346"/>
      <c r="M151" s="346"/>
      <c r="N151" s="346">
        <f t="shared" si="2"/>
        <v>9369</v>
      </c>
      <c r="O151" s="342">
        <v>593.4</v>
      </c>
      <c r="P151" s="347">
        <v>5933.57</v>
      </c>
      <c r="Q151" s="347">
        <v>3435.43</v>
      </c>
      <c r="R151" s="342">
        <v>0</v>
      </c>
      <c r="S151" s="347">
        <v>3435.43</v>
      </c>
      <c r="T151" s="341" t="s">
        <v>304</v>
      </c>
      <c r="U151" s="342">
        <v>510102</v>
      </c>
      <c r="V151" s="342"/>
    </row>
    <row r="152" s="340" customFormat="1" customHeight="1" spans="1:22">
      <c r="A152" s="343" t="s">
        <v>192</v>
      </c>
      <c r="B152" s="343">
        <v>400079</v>
      </c>
      <c r="C152" s="343" t="s">
        <v>466</v>
      </c>
      <c r="D152" s="344">
        <v>1</v>
      </c>
      <c r="E152" s="343"/>
      <c r="F152" s="345">
        <v>44910</v>
      </c>
      <c r="G152" s="345">
        <v>44910</v>
      </c>
      <c r="H152" s="343">
        <v>202301</v>
      </c>
      <c r="I152" s="344" t="s">
        <v>465</v>
      </c>
      <c r="J152" s="342">
        <v>20</v>
      </c>
      <c r="K152" s="346">
        <v>9369</v>
      </c>
      <c r="L152" s="346"/>
      <c r="M152" s="346"/>
      <c r="N152" s="346">
        <f t="shared" si="2"/>
        <v>9369</v>
      </c>
      <c r="O152" s="342">
        <v>593.4</v>
      </c>
      <c r="P152" s="347">
        <v>5933.57</v>
      </c>
      <c r="Q152" s="347">
        <v>3435.43</v>
      </c>
      <c r="R152" s="342">
        <v>0</v>
      </c>
      <c r="S152" s="347">
        <v>3435.43</v>
      </c>
      <c r="T152" s="341" t="s">
        <v>304</v>
      </c>
      <c r="U152" s="342">
        <v>510102</v>
      </c>
      <c r="V152" s="342"/>
    </row>
    <row r="153" s="340" customFormat="1" customHeight="1" spans="1:22">
      <c r="A153" s="343" t="s">
        <v>192</v>
      </c>
      <c r="B153" s="343">
        <v>400080</v>
      </c>
      <c r="C153" s="343" t="s">
        <v>466</v>
      </c>
      <c r="D153" s="344">
        <v>1</v>
      </c>
      <c r="E153" s="343"/>
      <c r="F153" s="345">
        <v>44910</v>
      </c>
      <c r="G153" s="345">
        <v>44910</v>
      </c>
      <c r="H153" s="343">
        <v>202301</v>
      </c>
      <c r="I153" s="344" t="s">
        <v>465</v>
      </c>
      <c r="J153" s="342">
        <v>20</v>
      </c>
      <c r="K153" s="346">
        <v>9369</v>
      </c>
      <c r="L153" s="346"/>
      <c r="M153" s="346"/>
      <c r="N153" s="346">
        <f t="shared" si="2"/>
        <v>9369</v>
      </c>
      <c r="O153" s="342">
        <v>593.4</v>
      </c>
      <c r="P153" s="347">
        <v>5933.57</v>
      </c>
      <c r="Q153" s="347">
        <v>3435.43</v>
      </c>
      <c r="R153" s="342">
        <v>0</v>
      </c>
      <c r="S153" s="347">
        <v>3435.43</v>
      </c>
      <c r="T153" s="341" t="s">
        <v>304</v>
      </c>
      <c r="U153" s="342">
        <v>510102</v>
      </c>
      <c r="V153" s="342"/>
    </row>
    <row r="154" s="340" customFormat="1" customHeight="1" spans="1:22">
      <c r="A154" s="343" t="s">
        <v>192</v>
      </c>
      <c r="B154" s="343">
        <v>400083</v>
      </c>
      <c r="C154" s="343" t="s">
        <v>466</v>
      </c>
      <c r="D154" s="344">
        <v>1</v>
      </c>
      <c r="E154" s="343"/>
      <c r="F154" s="345">
        <v>44910</v>
      </c>
      <c r="G154" s="345">
        <v>44910</v>
      </c>
      <c r="H154" s="343">
        <v>202301</v>
      </c>
      <c r="I154" s="344" t="s">
        <v>465</v>
      </c>
      <c r="J154" s="342">
        <v>20</v>
      </c>
      <c r="K154" s="346">
        <v>277600</v>
      </c>
      <c r="L154" s="346"/>
      <c r="M154" s="346"/>
      <c r="N154" s="346">
        <f t="shared" si="2"/>
        <v>277600</v>
      </c>
      <c r="O154" s="347">
        <v>17581.32</v>
      </c>
      <c r="P154" s="347">
        <v>175813.41</v>
      </c>
      <c r="Q154" s="347">
        <v>101786.59</v>
      </c>
      <c r="R154" s="342">
        <v>0</v>
      </c>
      <c r="S154" s="347">
        <v>101786.59</v>
      </c>
      <c r="T154" s="341" t="s">
        <v>304</v>
      </c>
      <c r="U154" s="342">
        <v>510102</v>
      </c>
      <c r="V154" s="342"/>
    </row>
    <row r="155" s="340" customFormat="1" customHeight="1" spans="1:22">
      <c r="A155" s="343" t="s">
        <v>192</v>
      </c>
      <c r="B155" s="343">
        <v>400084</v>
      </c>
      <c r="C155" s="343" t="s">
        <v>466</v>
      </c>
      <c r="D155" s="344">
        <v>1</v>
      </c>
      <c r="E155" s="343"/>
      <c r="F155" s="345">
        <v>44910</v>
      </c>
      <c r="G155" s="345">
        <v>44910</v>
      </c>
      <c r="H155" s="343">
        <v>202301</v>
      </c>
      <c r="I155" s="344" t="s">
        <v>465</v>
      </c>
      <c r="J155" s="342">
        <v>20</v>
      </c>
      <c r="K155" s="346">
        <v>9369</v>
      </c>
      <c r="L155" s="346"/>
      <c r="M155" s="346"/>
      <c r="N155" s="346">
        <f t="shared" si="2"/>
        <v>9369</v>
      </c>
      <c r="O155" s="342">
        <v>593.4</v>
      </c>
      <c r="P155" s="347">
        <v>5933.57</v>
      </c>
      <c r="Q155" s="347">
        <v>3435.43</v>
      </c>
      <c r="R155" s="342">
        <v>0</v>
      </c>
      <c r="S155" s="347">
        <v>3435.43</v>
      </c>
      <c r="T155" s="341" t="s">
        <v>304</v>
      </c>
      <c r="U155" s="342">
        <v>510102</v>
      </c>
      <c r="V155" s="342"/>
    </row>
    <row r="156" s="340" customFormat="1" customHeight="1" spans="1:22">
      <c r="A156" s="343" t="s">
        <v>192</v>
      </c>
      <c r="B156" s="343">
        <v>400085</v>
      </c>
      <c r="C156" s="343" t="s">
        <v>466</v>
      </c>
      <c r="D156" s="344">
        <v>1</v>
      </c>
      <c r="E156" s="343"/>
      <c r="F156" s="345">
        <v>44910</v>
      </c>
      <c r="G156" s="345">
        <v>44910</v>
      </c>
      <c r="H156" s="343">
        <v>202301</v>
      </c>
      <c r="I156" s="344" t="s">
        <v>465</v>
      </c>
      <c r="J156" s="342">
        <v>20</v>
      </c>
      <c r="K156" s="346">
        <v>31230</v>
      </c>
      <c r="L156" s="346"/>
      <c r="M156" s="346"/>
      <c r="N156" s="346">
        <f t="shared" si="2"/>
        <v>31230</v>
      </c>
      <c r="O156" s="347">
        <v>1977.88</v>
      </c>
      <c r="P156" s="347">
        <v>19779.03</v>
      </c>
      <c r="Q156" s="347">
        <v>11450.97</v>
      </c>
      <c r="R156" s="342">
        <v>0</v>
      </c>
      <c r="S156" s="347">
        <v>11450.97</v>
      </c>
      <c r="T156" s="341" t="s">
        <v>304</v>
      </c>
      <c r="U156" s="342">
        <v>510102</v>
      </c>
      <c r="V156" s="342"/>
    </row>
    <row r="157" s="340" customFormat="1" customHeight="1" spans="1:22">
      <c r="A157" s="343" t="s">
        <v>192</v>
      </c>
      <c r="B157" s="343">
        <v>400081</v>
      </c>
      <c r="C157" s="343" t="s">
        <v>466</v>
      </c>
      <c r="D157" s="344">
        <v>1</v>
      </c>
      <c r="E157" s="343"/>
      <c r="F157" s="345">
        <v>44910</v>
      </c>
      <c r="G157" s="345">
        <v>44910</v>
      </c>
      <c r="H157" s="343">
        <v>202301</v>
      </c>
      <c r="I157" s="344" t="s">
        <v>465</v>
      </c>
      <c r="J157" s="342">
        <v>20</v>
      </c>
      <c r="K157" s="346">
        <v>208200</v>
      </c>
      <c r="L157" s="346"/>
      <c r="M157" s="346"/>
      <c r="N157" s="346">
        <f t="shared" si="2"/>
        <v>208200</v>
      </c>
      <c r="O157" s="347">
        <v>13186</v>
      </c>
      <c r="P157" s="347">
        <v>131860</v>
      </c>
      <c r="Q157" s="347">
        <v>76340</v>
      </c>
      <c r="R157" s="342">
        <v>0</v>
      </c>
      <c r="S157" s="347">
        <v>76340</v>
      </c>
      <c r="T157" s="341" t="s">
        <v>304</v>
      </c>
      <c r="U157" s="342">
        <v>510102</v>
      </c>
      <c r="V157" s="342"/>
    </row>
    <row r="158" s="340" customFormat="1" customHeight="1" spans="1:22">
      <c r="A158" s="343" t="s">
        <v>192</v>
      </c>
      <c r="B158" s="343">
        <v>400082</v>
      </c>
      <c r="C158" s="343" t="s">
        <v>466</v>
      </c>
      <c r="D158" s="344">
        <v>1</v>
      </c>
      <c r="E158" s="343"/>
      <c r="F158" s="345">
        <v>44910</v>
      </c>
      <c r="G158" s="345">
        <v>44910</v>
      </c>
      <c r="H158" s="343">
        <v>202301</v>
      </c>
      <c r="I158" s="344" t="s">
        <v>465</v>
      </c>
      <c r="J158" s="342">
        <v>20</v>
      </c>
      <c r="K158" s="346">
        <v>180440</v>
      </c>
      <c r="L158" s="346"/>
      <c r="M158" s="346"/>
      <c r="N158" s="346">
        <f t="shared" si="2"/>
        <v>180440</v>
      </c>
      <c r="O158" s="347">
        <v>11427.88</v>
      </c>
      <c r="P158" s="347">
        <v>114278.59</v>
      </c>
      <c r="Q158" s="347">
        <v>66161.41</v>
      </c>
      <c r="R158" s="342">
        <v>0</v>
      </c>
      <c r="S158" s="347">
        <v>66161.41</v>
      </c>
      <c r="T158" s="341" t="s">
        <v>304</v>
      </c>
      <c r="U158" s="342">
        <v>510102</v>
      </c>
      <c r="V158" s="342"/>
    </row>
    <row r="159" s="340" customFormat="1" customHeight="1" spans="1:22">
      <c r="A159" s="343" t="s">
        <v>192</v>
      </c>
      <c r="B159" s="343">
        <v>400086</v>
      </c>
      <c r="C159" s="343" t="s">
        <v>466</v>
      </c>
      <c r="D159" s="344">
        <v>1</v>
      </c>
      <c r="E159" s="343"/>
      <c r="F159" s="345">
        <v>44910</v>
      </c>
      <c r="G159" s="345">
        <v>44910</v>
      </c>
      <c r="H159" s="343">
        <v>202301</v>
      </c>
      <c r="I159" s="344" t="s">
        <v>465</v>
      </c>
      <c r="J159" s="342">
        <v>20</v>
      </c>
      <c r="K159" s="346">
        <v>208200</v>
      </c>
      <c r="L159" s="346"/>
      <c r="M159" s="346"/>
      <c r="N159" s="346">
        <f t="shared" si="2"/>
        <v>208200</v>
      </c>
      <c r="O159" s="347">
        <v>13186</v>
      </c>
      <c r="P159" s="347">
        <v>131860</v>
      </c>
      <c r="Q159" s="347">
        <v>76340</v>
      </c>
      <c r="R159" s="342">
        <v>0</v>
      </c>
      <c r="S159" s="347">
        <v>76340</v>
      </c>
      <c r="T159" s="341" t="s">
        <v>304</v>
      </c>
      <c r="U159" s="342">
        <v>510102</v>
      </c>
      <c r="V159" s="342"/>
    </row>
    <row r="160" s="340" customFormat="1" customHeight="1" spans="1:22">
      <c r="A160" s="343" t="s">
        <v>192</v>
      </c>
      <c r="B160" s="343">
        <v>400087</v>
      </c>
      <c r="C160" s="343" t="s">
        <v>466</v>
      </c>
      <c r="D160" s="344">
        <v>1</v>
      </c>
      <c r="E160" s="343"/>
      <c r="F160" s="345">
        <v>44910</v>
      </c>
      <c r="G160" s="345">
        <v>44910</v>
      </c>
      <c r="H160" s="343">
        <v>202301</v>
      </c>
      <c r="I160" s="344" t="s">
        <v>465</v>
      </c>
      <c r="J160" s="342">
        <v>20</v>
      </c>
      <c r="K160" s="346">
        <v>62460</v>
      </c>
      <c r="L160" s="346"/>
      <c r="M160" s="346"/>
      <c r="N160" s="346">
        <f t="shared" si="2"/>
        <v>62460</v>
      </c>
      <c r="O160" s="347">
        <v>3955.8</v>
      </c>
      <c r="P160" s="347">
        <v>39558.01</v>
      </c>
      <c r="Q160" s="347">
        <v>22901.99</v>
      </c>
      <c r="R160" s="342">
        <v>0</v>
      </c>
      <c r="S160" s="347">
        <v>22901.99</v>
      </c>
      <c r="T160" s="341" t="s">
        <v>304</v>
      </c>
      <c r="U160" s="342">
        <v>510102</v>
      </c>
      <c r="V160" s="342"/>
    </row>
    <row r="161" s="340" customFormat="1" customHeight="1" spans="1:22">
      <c r="A161" s="343" t="s">
        <v>192</v>
      </c>
      <c r="B161" s="343">
        <v>400088</v>
      </c>
      <c r="C161" s="343" t="s">
        <v>466</v>
      </c>
      <c r="D161" s="344">
        <v>1</v>
      </c>
      <c r="E161" s="343"/>
      <c r="F161" s="345">
        <v>44910</v>
      </c>
      <c r="G161" s="345">
        <v>44910</v>
      </c>
      <c r="H161" s="343">
        <v>202301</v>
      </c>
      <c r="I161" s="344" t="s">
        <v>465</v>
      </c>
      <c r="J161" s="342">
        <v>20</v>
      </c>
      <c r="K161" s="346">
        <v>242900</v>
      </c>
      <c r="L161" s="346"/>
      <c r="M161" s="346"/>
      <c r="N161" s="346">
        <f t="shared" si="2"/>
        <v>242900</v>
      </c>
      <c r="O161" s="347">
        <v>15383.66</v>
      </c>
      <c r="P161" s="347">
        <v>153836.7</v>
      </c>
      <c r="Q161" s="347">
        <v>89063.3</v>
      </c>
      <c r="R161" s="342">
        <v>0</v>
      </c>
      <c r="S161" s="347">
        <v>89063.3</v>
      </c>
      <c r="T161" s="341" t="s">
        <v>304</v>
      </c>
      <c r="U161" s="342">
        <v>510102</v>
      </c>
      <c r="V161" s="342"/>
    </row>
    <row r="162" s="340" customFormat="1" customHeight="1" spans="1:22">
      <c r="A162" s="343" t="s">
        <v>192</v>
      </c>
      <c r="B162" s="343">
        <v>400089</v>
      </c>
      <c r="C162" s="343" t="s">
        <v>466</v>
      </c>
      <c r="D162" s="344">
        <v>1</v>
      </c>
      <c r="E162" s="343"/>
      <c r="F162" s="345">
        <v>44910</v>
      </c>
      <c r="G162" s="345">
        <v>44910</v>
      </c>
      <c r="H162" s="343">
        <v>202301</v>
      </c>
      <c r="I162" s="344" t="s">
        <v>465</v>
      </c>
      <c r="J162" s="342">
        <v>20</v>
      </c>
      <c r="K162" s="346">
        <v>208200</v>
      </c>
      <c r="L162" s="346"/>
      <c r="M162" s="346"/>
      <c r="N162" s="346">
        <f t="shared" si="2"/>
        <v>208200</v>
      </c>
      <c r="O162" s="347">
        <v>13186</v>
      </c>
      <c r="P162" s="347">
        <v>131860</v>
      </c>
      <c r="Q162" s="347">
        <v>76340</v>
      </c>
      <c r="R162" s="342">
        <v>0</v>
      </c>
      <c r="S162" s="347">
        <v>76340</v>
      </c>
      <c r="T162" s="341" t="s">
        <v>304</v>
      </c>
      <c r="U162" s="342">
        <v>510102</v>
      </c>
      <c r="V162" s="342"/>
    </row>
    <row r="163" s="340" customFormat="1" customHeight="1" spans="1:22">
      <c r="A163" s="343" t="s">
        <v>192</v>
      </c>
      <c r="B163" s="343">
        <v>400090</v>
      </c>
      <c r="C163" s="343" t="s">
        <v>466</v>
      </c>
      <c r="D163" s="344">
        <v>1</v>
      </c>
      <c r="E163" s="343"/>
      <c r="F163" s="345">
        <v>44910</v>
      </c>
      <c r="G163" s="345">
        <v>44910</v>
      </c>
      <c r="H163" s="343">
        <v>202301</v>
      </c>
      <c r="I163" s="344" t="s">
        <v>465</v>
      </c>
      <c r="J163" s="342">
        <v>20</v>
      </c>
      <c r="K163" s="346">
        <v>31230</v>
      </c>
      <c r="L163" s="346"/>
      <c r="M163" s="346"/>
      <c r="N163" s="346">
        <f t="shared" si="2"/>
        <v>31230</v>
      </c>
      <c r="O163" s="347">
        <v>1977.88</v>
      </c>
      <c r="P163" s="347">
        <v>19779.03</v>
      </c>
      <c r="Q163" s="347">
        <v>11450.97</v>
      </c>
      <c r="R163" s="342">
        <v>0</v>
      </c>
      <c r="S163" s="347">
        <v>11450.97</v>
      </c>
      <c r="T163" s="341" t="s">
        <v>304</v>
      </c>
      <c r="U163" s="342">
        <v>510102</v>
      </c>
      <c r="V163" s="342"/>
    </row>
    <row r="164" s="340" customFormat="1" customHeight="1" spans="1:22">
      <c r="A164" s="343" t="s">
        <v>192</v>
      </c>
      <c r="B164" s="343">
        <v>400091</v>
      </c>
      <c r="C164" s="343" t="s">
        <v>466</v>
      </c>
      <c r="D164" s="344">
        <v>1</v>
      </c>
      <c r="E164" s="343"/>
      <c r="F164" s="345">
        <v>44910</v>
      </c>
      <c r="G164" s="345">
        <v>44910</v>
      </c>
      <c r="H164" s="343">
        <v>202301</v>
      </c>
      <c r="I164" s="344" t="s">
        <v>465</v>
      </c>
      <c r="J164" s="342">
        <v>20</v>
      </c>
      <c r="K164" s="346">
        <v>208200</v>
      </c>
      <c r="L164" s="346"/>
      <c r="M164" s="346"/>
      <c r="N164" s="346">
        <f t="shared" si="2"/>
        <v>208200</v>
      </c>
      <c r="O164" s="347">
        <v>13186</v>
      </c>
      <c r="P164" s="347">
        <v>131860</v>
      </c>
      <c r="Q164" s="347">
        <v>76340</v>
      </c>
      <c r="R164" s="342">
        <v>0</v>
      </c>
      <c r="S164" s="347">
        <v>76340</v>
      </c>
      <c r="T164" s="341" t="s">
        <v>304</v>
      </c>
      <c r="U164" s="342">
        <v>510102</v>
      </c>
      <c r="V164" s="342"/>
    </row>
    <row r="165" s="340" customFormat="1" customHeight="1" spans="1:22">
      <c r="A165" s="343" t="s">
        <v>192</v>
      </c>
      <c r="B165" s="343">
        <v>400092</v>
      </c>
      <c r="C165" s="343" t="s">
        <v>466</v>
      </c>
      <c r="D165" s="344">
        <v>1</v>
      </c>
      <c r="E165" s="343"/>
      <c r="F165" s="345">
        <v>44910</v>
      </c>
      <c r="G165" s="345">
        <v>44910</v>
      </c>
      <c r="H165" s="343">
        <v>202301</v>
      </c>
      <c r="I165" s="344" t="s">
        <v>465</v>
      </c>
      <c r="J165" s="342">
        <v>20</v>
      </c>
      <c r="K165" s="346">
        <v>208200</v>
      </c>
      <c r="L165" s="346"/>
      <c r="M165" s="346"/>
      <c r="N165" s="346">
        <f t="shared" si="2"/>
        <v>208200</v>
      </c>
      <c r="O165" s="347">
        <v>13186</v>
      </c>
      <c r="P165" s="347">
        <v>131860</v>
      </c>
      <c r="Q165" s="347">
        <v>76340</v>
      </c>
      <c r="R165" s="342">
        <v>0</v>
      </c>
      <c r="S165" s="347">
        <v>76340</v>
      </c>
      <c r="T165" s="341" t="s">
        <v>304</v>
      </c>
      <c r="U165" s="342">
        <v>510102</v>
      </c>
      <c r="V165" s="342"/>
    </row>
    <row r="166" s="340" customFormat="1" customHeight="1" spans="1:22">
      <c r="A166" s="343" t="s">
        <v>192</v>
      </c>
      <c r="B166" s="343">
        <v>400093</v>
      </c>
      <c r="C166" s="343" t="s">
        <v>466</v>
      </c>
      <c r="D166" s="344">
        <v>1</v>
      </c>
      <c r="E166" s="343"/>
      <c r="F166" s="345">
        <v>44910</v>
      </c>
      <c r="G166" s="345">
        <v>44910</v>
      </c>
      <c r="H166" s="343">
        <v>202301</v>
      </c>
      <c r="I166" s="344" t="s">
        <v>465</v>
      </c>
      <c r="J166" s="342">
        <v>20</v>
      </c>
      <c r="K166" s="346">
        <v>31230</v>
      </c>
      <c r="L166" s="346"/>
      <c r="M166" s="346"/>
      <c r="N166" s="346">
        <f t="shared" si="2"/>
        <v>31230</v>
      </c>
      <c r="O166" s="347">
        <v>1977.88</v>
      </c>
      <c r="P166" s="347">
        <v>19779.03</v>
      </c>
      <c r="Q166" s="347">
        <v>11450.97</v>
      </c>
      <c r="R166" s="342">
        <v>0</v>
      </c>
      <c r="S166" s="347">
        <v>11450.97</v>
      </c>
      <c r="T166" s="341" t="s">
        <v>304</v>
      </c>
      <c r="U166" s="342">
        <v>510102</v>
      </c>
      <c r="V166" s="342"/>
    </row>
    <row r="167" s="340" customFormat="1" customHeight="1" spans="1:22">
      <c r="A167" s="343" t="s">
        <v>192</v>
      </c>
      <c r="B167" s="343">
        <v>400094</v>
      </c>
      <c r="C167" s="343" t="s">
        <v>466</v>
      </c>
      <c r="D167" s="344">
        <v>1</v>
      </c>
      <c r="E167" s="343"/>
      <c r="F167" s="345">
        <v>44910</v>
      </c>
      <c r="G167" s="345">
        <v>44910</v>
      </c>
      <c r="H167" s="343">
        <v>202301</v>
      </c>
      <c r="I167" s="344" t="s">
        <v>465</v>
      </c>
      <c r="J167" s="342">
        <v>20</v>
      </c>
      <c r="K167" s="346">
        <v>9369</v>
      </c>
      <c r="L167" s="346"/>
      <c r="M167" s="346"/>
      <c r="N167" s="346">
        <f t="shared" si="2"/>
        <v>9369</v>
      </c>
      <c r="O167" s="342">
        <v>593.4</v>
      </c>
      <c r="P167" s="347">
        <v>5933.57</v>
      </c>
      <c r="Q167" s="347">
        <v>3435.43</v>
      </c>
      <c r="R167" s="342">
        <v>0</v>
      </c>
      <c r="S167" s="347">
        <v>3435.43</v>
      </c>
      <c r="T167" s="341" t="s">
        <v>304</v>
      </c>
      <c r="U167" s="342">
        <v>510102</v>
      </c>
      <c r="V167" s="342"/>
    </row>
    <row r="168" s="340" customFormat="1" customHeight="1" spans="1:22">
      <c r="A168" s="343" t="s">
        <v>192</v>
      </c>
      <c r="B168" s="343">
        <v>400095</v>
      </c>
      <c r="C168" s="343" t="s">
        <v>466</v>
      </c>
      <c r="D168" s="344">
        <v>1</v>
      </c>
      <c r="E168" s="343"/>
      <c r="F168" s="345">
        <v>44910</v>
      </c>
      <c r="G168" s="345">
        <v>44910</v>
      </c>
      <c r="H168" s="343">
        <v>202301</v>
      </c>
      <c r="I168" s="344" t="s">
        <v>465</v>
      </c>
      <c r="J168" s="342">
        <v>20</v>
      </c>
      <c r="K168" s="346">
        <v>208200</v>
      </c>
      <c r="L168" s="346"/>
      <c r="M168" s="346"/>
      <c r="N168" s="346">
        <f t="shared" si="2"/>
        <v>208200</v>
      </c>
      <c r="O168" s="347">
        <v>13186</v>
      </c>
      <c r="P168" s="347">
        <v>131860</v>
      </c>
      <c r="Q168" s="347">
        <v>76340</v>
      </c>
      <c r="R168" s="342">
        <v>0</v>
      </c>
      <c r="S168" s="347">
        <v>76340</v>
      </c>
      <c r="T168" s="341" t="s">
        <v>304</v>
      </c>
      <c r="U168" s="342">
        <v>510102</v>
      </c>
      <c r="V168" s="342"/>
    </row>
    <row r="169" s="340" customFormat="1" customHeight="1" spans="1:22">
      <c r="A169" s="343" t="s">
        <v>192</v>
      </c>
      <c r="B169" s="343">
        <v>400096</v>
      </c>
      <c r="C169" s="343" t="s">
        <v>466</v>
      </c>
      <c r="D169" s="344">
        <v>1</v>
      </c>
      <c r="E169" s="343"/>
      <c r="F169" s="345">
        <v>44910</v>
      </c>
      <c r="G169" s="345">
        <v>44910</v>
      </c>
      <c r="H169" s="343">
        <v>202301</v>
      </c>
      <c r="I169" s="344" t="s">
        <v>465</v>
      </c>
      <c r="J169" s="342">
        <v>20</v>
      </c>
      <c r="K169" s="346">
        <v>7981</v>
      </c>
      <c r="L169" s="346"/>
      <c r="M169" s="346"/>
      <c r="N169" s="346">
        <f t="shared" si="2"/>
        <v>7981</v>
      </c>
      <c r="O169" s="342">
        <v>505.48</v>
      </c>
      <c r="P169" s="347">
        <v>5054.59</v>
      </c>
      <c r="Q169" s="347">
        <v>2926.41</v>
      </c>
      <c r="R169" s="342">
        <v>0</v>
      </c>
      <c r="S169" s="347">
        <v>2926.41</v>
      </c>
      <c r="T169" s="341" t="s">
        <v>304</v>
      </c>
      <c r="U169" s="342">
        <v>510102</v>
      </c>
      <c r="V169" s="342"/>
    </row>
    <row r="170" s="340" customFormat="1" customHeight="1" spans="1:22">
      <c r="A170" s="343" t="s">
        <v>192</v>
      </c>
      <c r="B170" s="343">
        <v>400097</v>
      </c>
      <c r="C170" s="343" t="s">
        <v>466</v>
      </c>
      <c r="D170" s="344">
        <v>1</v>
      </c>
      <c r="E170" s="343"/>
      <c r="F170" s="345">
        <v>44910</v>
      </c>
      <c r="G170" s="345">
        <v>44910</v>
      </c>
      <c r="H170" s="343">
        <v>202301</v>
      </c>
      <c r="I170" s="344" t="s">
        <v>465</v>
      </c>
      <c r="J170" s="342">
        <v>20</v>
      </c>
      <c r="K170" s="346">
        <v>9369</v>
      </c>
      <c r="L170" s="346"/>
      <c r="M170" s="346"/>
      <c r="N170" s="346">
        <f t="shared" si="2"/>
        <v>9369</v>
      </c>
      <c r="O170" s="342">
        <v>593.4</v>
      </c>
      <c r="P170" s="347">
        <v>5933.57</v>
      </c>
      <c r="Q170" s="347">
        <v>3435.43</v>
      </c>
      <c r="R170" s="342">
        <v>0</v>
      </c>
      <c r="S170" s="347">
        <v>3435.43</v>
      </c>
      <c r="T170" s="341" t="s">
        <v>304</v>
      </c>
      <c r="U170" s="342">
        <v>510102</v>
      </c>
      <c r="V170" s="342"/>
    </row>
    <row r="171" s="340" customFormat="1" customHeight="1" spans="1:22">
      <c r="A171" s="343" t="s">
        <v>192</v>
      </c>
      <c r="B171" s="343">
        <v>400098</v>
      </c>
      <c r="C171" s="343" t="s">
        <v>466</v>
      </c>
      <c r="D171" s="344">
        <v>1</v>
      </c>
      <c r="E171" s="343"/>
      <c r="F171" s="345">
        <v>44910</v>
      </c>
      <c r="G171" s="345">
        <v>44910</v>
      </c>
      <c r="H171" s="343">
        <v>202301</v>
      </c>
      <c r="I171" s="344" t="s">
        <v>465</v>
      </c>
      <c r="J171" s="342">
        <v>20</v>
      </c>
      <c r="K171" s="346">
        <v>62460</v>
      </c>
      <c r="L171" s="346"/>
      <c r="M171" s="346"/>
      <c r="N171" s="346">
        <f t="shared" si="2"/>
        <v>62460</v>
      </c>
      <c r="O171" s="347">
        <v>3955.8</v>
      </c>
      <c r="P171" s="347">
        <v>39558.01</v>
      </c>
      <c r="Q171" s="347">
        <v>22901.99</v>
      </c>
      <c r="R171" s="342">
        <v>0</v>
      </c>
      <c r="S171" s="347">
        <v>22901.99</v>
      </c>
      <c r="T171" s="341" t="s">
        <v>304</v>
      </c>
      <c r="U171" s="342">
        <v>510102</v>
      </c>
      <c r="V171" s="342"/>
    </row>
    <row r="172" s="340" customFormat="1" customHeight="1" spans="1:22">
      <c r="A172" s="343" t="s">
        <v>192</v>
      </c>
      <c r="B172" s="343">
        <v>400099</v>
      </c>
      <c r="C172" s="343" t="s">
        <v>466</v>
      </c>
      <c r="D172" s="344">
        <v>1</v>
      </c>
      <c r="E172" s="343"/>
      <c r="F172" s="345">
        <v>44910</v>
      </c>
      <c r="G172" s="345">
        <v>44910</v>
      </c>
      <c r="H172" s="343">
        <v>202301</v>
      </c>
      <c r="I172" s="344" t="s">
        <v>465</v>
      </c>
      <c r="J172" s="342">
        <v>20</v>
      </c>
      <c r="K172" s="346">
        <v>9369</v>
      </c>
      <c r="L172" s="346"/>
      <c r="M172" s="346"/>
      <c r="N172" s="346">
        <f t="shared" si="2"/>
        <v>9369</v>
      </c>
      <c r="O172" s="342">
        <v>593.4</v>
      </c>
      <c r="P172" s="347">
        <v>5933.57</v>
      </c>
      <c r="Q172" s="347">
        <v>3435.43</v>
      </c>
      <c r="R172" s="342">
        <v>0</v>
      </c>
      <c r="S172" s="347">
        <v>3435.43</v>
      </c>
      <c r="T172" s="341" t="s">
        <v>304</v>
      </c>
      <c r="U172" s="342">
        <v>510102</v>
      </c>
      <c r="V172" s="342"/>
    </row>
    <row r="173" s="340" customFormat="1" customHeight="1" spans="1:22">
      <c r="A173" s="343" t="s">
        <v>192</v>
      </c>
      <c r="B173" s="343">
        <v>400100</v>
      </c>
      <c r="C173" s="343" t="s">
        <v>467</v>
      </c>
      <c r="D173" s="344">
        <v>1</v>
      </c>
      <c r="E173" s="343"/>
      <c r="F173" s="345">
        <v>44910</v>
      </c>
      <c r="G173" s="345">
        <v>44910</v>
      </c>
      <c r="H173" s="343">
        <v>202301</v>
      </c>
      <c r="I173" s="344" t="s">
        <v>465</v>
      </c>
      <c r="J173" s="342">
        <v>20</v>
      </c>
      <c r="K173" s="346">
        <v>31230</v>
      </c>
      <c r="L173" s="346"/>
      <c r="M173" s="346"/>
      <c r="N173" s="346">
        <f t="shared" si="2"/>
        <v>31230</v>
      </c>
      <c r="O173" s="347">
        <v>1977.88</v>
      </c>
      <c r="P173" s="347">
        <v>19779.03</v>
      </c>
      <c r="Q173" s="347">
        <v>11450.97</v>
      </c>
      <c r="R173" s="342">
        <v>0</v>
      </c>
      <c r="S173" s="347">
        <v>11450.97</v>
      </c>
      <c r="T173" s="341" t="s">
        <v>304</v>
      </c>
      <c r="U173" s="342">
        <v>510102</v>
      </c>
      <c r="V173" s="342"/>
    </row>
    <row r="174" s="340" customFormat="1" customHeight="1" spans="1:22">
      <c r="A174" s="343" t="s">
        <v>192</v>
      </c>
      <c r="B174" s="343">
        <v>400101</v>
      </c>
      <c r="C174" s="343" t="s">
        <v>467</v>
      </c>
      <c r="D174" s="344">
        <v>1</v>
      </c>
      <c r="E174" s="343"/>
      <c r="F174" s="345">
        <v>44910</v>
      </c>
      <c r="G174" s="345">
        <v>44910</v>
      </c>
      <c r="H174" s="343">
        <v>202301</v>
      </c>
      <c r="I174" s="344" t="s">
        <v>465</v>
      </c>
      <c r="J174" s="342">
        <v>20</v>
      </c>
      <c r="K174" s="346">
        <v>62460</v>
      </c>
      <c r="L174" s="346"/>
      <c r="M174" s="346"/>
      <c r="N174" s="346">
        <f t="shared" si="2"/>
        <v>62460</v>
      </c>
      <c r="O174" s="347">
        <v>3955.8</v>
      </c>
      <c r="P174" s="347">
        <v>39558.01</v>
      </c>
      <c r="Q174" s="347">
        <v>22901.99</v>
      </c>
      <c r="R174" s="342">
        <v>0</v>
      </c>
      <c r="S174" s="347">
        <v>22901.99</v>
      </c>
      <c r="T174" s="341" t="s">
        <v>304</v>
      </c>
      <c r="U174" s="342">
        <v>510102</v>
      </c>
      <c r="V174" s="342"/>
    </row>
    <row r="175" s="340" customFormat="1" customHeight="1" spans="1:22">
      <c r="A175" s="343" t="s">
        <v>192</v>
      </c>
      <c r="B175" s="343">
        <v>400102</v>
      </c>
      <c r="C175" s="343" t="s">
        <v>467</v>
      </c>
      <c r="D175" s="344">
        <v>1</v>
      </c>
      <c r="E175" s="343"/>
      <c r="F175" s="345">
        <v>44910</v>
      </c>
      <c r="G175" s="345">
        <v>44910</v>
      </c>
      <c r="H175" s="343">
        <v>202301</v>
      </c>
      <c r="I175" s="344" t="s">
        <v>465</v>
      </c>
      <c r="J175" s="342">
        <v>20</v>
      </c>
      <c r="K175" s="346">
        <v>31230</v>
      </c>
      <c r="L175" s="346"/>
      <c r="M175" s="346"/>
      <c r="N175" s="346">
        <f t="shared" si="2"/>
        <v>31230</v>
      </c>
      <c r="O175" s="347">
        <v>1977.88</v>
      </c>
      <c r="P175" s="347">
        <v>19779.03</v>
      </c>
      <c r="Q175" s="347">
        <v>11450.97</v>
      </c>
      <c r="R175" s="342">
        <v>0</v>
      </c>
      <c r="S175" s="347">
        <v>11450.97</v>
      </c>
      <c r="T175" s="341" t="s">
        <v>304</v>
      </c>
      <c r="U175" s="342">
        <v>510102</v>
      </c>
      <c r="V175" s="342"/>
    </row>
    <row r="176" s="340" customFormat="1" customHeight="1" spans="1:22">
      <c r="A176" s="343" t="s">
        <v>192</v>
      </c>
      <c r="B176" s="343">
        <v>400103</v>
      </c>
      <c r="C176" s="343" t="s">
        <v>467</v>
      </c>
      <c r="D176" s="344">
        <v>1</v>
      </c>
      <c r="E176" s="343"/>
      <c r="F176" s="345">
        <v>44910</v>
      </c>
      <c r="G176" s="345">
        <v>44910</v>
      </c>
      <c r="H176" s="343">
        <v>202301</v>
      </c>
      <c r="I176" s="344" t="s">
        <v>465</v>
      </c>
      <c r="J176" s="342">
        <v>20</v>
      </c>
      <c r="K176" s="346">
        <v>62460</v>
      </c>
      <c r="L176" s="346"/>
      <c r="M176" s="346"/>
      <c r="N176" s="346">
        <f t="shared" si="2"/>
        <v>62460</v>
      </c>
      <c r="O176" s="347">
        <v>3955.8</v>
      </c>
      <c r="P176" s="347">
        <v>39558.01</v>
      </c>
      <c r="Q176" s="347">
        <v>22901.99</v>
      </c>
      <c r="R176" s="342">
        <v>0</v>
      </c>
      <c r="S176" s="347">
        <v>22901.99</v>
      </c>
      <c r="T176" s="341" t="s">
        <v>304</v>
      </c>
      <c r="U176" s="342">
        <v>510102</v>
      </c>
      <c r="V176" s="342"/>
    </row>
    <row r="177" s="340" customFormat="1" customHeight="1" spans="1:22">
      <c r="A177" s="343" t="s">
        <v>192</v>
      </c>
      <c r="B177" s="343">
        <v>400104</v>
      </c>
      <c r="C177" s="343" t="s">
        <v>467</v>
      </c>
      <c r="D177" s="344">
        <v>1</v>
      </c>
      <c r="E177" s="343"/>
      <c r="F177" s="345">
        <v>44910</v>
      </c>
      <c r="G177" s="345">
        <v>44910</v>
      </c>
      <c r="H177" s="343">
        <v>202301</v>
      </c>
      <c r="I177" s="344" t="s">
        <v>465</v>
      </c>
      <c r="J177" s="342">
        <v>20</v>
      </c>
      <c r="K177" s="346">
        <v>31230</v>
      </c>
      <c r="L177" s="346"/>
      <c r="M177" s="346"/>
      <c r="N177" s="346">
        <f t="shared" si="2"/>
        <v>31230</v>
      </c>
      <c r="O177" s="347">
        <v>1977.88</v>
      </c>
      <c r="P177" s="347">
        <v>19779.03</v>
      </c>
      <c r="Q177" s="347">
        <v>11450.97</v>
      </c>
      <c r="R177" s="342">
        <v>0</v>
      </c>
      <c r="S177" s="347">
        <v>11450.97</v>
      </c>
      <c r="T177" s="341" t="s">
        <v>304</v>
      </c>
      <c r="U177" s="342">
        <v>510102</v>
      </c>
      <c r="V177" s="342"/>
    </row>
    <row r="178" s="340" customFormat="1" customHeight="1" spans="1:22">
      <c r="A178" s="343" t="s">
        <v>192</v>
      </c>
      <c r="B178" s="343">
        <v>400105</v>
      </c>
      <c r="C178" s="343" t="s">
        <v>329</v>
      </c>
      <c r="D178" s="344">
        <v>1</v>
      </c>
      <c r="E178" s="343" t="s">
        <v>468</v>
      </c>
      <c r="F178" s="345">
        <v>45077</v>
      </c>
      <c r="G178" s="345">
        <v>45077</v>
      </c>
      <c r="H178" s="343">
        <v>202306</v>
      </c>
      <c r="I178" s="344" t="s">
        <v>465</v>
      </c>
      <c r="J178" s="342">
        <v>25</v>
      </c>
      <c r="K178" s="346">
        <v>553226.12</v>
      </c>
      <c r="L178" s="346"/>
      <c r="M178" s="346"/>
      <c r="N178" s="346">
        <f t="shared" si="2"/>
        <v>553226.12</v>
      </c>
      <c r="O178" s="347">
        <v>35037.64</v>
      </c>
      <c r="P178" s="347">
        <v>306579.53</v>
      </c>
      <c r="Q178" s="347">
        <v>246646.59</v>
      </c>
      <c r="R178" s="342">
        <v>0</v>
      </c>
      <c r="S178" s="347">
        <v>246646.59</v>
      </c>
      <c r="T178" s="341" t="s">
        <v>299</v>
      </c>
      <c r="U178" s="342">
        <v>510102</v>
      </c>
      <c r="V178" s="342"/>
    </row>
    <row r="179" s="340" customFormat="1" customHeight="1" spans="1:22">
      <c r="A179" s="343" t="s">
        <v>192</v>
      </c>
      <c r="B179" s="343">
        <v>400106</v>
      </c>
      <c r="C179" s="343" t="s">
        <v>469</v>
      </c>
      <c r="D179" s="344">
        <v>47</v>
      </c>
      <c r="E179" s="343"/>
      <c r="F179" s="345">
        <v>45260</v>
      </c>
      <c r="G179" s="345">
        <v>45260</v>
      </c>
      <c r="H179" s="343">
        <v>202312</v>
      </c>
      <c r="I179" s="344" t="s">
        <v>465</v>
      </c>
      <c r="J179" s="342">
        <v>31</v>
      </c>
      <c r="K179" s="346">
        <v>3214218.84</v>
      </c>
      <c r="L179" s="346"/>
      <c r="M179" s="346"/>
      <c r="N179" s="346">
        <f t="shared" si="2"/>
        <v>3214218.84</v>
      </c>
      <c r="O179" s="347">
        <v>203567.2</v>
      </c>
      <c r="P179" s="347">
        <v>1475862.2</v>
      </c>
      <c r="Q179" s="347">
        <v>1738356.64</v>
      </c>
      <c r="R179" s="342">
        <v>0</v>
      </c>
      <c r="S179" s="347">
        <v>1738356.64</v>
      </c>
      <c r="T179" s="341" t="s">
        <v>304</v>
      </c>
      <c r="U179" s="342">
        <v>66021204</v>
      </c>
      <c r="V179" s="342"/>
    </row>
    <row r="180" s="340" customFormat="1" customHeight="1" spans="1:22">
      <c r="A180" s="343" t="s">
        <v>192</v>
      </c>
      <c r="B180" s="343">
        <v>400107</v>
      </c>
      <c r="C180" s="343" t="s">
        <v>470</v>
      </c>
      <c r="D180" s="344">
        <v>1</v>
      </c>
      <c r="E180" s="343" t="s">
        <v>471</v>
      </c>
      <c r="F180" s="345">
        <v>45289</v>
      </c>
      <c r="G180" s="345">
        <v>45289</v>
      </c>
      <c r="H180" s="343">
        <v>202401</v>
      </c>
      <c r="I180" s="344" t="s">
        <v>465</v>
      </c>
      <c r="J180" s="342">
        <v>32</v>
      </c>
      <c r="K180" s="346">
        <v>869179.32</v>
      </c>
      <c r="L180" s="346"/>
      <c r="M180" s="346"/>
      <c r="N180" s="346">
        <f t="shared" si="2"/>
        <v>869179.32</v>
      </c>
      <c r="O180" s="347">
        <v>55048.04</v>
      </c>
      <c r="P180" s="347">
        <v>385336.17</v>
      </c>
      <c r="Q180" s="347">
        <v>483843.15</v>
      </c>
      <c r="R180" s="342">
        <v>0</v>
      </c>
      <c r="S180" s="347">
        <v>483843.15</v>
      </c>
      <c r="T180" s="341" t="s">
        <v>299</v>
      </c>
      <c r="U180" s="342">
        <v>66021204</v>
      </c>
      <c r="V180" s="342"/>
    </row>
    <row r="181" s="340" customFormat="1" customHeight="1" spans="1:22">
      <c r="A181" s="343" t="s">
        <v>192</v>
      </c>
      <c r="B181" s="343">
        <v>400108</v>
      </c>
      <c r="C181" s="343" t="s">
        <v>472</v>
      </c>
      <c r="D181" s="344">
        <v>1</v>
      </c>
      <c r="E181" s="343" t="s">
        <v>473</v>
      </c>
      <c r="F181" s="345">
        <v>45289</v>
      </c>
      <c r="G181" s="345">
        <v>45289</v>
      </c>
      <c r="H181" s="343">
        <v>202401</v>
      </c>
      <c r="I181" s="344" t="s">
        <v>465</v>
      </c>
      <c r="J181" s="342">
        <v>32</v>
      </c>
      <c r="K181" s="346">
        <v>866695.55</v>
      </c>
      <c r="L181" s="346"/>
      <c r="M181" s="346"/>
      <c r="N181" s="346">
        <f t="shared" si="2"/>
        <v>866695.55</v>
      </c>
      <c r="O181" s="347">
        <v>54890.72</v>
      </c>
      <c r="P181" s="347">
        <v>384235.04</v>
      </c>
      <c r="Q181" s="347">
        <v>482460.51</v>
      </c>
      <c r="R181" s="342">
        <v>0</v>
      </c>
      <c r="S181" s="347">
        <v>482460.51</v>
      </c>
      <c r="T181" s="341" t="s">
        <v>304</v>
      </c>
      <c r="U181" s="342">
        <v>510102</v>
      </c>
      <c r="V181" s="342"/>
    </row>
    <row r="182" s="340" customFormat="1" customHeight="1" spans="1:22">
      <c r="A182" s="343" t="s">
        <v>192</v>
      </c>
      <c r="B182" s="343">
        <v>400109</v>
      </c>
      <c r="C182" s="343" t="s">
        <v>474</v>
      </c>
      <c r="D182" s="344">
        <v>8</v>
      </c>
      <c r="E182" s="343"/>
      <c r="F182" s="345">
        <v>45320</v>
      </c>
      <c r="G182" s="345">
        <v>45320</v>
      </c>
      <c r="H182" s="343">
        <v>202402</v>
      </c>
      <c r="I182" s="344" t="s">
        <v>465</v>
      </c>
      <c r="J182" s="342">
        <v>33</v>
      </c>
      <c r="K182" s="346">
        <v>318465</v>
      </c>
      <c r="L182" s="346"/>
      <c r="M182" s="346"/>
      <c r="N182" s="346">
        <f t="shared" si="2"/>
        <v>318465</v>
      </c>
      <c r="O182" s="347">
        <v>20169.44</v>
      </c>
      <c r="P182" s="347">
        <v>136143.72</v>
      </c>
      <c r="Q182" s="347">
        <v>182321.28</v>
      </c>
      <c r="R182" s="342">
        <v>0</v>
      </c>
      <c r="S182" s="347">
        <v>182321.28</v>
      </c>
      <c r="T182" s="341" t="s">
        <v>304</v>
      </c>
      <c r="U182" s="342">
        <v>510102</v>
      </c>
      <c r="V182" s="342"/>
    </row>
    <row r="183" s="340" customFormat="1" customHeight="1" spans="1:22">
      <c r="A183" s="343" t="s">
        <v>192</v>
      </c>
      <c r="B183" s="343">
        <v>400110</v>
      </c>
      <c r="C183" s="343" t="s">
        <v>475</v>
      </c>
      <c r="D183" s="344">
        <v>1</v>
      </c>
      <c r="E183" s="343"/>
      <c r="F183" s="345">
        <v>45379</v>
      </c>
      <c r="G183" s="345">
        <v>45379</v>
      </c>
      <c r="H183" s="343">
        <v>202404</v>
      </c>
      <c r="I183" s="344" t="s">
        <v>465</v>
      </c>
      <c r="J183" s="342">
        <v>35</v>
      </c>
      <c r="K183" s="346">
        <v>408589.25</v>
      </c>
      <c r="L183" s="346"/>
      <c r="M183" s="346"/>
      <c r="N183" s="346">
        <f t="shared" si="2"/>
        <v>408589.25</v>
      </c>
      <c r="O183" s="347">
        <v>25877.32</v>
      </c>
      <c r="P183" s="347">
        <v>161733.23</v>
      </c>
      <c r="Q183" s="347">
        <v>246856.02</v>
      </c>
      <c r="R183" s="342">
        <v>0</v>
      </c>
      <c r="S183" s="347">
        <v>246856.02</v>
      </c>
      <c r="T183" s="341" t="s">
        <v>304</v>
      </c>
      <c r="U183" s="342">
        <v>510102</v>
      </c>
      <c r="V183" s="342"/>
    </row>
    <row r="184" customHeight="1" spans="1:22">
      <c r="A184" s="343" t="s">
        <v>192</v>
      </c>
      <c r="B184" s="343">
        <v>400114</v>
      </c>
      <c r="C184" s="343" t="s">
        <v>476</v>
      </c>
      <c r="D184" s="344">
        <v>1</v>
      </c>
      <c r="E184" s="343" t="s">
        <v>477</v>
      </c>
      <c r="F184" s="345">
        <v>45657</v>
      </c>
      <c r="G184" s="345">
        <v>45657</v>
      </c>
      <c r="H184" s="343">
        <v>202501</v>
      </c>
      <c r="I184" s="344">
        <v>120</v>
      </c>
      <c r="J184" s="342">
        <v>104</v>
      </c>
      <c r="K184" s="346">
        <v>281849.56</v>
      </c>
      <c r="L184" s="346"/>
      <c r="M184" s="346"/>
      <c r="N184" s="346">
        <f t="shared" si="2"/>
        <v>281849.56</v>
      </c>
      <c r="O184" s="347">
        <v>8925.24</v>
      </c>
      <c r="P184" s="347">
        <v>35700.96</v>
      </c>
      <c r="Q184" s="347">
        <v>246148.6</v>
      </c>
      <c r="R184" s="342">
        <v>0</v>
      </c>
      <c r="S184" s="347">
        <v>246148.6</v>
      </c>
      <c r="T184" s="341" t="s">
        <v>296</v>
      </c>
      <c r="U184" s="342">
        <v>66021204</v>
      </c>
      <c r="V184" s="342"/>
    </row>
    <row r="185" customHeight="1" spans="1:22">
      <c r="A185" s="343" t="s">
        <v>192</v>
      </c>
      <c r="B185" s="343">
        <v>400115</v>
      </c>
      <c r="C185" s="343" t="s">
        <v>478</v>
      </c>
      <c r="D185" s="344">
        <v>1</v>
      </c>
      <c r="E185" s="343" t="s">
        <v>479</v>
      </c>
      <c r="F185" s="345">
        <v>45657</v>
      </c>
      <c r="G185" s="345">
        <v>45657</v>
      </c>
      <c r="H185" s="343">
        <v>202501</v>
      </c>
      <c r="I185" s="344">
        <v>120</v>
      </c>
      <c r="J185" s="342">
        <v>104</v>
      </c>
      <c r="K185" s="346">
        <v>7592.92</v>
      </c>
      <c r="L185" s="346"/>
      <c r="M185" s="346"/>
      <c r="N185" s="346">
        <f t="shared" si="2"/>
        <v>7592.92</v>
      </c>
      <c r="O185" s="342">
        <v>240.44</v>
      </c>
      <c r="P185" s="347">
        <v>961.76</v>
      </c>
      <c r="Q185" s="347">
        <v>6631.16</v>
      </c>
      <c r="R185" s="342">
        <v>0</v>
      </c>
      <c r="S185" s="347">
        <v>6631.16</v>
      </c>
      <c r="T185" s="341" t="s">
        <v>296</v>
      </c>
      <c r="U185" s="342">
        <v>66021204</v>
      </c>
      <c r="V185" s="342"/>
    </row>
    <row r="186" customHeight="1" spans="1:22">
      <c r="A186" s="343" t="s">
        <v>192</v>
      </c>
      <c r="B186" s="343">
        <v>400116</v>
      </c>
      <c r="C186" s="343" t="s">
        <v>480</v>
      </c>
      <c r="D186" s="344">
        <v>1</v>
      </c>
      <c r="E186" s="343" t="s">
        <v>481</v>
      </c>
      <c r="F186" s="345">
        <v>45657</v>
      </c>
      <c r="G186" s="345">
        <v>45657</v>
      </c>
      <c r="H186" s="343">
        <v>202501</v>
      </c>
      <c r="I186" s="344">
        <v>120</v>
      </c>
      <c r="J186" s="342">
        <v>104</v>
      </c>
      <c r="K186" s="346">
        <v>48097.35</v>
      </c>
      <c r="L186" s="346"/>
      <c r="M186" s="346"/>
      <c r="N186" s="346">
        <f t="shared" si="2"/>
        <v>48097.35</v>
      </c>
      <c r="O186" s="347">
        <v>1523.08</v>
      </c>
      <c r="P186" s="347">
        <v>6092.32</v>
      </c>
      <c r="Q186" s="347">
        <v>42005.03</v>
      </c>
      <c r="R186" s="342">
        <v>0</v>
      </c>
      <c r="S186" s="347">
        <v>42005.03</v>
      </c>
      <c r="T186" s="341" t="s">
        <v>296</v>
      </c>
      <c r="U186" s="342">
        <v>66021204</v>
      </c>
      <c r="V186" s="342"/>
    </row>
    <row r="187" customHeight="1" spans="1:22">
      <c r="A187" s="343" t="s">
        <v>192</v>
      </c>
      <c r="B187" s="343">
        <v>400117</v>
      </c>
      <c r="C187" s="343" t="s">
        <v>482</v>
      </c>
      <c r="D187" s="344">
        <v>1</v>
      </c>
      <c r="E187" s="343" t="s">
        <v>483</v>
      </c>
      <c r="F187" s="345">
        <v>45657</v>
      </c>
      <c r="G187" s="345">
        <v>45657</v>
      </c>
      <c r="H187" s="343">
        <v>202501</v>
      </c>
      <c r="I187" s="344">
        <v>120</v>
      </c>
      <c r="J187" s="342">
        <v>104</v>
      </c>
      <c r="K187" s="346">
        <v>2106.19</v>
      </c>
      <c r="L187" s="346"/>
      <c r="M187" s="346"/>
      <c r="N187" s="346">
        <f t="shared" si="2"/>
        <v>2106.19</v>
      </c>
      <c r="O187" s="342">
        <v>66.68</v>
      </c>
      <c r="P187" s="347">
        <v>266.72</v>
      </c>
      <c r="Q187" s="347">
        <v>1839.47</v>
      </c>
      <c r="R187" s="342">
        <v>0</v>
      </c>
      <c r="S187" s="347">
        <v>1839.47</v>
      </c>
      <c r="T187" s="341" t="s">
        <v>296</v>
      </c>
      <c r="U187" s="342">
        <v>66021204</v>
      </c>
      <c r="V187" s="342"/>
    </row>
    <row r="188" customHeight="1" spans="1:22">
      <c r="A188" s="343" t="s">
        <v>192</v>
      </c>
      <c r="B188" s="343">
        <v>400118</v>
      </c>
      <c r="C188" s="343" t="s">
        <v>482</v>
      </c>
      <c r="D188" s="344">
        <v>1</v>
      </c>
      <c r="E188" s="343" t="s">
        <v>483</v>
      </c>
      <c r="F188" s="345">
        <v>45657</v>
      </c>
      <c r="G188" s="345">
        <v>45657</v>
      </c>
      <c r="H188" s="343">
        <v>202501</v>
      </c>
      <c r="I188" s="344">
        <v>120</v>
      </c>
      <c r="J188" s="342">
        <v>104</v>
      </c>
      <c r="K188" s="346">
        <v>2106.19</v>
      </c>
      <c r="L188" s="346"/>
      <c r="M188" s="346"/>
      <c r="N188" s="346">
        <f t="shared" si="2"/>
        <v>2106.19</v>
      </c>
      <c r="O188" s="342">
        <v>66.68</v>
      </c>
      <c r="P188" s="347">
        <v>266.72</v>
      </c>
      <c r="Q188" s="347">
        <v>1839.47</v>
      </c>
      <c r="R188" s="342">
        <v>0</v>
      </c>
      <c r="S188" s="347">
        <v>1839.47</v>
      </c>
      <c r="T188" s="341" t="s">
        <v>296</v>
      </c>
      <c r="U188" s="342">
        <v>66021204</v>
      </c>
      <c r="V188" s="342"/>
    </row>
    <row r="189" customHeight="1" spans="1:22">
      <c r="A189" s="343" t="s">
        <v>192</v>
      </c>
      <c r="B189" s="343">
        <v>400119</v>
      </c>
      <c r="C189" s="343" t="s">
        <v>482</v>
      </c>
      <c r="D189" s="344">
        <v>1</v>
      </c>
      <c r="E189" s="343" t="s">
        <v>483</v>
      </c>
      <c r="F189" s="345">
        <v>45657</v>
      </c>
      <c r="G189" s="345">
        <v>45657</v>
      </c>
      <c r="H189" s="343">
        <v>202501</v>
      </c>
      <c r="I189" s="344">
        <v>120</v>
      </c>
      <c r="J189" s="342">
        <v>104</v>
      </c>
      <c r="K189" s="346">
        <v>2106.2</v>
      </c>
      <c r="L189" s="346"/>
      <c r="M189" s="346"/>
      <c r="N189" s="346">
        <f t="shared" si="2"/>
        <v>2106.2</v>
      </c>
      <c r="O189" s="342">
        <v>66.68</v>
      </c>
      <c r="P189" s="347">
        <v>266.72</v>
      </c>
      <c r="Q189" s="347">
        <v>1839.48</v>
      </c>
      <c r="R189" s="342">
        <v>0</v>
      </c>
      <c r="S189" s="347">
        <v>1839.48</v>
      </c>
      <c r="T189" s="341" t="s">
        <v>296</v>
      </c>
      <c r="U189" s="342">
        <v>66021204</v>
      </c>
      <c r="V189" s="342"/>
    </row>
    <row r="190" customHeight="1" spans="1:22">
      <c r="A190" s="343" t="s">
        <v>192</v>
      </c>
      <c r="B190" s="343">
        <v>400120</v>
      </c>
      <c r="C190" s="343" t="s">
        <v>484</v>
      </c>
      <c r="D190" s="344">
        <v>1</v>
      </c>
      <c r="E190" s="343" t="s">
        <v>485</v>
      </c>
      <c r="F190" s="345">
        <v>45657</v>
      </c>
      <c r="G190" s="345">
        <v>45657</v>
      </c>
      <c r="H190" s="343">
        <v>202501</v>
      </c>
      <c r="I190" s="344">
        <v>120</v>
      </c>
      <c r="J190" s="342">
        <v>104</v>
      </c>
      <c r="K190" s="346">
        <v>5061.95</v>
      </c>
      <c r="L190" s="346"/>
      <c r="M190" s="346"/>
      <c r="N190" s="346">
        <f t="shared" si="2"/>
        <v>5061.95</v>
      </c>
      <c r="O190" s="342">
        <v>160.28</v>
      </c>
      <c r="P190" s="347">
        <v>641.12</v>
      </c>
      <c r="Q190" s="347">
        <v>4420.83</v>
      </c>
      <c r="R190" s="342">
        <v>0</v>
      </c>
      <c r="S190" s="347">
        <v>4420.83</v>
      </c>
      <c r="T190" s="341" t="s">
        <v>296</v>
      </c>
      <c r="U190" s="342">
        <v>66021204</v>
      </c>
      <c r="V190" s="342"/>
    </row>
    <row r="191" customHeight="1" spans="1:22">
      <c r="A191" s="343" t="s">
        <v>192</v>
      </c>
      <c r="B191" s="343">
        <v>400121</v>
      </c>
      <c r="C191" s="343" t="s">
        <v>484</v>
      </c>
      <c r="D191" s="344">
        <v>1</v>
      </c>
      <c r="E191" s="343" t="s">
        <v>485</v>
      </c>
      <c r="F191" s="345">
        <v>45657</v>
      </c>
      <c r="G191" s="345">
        <v>45657</v>
      </c>
      <c r="H191" s="343">
        <v>202501</v>
      </c>
      <c r="I191" s="344">
        <v>120</v>
      </c>
      <c r="J191" s="342">
        <v>104</v>
      </c>
      <c r="K191" s="346">
        <v>5061.94</v>
      </c>
      <c r="L191" s="346"/>
      <c r="M191" s="346"/>
      <c r="N191" s="346">
        <f t="shared" si="2"/>
        <v>5061.94</v>
      </c>
      <c r="O191" s="342">
        <v>160.28</v>
      </c>
      <c r="P191" s="347">
        <v>641.12</v>
      </c>
      <c r="Q191" s="347">
        <v>4420.82</v>
      </c>
      <c r="R191" s="342">
        <v>0</v>
      </c>
      <c r="S191" s="347">
        <v>4420.82</v>
      </c>
      <c r="T191" s="341" t="s">
        <v>296</v>
      </c>
      <c r="U191" s="342">
        <v>66021204</v>
      </c>
      <c r="V191" s="342"/>
    </row>
    <row r="192" customHeight="1" spans="1:22">
      <c r="A192" s="343" t="s">
        <v>192</v>
      </c>
      <c r="B192" s="343">
        <v>400122</v>
      </c>
      <c r="C192" s="343" t="s">
        <v>486</v>
      </c>
      <c r="D192" s="344">
        <v>1</v>
      </c>
      <c r="E192" s="348" t="s">
        <v>487</v>
      </c>
      <c r="F192" s="345">
        <v>45657</v>
      </c>
      <c r="G192" s="345">
        <v>45657</v>
      </c>
      <c r="H192" s="343">
        <v>202501</v>
      </c>
      <c r="I192" s="344">
        <v>120</v>
      </c>
      <c r="J192" s="342">
        <v>104</v>
      </c>
      <c r="K192" s="346">
        <v>485122.72</v>
      </c>
      <c r="L192" s="346"/>
      <c r="M192" s="346"/>
      <c r="N192" s="346">
        <f t="shared" si="2"/>
        <v>485122.72</v>
      </c>
      <c r="O192" s="347">
        <v>15362.22</v>
      </c>
      <c r="P192" s="347">
        <v>61448.86</v>
      </c>
      <c r="Q192" s="347">
        <v>423673.86</v>
      </c>
      <c r="R192" s="342">
        <v>0</v>
      </c>
      <c r="S192" s="347">
        <v>423673.86</v>
      </c>
      <c r="T192" s="341" t="s">
        <v>296</v>
      </c>
      <c r="U192" s="342">
        <v>66021204</v>
      </c>
      <c r="V192" s="342"/>
    </row>
    <row r="193" customHeight="1" spans="1:22">
      <c r="A193" s="343" t="s">
        <v>192</v>
      </c>
      <c r="B193" s="343">
        <v>400123</v>
      </c>
      <c r="C193" s="343" t="s">
        <v>488</v>
      </c>
      <c r="D193" s="344">
        <v>1</v>
      </c>
      <c r="E193" s="343"/>
      <c r="F193" s="345">
        <v>45657</v>
      </c>
      <c r="G193" s="345">
        <v>45657</v>
      </c>
      <c r="H193" s="343">
        <v>202501</v>
      </c>
      <c r="I193" s="344">
        <v>120</v>
      </c>
      <c r="J193" s="342">
        <v>104</v>
      </c>
      <c r="K193" s="346">
        <v>15858853.15</v>
      </c>
      <c r="L193" s="346"/>
      <c r="M193" s="346"/>
      <c r="N193" s="346">
        <f t="shared" si="2"/>
        <v>15858853.15</v>
      </c>
      <c r="O193" s="347">
        <v>502197</v>
      </c>
      <c r="P193" s="347">
        <v>2008788</v>
      </c>
      <c r="Q193" s="347">
        <v>13850065.15</v>
      </c>
      <c r="R193" s="342">
        <v>0</v>
      </c>
      <c r="S193" s="347">
        <v>13850065.15</v>
      </c>
      <c r="T193" s="341" t="s">
        <v>296</v>
      </c>
      <c r="U193" s="342">
        <v>66021204</v>
      </c>
      <c r="V193" s="342"/>
    </row>
    <row r="194" customHeight="1" spans="1:22">
      <c r="A194" s="343" t="s">
        <v>192</v>
      </c>
      <c r="B194" s="343">
        <v>400124</v>
      </c>
      <c r="C194" s="343" t="s">
        <v>489</v>
      </c>
      <c r="D194" s="344">
        <v>1</v>
      </c>
      <c r="E194" s="343"/>
      <c r="F194" s="345">
        <v>45657</v>
      </c>
      <c r="G194" s="345">
        <v>45657</v>
      </c>
      <c r="H194" s="343">
        <v>202501</v>
      </c>
      <c r="I194" s="344">
        <v>120</v>
      </c>
      <c r="J194" s="342">
        <v>104</v>
      </c>
      <c r="K194" s="346">
        <v>3328524.9</v>
      </c>
      <c r="L194" s="346"/>
      <c r="M194" s="346"/>
      <c r="N194" s="346">
        <f t="shared" si="2"/>
        <v>3328524.9</v>
      </c>
      <c r="O194" s="347">
        <v>105403.28</v>
      </c>
      <c r="P194" s="347">
        <v>421613.12</v>
      </c>
      <c r="Q194" s="347">
        <v>2906911.78</v>
      </c>
      <c r="R194" s="342">
        <v>0</v>
      </c>
      <c r="S194" s="347">
        <v>2906911.78</v>
      </c>
      <c r="T194" s="341" t="s">
        <v>296</v>
      </c>
      <c r="U194" s="342">
        <v>66021204</v>
      </c>
      <c r="V194" s="342"/>
    </row>
    <row r="195" customHeight="1" spans="1:22">
      <c r="A195" s="343" t="s">
        <v>192</v>
      </c>
      <c r="B195" s="343">
        <v>400125</v>
      </c>
      <c r="C195" s="343" t="s">
        <v>490</v>
      </c>
      <c r="D195" s="344">
        <v>1</v>
      </c>
      <c r="E195" s="343"/>
      <c r="F195" s="345">
        <v>45657</v>
      </c>
      <c r="G195" s="345">
        <v>45657</v>
      </c>
      <c r="H195" s="343">
        <v>202501</v>
      </c>
      <c r="I195" s="344">
        <v>120</v>
      </c>
      <c r="J195" s="342">
        <v>104</v>
      </c>
      <c r="K195" s="346">
        <v>4932751.87</v>
      </c>
      <c r="L195" s="346"/>
      <c r="M195" s="346"/>
      <c r="N195" s="346">
        <f t="shared" ref="N195:N258" si="3">K195+L195-M195</f>
        <v>4932751.87</v>
      </c>
      <c r="O195" s="347">
        <v>156203.8</v>
      </c>
      <c r="P195" s="347">
        <v>624815.2</v>
      </c>
      <c r="Q195" s="347">
        <v>4307936.67</v>
      </c>
      <c r="R195" s="342">
        <v>0</v>
      </c>
      <c r="S195" s="347">
        <v>4307936.67</v>
      </c>
      <c r="T195" s="341" t="s">
        <v>296</v>
      </c>
      <c r="U195" s="342">
        <v>66021204</v>
      </c>
      <c r="V195" s="342"/>
    </row>
    <row r="196" customHeight="1" spans="1:22">
      <c r="A196" s="343" t="s">
        <v>192</v>
      </c>
      <c r="B196" s="343">
        <v>400126</v>
      </c>
      <c r="C196" s="343" t="s">
        <v>491</v>
      </c>
      <c r="D196" s="344">
        <v>1</v>
      </c>
      <c r="E196" s="343" t="s">
        <v>492</v>
      </c>
      <c r="F196" s="345">
        <v>45657</v>
      </c>
      <c r="G196" s="345">
        <v>45657</v>
      </c>
      <c r="H196" s="343">
        <v>202501</v>
      </c>
      <c r="I196" s="344">
        <v>120</v>
      </c>
      <c r="J196" s="342">
        <v>104</v>
      </c>
      <c r="K196" s="346">
        <v>187824.68</v>
      </c>
      <c r="L196" s="346"/>
      <c r="M196" s="346"/>
      <c r="N196" s="346">
        <f t="shared" si="3"/>
        <v>187824.68</v>
      </c>
      <c r="O196" s="347">
        <v>5947.78</v>
      </c>
      <c r="P196" s="347">
        <v>23791.17</v>
      </c>
      <c r="Q196" s="347">
        <v>164033.51</v>
      </c>
      <c r="R196" s="342">
        <v>0</v>
      </c>
      <c r="S196" s="347">
        <v>164033.51</v>
      </c>
      <c r="T196" s="341" t="s">
        <v>296</v>
      </c>
      <c r="U196" s="342">
        <v>66021204</v>
      </c>
      <c r="V196" s="342"/>
    </row>
    <row r="197" customHeight="1" spans="1:22">
      <c r="A197" s="343" t="s">
        <v>192</v>
      </c>
      <c r="B197" s="343">
        <v>400127</v>
      </c>
      <c r="C197" s="343" t="s">
        <v>493</v>
      </c>
      <c r="D197" s="344">
        <v>1</v>
      </c>
      <c r="E197" s="343" t="s">
        <v>494</v>
      </c>
      <c r="F197" s="345">
        <v>45657</v>
      </c>
      <c r="G197" s="345">
        <v>45657</v>
      </c>
      <c r="H197" s="343">
        <v>202501</v>
      </c>
      <c r="I197" s="344">
        <v>36</v>
      </c>
      <c r="J197" s="342">
        <v>20</v>
      </c>
      <c r="K197" s="346">
        <v>3805.31</v>
      </c>
      <c r="L197" s="346"/>
      <c r="M197" s="346"/>
      <c r="N197" s="346">
        <f t="shared" si="3"/>
        <v>3805.31</v>
      </c>
      <c r="O197" s="342">
        <v>401.68</v>
      </c>
      <c r="P197" s="347">
        <v>1606.72</v>
      </c>
      <c r="Q197" s="347">
        <v>2198.59</v>
      </c>
      <c r="R197" s="342">
        <v>0</v>
      </c>
      <c r="S197" s="347">
        <v>2198.59</v>
      </c>
      <c r="T197" s="341" t="s">
        <v>362</v>
      </c>
      <c r="U197" s="342">
        <v>5301010301</v>
      </c>
      <c r="V197" s="342"/>
    </row>
    <row r="198" customHeight="1" spans="1:22">
      <c r="A198" s="343" t="s">
        <v>192</v>
      </c>
      <c r="B198" s="343">
        <v>400128</v>
      </c>
      <c r="C198" s="343" t="s">
        <v>493</v>
      </c>
      <c r="D198" s="344">
        <v>1</v>
      </c>
      <c r="E198" s="343" t="s">
        <v>494</v>
      </c>
      <c r="F198" s="345">
        <v>45657</v>
      </c>
      <c r="G198" s="345">
        <v>45657</v>
      </c>
      <c r="H198" s="343">
        <v>202501</v>
      </c>
      <c r="I198" s="344">
        <v>36</v>
      </c>
      <c r="J198" s="342">
        <v>20</v>
      </c>
      <c r="K198" s="346">
        <v>3805.31</v>
      </c>
      <c r="L198" s="346"/>
      <c r="M198" s="346"/>
      <c r="N198" s="346">
        <f t="shared" si="3"/>
        <v>3805.31</v>
      </c>
      <c r="O198" s="342">
        <v>401.68</v>
      </c>
      <c r="P198" s="347">
        <v>1606.72</v>
      </c>
      <c r="Q198" s="347">
        <v>2198.59</v>
      </c>
      <c r="R198" s="342">
        <v>0</v>
      </c>
      <c r="S198" s="347">
        <v>2198.59</v>
      </c>
      <c r="T198" s="341" t="s">
        <v>362</v>
      </c>
      <c r="U198" s="342">
        <v>5301010301</v>
      </c>
      <c r="V198" s="342"/>
    </row>
    <row r="199" customHeight="1" spans="1:22">
      <c r="A199" s="343" t="s">
        <v>192</v>
      </c>
      <c r="B199" s="343">
        <v>400129</v>
      </c>
      <c r="C199" s="343" t="s">
        <v>493</v>
      </c>
      <c r="D199" s="344">
        <v>1</v>
      </c>
      <c r="E199" s="343" t="s">
        <v>494</v>
      </c>
      <c r="F199" s="345">
        <v>45657</v>
      </c>
      <c r="G199" s="345">
        <v>45657</v>
      </c>
      <c r="H199" s="343">
        <v>202501</v>
      </c>
      <c r="I199" s="344">
        <v>36</v>
      </c>
      <c r="J199" s="342">
        <v>20</v>
      </c>
      <c r="K199" s="346">
        <v>3805.31</v>
      </c>
      <c r="L199" s="346"/>
      <c r="M199" s="346"/>
      <c r="N199" s="346">
        <f t="shared" si="3"/>
        <v>3805.31</v>
      </c>
      <c r="O199" s="342">
        <v>401.68</v>
      </c>
      <c r="P199" s="347">
        <v>1606.72</v>
      </c>
      <c r="Q199" s="347">
        <v>2198.59</v>
      </c>
      <c r="R199" s="342">
        <v>0</v>
      </c>
      <c r="S199" s="347">
        <v>2198.59</v>
      </c>
      <c r="T199" s="341" t="s">
        <v>362</v>
      </c>
      <c r="U199" s="342">
        <v>5301010301</v>
      </c>
      <c r="V199" s="342"/>
    </row>
    <row r="200" customHeight="1" spans="1:22">
      <c r="A200" s="343" t="s">
        <v>192</v>
      </c>
      <c r="B200" s="343">
        <v>400130</v>
      </c>
      <c r="C200" s="343" t="s">
        <v>493</v>
      </c>
      <c r="D200" s="344">
        <v>1</v>
      </c>
      <c r="E200" s="343" t="s">
        <v>494</v>
      </c>
      <c r="F200" s="345">
        <v>45657</v>
      </c>
      <c r="G200" s="345">
        <v>45657</v>
      </c>
      <c r="H200" s="343">
        <v>202501</v>
      </c>
      <c r="I200" s="344">
        <v>36</v>
      </c>
      <c r="J200" s="342">
        <v>20</v>
      </c>
      <c r="K200" s="346">
        <v>3805.31</v>
      </c>
      <c r="L200" s="346"/>
      <c r="M200" s="346"/>
      <c r="N200" s="346">
        <f t="shared" si="3"/>
        <v>3805.31</v>
      </c>
      <c r="O200" s="342">
        <v>401.68</v>
      </c>
      <c r="P200" s="347">
        <v>1606.72</v>
      </c>
      <c r="Q200" s="347">
        <v>2198.59</v>
      </c>
      <c r="R200" s="342">
        <v>0</v>
      </c>
      <c r="S200" s="347">
        <v>2198.59</v>
      </c>
      <c r="T200" s="341" t="s">
        <v>362</v>
      </c>
      <c r="U200" s="342">
        <v>5301010301</v>
      </c>
      <c r="V200" s="342"/>
    </row>
    <row r="201" customHeight="1" spans="1:22">
      <c r="A201" s="343" t="s">
        <v>192</v>
      </c>
      <c r="B201" s="343">
        <v>400131</v>
      </c>
      <c r="C201" s="343" t="s">
        <v>495</v>
      </c>
      <c r="D201" s="344">
        <v>1</v>
      </c>
      <c r="E201" s="343"/>
      <c r="F201" s="345">
        <v>45657</v>
      </c>
      <c r="G201" s="345">
        <v>45657</v>
      </c>
      <c r="H201" s="343">
        <v>202501</v>
      </c>
      <c r="I201" s="344">
        <v>120</v>
      </c>
      <c r="J201" s="342">
        <v>104</v>
      </c>
      <c r="K201" s="346">
        <v>2600</v>
      </c>
      <c r="L201" s="346"/>
      <c r="M201" s="346"/>
      <c r="N201" s="346">
        <f t="shared" si="3"/>
        <v>2600</v>
      </c>
      <c r="O201" s="342">
        <v>82.32</v>
      </c>
      <c r="P201" s="347">
        <v>329.28</v>
      </c>
      <c r="Q201" s="347">
        <v>2270.72</v>
      </c>
      <c r="R201" s="342">
        <v>0</v>
      </c>
      <c r="S201" s="347">
        <v>2270.72</v>
      </c>
      <c r="T201" s="341" t="s">
        <v>296</v>
      </c>
      <c r="U201" s="342">
        <v>66021204</v>
      </c>
      <c r="V201" s="342"/>
    </row>
    <row r="202" customHeight="1" spans="1:22">
      <c r="A202" s="343" t="s">
        <v>192</v>
      </c>
      <c r="B202" s="343">
        <v>400132</v>
      </c>
      <c r="C202" s="343" t="s">
        <v>496</v>
      </c>
      <c r="D202" s="344">
        <v>1</v>
      </c>
      <c r="E202" s="343"/>
      <c r="F202" s="345">
        <v>45657</v>
      </c>
      <c r="G202" s="345">
        <v>45657</v>
      </c>
      <c r="H202" s="343">
        <v>202501</v>
      </c>
      <c r="I202" s="344">
        <v>120</v>
      </c>
      <c r="J202" s="342">
        <v>104</v>
      </c>
      <c r="K202" s="346">
        <v>3480</v>
      </c>
      <c r="L202" s="346"/>
      <c r="M202" s="346"/>
      <c r="N202" s="346">
        <f t="shared" si="3"/>
        <v>3480</v>
      </c>
      <c r="O202" s="342">
        <v>110.2</v>
      </c>
      <c r="P202" s="347">
        <v>440.8</v>
      </c>
      <c r="Q202" s="347">
        <v>3039.2</v>
      </c>
      <c r="R202" s="342">
        <v>0</v>
      </c>
      <c r="S202" s="347">
        <v>3039.2</v>
      </c>
      <c r="T202" s="341" t="s">
        <v>296</v>
      </c>
      <c r="U202" s="342">
        <v>66021204</v>
      </c>
      <c r="V202" s="342"/>
    </row>
    <row r="203" customHeight="1" spans="1:22">
      <c r="A203" s="343" t="s">
        <v>192</v>
      </c>
      <c r="B203" s="343">
        <v>400133</v>
      </c>
      <c r="C203" s="343" t="s">
        <v>497</v>
      </c>
      <c r="D203" s="344">
        <v>1</v>
      </c>
      <c r="E203" s="343" t="s">
        <v>498</v>
      </c>
      <c r="F203" s="345">
        <v>45657</v>
      </c>
      <c r="G203" s="345">
        <v>45657</v>
      </c>
      <c r="H203" s="343">
        <v>202501</v>
      </c>
      <c r="I203" s="344">
        <v>120</v>
      </c>
      <c r="J203" s="342">
        <v>104</v>
      </c>
      <c r="K203" s="346">
        <v>2700</v>
      </c>
      <c r="L203" s="346"/>
      <c r="M203" s="346"/>
      <c r="N203" s="346">
        <f t="shared" si="3"/>
        <v>2700</v>
      </c>
      <c r="O203" s="342">
        <v>85.5</v>
      </c>
      <c r="P203" s="347">
        <v>342</v>
      </c>
      <c r="Q203" s="347">
        <v>2358</v>
      </c>
      <c r="R203" s="342">
        <v>0</v>
      </c>
      <c r="S203" s="347">
        <v>2358</v>
      </c>
      <c r="T203" s="341" t="s">
        <v>296</v>
      </c>
      <c r="U203" s="342">
        <v>66021204</v>
      </c>
      <c r="V203" s="342"/>
    </row>
    <row r="204" customHeight="1" spans="1:22">
      <c r="A204" s="343" t="s">
        <v>192</v>
      </c>
      <c r="B204" s="343">
        <v>400135</v>
      </c>
      <c r="C204" s="343" t="s">
        <v>499</v>
      </c>
      <c r="D204" s="344">
        <v>60</v>
      </c>
      <c r="E204" s="343"/>
      <c r="F204" s="345">
        <v>45657</v>
      </c>
      <c r="G204" s="345">
        <v>45657</v>
      </c>
      <c r="H204" s="343">
        <v>202501</v>
      </c>
      <c r="I204" s="344">
        <v>120</v>
      </c>
      <c r="J204" s="342">
        <v>104</v>
      </c>
      <c r="K204" s="346">
        <v>1467770.85</v>
      </c>
      <c r="L204" s="346"/>
      <c r="M204" s="346"/>
      <c r="N204" s="346">
        <f t="shared" si="3"/>
        <v>1467770.85</v>
      </c>
      <c r="O204" s="347">
        <v>46479.4</v>
      </c>
      <c r="P204" s="347">
        <v>185917.6</v>
      </c>
      <c r="Q204" s="347">
        <v>1281853.25</v>
      </c>
      <c r="R204" s="342">
        <v>0</v>
      </c>
      <c r="S204" s="347">
        <v>1281853.25</v>
      </c>
      <c r="T204" s="341" t="s">
        <v>296</v>
      </c>
      <c r="U204" s="342">
        <v>66021204</v>
      </c>
      <c r="V204" s="342"/>
    </row>
    <row r="205" customHeight="1" spans="1:22">
      <c r="A205" s="343" t="s">
        <v>192</v>
      </c>
      <c r="B205" s="343">
        <v>400136</v>
      </c>
      <c r="C205" s="343" t="s">
        <v>500</v>
      </c>
      <c r="D205" s="344">
        <v>1</v>
      </c>
      <c r="E205" s="343" t="s">
        <v>501</v>
      </c>
      <c r="F205" s="345">
        <v>45657</v>
      </c>
      <c r="G205" s="345">
        <v>45657</v>
      </c>
      <c r="H205" s="343">
        <v>202501</v>
      </c>
      <c r="I205" s="344">
        <v>120</v>
      </c>
      <c r="J205" s="342">
        <v>104</v>
      </c>
      <c r="K205" s="346">
        <v>640000</v>
      </c>
      <c r="L205" s="346"/>
      <c r="M205" s="346"/>
      <c r="N205" s="346">
        <f t="shared" si="3"/>
        <v>640000</v>
      </c>
      <c r="O205" s="347">
        <v>20266.68</v>
      </c>
      <c r="P205" s="347">
        <v>81066.72</v>
      </c>
      <c r="Q205" s="347">
        <v>558933.28</v>
      </c>
      <c r="R205" s="342">
        <v>0</v>
      </c>
      <c r="S205" s="347">
        <v>558933.28</v>
      </c>
      <c r="T205" s="341" t="s">
        <v>296</v>
      </c>
      <c r="U205" s="342">
        <v>66021204</v>
      </c>
      <c r="V205" s="342"/>
    </row>
    <row r="206" customHeight="1" spans="1:22">
      <c r="A206" s="343" t="s">
        <v>192</v>
      </c>
      <c r="B206" s="343">
        <v>400137</v>
      </c>
      <c r="C206" s="343" t="s">
        <v>502</v>
      </c>
      <c r="D206" s="344">
        <v>1</v>
      </c>
      <c r="E206" s="343" t="s">
        <v>503</v>
      </c>
      <c r="F206" s="345">
        <v>45657</v>
      </c>
      <c r="G206" s="345">
        <v>45657</v>
      </c>
      <c r="H206" s="343">
        <v>202501</v>
      </c>
      <c r="I206" s="344">
        <v>120</v>
      </c>
      <c r="J206" s="342">
        <v>104</v>
      </c>
      <c r="K206" s="346">
        <v>700000</v>
      </c>
      <c r="L206" s="346"/>
      <c r="M206" s="346"/>
      <c r="N206" s="346">
        <f t="shared" si="3"/>
        <v>700000</v>
      </c>
      <c r="O206" s="347">
        <v>22166.68</v>
      </c>
      <c r="P206" s="347">
        <v>88666.72</v>
      </c>
      <c r="Q206" s="347">
        <v>611333.28</v>
      </c>
      <c r="R206" s="342">
        <v>0</v>
      </c>
      <c r="S206" s="347">
        <v>611333.28</v>
      </c>
      <c r="T206" s="341" t="s">
        <v>296</v>
      </c>
      <c r="U206" s="342">
        <v>66021204</v>
      </c>
      <c r="V206" s="342"/>
    </row>
    <row r="207" customHeight="1" spans="1:22">
      <c r="A207" s="343" t="s">
        <v>192</v>
      </c>
      <c r="B207" s="343">
        <v>400138</v>
      </c>
      <c r="C207" s="343" t="s">
        <v>504</v>
      </c>
      <c r="D207" s="344">
        <v>1</v>
      </c>
      <c r="E207" s="343" t="s">
        <v>505</v>
      </c>
      <c r="F207" s="345">
        <v>45657</v>
      </c>
      <c r="G207" s="345">
        <v>45657</v>
      </c>
      <c r="H207" s="343">
        <v>202501</v>
      </c>
      <c r="I207" s="344">
        <v>120</v>
      </c>
      <c r="J207" s="342">
        <v>104</v>
      </c>
      <c r="K207" s="346">
        <v>20000</v>
      </c>
      <c r="L207" s="346"/>
      <c r="M207" s="346"/>
      <c r="N207" s="346">
        <f t="shared" si="3"/>
        <v>20000</v>
      </c>
      <c r="O207" s="342">
        <v>633.32</v>
      </c>
      <c r="P207" s="347">
        <v>2533.28</v>
      </c>
      <c r="Q207" s="347">
        <v>17466.72</v>
      </c>
      <c r="R207" s="342">
        <v>0</v>
      </c>
      <c r="S207" s="347">
        <v>17466.72</v>
      </c>
      <c r="T207" s="341" t="s">
        <v>296</v>
      </c>
      <c r="U207" s="342">
        <v>66021204</v>
      </c>
      <c r="V207" s="342"/>
    </row>
    <row r="208" customHeight="1" spans="1:22">
      <c r="A208" s="343" t="s">
        <v>192</v>
      </c>
      <c r="B208" s="343">
        <v>400139</v>
      </c>
      <c r="C208" s="343" t="s">
        <v>504</v>
      </c>
      <c r="D208" s="344">
        <v>1</v>
      </c>
      <c r="E208" s="343" t="s">
        <v>506</v>
      </c>
      <c r="F208" s="345">
        <v>45657</v>
      </c>
      <c r="G208" s="345">
        <v>45657</v>
      </c>
      <c r="H208" s="343">
        <v>202501</v>
      </c>
      <c r="I208" s="344">
        <v>120</v>
      </c>
      <c r="J208" s="342">
        <v>104</v>
      </c>
      <c r="K208" s="346">
        <v>4600</v>
      </c>
      <c r="L208" s="346"/>
      <c r="M208" s="346"/>
      <c r="N208" s="346">
        <f t="shared" si="3"/>
        <v>4600</v>
      </c>
      <c r="O208" s="342">
        <v>145.68</v>
      </c>
      <c r="P208" s="347">
        <v>582.72</v>
      </c>
      <c r="Q208" s="347">
        <v>4017.28</v>
      </c>
      <c r="R208" s="342">
        <v>0</v>
      </c>
      <c r="S208" s="347">
        <v>4017.28</v>
      </c>
      <c r="T208" s="341" t="s">
        <v>296</v>
      </c>
      <c r="U208" s="342">
        <v>66021204</v>
      </c>
      <c r="V208" s="342"/>
    </row>
    <row r="209" customHeight="1" spans="1:22">
      <c r="A209" s="343" t="s">
        <v>192</v>
      </c>
      <c r="B209" s="343">
        <v>400140</v>
      </c>
      <c r="C209" s="343" t="s">
        <v>504</v>
      </c>
      <c r="D209" s="344">
        <v>1</v>
      </c>
      <c r="E209" s="343" t="s">
        <v>506</v>
      </c>
      <c r="F209" s="345">
        <v>45657</v>
      </c>
      <c r="G209" s="345">
        <v>45657</v>
      </c>
      <c r="H209" s="343">
        <v>202501</v>
      </c>
      <c r="I209" s="344">
        <v>120</v>
      </c>
      <c r="J209" s="342">
        <v>104</v>
      </c>
      <c r="K209" s="346">
        <v>4600</v>
      </c>
      <c r="L209" s="346"/>
      <c r="M209" s="346"/>
      <c r="N209" s="346">
        <f t="shared" si="3"/>
        <v>4600</v>
      </c>
      <c r="O209" s="342">
        <v>145.68</v>
      </c>
      <c r="P209" s="347">
        <v>582.72</v>
      </c>
      <c r="Q209" s="347">
        <v>4017.28</v>
      </c>
      <c r="R209" s="342">
        <v>0</v>
      </c>
      <c r="S209" s="347">
        <v>4017.28</v>
      </c>
      <c r="T209" s="341" t="s">
        <v>296</v>
      </c>
      <c r="U209" s="342">
        <v>66021204</v>
      </c>
      <c r="V209" s="342"/>
    </row>
    <row r="210" customHeight="1" spans="1:22">
      <c r="A210" s="343" t="s">
        <v>192</v>
      </c>
      <c r="B210" s="343">
        <v>400141</v>
      </c>
      <c r="C210" s="343" t="s">
        <v>504</v>
      </c>
      <c r="D210" s="344">
        <v>1</v>
      </c>
      <c r="E210" s="343" t="s">
        <v>506</v>
      </c>
      <c r="F210" s="345">
        <v>45657</v>
      </c>
      <c r="G210" s="345">
        <v>45657</v>
      </c>
      <c r="H210" s="343">
        <v>202501</v>
      </c>
      <c r="I210" s="344">
        <v>120</v>
      </c>
      <c r="J210" s="342">
        <v>104</v>
      </c>
      <c r="K210" s="346">
        <v>4600</v>
      </c>
      <c r="L210" s="346"/>
      <c r="M210" s="346"/>
      <c r="N210" s="346">
        <f t="shared" si="3"/>
        <v>4600</v>
      </c>
      <c r="O210" s="342">
        <v>145.68</v>
      </c>
      <c r="P210" s="347">
        <v>582.72</v>
      </c>
      <c r="Q210" s="347">
        <v>4017.28</v>
      </c>
      <c r="R210" s="342">
        <v>0</v>
      </c>
      <c r="S210" s="347">
        <v>4017.28</v>
      </c>
      <c r="T210" s="341" t="s">
        <v>296</v>
      </c>
      <c r="U210" s="342">
        <v>66021204</v>
      </c>
      <c r="V210" s="342"/>
    </row>
    <row r="211" customHeight="1" spans="1:22">
      <c r="A211" s="343" t="s">
        <v>192</v>
      </c>
      <c r="B211" s="343">
        <v>400142</v>
      </c>
      <c r="C211" s="343" t="s">
        <v>504</v>
      </c>
      <c r="D211" s="344">
        <v>1</v>
      </c>
      <c r="E211" s="343" t="s">
        <v>506</v>
      </c>
      <c r="F211" s="345">
        <v>45657</v>
      </c>
      <c r="G211" s="345">
        <v>45657</v>
      </c>
      <c r="H211" s="343">
        <v>202501</v>
      </c>
      <c r="I211" s="344">
        <v>120</v>
      </c>
      <c r="J211" s="342">
        <v>104</v>
      </c>
      <c r="K211" s="346">
        <v>4600</v>
      </c>
      <c r="L211" s="346"/>
      <c r="M211" s="346"/>
      <c r="N211" s="346">
        <f t="shared" si="3"/>
        <v>4600</v>
      </c>
      <c r="O211" s="342">
        <v>145.68</v>
      </c>
      <c r="P211" s="347">
        <v>582.72</v>
      </c>
      <c r="Q211" s="347">
        <v>4017.28</v>
      </c>
      <c r="R211" s="342">
        <v>0</v>
      </c>
      <c r="S211" s="347">
        <v>4017.28</v>
      </c>
      <c r="T211" s="341" t="s">
        <v>296</v>
      </c>
      <c r="U211" s="342">
        <v>66021204</v>
      </c>
      <c r="V211" s="342"/>
    </row>
    <row r="212" customHeight="1" spans="1:22">
      <c r="A212" s="343" t="s">
        <v>192</v>
      </c>
      <c r="B212" s="343">
        <v>400143</v>
      </c>
      <c r="C212" s="343" t="s">
        <v>504</v>
      </c>
      <c r="D212" s="344">
        <v>1</v>
      </c>
      <c r="E212" s="343" t="s">
        <v>506</v>
      </c>
      <c r="F212" s="345">
        <v>45657</v>
      </c>
      <c r="G212" s="345">
        <v>45657</v>
      </c>
      <c r="H212" s="343">
        <v>202501</v>
      </c>
      <c r="I212" s="344">
        <v>120</v>
      </c>
      <c r="J212" s="342">
        <v>104</v>
      </c>
      <c r="K212" s="346">
        <v>4600</v>
      </c>
      <c r="L212" s="346"/>
      <c r="M212" s="346"/>
      <c r="N212" s="346">
        <f t="shared" si="3"/>
        <v>4600</v>
      </c>
      <c r="O212" s="342">
        <v>145.68</v>
      </c>
      <c r="P212" s="347">
        <v>582.72</v>
      </c>
      <c r="Q212" s="347">
        <v>4017.28</v>
      </c>
      <c r="R212" s="342">
        <v>0</v>
      </c>
      <c r="S212" s="347">
        <v>4017.28</v>
      </c>
      <c r="T212" s="341" t="s">
        <v>296</v>
      </c>
      <c r="U212" s="342">
        <v>66021204</v>
      </c>
      <c r="V212" s="342"/>
    </row>
    <row r="213" customHeight="1" spans="1:22">
      <c r="A213" s="343" t="s">
        <v>192</v>
      </c>
      <c r="B213" s="343">
        <v>400144</v>
      </c>
      <c r="C213" s="343" t="s">
        <v>504</v>
      </c>
      <c r="D213" s="344">
        <v>1</v>
      </c>
      <c r="E213" s="343" t="s">
        <v>506</v>
      </c>
      <c r="F213" s="345">
        <v>45657</v>
      </c>
      <c r="G213" s="345">
        <v>45657</v>
      </c>
      <c r="H213" s="343">
        <v>202501</v>
      </c>
      <c r="I213" s="344">
        <v>120</v>
      </c>
      <c r="J213" s="342">
        <v>104</v>
      </c>
      <c r="K213" s="346">
        <v>4600</v>
      </c>
      <c r="L213" s="346"/>
      <c r="M213" s="346"/>
      <c r="N213" s="346">
        <f t="shared" si="3"/>
        <v>4600</v>
      </c>
      <c r="O213" s="342">
        <v>145.68</v>
      </c>
      <c r="P213" s="347">
        <v>582.72</v>
      </c>
      <c r="Q213" s="347">
        <v>4017.28</v>
      </c>
      <c r="R213" s="342">
        <v>0</v>
      </c>
      <c r="S213" s="347">
        <v>4017.28</v>
      </c>
      <c r="T213" s="341" t="s">
        <v>296</v>
      </c>
      <c r="U213" s="342">
        <v>66021204</v>
      </c>
      <c r="V213" s="342"/>
    </row>
    <row r="214" customHeight="1" spans="1:22">
      <c r="A214" s="343" t="s">
        <v>192</v>
      </c>
      <c r="B214" s="343">
        <v>400145</v>
      </c>
      <c r="C214" s="343" t="s">
        <v>504</v>
      </c>
      <c r="D214" s="344">
        <v>1</v>
      </c>
      <c r="E214" s="343" t="s">
        <v>506</v>
      </c>
      <c r="F214" s="345">
        <v>45657</v>
      </c>
      <c r="G214" s="345">
        <v>45657</v>
      </c>
      <c r="H214" s="343">
        <v>202501</v>
      </c>
      <c r="I214" s="344">
        <v>120</v>
      </c>
      <c r="J214" s="342">
        <v>104</v>
      </c>
      <c r="K214" s="346">
        <v>4600</v>
      </c>
      <c r="L214" s="346"/>
      <c r="M214" s="346"/>
      <c r="N214" s="346">
        <f t="shared" si="3"/>
        <v>4600</v>
      </c>
      <c r="O214" s="342">
        <v>145.68</v>
      </c>
      <c r="P214" s="347">
        <v>582.72</v>
      </c>
      <c r="Q214" s="347">
        <v>4017.28</v>
      </c>
      <c r="R214" s="342">
        <v>0</v>
      </c>
      <c r="S214" s="347">
        <v>4017.28</v>
      </c>
      <c r="T214" s="341" t="s">
        <v>296</v>
      </c>
      <c r="U214" s="342">
        <v>66021204</v>
      </c>
      <c r="V214" s="342"/>
    </row>
    <row r="215" customHeight="1" spans="1:22">
      <c r="A215" s="343" t="s">
        <v>192</v>
      </c>
      <c r="B215" s="343">
        <v>400146</v>
      </c>
      <c r="C215" s="343" t="s">
        <v>504</v>
      </c>
      <c r="D215" s="344">
        <v>1</v>
      </c>
      <c r="E215" s="343" t="s">
        <v>507</v>
      </c>
      <c r="F215" s="345">
        <v>45657</v>
      </c>
      <c r="G215" s="345">
        <v>45657</v>
      </c>
      <c r="H215" s="343">
        <v>202501</v>
      </c>
      <c r="I215" s="344">
        <v>120</v>
      </c>
      <c r="J215" s="342">
        <v>104</v>
      </c>
      <c r="K215" s="346">
        <v>20000</v>
      </c>
      <c r="L215" s="346"/>
      <c r="M215" s="346"/>
      <c r="N215" s="346">
        <f t="shared" si="3"/>
        <v>20000</v>
      </c>
      <c r="O215" s="342">
        <v>633.32</v>
      </c>
      <c r="P215" s="347">
        <v>2533.28</v>
      </c>
      <c r="Q215" s="347">
        <v>17466.72</v>
      </c>
      <c r="R215" s="342">
        <v>0</v>
      </c>
      <c r="S215" s="347">
        <v>17466.72</v>
      </c>
      <c r="T215" s="341" t="s">
        <v>296</v>
      </c>
      <c r="U215" s="342">
        <v>66021204</v>
      </c>
      <c r="V215" s="342"/>
    </row>
    <row r="216" customHeight="1" spans="1:22">
      <c r="A216" s="343" t="s">
        <v>192</v>
      </c>
      <c r="B216" s="343">
        <v>400147</v>
      </c>
      <c r="C216" s="343" t="s">
        <v>504</v>
      </c>
      <c r="D216" s="344">
        <v>1</v>
      </c>
      <c r="E216" s="343" t="s">
        <v>508</v>
      </c>
      <c r="F216" s="345">
        <v>45657</v>
      </c>
      <c r="G216" s="345">
        <v>45657</v>
      </c>
      <c r="H216" s="343">
        <v>202501</v>
      </c>
      <c r="I216" s="344">
        <v>120</v>
      </c>
      <c r="J216" s="342">
        <v>104</v>
      </c>
      <c r="K216" s="346">
        <v>4600</v>
      </c>
      <c r="L216" s="346"/>
      <c r="M216" s="346"/>
      <c r="N216" s="346">
        <f t="shared" si="3"/>
        <v>4600</v>
      </c>
      <c r="O216" s="342">
        <v>145.68</v>
      </c>
      <c r="P216" s="347">
        <v>582.72</v>
      </c>
      <c r="Q216" s="347">
        <v>4017.28</v>
      </c>
      <c r="R216" s="342">
        <v>0</v>
      </c>
      <c r="S216" s="347">
        <v>4017.28</v>
      </c>
      <c r="T216" s="341" t="s">
        <v>296</v>
      </c>
      <c r="U216" s="342">
        <v>66021204</v>
      </c>
      <c r="V216" s="342"/>
    </row>
    <row r="217" customHeight="1" spans="1:22">
      <c r="A217" s="343" t="s">
        <v>192</v>
      </c>
      <c r="B217" s="343">
        <v>400148</v>
      </c>
      <c r="C217" s="343" t="s">
        <v>504</v>
      </c>
      <c r="D217" s="344">
        <v>1</v>
      </c>
      <c r="E217" s="343" t="s">
        <v>508</v>
      </c>
      <c r="F217" s="345">
        <v>45657</v>
      </c>
      <c r="G217" s="345">
        <v>45657</v>
      </c>
      <c r="H217" s="343">
        <v>202501</v>
      </c>
      <c r="I217" s="344">
        <v>120</v>
      </c>
      <c r="J217" s="342">
        <v>104</v>
      </c>
      <c r="K217" s="346">
        <v>4600</v>
      </c>
      <c r="L217" s="346"/>
      <c r="M217" s="346"/>
      <c r="N217" s="346">
        <f t="shared" si="3"/>
        <v>4600</v>
      </c>
      <c r="O217" s="342">
        <v>145.68</v>
      </c>
      <c r="P217" s="347">
        <v>582.72</v>
      </c>
      <c r="Q217" s="347">
        <v>4017.28</v>
      </c>
      <c r="R217" s="342">
        <v>0</v>
      </c>
      <c r="S217" s="347">
        <v>4017.28</v>
      </c>
      <c r="T217" s="341" t="s">
        <v>296</v>
      </c>
      <c r="U217" s="342">
        <v>66021204</v>
      </c>
      <c r="V217" s="342"/>
    </row>
    <row r="218" customHeight="1" spans="1:22">
      <c r="A218" s="343" t="s">
        <v>192</v>
      </c>
      <c r="B218" s="343">
        <v>400149</v>
      </c>
      <c r="C218" s="343" t="s">
        <v>504</v>
      </c>
      <c r="D218" s="344">
        <v>1</v>
      </c>
      <c r="E218" s="343" t="s">
        <v>508</v>
      </c>
      <c r="F218" s="345">
        <v>45657</v>
      </c>
      <c r="G218" s="345">
        <v>45657</v>
      </c>
      <c r="H218" s="343">
        <v>202501</v>
      </c>
      <c r="I218" s="344">
        <v>120</v>
      </c>
      <c r="J218" s="342">
        <v>104</v>
      </c>
      <c r="K218" s="346">
        <v>4600</v>
      </c>
      <c r="L218" s="346"/>
      <c r="M218" s="346"/>
      <c r="N218" s="346">
        <f t="shared" si="3"/>
        <v>4600</v>
      </c>
      <c r="O218" s="342">
        <v>145.68</v>
      </c>
      <c r="P218" s="347">
        <v>582.72</v>
      </c>
      <c r="Q218" s="347">
        <v>4017.28</v>
      </c>
      <c r="R218" s="342">
        <v>0</v>
      </c>
      <c r="S218" s="347">
        <v>4017.28</v>
      </c>
      <c r="T218" s="341" t="s">
        <v>296</v>
      </c>
      <c r="U218" s="342">
        <v>66021204</v>
      </c>
      <c r="V218" s="342"/>
    </row>
    <row r="219" customHeight="1" spans="1:22">
      <c r="A219" s="343" t="s">
        <v>192</v>
      </c>
      <c r="B219" s="343">
        <v>400150</v>
      </c>
      <c r="C219" s="343" t="s">
        <v>504</v>
      </c>
      <c r="D219" s="344">
        <v>1</v>
      </c>
      <c r="E219" s="343" t="s">
        <v>508</v>
      </c>
      <c r="F219" s="345">
        <v>45657</v>
      </c>
      <c r="G219" s="345">
        <v>45657</v>
      </c>
      <c r="H219" s="343">
        <v>202501</v>
      </c>
      <c r="I219" s="344">
        <v>120</v>
      </c>
      <c r="J219" s="342">
        <v>104</v>
      </c>
      <c r="K219" s="346">
        <v>4600</v>
      </c>
      <c r="L219" s="346"/>
      <c r="M219" s="346"/>
      <c r="N219" s="346">
        <f t="shared" si="3"/>
        <v>4600</v>
      </c>
      <c r="O219" s="342">
        <v>145.68</v>
      </c>
      <c r="P219" s="347">
        <v>582.72</v>
      </c>
      <c r="Q219" s="347">
        <v>4017.28</v>
      </c>
      <c r="R219" s="342">
        <v>0</v>
      </c>
      <c r="S219" s="347">
        <v>4017.28</v>
      </c>
      <c r="T219" s="341" t="s">
        <v>296</v>
      </c>
      <c r="U219" s="342">
        <v>66021204</v>
      </c>
      <c r="V219" s="342"/>
    </row>
    <row r="220" customHeight="1" spans="1:22">
      <c r="A220" s="343" t="s">
        <v>192</v>
      </c>
      <c r="B220" s="343">
        <v>400151</v>
      </c>
      <c r="C220" s="343" t="s">
        <v>504</v>
      </c>
      <c r="D220" s="344">
        <v>1</v>
      </c>
      <c r="E220" s="343" t="s">
        <v>508</v>
      </c>
      <c r="F220" s="345">
        <v>45657</v>
      </c>
      <c r="G220" s="345">
        <v>45657</v>
      </c>
      <c r="H220" s="343">
        <v>202501</v>
      </c>
      <c r="I220" s="344">
        <v>120</v>
      </c>
      <c r="J220" s="342">
        <v>104</v>
      </c>
      <c r="K220" s="346">
        <v>4600</v>
      </c>
      <c r="L220" s="346"/>
      <c r="M220" s="346"/>
      <c r="N220" s="346">
        <f t="shared" si="3"/>
        <v>4600</v>
      </c>
      <c r="O220" s="342">
        <v>145.68</v>
      </c>
      <c r="P220" s="347">
        <v>582.72</v>
      </c>
      <c r="Q220" s="347">
        <v>4017.28</v>
      </c>
      <c r="R220" s="342">
        <v>0</v>
      </c>
      <c r="S220" s="347">
        <v>4017.28</v>
      </c>
      <c r="T220" s="341" t="s">
        <v>296</v>
      </c>
      <c r="U220" s="342">
        <v>66021204</v>
      </c>
      <c r="V220" s="342"/>
    </row>
    <row r="221" customHeight="1" spans="1:22">
      <c r="A221" s="343" t="s">
        <v>192</v>
      </c>
      <c r="B221" s="343">
        <v>400152</v>
      </c>
      <c r="C221" s="343" t="s">
        <v>504</v>
      </c>
      <c r="D221" s="344">
        <v>1</v>
      </c>
      <c r="E221" s="343" t="s">
        <v>508</v>
      </c>
      <c r="F221" s="345">
        <v>45657</v>
      </c>
      <c r="G221" s="345">
        <v>45657</v>
      </c>
      <c r="H221" s="343">
        <v>202501</v>
      </c>
      <c r="I221" s="344">
        <v>120</v>
      </c>
      <c r="J221" s="342">
        <v>104</v>
      </c>
      <c r="K221" s="346">
        <v>4600</v>
      </c>
      <c r="L221" s="346"/>
      <c r="M221" s="346"/>
      <c r="N221" s="346">
        <f t="shared" si="3"/>
        <v>4600</v>
      </c>
      <c r="O221" s="342">
        <v>145.68</v>
      </c>
      <c r="P221" s="347">
        <v>582.72</v>
      </c>
      <c r="Q221" s="347">
        <v>4017.28</v>
      </c>
      <c r="R221" s="342">
        <v>0</v>
      </c>
      <c r="S221" s="347">
        <v>4017.28</v>
      </c>
      <c r="T221" s="341" t="s">
        <v>296</v>
      </c>
      <c r="U221" s="342">
        <v>66021204</v>
      </c>
      <c r="V221" s="342"/>
    </row>
    <row r="222" customHeight="1" spans="1:22">
      <c r="A222" s="343" t="s">
        <v>192</v>
      </c>
      <c r="B222" s="343">
        <v>400153</v>
      </c>
      <c r="C222" s="343" t="s">
        <v>504</v>
      </c>
      <c r="D222" s="344">
        <v>1</v>
      </c>
      <c r="E222" s="343" t="s">
        <v>508</v>
      </c>
      <c r="F222" s="345">
        <v>45657</v>
      </c>
      <c r="G222" s="345">
        <v>45657</v>
      </c>
      <c r="H222" s="343">
        <v>202501</v>
      </c>
      <c r="I222" s="344">
        <v>120</v>
      </c>
      <c r="J222" s="342">
        <v>104</v>
      </c>
      <c r="K222" s="346">
        <v>4600</v>
      </c>
      <c r="L222" s="346"/>
      <c r="M222" s="346"/>
      <c r="N222" s="346">
        <f t="shared" si="3"/>
        <v>4600</v>
      </c>
      <c r="O222" s="342">
        <v>145.68</v>
      </c>
      <c r="P222" s="347">
        <v>582.72</v>
      </c>
      <c r="Q222" s="347">
        <v>4017.28</v>
      </c>
      <c r="R222" s="342">
        <v>0</v>
      </c>
      <c r="S222" s="347">
        <v>4017.28</v>
      </c>
      <c r="T222" s="341" t="s">
        <v>296</v>
      </c>
      <c r="U222" s="342">
        <v>66021204</v>
      </c>
      <c r="V222" s="342"/>
    </row>
    <row r="223" customHeight="1" spans="1:22">
      <c r="A223" s="343" t="s">
        <v>192</v>
      </c>
      <c r="B223" s="343">
        <v>400154</v>
      </c>
      <c r="C223" s="343" t="s">
        <v>504</v>
      </c>
      <c r="D223" s="344">
        <v>1</v>
      </c>
      <c r="E223" s="343" t="s">
        <v>509</v>
      </c>
      <c r="F223" s="345">
        <v>45657</v>
      </c>
      <c r="G223" s="345">
        <v>45657</v>
      </c>
      <c r="H223" s="343">
        <v>202501</v>
      </c>
      <c r="I223" s="344">
        <v>120</v>
      </c>
      <c r="J223" s="342">
        <v>104</v>
      </c>
      <c r="K223" s="346">
        <v>20000</v>
      </c>
      <c r="L223" s="346"/>
      <c r="M223" s="346"/>
      <c r="N223" s="346">
        <f t="shared" si="3"/>
        <v>20000</v>
      </c>
      <c r="O223" s="342">
        <v>633.32</v>
      </c>
      <c r="P223" s="347">
        <v>2533.28</v>
      </c>
      <c r="Q223" s="347">
        <v>17466.72</v>
      </c>
      <c r="R223" s="342">
        <v>0</v>
      </c>
      <c r="S223" s="347">
        <v>17466.72</v>
      </c>
      <c r="T223" s="341" t="s">
        <v>296</v>
      </c>
      <c r="U223" s="342">
        <v>66021204</v>
      </c>
      <c r="V223" s="342"/>
    </row>
    <row r="224" customHeight="1" spans="1:22">
      <c r="A224" s="343" t="s">
        <v>192</v>
      </c>
      <c r="B224" s="343">
        <v>400155</v>
      </c>
      <c r="C224" s="343" t="s">
        <v>504</v>
      </c>
      <c r="D224" s="344">
        <v>1</v>
      </c>
      <c r="E224" s="343" t="s">
        <v>510</v>
      </c>
      <c r="F224" s="345">
        <v>45657</v>
      </c>
      <c r="G224" s="345">
        <v>45657</v>
      </c>
      <c r="H224" s="343">
        <v>202501</v>
      </c>
      <c r="I224" s="344">
        <v>120</v>
      </c>
      <c r="J224" s="342">
        <v>104</v>
      </c>
      <c r="K224" s="346">
        <v>4600</v>
      </c>
      <c r="L224" s="346"/>
      <c r="M224" s="346"/>
      <c r="N224" s="346">
        <f t="shared" si="3"/>
        <v>4600</v>
      </c>
      <c r="O224" s="342">
        <v>145.68</v>
      </c>
      <c r="P224" s="347">
        <v>582.72</v>
      </c>
      <c r="Q224" s="347">
        <v>4017.28</v>
      </c>
      <c r="R224" s="342">
        <v>0</v>
      </c>
      <c r="S224" s="347">
        <v>4017.28</v>
      </c>
      <c r="T224" s="341" t="s">
        <v>296</v>
      </c>
      <c r="U224" s="342">
        <v>66021204</v>
      </c>
      <c r="V224" s="342"/>
    </row>
    <row r="225" customHeight="1" spans="1:22">
      <c r="A225" s="343" t="s">
        <v>192</v>
      </c>
      <c r="B225" s="343">
        <v>400156</v>
      </c>
      <c r="C225" s="343" t="s">
        <v>504</v>
      </c>
      <c r="D225" s="344">
        <v>1</v>
      </c>
      <c r="E225" s="343" t="s">
        <v>510</v>
      </c>
      <c r="F225" s="345">
        <v>45657</v>
      </c>
      <c r="G225" s="345">
        <v>45657</v>
      </c>
      <c r="H225" s="343">
        <v>202501</v>
      </c>
      <c r="I225" s="344">
        <v>120</v>
      </c>
      <c r="J225" s="342">
        <v>104</v>
      </c>
      <c r="K225" s="346">
        <v>4600</v>
      </c>
      <c r="L225" s="346"/>
      <c r="M225" s="346"/>
      <c r="N225" s="346">
        <f t="shared" si="3"/>
        <v>4600</v>
      </c>
      <c r="O225" s="342">
        <v>145.68</v>
      </c>
      <c r="P225" s="347">
        <v>582.72</v>
      </c>
      <c r="Q225" s="347">
        <v>4017.28</v>
      </c>
      <c r="R225" s="342">
        <v>0</v>
      </c>
      <c r="S225" s="347">
        <v>4017.28</v>
      </c>
      <c r="T225" s="341" t="s">
        <v>296</v>
      </c>
      <c r="U225" s="342">
        <v>66021204</v>
      </c>
      <c r="V225" s="342"/>
    </row>
    <row r="226" customHeight="1" spans="1:22">
      <c r="A226" s="343" t="s">
        <v>192</v>
      </c>
      <c r="B226" s="343">
        <v>400157</v>
      </c>
      <c r="C226" s="343" t="s">
        <v>504</v>
      </c>
      <c r="D226" s="344">
        <v>1</v>
      </c>
      <c r="E226" s="343" t="s">
        <v>510</v>
      </c>
      <c r="F226" s="345">
        <v>45657</v>
      </c>
      <c r="G226" s="345">
        <v>45657</v>
      </c>
      <c r="H226" s="343">
        <v>202501</v>
      </c>
      <c r="I226" s="344">
        <v>120</v>
      </c>
      <c r="J226" s="342">
        <v>104</v>
      </c>
      <c r="K226" s="346">
        <v>4600</v>
      </c>
      <c r="L226" s="346"/>
      <c r="M226" s="346"/>
      <c r="N226" s="346">
        <f t="shared" si="3"/>
        <v>4600</v>
      </c>
      <c r="O226" s="342">
        <v>145.68</v>
      </c>
      <c r="P226" s="347">
        <v>582.72</v>
      </c>
      <c r="Q226" s="347">
        <v>4017.28</v>
      </c>
      <c r="R226" s="342">
        <v>0</v>
      </c>
      <c r="S226" s="347">
        <v>4017.28</v>
      </c>
      <c r="T226" s="341" t="s">
        <v>296</v>
      </c>
      <c r="U226" s="342">
        <v>66021204</v>
      </c>
      <c r="V226" s="342"/>
    </row>
    <row r="227" customHeight="1" spans="1:22">
      <c r="A227" s="343" t="s">
        <v>192</v>
      </c>
      <c r="B227" s="343">
        <v>400158</v>
      </c>
      <c r="C227" s="343" t="s">
        <v>504</v>
      </c>
      <c r="D227" s="344">
        <v>1</v>
      </c>
      <c r="E227" s="343" t="s">
        <v>510</v>
      </c>
      <c r="F227" s="345">
        <v>45657</v>
      </c>
      <c r="G227" s="345">
        <v>45657</v>
      </c>
      <c r="H227" s="343">
        <v>202501</v>
      </c>
      <c r="I227" s="344">
        <v>120</v>
      </c>
      <c r="J227" s="342">
        <v>104</v>
      </c>
      <c r="K227" s="346">
        <v>4600</v>
      </c>
      <c r="L227" s="346"/>
      <c r="M227" s="346"/>
      <c r="N227" s="346">
        <f t="shared" si="3"/>
        <v>4600</v>
      </c>
      <c r="O227" s="342">
        <v>145.68</v>
      </c>
      <c r="P227" s="347">
        <v>582.72</v>
      </c>
      <c r="Q227" s="347">
        <v>4017.28</v>
      </c>
      <c r="R227" s="342">
        <v>0</v>
      </c>
      <c r="S227" s="347">
        <v>4017.28</v>
      </c>
      <c r="T227" s="341" t="s">
        <v>296</v>
      </c>
      <c r="U227" s="342">
        <v>66021204</v>
      </c>
      <c r="V227" s="342"/>
    </row>
    <row r="228" customHeight="1" spans="1:22">
      <c r="A228" s="343" t="s">
        <v>192</v>
      </c>
      <c r="B228" s="343">
        <v>400159</v>
      </c>
      <c r="C228" s="343" t="s">
        <v>504</v>
      </c>
      <c r="D228" s="344">
        <v>1</v>
      </c>
      <c r="E228" s="343" t="s">
        <v>510</v>
      </c>
      <c r="F228" s="345">
        <v>45657</v>
      </c>
      <c r="G228" s="345">
        <v>45657</v>
      </c>
      <c r="H228" s="343">
        <v>202501</v>
      </c>
      <c r="I228" s="344">
        <v>120</v>
      </c>
      <c r="J228" s="342">
        <v>104</v>
      </c>
      <c r="K228" s="346">
        <v>4600</v>
      </c>
      <c r="L228" s="346"/>
      <c r="M228" s="346"/>
      <c r="N228" s="346">
        <f t="shared" si="3"/>
        <v>4600</v>
      </c>
      <c r="O228" s="342">
        <v>145.68</v>
      </c>
      <c r="P228" s="347">
        <v>582.72</v>
      </c>
      <c r="Q228" s="347">
        <v>4017.28</v>
      </c>
      <c r="R228" s="342">
        <v>0</v>
      </c>
      <c r="S228" s="347">
        <v>4017.28</v>
      </c>
      <c r="T228" s="341" t="s">
        <v>296</v>
      </c>
      <c r="U228" s="342">
        <v>66021204</v>
      </c>
      <c r="V228" s="342"/>
    </row>
    <row r="229" customHeight="1" spans="1:22">
      <c r="A229" s="343" t="s">
        <v>192</v>
      </c>
      <c r="B229" s="343">
        <v>400160</v>
      </c>
      <c r="C229" s="343" t="s">
        <v>504</v>
      </c>
      <c r="D229" s="344">
        <v>1</v>
      </c>
      <c r="E229" s="343" t="s">
        <v>510</v>
      </c>
      <c r="F229" s="345">
        <v>45657</v>
      </c>
      <c r="G229" s="345">
        <v>45657</v>
      </c>
      <c r="H229" s="343">
        <v>202501</v>
      </c>
      <c r="I229" s="344">
        <v>120</v>
      </c>
      <c r="J229" s="342">
        <v>104</v>
      </c>
      <c r="K229" s="346">
        <v>4600</v>
      </c>
      <c r="L229" s="346"/>
      <c r="M229" s="346"/>
      <c r="N229" s="346">
        <f t="shared" si="3"/>
        <v>4600</v>
      </c>
      <c r="O229" s="342">
        <v>145.68</v>
      </c>
      <c r="P229" s="347">
        <v>582.72</v>
      </c>
      <c r="Q229" s="347">
        <v>4017.28</v>
      </c>
      <c r="R229" s="342">
        <v>0</v>
      </c>
      <c r="S229" s="347">
        <v>4017.28</v>
      </c>
      <c r="T229" s="341" t="s">
        <v>296</v>
      </c>
      <c r="U229" s="342">
        <v>66021204</v>
      </c>
      <c r="V229" s="342"/>
    </row>
    <row r="230" customHeight="1" spans="1:22">
      <c r="A230" s="343" t="s">
        <v>192</v>
      </c>
      <c r="B230" s="343">
        <v>400161</v>
      </c>
      <c r="C230" s="343" t="s">
        <v>504</v>
      </c>
      <c r="D230" s="344">
        <v>1</v>
      </c>
      <c r="E230" s="343" t="s">
        <v>510</v>
      </c>
      <c r="F230" s="345">
        <v>45657</v>
      </c>
      <c r="G230" s="345">
        <v>45657</v>
      </c>
      <c r="H230" s="343">
        <v>202501</v>
      </c>
      <c r="I230" s="344">
        <v>120</v>
      </c>
      <c r="J230" s="342">
        <v>104</v>
      </c>
      <c r="K230" s="346">
        <v>4600</v>
      </c>
      <c r="L230" s="346"/>
      <c r="M230" s="346"/>
      <c r="N230" s="346">
        <f t="shared" si="3"/>
        <v>4600</v>
      </c>
      <c r="O230" s="342">
        <v>145.68</v>
      </c>
      <c r="P230" s="347">
        <v>582.72</v>
      </c>
      <c r="Q230" s="347">
        <v>4017.28</v>
      </c>
      <c r="R230" s="342">
        <v>0</v>
      </c>
      <c r="S230" s="347">
        <v>4017.28</v>
      </c>
      <c r="T230" s="341" t="s">
        <v>296</v>
      </c>
      <c r="U230" s="342">
        <v>66021204</v>
      </c>
      <c r="V230" s="342"/>
    </row>
    <row r="231" customHeight="1" spans="1:22">
      <c r="A231" s="343" t="s">
        <v>192</v>
      </c>
      <c r="B231" s="343">
        <v>400162</v>
      </c>
      <c r="C231" s="343" t="s">
        <v>504</v>
      </c>
      <c r="D231" s="344">
        <v>1</v>
      </c>
      <c r="E231" s="343" t="s">
        <v>511</v>
      </c>
      <c r="F231" s="345">
        <v>45657</v>
      </c>
      <c r="G231" s="345">
        <v>45657</v>
      </c>
      <c r="H231" s="343">
        <v>202501</v>
      </c>
      <c r="I231" s="344">
        <v>120</v>
      </c>
      <c r="J231" s="342">
        <v>104</v>
      </c>
      <c r="K231" s="346">
        <v>20000</v>
      </c>
      <c r="L231" s="346"/>
      <c r="M231" s="346"/>
      <c r="N231" s="346">
        <f t="shared" si="3"/>
        <v>20000</v>
      </c>
      <c r="O231" s="342">
        <v>633.32</v>
      </c>
      <c r="P231" s="347">
        <v>2533.28</v>
      </c>
      <c r="Q231" s="347">
        <v>17466.72</v>
      </c>
      <c r="R231" s="342">
        <v>0</v>
      </c>
      <c r="S231" s="347">
        <v>17466.72</v>
      </c>
      <c r="T231" s="341" t="s">
        <v>296</v>
      </c>
      <c r="U231" s="342">
        <v>66021204</v>
      </c>
      <c r="V231" s="342"/>
    </row>
    <row r="232" customHeight="1" spans="1:22">
      <c r="A232" s="343" t="s">
        <v>192</v>
      </c>
      <c r="B232" s="343">
        <v>400163</v>
      </c>
      <c r="C232" s="343" t="s">
        <v>504</v>
      </c>
      <c r="D232" s="344">
        <v>1</v>
      </c>
      <c r="E232" s="343" t="s">
        <v>512</v>
      </c>
      <c r="F232" s="345">
        <v>45657</v>
      </c>
      <c r="G232" s="345">
        <v>45657</v>
      </c>
      <c r="H232" s="343">
        <v>202501</v>
      </c>
      <c r="I232" s="344">
        <v>120</v>
      </c>
      <c r="J232" s="342">
        <v>104</v>
      </c>
      <c r="K232" s="346">
        <v>4600</v>
      </c>
      <c r="L232" s="346"/>
      <c r="M232" s="346"/>
      <c r="N232" s="346">
        <f t="shared" si="3"/>
        <v>4600</v>
      </c>
      <c r="O232" s="342">
        <v>145.68</v>
      </c>
      <c r="P232" s="347">
        <v>582.72</v>
      </c>
      <c r="Q232" s="347">
        <v>4017.28</v>
      </c>
      <c r="R232" s="342">
        <v>0</v>
      </c>
      <c r="S232" s="347">
        <v>4017.28</v>
      </c>
      <c r="T232" s="341" t="s">
        <v>296</v>
      </c>
      <c r="U232" s="342">
        <v>66021204</v>
      </c>
      <c r="V232" s="342"/>
    </row>
    <row r="233" customHeight="1" spans="1:22">
      <c r="A233" s="343" t="s">
        <v>192</v>
      </c>
      <c r="B233" s="343">
        <v>400164</v>
      </c>
      <c r="C233" s="343" t="s">
        <v>504</v>
      </c>
      <c r="D233" s="344">
        <v>1</v>
      </c>
      <c r="E233" s="343" t="s">
        <v>512</v>
      </c>
      <c r="F233" s="345">
        <v>45657</v>
      </c>
      <c r="G233" s="345">
        <v>45657</v>
      </c>
      <c r="H233" s="343">
        <v>202501</v>
      </c>
      <c r="I233" s="344">
        <v>120</v>
      </c>
      <c r="J233" s="342">
        <v>104</v>
      </c>
      <c r="K233" s="346">
        <v>4600</v>
      </c>
      <c r="L233" s="346"/>
      <c r="M233" s="346"/>
      <c r="N233" s="346">
        <f t="shared" si="3"/>
        <v>4600</v>
      </c>
      <c r="O233" s="342">
        <v>145.68</v>
      </c>
      <c r="P233" s="347">
        <v>582.72</v>
      </c>
      <c r="Q233" s="347">
        <v>4017.28</v>
      </c>
      <c r="R233" s="342">
        <v>0</v>
      </c>
      <c r="S233" s="347">
        <v>4017.28</v>
      </c>
      <c r="T233" s="341" t="s">
        <v>296</v>
      </c>
      <c r="U233" s="342">
        <v>66021204</v>
      </c>
      <c r="V233" s="342"/>
    </row>
    <row r="234" customHeight="1" spans="1:22">
      <c r="A234" s="343" t="s">
        <v>192</v>
      </c>
      <c r="B234" s="343">
        <v>400165</v>
      </c>
      <c r="C234" s="343" t="s">
        <v>504</v>
      </c>
      <c r="D234" s="344">
        <v>1</v>
      </c>
      <c r="E234" s="343" t="s">
        <v>512</v>
      </c>
      <c r="F234" s="345">
        <v>45657</v>
      </c>
      <c r="G234" s="345">
        <v>45657</v>
      </c>
      <c r="H234" s="343">
        <v>202501</v>
      </c>
      <c r="I234" s="344">
        <v>120</v>
      </c>
      <c r="J234" s="342">
        <v>104</v>
      </c>
      <c r="K234" s="346">
        <v>4600</v>
      </c>
      <c r="L234" s="346"/>
      <c r="M234" s="346"/>
      <c r="N234" s="346">
        <f t="shared" si="3"/>
        <v>4600</v>
      </c>
      <c r="O234" s="342">
        <v>145.68</v>
      </c>
      <c r="P234" s="347">
        <v>582.72</v>
      </c>
      <c r="Q234" s="347">
        <v>4017.28</v>
      </c>
      <c r="R234" s="342">
        <v>0</v>
      </c>
      <c r="S234" s="347">
        <v>4017.28</v>
      </c>
      <c r="T234" s="341" t="s">
        <v>296</v>
      </c>
      <c r="U234" s="342">
        <v>66021204</v>
      </c>
      <c r="V234" s="342"/>
    </row>
    <row r="235" customHeight="1" spans="1:22">
      <c r="A235" s="343" t="s">
        <v>192</v>
      </c>
      <c r="B235" s="343">
        <v>400166</v>
      </c>
      <c r="C235" s="343" t="s">
        <v>504</v>
      </c>
      <c r="D235" s="344">
        <v>1</v>
      </c>
      <c r="E235" s="343" t="s">
        <v>512</v>
      </c>
      <c r="F235" s="345">
        <v>45657</v>
      </c>
      <c r="G235" s="345">
        <v>45657</v>
      </c>
      <c r="H235" s="343">
        <v>202501</v>
      </c>
      <c r="I235" s="344">
        <v>120</v>
      </c>
      <c r="J235" s="342">
        <v>104</v>
      </c>
      <c r="K235" s="346">
        <v>4600</v>
      </c>
      <c r="L235" s="346"/>
      <c r="M235" s="346"/>
      <c r="N235" s="346">
        <f t="shared" si="3"/>
        <v>4600</v>
      </c>
      <c r="O235" s="342">
        <v>145.68</v>
      </c>
      <c r="P235" s="347">
        <v>582.72</v>
      </c>
      <c r="Q235" s="347">
        <v>4017.28</v>
      </c>
      <c r="R235" s="342">
        <v>0</v>
      </c>
      <c r="S235" s="347">
        <v>4017.28</v>
      </c>
      <c r="T235" s="341" t="s">
        <v>296</v>
      </c>
      <c r="U235" s="342">
        <v>66021204</v>
      </c>
      <c r="V235" s="342"/>
    </row>
    <row r="236" customHeight="1" spans="1:22">
      <c r="A236" s="343" t="s">
        <v>192</v>
      </c>
      <c r="B236" s="343">
        <v>400167</v>
      </c>
      <c r="C236" s="343" t="s">
        <v>504</v>
      </c>
      <c r="D236" s="344">
        <v>1</v>
      </c>
      <c r="E236" s="343" t="s">
        <v>512</v>
      </c>
      <c r="F236" s="345">
        <v>45657</v>
      </c>
      <c r="G236" s="345">
        <v>45657</v>
      </c>
      <c r="H236" s="343">
        <v>202501</v>
      </c>
      <c r="I236" s="344">
        <v>120</v>
      </c>
      <c r="J236" s="342">
        <v>104</v>
      </c>
      <c r="K236" s="346">
        <v>4600</v>
      </c>
      <c r="L236" s="346"/>
      <c r="M236" s="346"/>
      <c r="N236" s="346">
        <f t="shared" si="3"/>
        <v>4600</v>
      </c>
      <c r="O236" s="342">
        <v>145.68</v>
      </c>
      <c r="P236" s="347">
        <v>582.72</v>
      </c>
      <c r="Q236" s="347">
        <v>4017.28</v>
      </c>
      <c r="R236" s="342">
        <v>0</v>
      </c>
      <c r="S236" s="347">
        <v>4017.28</v>
      </c>
      <c r="T236" s="341" t="s">
        <v>296</v>
      </c>
      <c r="U236" s="342">
        <v>66021204</v>
      </c>
      <c r="V236" s="342"/>
    </row>
    <row r="237" customHeight="1" spans="1:22">
      <c r="A237" s="343" t="s">
        <v>192</v>
      </c>
      <c r="B237" s="343">
        <v>400168</v>
      </c>
      <c r="C237" s="343" t="s">
        <v>504</v>
      </c>
      <c r="D237" s="344">
        <v>1</v>
      </c>
      <c r="E237" s="343" t="s">
        <v>512</v>
      </c>
      <c r="F237" s="345">
        <v>45657</v>
      </c>
      <c r="G237" s="345">
        <v>45657</v>
      </c>
      <c r="H237" s="343">
        <v>202501</v>
      </c>
      <c r="I237" s="344">
        <v>120</v>
      </c>
      <c r="J237" s="342">
        <v>104</v>
      </c>
      <c r="K237" s="346">
        <v>4600</v>
      </c>
      <c r="L237" s="346"/>
      <c r="M237" s="346"/>
      <c r="N237" s="346">
        <f t="shared" si="3"/>
        <v>4600</v>
      </c>
      <c r="O237" s="342">
        <v>145.68</v>
      </c>
      <c r="P237" s="347">
        <v>582.72</v>
      </c>
      <c r="Q237" s="347">
        <v>4017.28</v>
      </c>
      <c r="R237" s="342">
        <v>0</v>
      </c>
      <c r="S237" s="347">
        <v>4017.28</v>
      </c>
      <c r="T237" s="341" t="s">
        <v>296</v>
      </c>
      <c r="U237" s="342">
        <v>66021204</v>
      </c>
      <c r="V237" s="342"/>
    </row>
    <row r="238" customHeight="1" spans="1:22">
      <c r="A238" s="343" t="s">
        <v>192</v>
      </c>
      <c r="B238" s="343">
        <v>400169</v>
      </c>
      <c r="C238" s="343" t="s">
        <v>504</v>
      </c>
      <c r="D238" s="344">
        <v>1</v>
      </c>
      <c r="E238" s="343" t="s">
        <v>512</v>
      </c>
      <c r="F238" s="345">
        <v>45657</v>
      </c>
      <c r="G238" s="345">
        <v>45657</v>
      </c>
      <c r="H238" s="343">
        <v>202501</v>
      </c>
      <c r="I238" s="344">
        <v>120</v>
      </c>
      <c r="J238" s="342">
        <v>104</v>
      </c>
      <c r="K238" s="346">
        <v>4600</v>
      </c>
      <c r="L238" s="346"/>
      <c r="M238" s="346"/>
      <c r="N238" s="346">
        <f t="shared" si="3"/>
        <v>4600</v>
      </c>
      <c r="O238" s="342">
        <v>145.68</v>
      </c>
      <c r="P238" s="347">
        <v>582.72</v>
      </c>
      <c r="Q238" s="347">
        <v>4017.28</v>
      </c>
      <c r="R238" s="342">
        <v>0</v>
      </c>
      <c r="S238" s="347">
        <v>4017.28</v>
      </c>
      <c r="T238" s="341" t="s">
        <v>296</v>
      </c>
      <c r="U238" s="342">
        <v>66021204</v>
      </c>
      <c r="V238" s="342"/>
    </row>
    <row r="239" customHeight="1" spans="1:22">
      <c r="A239" s="343" t="s">
        <v>192</v>
      </c>
      <c r="B239" s="343">
        <v>400170</v>
      </c>
      <c r="C239" s="343" t="s">
        <v>500</v>
      </c>
      <c r="D239" s="344">
        <v>1</v>
      </c>
      <c r="E239" s="343" t="s">
        <v>513</v>
      </c>
      <c r="F239" s="345">
        <v>45657</v>
      </c>
      <c r="G239" s="345">
        <v>45657</v>
      </c>
      <c r="H239" s="343">
        <v>202501</v>
      </c>
      <c r="I239" s="344">
        <v>120</v>
      </c>
      <c r="J239" s="342">
        <v>104</v>
      </c>
      <c r="K239" s="346">
        <v>640000</v>
      </c>
      <c r="L239" s="346"/>
      <c r="M239" s="346"/>
      <c r="N239" s="346">
        <f t="shared" si="3"/>
        <v>640000</v>
      </c>
      <c r="O239" s="347">
        <v>20266.68</v>
      </c>
      <c r="P239" s="347">
        <v>81066.72</v>
      </c>
      <c r="Q239" s="347">
        <v>558933.28</v>
      </c>
      <c r="R239" s="342">
        <v>0</v>
      </c>
      <c r="S239" s="347">
        <v>558933.28</v>
      </c>
      <c r="T239" s="341" t="s">
        <v>296</v>
      </c>
      <c r="U239" s="342">
        <v>66021204</v>
      </c>
      <c r="V239" s="342"/>
    </row>
    <row r="240" customHeight="1" spans="1:22">
      <c r="A240" s="343" t="s">
        <v>192</v>
      </c>
      <c r="B240" s="343">
        <v>400171</v>
      </c>
      <c r="C240" s="343" t="s">
        <v>514</v>
      </c>
      <c r="D240" s="344">
        <v>1</v>
      </c>
      <c r="E240" s="343" t="s">
        <v>515</v>
      </c>
      <c r="F240" s="345">
        <v>45657</v>
      </c>
      <c r="G240" s="345">
        <v>45657</v>
      </c>
      <c r="H240" s="343">
        <v>202501</v>
      </c>
      <c r="I240" s="344">
        <v>120</v>
      </c>
      <c r="J240" s="342">
        <v>104</v>
      </c>
      <c r="K240" s="346">
        <v>640000</v>
      </c>
      <c r="L240" s="346"/>
      <c r="M240" s="346"/>
      <c r="N240" s="346">
        <f t="shared" si="3"/>
        <v>640000</v>
      </c>
      <c r="O240" s="347">
        <v>20266.68</v>
      </c>
      <c r="P240" s="347">
        <v>81066.72</v>
      </c>
      <c r="Q240" s="347">
        <v>558933.28</v>
      </c>
      <c r="R240" s="342">
        <v>0</v>
      </c>
      <c r="S240" s="347">
        <v>558933.28</v>
      </c>
      <c r="T240" s="341" t="s">
        <v>296</v>
      </c>
      <c r="U240" s="342">
        <v>66021204</v>
      </c>
      <c r="V240" s="342"/>
    </row>
    <row r="241" customHeight="1" spans="1:22">
      <c r="A241" s="343" t="s">
        <v>192</v>
      </c>
      <c r="B241" s="343">
        <v>400172</v>
      </c>
      <c r="C241" s="343" t="s">
        <v>502</v>
      </c>
      <c r="D241" s="344">
        <v>1</v>
      </c>
      <c r="E241" s="343" t="s">
        <v>516</v>
      </c>
      <c r="F241" s="345">
        <v>45657</v>
      </c>
      <c r="G241" s="345">
        <v>45657</v>
      </c>
      <c r="H241" s="343">
        <v>202501</v>
      </c>
      <c r="I241" s="344">
        <v>120</v>
      </c>
      <c r="J241" s="342">
        <v>104</v>
      </c>
      <c r="K241" s="346">
        <v>700000</v>
      </c>
      <c r="L241" s="346"/>
      <c r="M241" s="346"/>
      <c r="N241" s="346">
        <f t="shared" si="3"/>
        <v>700000</v>
      </c>
      <c r="O241" s="347">
        <v>22166.68</v>
      </c>
      <c r="P241" s="347">
        <v>88666.72</v>
      </c>
      <c r="Q241" s="347">
        <v>611333.28</v>
      </c>
      <c r="R241" s="342">
        <v>0</v>
      </c>
      <c r="S241" s="347">
        <v>611333.28</v>
      </c>
      <c r="T241" s="341" t="s">
        <v>296</v>
      </c>
      <c r="U241" s="342">
        <v>66021204</v>
      </c>
      <c r="V241" s="342"/>
    </row>
    <row r="242" customHeight="1" spans="1:22">
      <c r="A242" s="343" t="s">
        <v>192</v>
      </c>
      <c r="B242" s="343">
        <v>400173</v>
      </c>
      <c r="C242" s="343" t="s">
        <v>517</v>
      </c>
      <c r="D242" s="344">
        <v>1</v>
      </c>
      <c r="E242" s="343" t="s">
        <v>518</v>
      </c>
      <c r="F242" s="345">
        <v>45657</v>
      </c>
      <c r="G242" s="345">
        <v>45657</v>
      </c>
      <c r="H242" s="343">
        <v>202501</v>
      </c>
      <c r="I242" s="344">
        <v>120</v>
      </c>
      <c r="J242" s="342">
        <v>104</v>
      </c>
      <c r="K242" s="346">
        <v>20000</v>
      </c>
      <c r="L242" s="346"/>
      <c r="M242" s="346"/>
      <c r="N242" s="346">
        <f t="shared" si="3"/>
        <v>20000</v>
      </c>
      <c r="O242" s="342">
        <v>633.32</v>
      </c>
      <c r="P242" s="347">
        <v>2533.28</v>
      </c>
      <c r="Q242" s="347">
        <v>17466.72</v>
      </c>
      <c r="R242" s="342">
        <v>0</v>
      </c>
      <c r="S242" s="347">
        <v>17466.72</v>
      </c>
      <c r="T242" s="341" t="s">
        <v>296</v>
      </c>
      <c r="U242" s="342">
        <v>66021204</v>
      </c>
      <c r="V242" s="342"/>
    </row>
    <row r="243" customHeight="1" spans="1:22">
      <c r="A243" s="343" t="s">
        <v>192</v>
      </c>
      <c r="B243" s="343">
        <v>400174</v>
      </c>
      <c r="C243" s="343" t="s">
        <v>517</v>
      </c>
      <c r="D243" s="344">
        <v>1</v>
      </c>
      <c r="E243" s="343" t="s">
        <v>519</v>
      </c>
      <c r="F243" s="345">
        <v>45657</v>
      </c>
      <c r="G243" s="345">
        <v>45657</v>
      </c>
      <c r="H243" s="343">
        <v>202501</v>
      </c>
      <c r="I243" s="344">
        <v>120</v>
      </c>
      <c r="J243" s="342">
        <v>104</v>
      </c>
      <c r="K243" s="346">
        <v>4600</v>
      </c>
      <c r="L243" s="346"/>
      <c r="M243" s="346"/>
      <c r="N243" s="346">
        <f t="shared" si="3"/>
        <v>4600</v>
      </c>
      <c r="O243" s="342">
        <v>145.68</v>
      </c>
      <c r="P243" s="347">
        <v>582.72</v>
      </c>
      <c r="Q243" s="347">
        <v>4017.28</v>
      </c>
      <c r="R243" s="342">
        <v>0</v>
      </c>
      <c r="S243" s="347">
        <v>4017.28</v>
      </c>
      <c r="T243" s="341" t="s">
        <v>296</v>
      </c>
      <c r="U243" s="342">
        <v>66021204</v>
      </c>
      <c r="V243" s="342"/>
    </row>
    <row r="244" customHeight="1" spans="1:22">
      <c r="A244" s="343" t="s">
        <v>192</v>
      </c>
      <c r="B244" s="343">
        <v>400175</v>
      </c>
      <c r="C244" s="343" t="s">
        <v>517</v>
      </c>
      <c r="D244" s="344">
        <v>1</v>
      </c>
      <c r="E244" s="343" t="s">
        <v>519</v>
      </c>
      <c r="F244" s="345">
        <v>45657</v>
      </c>
      <c r="G244" s="345">
        <v>45657</v>
      </c>
      <c r="H244" s="343">
        <v>202501</v>
      </c>
      <c r="I244" s="344">
        <v>120</v>
      </c>
      <c r="J244" s="342">
        <v>104</v>
      </c>
      <c r="K244" s="346">
        <v>4600</v>
      </c>
      <c r="L244" s="346"/>
      <c r="M244" s="346"/>
      <c r="N244" s="346">
        <f t="shared" si="3"/>
        <v>4600</v>
      </c>
      <c r="O244" s="342">
        <v>145.68</v>
      </c>
      <c r="P244" s="347">
        <v>582.72</v>
      </c>
      <c r="Q244" s="347">
        <v>4017.28</v>
      </c>
      <c r="R244" s="342">
        <v>0</v>
      </c>
      <c r="S244" s="347">
        <v>4017.28</v>
      </c>
      <c r="T244" s="341" t="s">
        <v>296</v>
      </c>
      <c r="U244" s="342">
        <v>66021204</v>
      </c>
      <c r="V244" s="342"/>
    </row>
    <row r="245" customHeight="1" spans="1:22">
      <c r="A245" s="343" t="s">
        <v>192</v>
      </c>
      <c r="B245" s="343">
        <v>400176</v>
      </c>
      <c r="C245" s="343" t="s">
        <v>517</v>
      </c>
      <c r="D245" s="344">
        <v>1</v>
      </c>
      <c r="E245" s="343" t="s">
        <v>519</v>
      </c>
      <c r="F245" s="345">
        <v>45657</v>
      </c>
      <c r="G245" s="345">
        <v>45657</v>
      </c>
      <c r="H245" s="343">
        <v>202501</v>
      </c>
      <c r="I245" s="344">
        <v>120</v>
      </c>
      <c r="J245" s="342">
        <v>104</v>
      </c>
      <c r="K245" s="346">
        <v>4600</v>
      </c>
      <c r="L245" s="346"/>
      <c r="M245" s="346"/>
      <c r="N245" s="346">
        <f t="shared" si="3"/>
        <v>4600</v>
      </c>
      <c r="O245" s="342">
        <v>145.68</v>
      </c>
      <c r="P245" s="347">
        <v>582.72</v>
      </c>
      <c r="Q245" s="347">
        <v>4017.28</v>
      </c>
      <c r="R245" s="342">
        <v>0</v>
      </c>
      <c r="S245" s="347">
        <v>4017.28</v>
      </c>
      <c r="T245" s="341" t="s">
        <v>296</v>
      </c>
      <c r="U245" s="342">
        <v>66021204</v>
      </c>
      <c r="V245" s="342"/>
    </row>
    <row r="246" customHeight="1" spans="1:22">
      <c r="A246" s="343" t="s">
        <v>192</v>
      </c>
      <c r="B246" s="343">
        <v>400177</v>
      </c>
      <c r="C246" s="343" t="s">
        <v>517</v>
      </c>
      <c r="D246" s="344">
        <v>1</v>
      </c>
      <c r="E246" s="343" t="s">
        <v>519</v>
      </c>
      <c r="F246" s="345">
        <v>45657</v>
      </c>
      <c r="G246" s="345">
        <v>45657</v>
      </c>
      <c r="H246" s="343">
        <v>202501</v>
      </c>
      <c r="I246" s="344">
        <v>120</v>
      </c>
      <c r="J246" s="342">
        <v>104</v>
      </c>
      <c r="K246" s="346">
        <v>4600</v>
      </c>
      <c r="L246" s="346"/>
      <c r="M246" s="346"/>
      <c r="N246" s="346">
        <f t="shared" si="3"/>
        <v>4600</v>
      </c>
      <c r="O246" s="342">
        <v>145.68</v>
      </c>
      <c r="P246" s="347">
        <v>582.72</v>
      </c>
      <c r="Q246" s="347">
        <v>4017.28</v>
      </c>
      <c r="R246" s="342">
        <v>0</v>
      </c>
      <c r="S246" s="347">
        <v>4017.28</v>
      </c>
      <c r="T246" s="341" t="s">
        <v>296</v>
      </c>
      <c r="U246" s="342">
        <v>66021204</v>
      </c>
      <c r="V246" s="342"/>
    </row>
    <row r="247" customHeight="1" spans="1:22">
      <c r="A247" s="343" t="s">
        <v>192</v>
      </c>
      <c r="B247" s="343">
        <v>400178</v>
      </c>
      <c r="C247" s="343" t="s">
        <v>517</v>
      </c>
      <c r="D247" s="344">
        <v>1</v>
      </c>
      <c r="E247" s="343" t="s">
        <v>519</v>
      </c>
      <c r="F247" s="345">
        <v>45657</v>
      </c>
      <c r="G247" s="345">
        <v>45657</v>
      </c>
      <c r="H247" s="343">
        <v>202501</v>
      </c>
      <c r="I247" s="344">
        <v>120</v>
      </c>
      <c r="J247" s="342">
        <v>104</v>
      </c>
      <c r="K247" s="346">
        <v>4600</v>
      </c>
      <c r="L247" s="346"/>
      <c r="M247" s="346"/>
      <c r="N247" s="346">
        <f t="shared" si="3"/>
        <v>4600</v>
      </c>
      <c r="O247" s="342">
        <v>145.68</v>
      </c>
      <c r="P247" s="347">
        <v>582.72</v>
      </c>
      <c r="Q247" s="347">
        <v>4017.28</v>
      </c>
      <c r="R247" s="342">
        <v>0</v>
      </c>
      <c r="S247" s="347">
        <v>4017.28</v>
      </c>
      <c r="T247" s="341" t="s">
        <v>296</v>
      </c>
      <c r="U247" s="342">
        <v>66021204</v>
      </c>
      <c r="V247" s="342"/>
    </row>
    <row r="248" customHeight="1" spans="1:22">
      <c r="A248" s="343" t="s">
        <v>192</v>
      </c>
      <c r="B248" s="343">
        <v>400179</v>
      </c>
      <c r="C248" s="343" t="s">
        <v>517</v>
      </c>
      <c r="D248" s="344">
        <v>1</v>
      </c>
      <c r="E248" s="343" t="s">
        <v>519</v>
      </c>
      <c r="F248" s="345">
        <v>45657</v>
      </c>
      <c r="G248" s="345">
        <v>45657</v>
      </c>
      <c r="H248" s="343">
        <v>202501</v>
      </c>
      <c r="I248" s="344">
        <v>120</v>
      </c>
      <c r="J248" s="342">
        <v>104</v>
      </c>
      <c r="K248" s="346">
        <v>4600</v>
      </c>
      <c r="L248" s="346"/>
      <c r="M248" s="346"/>
      <c r="N248" s="346">
        <f t="shared" si="3"/>
        <v>4600</v>
      </c>
      <c r="O248" s="342">
        <v>145.68</v>
      </c>
      <c r="P248" s="347">
        <v>582.72</v>
      </c>
      <c r="Q248" s="347">
        <v>4017.28</v>
      </c>
      <c r="R248" s="342">
        <v>0</v>
      </c>
      <c r="S248" s="347">
        <v>4017.28</v>
      </c>
      <c r="T248" s="341" t="s">
        <v>296</v>
      </c>
      <c r="U248" s="342">
        <v>66021204</v>
      </c>
      <c r="V248" s="342"/>
    </row>
    <row r="249" customHeight="1" spans="1:22">
      <c r="A249" s="343" t="s">
        <v>192</v>
      </c>
      <c r="B249" s="343">
        <v>400180</v>
      </c>
      <c r="C249" s="343" t="s">
        <v>517</v>
      </c>
      <c r="D249" s="344">
        <v>1</v>
      </c>
      <c r="E249" s="343" t="s">
        <v>519</v>
      </c>
      <c r="F249" s="345">
        <v>45657</v>
      </c>
      <c r="G249" s="345">
        <v>45657</v>
      </c>
      <c r="H249" s="343">
        <v>202501</v>
      </c>
      <c r="I249" s="344">
        <v>120</v>
      </c>
      <c r="J249" s="342">
        <v>104</v>
      </c>
      <c r="K249" s="346">
        <v>4600</v>
      </c>
      <c r="L249" s="346"/>
      <c r="M249" s="346"/>
      <c r="N249" s="346">
        <f t="shared" si="3"/>
        <v>4600</v>
      </c>
      <c r="O249" s="342">
        <v>145.68</v>
      </c>
      <c r="P249" s="347">
        <v>582.72</v>
      </c>
      <c r="Q249" s="347">
        <v>4017.28</v>
      </c>
      <c r="R249" s="342">
        <v>0</v>
      </c>
      <c r="S249" s="347">
        <v>4017.28</v>
      </c>
      <c r="T249" s="341" t="s">
        <v>296</v>
      </c>
      <c r="U249" s="342">
        <v>66021204</v>
      </c>
      <c r="V249" s="342"/>
    </row>
    <row r="250" customHeight="1" spans="1:22">
      <c r="A250" s="343" t="s">
        <v>192</v>
      </c>
      <c r="B250" s="343">
        <v>400181</v>
      </c>
      <c r="C250" s="343" t="s">
        <v>517</v>
      </c>
      <c r="D250" s="344">
        <v>1</v>
      </c>
      <c r="E250" s="343" t="s">
        <v>520</v>
      </c>
      <c r="F250" s="345">
        <v>45657</v>
      </c>
      <c r="G250" s="345">
        <v>45657</v>
      </c>
      <c r="H250" s="343">
        <v>202501</v>
      </c>
      <c r="I250" s="344">
        <v>120</v>
      </c>
      <c r="J250" s="342">
        <v>104</v>
      </c>
      <c r="K250" s="346">
        <v>20000</v>
      </c>
      <c r="L250" s="346"/>
      <c r="M250" s="346"/>
      <c r="N250" s="346">
        <f t="shared" si="3"/>
        <v>20000</v>
      </c>
      <c r="O250" s="342">
        <v>633.32</v>
      </c>
      <c r="P250" s="347">
        <v>2533.28</v>
      </c>
      <c r="Q250" s="347">
        <v>17466.72</v>
      </c>
      <c r="R250" s="342">
        <v>0</v>
      </c>
      <c r="S250" s="347">
        <v>17466.72</v>
      </c>
      <c r="T250" s="341" t="s">
        <v>296</v>
      </c>
      <c r="U250" s="342">
        <v>66021204</v>
      </c>
      <c r="V250" s="342"/>
    </row>
    <row r="251" customHeight="1" spans="1:22">
      <c r="A251" s="343" t="s">
        <v>192</v>
      </c>
      <c r="B251" s="343">
        <v>400182</v>
      </c>
      <c r="C251" s="343" t="s">
        <v>517</v>
      </c>
      <c r="D251" s="344">
        <v>1</v>
      </c>
      <c r="E251" s="343" t="s">
        <v>521</v>
      </c>
      <c r="F251" s="345">
        <v>45657</v>
      </c>
      <c r="G251" s="345">
        <v>45657</v>
      </c>
      <c r="H251" s="343">
        <v>202501</v>
      </c>
      <c r="I251" s="344">
        <v>120</v>
      </c>
      <c r="J251" s="342">
        <v>104</v>
      </c>
      <c r="K251" s="346">
        <v>4600</v>
      </c>
      <c r="L251" s="346"/>
      <c r="M251" s="346"/>
      <c r="N251" s="346">
        <f t="shared" si="3"/>
        <v>4600</v>
      </c>
      <c r="O251" s="342">
        <v>145.68</v>
      </c>
      <c r="P251" s="347">
        <v>582.72</v>
      </c>
      <c r="Q251" s="347">
        <v>4017.28</v>
      </c>
      <c r="R251" s="342">
        <v>0</v>
      </c>
      <c r="S251" s="347">
        <v>4017.28</v>
      </c>
      <c r="T251" s="341" t="s">
        <v>296</v>
      </c>
      <c r="U251" s="342">
        <v>66021204</v>
      </c>
      <c r="V251" s="342"/>
    </row>
    <row r="252" customHeight="1" spans="1:22">
      <c r="A252" s="343" t="s">
        <v>192</v>
      </c>
      <c r="B252" s="343">
        <v>400183</v>
      </c>
      <c r="C252" s="343" t="s">
        <v>517</v>
      </c>
      <c r="D252" s="344">
        <v>1</v>
      </c>
      <c r="E252" s="343" t="s">
        <v>521</v>
      </c>
      <c r="F252" s="345">
        <v>45657</v>
      </c>
      <c r="G252" s="345">
        <v>45657</v>
      </c>
      <c r="H252" s="343">
        <v>202501</v>
      </c>
      <c r="I252" s="344">
        <v>120</v>
      </c>
      <c r="J252" s="342">
        <v>104</v>
      </c>
      <c r="K252" s="346">
        <v>4600</v>
      </c>
      <c r="L252" s="346"/>
      <c r="M252" s="346"/>
      <c r="N252" s="346">
        <f t="shared" si="3"/>
        <v>4600</v>
      </c>
      <c r="O252" s="342">
        <v>145.68</v>
      </c>
      <c r="P252" s="347">
        <v>582.72</v>
      </c>
      <c r="Q252" s="347">
        <v>4017.28</v>
      </c>
      <c r="R252" s="342">
        <v>0</v>
      </c>
      <c r="S252" s="347">
        <v>4017.28</v>
      </c>
      <c r="T252" s="341" t="s">
        <v>296</v>
      </c>
      <c r="U252" s="342">
        <v>66021204</v>
      </c>
      <c r="V252" s="342"/>
    </row>
    <row r="253" customHeight="1" spans="1:22">
      <c r="A253" s="343" t="s">
        <v>192</v>
      </c>
      <c r="B253" s="343">
        <v>400184</v>
      </c>
      <c r="C253" s="343" t="s">
        <v>517</v>
      </c>
      <c r="D253" s="344">
        <v>1</v>
      </c>
      <c r="E253" s="343" t="s">
        <v>521</v>
      </c>
      <c r="F253" s="345">
        <v>45657</v>
      </c>
      <c r="G253" s="345">
        <v>45657</v>
      </c>
      <c r="H253" s="343">
        <v>202501</v>
      </c>
      <c r="I253" s="344">
        <v>120</v>
      </c>
      <c r="J253" s="342">
        <v>104</v>
      </c>
      <c r="K253" s="346">
        <v>4600</v>
      </c>
      <c r="L253" s="346"/>
      <c r="M253" s="346"/>
      <c r="N253" s="346">
        <f t="shared" si="3"/>
        <v>4600</v>
      </c>
      <c r="O253" s="342">
        <v>145.68</v>
      </c>
      <c r="P253" s="347">
        <v>582.72</v>
      </c>
      <c r="Q253" s="347">
        <v>4017.28</v>
      </c>
      <c r="R253" s="342">
        <v>0</v>
      </c>
      <c r="S253" s="347">
        <v>4017.28</v>
      </c>
      <c r="T253" s="341" t="s">
        <v>296</v>
      </c>
      <c r="U253" s="342">
        <v>66021204</v>
      </c>
      <c r="V253" s="342"/>
    </row>
    <row r="254" customHeight="1" spans="1:22">
      <c r="A254" s="343" t="s">
        <v>192</v>
      </c>
      <c r="B254" s="343">
        <v>400185</v>
      </c>
      <c r="C254" s="343" t="s">
        <v>517</v>
      </c>
      <c r="D254" s="344">
        <v>1</v>
      </c>
      <c r="E254" s="343" t="s">
        <v>521</v>
      </c>
      <c r="F254" s="345">
        <v>45657</v>
      </c>
      <c r="G254" s="345">
        <v>45657</v>
      </c>
      <c r="H254" s="343">
        <v>202501</v>
      </c>
      <c r="I254" s="344">
        <v>120</v>
      </c>
      <c r="J254" s="342">
        <v>104</v>
      </c>
      <c r="K254" s="346">
        <v>4600</v>
      </c>
      <c r="L254" s="346"/>
      <c r="M254" s="346"/>
      <c r="N254" s="346">
        <f t="shared" si="3"/>
        <v>4600</v>
      </c>
      <c r="O254" s="342">
        <v>145.68</v>
      </c>
      <c r="P254" s="347">
        <v>582.72</v>
      </c>
      <c r="Q254" s="347">
        <v>4017.28</v>
      </c>
      <c r="R254" s="342">
        <v>0</v>
      </c>
      <c r="S254" s="347">
        <v>4017.28</v>
      </c>
      <c r="T254" s="341" t="s">
        <v>296</v>
      </c>
      <c r="U254" s="342">
        <v>66021204</v>
      </c>
      <c r="V254" s="342"/>
    </row>
    <row r="255" customHeight="1" spans="1:22">
      <c r="A255" s="343" t="s">
        <v>192</v>
      </c>
      <c r="B255" s="343">
        <v>400186</v>
      </c>
      <c r="C255" s="343" t="s">
        <v>517</v>
      </c>
      <c r="D255" s="344">
        <v>1</v>
      </c>
      <c r="E255" s="343" t="s">
        <v>521</v>
      </c>
      <c r="F255" s="345">
        <v>45657</v>
      </c>
      <c r="G255" s="345">
        <v>45657</v>
      </c>
      <c r="H255" s="343">
        <v>202501</v>
      </c>
      <c r="I255" s="344">
        <v>120</v>
      </c>
      <c r="J255" s="342">
        <v>104</v>
      </c>
      <c r="K255" s="346">
        <v>4600</v>
      </c>
      <c r="L255" s="346"/>
      <c r="M255" s="346"/>
      <c r="N255" s="346">
        <f t="shared" si="3"/>
        <v>4600</v>
      </c>
      <c r="O255" s="342">
        <v>145.68</v>
      </c>
      <c r="P255" s="347">
        <v>582.72</v>
      </c>
      <c r="Q255" s="347">
        <v>4017.28</v>
      </c>
      <c r="R255" s="342">
        <v>0</v>
      </c>
      <c r="S255" s="347">
        <v>4017.28</v>
      </c>
      <c r="T255" s="341" t="s">
        <v>296</v>
      </c>
      <c r="U255" s="342">
        <v>66021204</v>
      </c>
      <c r="V255" s="342"/>
    </row>
    <row r="256" customHeight="1" spans="1:22">
      <c r="A256" s="343" t="s">
        <v>192</v>
      </c>
      <c r="B256" s="343">
        <v>400187</v>
      </c>
      <c r="C256" s="343" t="s">
        <v>517</v>
      </c>
      <c r="D256" s="344">
        <v>1</v>
      </c>
      <c r="E256" s="343" t="s">
        <v>521</v>
      </c>
      <c r="F256" s="345">
        <v>45657</v>
      </c>
      <c r="G256" s="345">
        <v>45657</v>
      </c>
      <c r="H256" s="343">
        <v>202501</v>
      </c>
      <c r="I256" s="344">
        <v>120</v>
      </c>
      <c r="J256" s="342">
        <v>104</v>
      </c>
      <c r="K256" s="346">
        <v>4600</v>
      </c>
      <c r="L256" s="346"/>
      <c r="M256" s="346"/>
      <c r="N256" s="346">
        <f t="shared" si="3"/>
        <v>4600</v>
      </c>
      <c r="O256" s="342">
        <v>145.68</v>
      </c>
      <c r="P256" s="347">
        <v>582.72</v>
      </c>
      <c r="Q256" s="347">
        <v>4017.28</v>
      </c>
      <c r="R256" s="342">
        <v>0</v>
      </c>
      <c r="S256" s="347">
        <v>4017.28</v>
      </c>
      <c r="T256" s="341" t="s">
        <v>296</v>
      </c>
      <c r="U256" s="342">
        <v>66021204</v>
      </c>
      <c r="V256" s="342"/>
    </row>
    <row r="257" customHeight="1" spans="1:22">
      <c r="A257" s="343" t="s">
        <v>192</v>
      </c>
      <c r="B257" s="343">
        <v>400188</v>
      </c>
      <c r="C257" s="343" t="s">
        <v>517</v>
      </c>
      <c r="D257" s="344">
        <v>1</v>
      </c>
      <c r="E257" s="343" t="s">
        <v>521</v>
      </c>
      <c r="F257" s="345">
        <v>45657</v>
      </c>
      <c r="G257" s="345">
        <v>45657</v>
      </c>
      <c r="H257" s="343">
        <v>202501</v>
      </c>
      <c r="I257" s="344">
        <v>120</v>
      </c>
      <c r="J257" s="342">
        <v>104</v>
      </c>
      <c r="K257" s="346">
        <v>4600</v>
      </c>
      <c r="L257" s="346"/>
      <c r="M257" s="346"/>
      <c r="N257" s="346">
        <f t="shared" si="3"/>
        <v>4600</v>
      </c>
      <c r="O257" s="342">
        <v>145.68</v>
      </c>
      <c r="P257" s="347">
        <v>582.72</v>
      </c>
      <c r="Q257" s="347">
        <v>4017.28</v>
      </c>
      <c r="R257" s="342">
        <v>0</v>
      </c>
      <c r="S257" s="347">
        <v>4017.28</v>
      </c>
      <c r="T257" s="341" t="s">
        <v>296</v>
      </c>
      <c r="U257" s="342">
        <v>66021204</v>
      </c>
      <c r="V257" s="342"/>
    </row>
    <row r="258" customHeight="1" spans="1:22">
      <c r="A258" s="343" t="s">
        <v>192</v>
      </c>
      <c r="B258" s="343">
        <v>400189</v>
      </c>
      <c r="C258" s="343" t="s">
        <v>517</v>
      </c>
      <c r="D258" s="344">
        <v>1</v>
      </c>
      <c r="E258" s="343" t="s">
        <v>522</v>
      </c>
      <c r="F258" s="345">
        <v>45657</v>
      </c>
      <c r="G258" s="345">
        <v>45657</v>
      </c>
      <c r="H258" s="343">
        <v>202501</v>
      </c>
      <c r="I258" s="344">
        <v>120</v>
      </c>
      <c r="J258" s="342">
        <v>104</v>
      </c>
      <c r="K258" s="346">
        <v>20000</v>
      </c>
      <c r="L258" s="346"/>
      <c r="M258" s="346"/>
      <c r="N258" s="346">
        <f t="shared" si="3"/>
        <v>20000</v>
      </c>
      <c r="O258" s="342">
        <v>633.32</v>
      </c>
      <c r="P258" s="347">
        <v>2533.28</v>
      </c>
      <c r="Q258" s="347">
        <v>17466.72</v>
      </c>
      <c r="R258" s="342">
        <v>0</v>
      </c>
      <c r="S258" s="347">
        <v>17466.72</v>
      </c>
      <c r="T258" s="341" t="s">
        <v>296</v>
      </c>
      <c r="U258" s="342">
        <v>66021204</v>
      </c>
      <c r="V258" s="342"/>
    </row>
    <row r="259" customHeight="1" spans="1:22">
      <c r="A259" s="343" t="s">
        <v>192</v>
      </c>
      <c r="B259" s="343">
        <v>400190</v>
      </c>
      <c r="C259" s="343" t="s">
        <v>517</v>
      </c>
      <c r="D259" s="344">
        <v>1</v>
      </c>
      <c r="E259" s="343" t="s">
        <v>523</v>
      </c>
      <c r="F259" s="345">
        <v>45657</v>
      </c>
      <c r="G259" s="345">
        <v>45657</v>
      </c>
      <c r="H259" s="343">
        <v>202501</v>
      </c>
      <c r="I259" s="344">
        <v>120</v>
      </c>
      <c r="J259" s="342">
        <v>104</v>
      </c>
      <c r="K259" s="346">
        <v>4600</v>
      </c>
      <c r="L259" s="346"/>
      <c r="M259" s="346"/>
      <c r="N259" s="346">
        <f t="shared" ref="N259:N322" si="4">K259+L259-M259</f>
        <v>4600</v>
      </c>
      <c r="O259" s="342">
        <v>145.68</v>
      </c>
      <c r="P259" s="347">
        <v>582.72</v>
      </c>
      <c r="Q259" s="347">
        <v>4017.28</v>
      </c>
      <c r="R259" s="342">
        <v>0</v>
      </c>
      <c r="S259" s="347">
        <v>4017.28</v>
      </c>
      <c r="T259" s="341" t="s">
        <v>296</v>
      </c>
      <c r="U259" s="342">
        <v>66021204</v>
      </c>
      <c r="V259" s="342"/>
    </row>
    <row r="260" customHeight="1" spans="1:22">
      <c r="A260" s="343" t="s">
        <v>192</v>
      </c>
      <c r="B260" s="343">
        <v>400191</v>
      </c>
      <c r="C260" s="343" t="s">
        <v>517</v>
      </c>
      <c r="D260" s="344">
        <v>1</v>
      </c>
      <c r="E260" s="343" t="s">
        <v>523</v>
      </c>
      <c r="F260" s="345">
        <v>45657</v>
      </c>
      <c r="G260" s="345">
        <v>45657</v>
      </c>
      <c r="H260" s="343">
        <v>202501</v>
      </c>
      <c r="I260" s="344">
        <v>120</v>
      </c>
      <c r="J260" s="342">
        <v>104</v>
      </c>
      <c r="K260" s="346">
        <v>4600</v>
      </c>
      <c r="L260" s="346"/>
      <c r="M260" s="346"/>
      <c r="N260" s="346">
        <f t="shared" si="4"/>
        <v>4600</v>
      </c>
      <c r="O260" s="342">
        <v>145.68</v>
      </c>
      <c r="P260" s="347">
        <v>582.72</v>
      </c>
      <c r="Q260" s="347">
        <v>4017.28</v>
      </c>
      <c r="R260" s="342">
        <v>0</v>
      </c>
      <c r="S260" s="347">
        <v>4017.28</v>
      </c>
      <c r="T260" s="341" t="s">
        <v>296</v>
      </c>
      <c r="U260" s="342">
        <v>66021204</v>
      </c>
      <c r="V260" s="342"/>
    </row>
    <row r="261" customHeight="1" spans="1:22">
      <c r="A261" s="343" t="s">
        <v>192</v>
      </c>
      <c r="B261" s="343">
        <v>400192</v>
      </c>
      <c r="C261" s="343" t="s">
        <v>517</v>
      </c>
      <c r="D261" s="344">
        <v>1</v>
      </c>
      <c r="E261" s="343" t="s">
        <v>523</v>
      </c>
      <c r="F261" s="345">
        <v>45657</v>
      </c>
      <c r="G261" s="345">
        <v>45657</v>
      </c>
      <c r="H261" s="343">
        <v>202501</v>
      </c>
      <c r="I261" s="344">
        <v>120</v>
      </c>
      <c r="J261" s="342">
        <v>104</v>
      </c>
      <c r="K261" s="346">
        <v>4600</v>
      </c>
      <c r="L261" s="346"/>
      <c r="M261" s="346"/>
      <c r="N261" s="346">
        <f t="shared" si="4"/>
        <v>4600</v>
      </c>
      <c r="O261" s="342">
        <v>145.68</v>
      </c>
      <c r="P261" s="347">
        <v>582.72</v>
      </c>
      <c r="Q261" s="347">
        <v>4017.28</v>
      </c>
      <c r="R261" s="342">
        <v>0</v>
      </c>
      <c r="S261" s="347">
        <v>4017.28</v>
      </c>
      <c r="T261" s="341" t="s">
        <v>296</v>
      </c>
      <c r="U261" s="342">
        <v>66021204</v>
      </c>
      <c r="V261" s="342"/>
    </row>
    <row r="262" customHeight="1" spans="1:22">
      <c r="A262" s="343" t="s">
        <v>192</v>
      </c>
      <c r="B262" s="343">
        <v>400193</v>
      </c>
      <c r="C262" s="343" t="s">
        <v>517</v>
      </c>
      <c r="D262" s="344">
        <v>1</v>
      </c>
      <c r="E262" s="343" t="s">
        <v>523</v>
      </c>
      <c r="F262" s="345">
        <v>45657</v>
      </c>
      <c r="G262" s="345">
        <v>45657</v>
      </c>
      <c r="H262" s="343">
        <v>202501</v>
      </c>
      <c r="I262" s="344">
        <v>120</v>
      </c>
      <c r="J262" s="342">
        <v>104</v>
      </c>
      <c r="K262" s="346">
        <v>4600</v>
      </c>
      <c r="L262" s="346"/>
      <c r="M262" s="346"/>
      <c r="N262" s="346">
        <f t="shared" si="4"/>
        <v>4600</v>
      </c>
      <c r="O262" s="342">
        <v>145.68</v>
      </c>
      <c r="P262" s="347">
        <v>582.72</v>
      </c>
      <c r="Q262" s="347">
        <v>4017.28</v>
      </c>
      <c r="R262" s="342">
        <v>0</v>
      </c>
      <c r="S262" s="347">
        <v>4017.28</v>
      </c>
      <c r="T262" s="341" t="s">
        <v>296</v>
      </c>
      <c r="U262" s="342">
        <v>66021204</v>
      </c>
      <c r="V262" s="342"/>
    </row>
    <row r="263" customHeight="1" spans="1:22">
      <c r="A263" s="343" t="s">
        <v>192</v>
      </c>
      <c r="B263" s="343">
        <v>400194</v>
      </c>
      <c r="C263" s="343" t="s">
        <v>517</v>
      </c>
      <c r="D263" s="344">
        <v>1</v>
      </c>
      <c r="E263" s="343" t="s">
        <v>523</v>
      </c>
      <c r="F263" s="345">
        <v>45657</v>
      </c>
      <c r="G263" s="345">
        <v>45657</v>
      </c>
      <c r="H263" s="343">
        <v>202501</v>
      </c>
      <c r="I263" s="344">
        <v>120</v>
      </c>
      <c r="J263" s="342">
        <v>104</v>
      </c>
      <c r="K263" s="346">
        <v>4600</v>
      </c>
      <c r="L263" s="346"/>
      <c r="M263" s="346"/>
      <c r="N263" s="346">
        <f t="shared" si="4"/>
        <v>4600</v>
      </c>
      <c r="O263" s="342">
        <v>145.68</v>
      </c>
      <c r="P263" s="347">
        <v>582.72</v>
      </c>
      <c r="Q263" s="347">
        <v>4017.28</v>
      </c>
      <c r="R263" s="342">
        <v>0</v>
      </c>
      <c r="S263" s="347">
        <v>4017.28</v>
      </c>
      <c r="T263" s="341" t="s">
        <v>296</v>
      </c>
      <c r="U263" s="342">
        <v>66021204</v>
      </c>
      <c r="V263" s="342"/>
    </row>
    <row r="264" customHeight="1" spans="1:22">
      <c r="A264" s="343" t="s">
        <v>192</v>
      </c>
      <c r="B264" s="343">
        <v>400195</v>
      </c>
      <c r="C264" s="343" t="s">
        <v>517</v>
      </c>
      <c r="D264" s="344">
        <v>1</v>
      </c>
      <c r="E264" s="343" t="s">
        <v>523</v>
      </c>
      <c r="F264" s="345">
        <v>45657</v>
      </c>
      <c r="G264" s="345">
        <v>45657</v>
      </c>
      <c r="H264" s="343">
        <v>202501</v>
      </c>
      <c r="I264" s="344">
        <v>120</v>
      </c>
      <c r="J264" s="342">
        <v>104</v>
      </c>
      <c r="K264" s="346">
        <v>4600</v>
      </c>
      <c r="L264" s="346"/>
      <c r="M264" s="346"/>
      <c r="N264" s="346">
        <f t="shared" si="4"/>
        <v>4600</v>
      </c>
      <c r="O264" s="342">
        <v>145.68</v>
      </c>
      <c r="P264" s="347">
        <v>582.72</v>
      </c>
      <c r="Q264" s="347">
        <v>4017.28</v>
      </c>
      <c r="R264" s="342">
        <v>0</v>
      </c>
      <c r="S264" s="347">
        <v>4017.28</v>
      </c>
      <c r="T264" s="341" t="s">
        <v>296</v>
      </c>
      <c r="U264" s="342">
        <v>66021204</v>
      </c>
      <c r="V264" s="342"/>
    </row>
    <row r="265" customHeight="1" spans="1:22">
      <c r="A265" s="343" t="s">
        <v>192</v>
      </c>
      <c r="B265" s="343">
        <v>400196</v>
      </c>
      <c r="C265" s="343" t="s">
        <v>517</v>
      </c>
      <c r="D265" s="344">
        <v>1</v>
      </c>
      <c r="E265" s="343" t="s">
        <v>523</v>
      </c>
      <c r="F265" s="345">
        <v>45657</v>
      </c>
      <c r="G265" s="345">
        <v>45657</v>
      </c>
      <c r="H265" s="343">
        <v>202501</v>
      </c>
      <c r="I265" s="344">
        <v>120</v>
      </c>
      <c r="J265" s="342">
        <v>104</v>
      </c>
      <c r="K265" s="346">
        <v>4600</v>
      </c>
      <c r="L265" s="346"/>
      <c r="M265" s="346"/>
      <c r="N265" s="346">
        <f t="shared" si="4"/>
        <v>4600</v>
      </c>
      <c r="O265" s="342">
        <v>145.68</v>
      </c>
      <c r="P265" s="347">
        <v>582.72</v>
      </c>
      <c r="Q265" s="347">
        <v>4017.28</v>
      </c>
      <c r="R265" s="342">
        <v>0</v>
      </c>
      <c r="S265" s="347">
        <v>4017.28</v>
      </c>
      <c r="T265" s="341" t="s">
        <v>296</v>
      </c>
      <c r="U265" s="342">
        <v>66021204</v>
      </c>
      <c r="V265" s="342"/>
    </row>
    <row r="266" customHeight="1" spans="1:22">
      <c r="A266" s="343" t="s">
        <v>192</v>
      </c>
      <c r="B266" s="343">
        <v>400197</v>
      </c>
      <c r="C266" s="343" t="s">
        <v>524</v>
      </c>
      <c r="D266" s="344">
        <v>1</v>
      </c>
      <c r="E266" s="343" t="s">
        <v>525</v>
      </c>
      <c r="F266" s="345">
        <v>45657</v>
      </c>
      <c r="G266" s="345">
        <v>45657</v>
      </c>
      <c r="H266" s="343">
        <v>202501</v>
      </c>
      <c r="I266" s="344">
        <v>120</v>
      </c>
      <c r="J266" s="342">
        <v>104</v>
      </c>
      <c r="K266" s="346">
        <v>850000</v>
      </c>
      <c r="L266" s="346"/>
      <c r="M266" s="346"/>
      <c r="N266" s="346">
        <f t="shared" si="4"/>
        <v>850000</v>
      </c>
      <c r="O266" s="347">
        <v>26916.68</v>
      </c>
      <c r="P266" s="347">
        <v>107666.72</v>
      </c>
      <c r="Q266" s="347">
        <v>742333.28</v>
      </c>
      <c r="R266" s="342">
        <v>0</v>
      </c>
      <c r="S266" s="347">
        <v>742333.28</v>
      </c>
      <c r="T266" s="341" t="s">
        <v>296</v>
      </c>
      <c r="U266" s="342">
        <v>66021204</v>
      </c>
      <c r="V266" s="342"/>
    </row>
    <row r="267" customHeight="1" spans="1:22">
      <c r="A267" s="343" t="s">
        <v>192</v>
      </c>
      <c r="B267" s="343">
        <v>400198</v>
      </c>
      <c r="C267" s="343" t="s">
        <v>502</v>
      </c>
      <c r="D267" s="344">
        <v>1</v>
      </c>
      <c r="E267" s="343" t="s">
        <v>526</v>
      </c>
      <c r="F267" s="345">
        <v>45657</v>
      </c>
      <c r="G267" s="345">
        <v>45657</v>
      </c>
      <c r="H267" s="343">
        <v>202501</v>
      </c>
      <c r="I267" s="344">
        <v>120</v>
      </c>
      <c r="J267" s="342">
        <v>104</v>
      </c>
      <c r="K267" s="346">
        <v>800000</v>
      </c>
      <c r="L267" s="346"/>
      <c r="M267" s="346"/>
      <c r="N267" s="346">
        <f t="shared" si="4"/>
        <v>800000</v>
      </c>
      <c r="O267" s="347">
        <v>25333.32</v>
      </c>
      <c r="P267" s="347">
        <v>101333.28</v>
      </c>
      <c r="Q267" s="347">
        <v>698666.72</v>
      </c>
      <c r="R267" s="342">
        <v>0</v>
      </c>
      <c r="S267" s="347">
        <v>698666.72</v>
      </c>
      <c r="T267" s="341" t="s">
        <v>296</v>
      </c>
      <c r="U267" s="342">
        <v>66021204</v>
      </c>
      <c r="V267" s="342"/>
    </row>
    <row r="268" customHeight="1" spans="1:22">
      <c r="A268" s="343" t="s">
        <v>192</v>
      </c>
      <c r="B268" s="343">
        <v>400199</v>
      </c>
      <c r="C268" s="343" t="s">
        <v>294</v>
      </c>
      <c r="D268" s="344">
        <v>1</v>
      </c>
      <c r="E268" s="343" t="s">
        <v>295</v>
      </c>
      <c r="F268" s="345">
        <v>45657</v>
      </c>
      <c r="G268" s="345">
        <v>45657</v>
      </c>
      <c r="H268" s="343">
        <v>202501</v>
      </c>
      <c r="I268" s="344">
        <v>120</v>
      </c>
      <c r="J268" s="342">
        <v>104</v>
      </c>
      <c r="K268" s="346">
        <v>9500</v>
      </c>
      <c r="L268" s="346"/>
      <c r="M268" s="346"/>
      <c r="N268" s="346">
        <f t="shared" si="4"/>
        <v>9500</v>
      </c>
      <c r="O268" s="342">
        <v>300.84</v>
      </c>
      <c r="P268" s="347">
        <v>1203.36</v>
      </c>
      <c r="Q268" s="347">
        <v>8296.64</v>
      </c>
      <c r="R268" s="342">
        <v>0</v>
      </c>
      <c r="S268" s="347">
        <v>8296.64</v>
      </c>
      <c r="T268" s="341" t="s">
        <v>296</v>
      </c>
      <c r="U268" s="342">
        <v>66021204</v>
      </c>
      <c r="V268" s="342"/>
    </row>
    <row r="269" customHeight="1" spans="1:22">
      <c r="A269" s="343" t="s">
        <v>192</v>
      </c>
      <c r="B269" s="343">
        <v>400200</v>
      </c>
      <c r="C269" s="343" t="s">
        <v>294</v>
      </c>
      <c r="D269" s="344">
        <v>1</v>
      </c>
      <c r="E269" s="343" t="s">
        <v>295</v>
      </c>
      <c r="F269" s="345">
        <v>45657</v>
      </c>
      <c r="G269" s="345">
        <v>45657</v>
      </c>
      <c r="H269" s="343">
        <v>202501</v>
      </c>
      <c r="I269" s="344">
        <v>120</v>
      </c>
      <c r="J269" s="342">
        <v>104</v>
      </c>
      <c r="K269" s="346">
        <v>9500</v>
      </c>
      <c r="L269" s="346"/>
      <c r="M269" s="346"/>
      <c r="N269" s="346">
        <f t="shared" si="4"/>
        <v>9500</v>
      </c>
      <c r="O269" s="342">
        <v>300.84</v>
      </c>
      <c r="P269" s="347">
        <v>1203.36</v>
      </c>
      <c r="Q269" s="347">
        <v>8296.64</v>
      </c>
      <c r="R269" s="342">
        <v>0</v>
      </c>
      <c r="S269" s="347">
        <v>8296.64</v>
      </c>
      <c r="T269" s="341" t="s">
        <v>296</v>
      </c>
      <c r="U269" s="342">
        <v>66021204</v>
      </c>
      <c r="V269" s="342"/>
    </row>
    <row r="270" customHeight="1" spans="1:22">
      <c r="A270" s="343" t="s">
        <v>192</v>
      </c>
      <c r="B270" s="343">
        <v>400201</v>
      </c>
      <c r="C270" s="343" t="s">
        <v>294</v>
      </c>
      <c r="D270" s="344">
        <v>1</v>
      </c>
      <c r="E270" s="343" t="s">
        <v>295</v>
      </c>
      <c r="F270" s="345">
        <v>45657</v>
      </c>
      <c r="G270" s="345">
        <v>45657</v>
      </c>
      <c r="H270" s="343">
        <v>202501</v>
      </c>
      <c r="I270" s="344">
        <v>120</v>
      </c>
      <c r="J270" s="342">
        <v>104</v>
      </c>
      <c r="K270" s="346">
        <v>9500</v>
      </c>
      <c r="L270" s="346"/>
      <c r="M270" s="346"/>
      <c r="N270" s="346">
        <f t="shared" si="4"/>
        <v>9500</v>
      </c>
      <c r="O270" s="342">
        <v>300.84</v>
      </c>
      <c r="P270" s="347">
        <v>1203.36</v>
      </c>
      <c r="Q270" s="347">
        <v>8296.64</v>
      </c>
      <c r="R270" s="342">
        <v>0</v>
      </c>
      <c r="S270" s="347">
        <v>8296.64</v>
      </c>
      <c r="T270" s="341" t="s">
        <v>296</v>
      </c>
      <c r="U270" s="342">
        <v>66021204</v>
      </c>
      <c r="V270" s="342"/>
    </row>
    <row r="271" customHeight="1" spans="1:22">
      <c r="A271" s="343" t="s">
        <v>195</v>
      </c>
      <c r="B271" s="343">
        <v>100206</v>
      </c>
      <c r="C271" s="343" t="s">
        <v>527</v>
      </c>
      <c r="D271" s="344">
        <v>1</v>
      </c>
      <c r="E271" s="343"/>
      <c r="F271" s="345">
        <v>44804</v>
      </c>
      <c r="G271" s="345">
        <v>44804</v>
      </c>
      <c r="H271" s="343">
        <v>202209</v>
      </c>
      <c r="I271" s="344">
        <v>36</v>
      </c>
      <c r="J271" s="342">
        <v>0</v>
      </c>
      <c r="K271" s="346">
        <v>928.32</v>
      </c>
      <c r="L271" s="346"/>
      <c r="M271" s="346"/>
      <c r="N271" s="346">
        <f t="shared" si="4"/>
        <v>928.32</v>
      </c>
      <c r="O271" s="342">
        <v>0</v>
      </c>
      <c r="P271" s="347">
        <v>881.9</v>
      </c>
      <c r="Q271" s="342">
        <v>46.42</v>
      </c>
      <c r="R271" s="342">
        <v>0</v>
      </c>
      <c r="S271" s="342">
        <v>46.42</v>
      </c>
      <c r="T271" s="341" t="s">
        <v>296</v>
      </c>
      <c r="U271" s="342">
        <v>66021201</v>
      </c>
      <c r="V271" s="342"/>
    </row>
    <row r="272" customHeight="1" spans="1:22">
      <c r="A272" s="343" t="s">
        <v>195</v>
      </c>
      <c r="B272" s="343">
        <v>100207</v>
      </c>
      <c r="C272" s="343" t="s">
        <v>528</v>
      </c>
      <c r="D272" s="344">
        <v>1</v>
      </c>
      <c r="E272" s="343"/>
      <c r="F272" s="345">
        <v>44804</v>
      </c>
      <c r="G272" s="345">
        <v>44804</v>
      </c>
      <c r="H272" s="343">
        <v>202209</v>
      </c>
      <c r="I272" s="344">
        <v>36</v>
      </c>
      <c r="J272" s="342">
        <v>0</v>
      </c>
      <c r="K272" s="346">
        <v>867.26</v>
      </c>
      <c r="L272" s="346"/>
      <c r="M272" s="346"/>
      <c r="N272" s="346">
        <f t="shared" si="4"/>
        <v>867.26</v>
      </c>
      <c r="O272" s="342">
        <v>0</v>
      </c>
      <c r="P272" s="347">
        <v>823.9</v>
      </c>
      <c r="Q272" s="342">
        <v>43.36</v>
      </c>
      <c r="R272" s="342">
        <v>0</v>
      </c>
      <c r="S272" s="342">
        <v>43.36</v>
      </c>
      <c r="T272" s="341" t="s">
        <v>296</v>
      </c>
      <c r="U272" s="342">
        <v>66021201</v>
      </c>
      <c r="V272" s="342"/>
    </row>
    <row r="273" customHeight="1" spans="1:22">
      <c r="A273" s="343" t="s">
        <v>195</v>
      </c>
      <c r="B273" s="343">
        <v>100208</v>
      </c>
      <c r="C273" s="343" t="s">
        <v>529</v>
      </c>
      <c r="D273" s="344">
        <v>1</v>
      </c>
      <c r="E273" s="343"/>
      <c r="F273" s="345">
        <v>44804</v>
      </c>
      <c r="G273" s="345">
        <v>44804</v>
      </c>
      <c r="H273" s="343">
        <v>202209</v>
      </c>
      <c r="I273" s="344">
        <v>36</v>
      </c>
      <c r="J273" s="342">
        <v>0</v>
      </c>
      <c r="K273" s="346">
        <v>3892.92</v>
      </c>
      <c r="L273" s="346"/>
      <c r="M273" s="346"/>
      <c r="N273" s="346">
        <f t="shared" si="4"/>
        <v>3892.92</v>
      </c>
      <c r="O273" s="342">
        <v>0</v>
      </c>
      <c r="P273" s="347">
        <v>3698.27</v>
      </c>
      <c r="Q273" s="342">
        <v>194.65</v>
      </c>
      <c r="R273" s="342">
        <v>0</v>
      </c>
      <c r="S273" s="342">
        <v>194.65</v>
      </c>
      <c r="T273" s="341" t="s">
        <v>296</v>
      </c>
      <c r="U273" s="342">
        <v>66021201</v>
      </c>
      <c r="V273" s="342"/>
    </row>
    <row r="274" customHeight="1" spans="1:22">
      <c r="A274" s="343" t="s">
        <v>195</v>
      </c>
      <c r="B274" s="343">
        <v>100209</v>
      </c>
      <c r="C274" s="343" t="s">
        <v>529</v>
      </c>
      <c r="D274" s="344">
        <v>1</v>
      </c>
      <c r="E274" s="343"/>
      <c r="F274" s="345">
        <v>44804</v>
      </c>
      <c r="G274" s="345">
        <v>44804</v>
      </c>
      <c r="H274" s="343">
        <v>202209</v>
      </c>
      <c r="I274" s="344">
        <v>36</v>
      </c>
      <c r="J274" s="342">
        <v>0</v>
      </c>
      <c r="K274" s="346">
        <v>3892.92</v>
      </c>
      <c r="L274" s="346"/>
      <c r="M274" s="346"/>
      <c r="N274" s="346">
        <f t="shared" si="4"/>
        <v>3892.92</v>
      </c>
      <c r="O274" s="342">
        <v>0</v>
      </c>
      <c r="P274" s="347">
        <v>3698.27</v>
      </c>
      <c r="Q274" s="342">
        <v>194.65</v>
      </c>
      <c r="R274" s="342">
        <v>0</v>
      </c>
      <c r="S274" s="342">
        <v>194.65</v>
      </c>
      <c r="T274" s="341" t="s">
        <v>296</v>
      </c>
      <c r="U274" s="342">
        <v>66021201</v>
      </c>
      <c r="V274" s="342"/>
    </row>
    <row r="275" customHeight="1" spans="1:22">
      <c r="A275" s="343" t="s">
        <v>195</v>
      </c>
      <c r="B275" s="343">
        <v>100210</v>
      </c>
      <c r="C275" s="343" t="s">
        <v>529</v>
      </c>
      <c r="D275" s="344">
        <v>1</v>
      </c>
      <c r="E275" s="343"/>
      <c r="F275" s="345">
        <v>44804</v>
      </c>
      <c r="G275" s="345">
        <v>44804</v>
      </c>
      <c r="H275" s="343">
        <v>202209</v>
      </c>
      <c r="I275" s="344">
        <v>36</v>
      </c>
      <c r="J275" s="342">
        <v>0</v>
      </c>
      <c r="K275" s="346">
        <v>3892.92</v>
      </c>
      <c r="L275" s="346"/>
      <c r="M275" s="346"/>
      <c r="N275" s="346">
        <f t="shared" si="4"/>
        <v>3892.92</v>
      </c>
      <c r="O275" s="342">
        <v>0</v>
      </c>
      <c r="P275" s="347">
        <v>3698.27</v>
      </c>
      <c r="Q275" s="342">
        <v>194.65</v>
      </c>
      <c r="R275" s="342">
        <v>0</v>
      </c>
      <c r="S275" s="342">
        <v>194.65</v>
      </c>
      <c r="T275" s="341" t="s">
        <v>296</v>
      </c>
      <c r="U275" s="342">
        <v>66021201</v>
      </c>
      <c r="V275" s="342"/>
    </row>
    <row r="276" customHeight="1" spans="1:22">
      <c r="A276" s="343" t="s">
        <v>195</v>
      </c>
      <c r="B276" s="343">
        <v>100211</v>
      </c>
      <c r="C276" s="343" t="s">
        <v>530</v>
      </c>
      <c r="D276" s="344">
        <v>1</v>
      </c>
      <c r="E276" s="343"/>
      <c r="F276" s="345">
        <v>44805</v>
      </c>
      <c r="G276" s="345">
        <v>44805</v>
      </c>
      <c r="H276" s="343">
        <v>202210</v>
      </c>
      <c r="I276" s="344">
        <v>36</v>
      </c>
      <c r="J276" s="342">
        <v>0</v>
      </c>
      <c r="K276" s="346">
        <v>1193.81</v>
      </c>
      <c r="L276" s="346"/>
      <c r="M276" s="346"/>
      <c r="N276" s="346">
        <f t="shared" si="4"/>
        <v>1193.81</v>
      </c>
      <c r="O276" s="342">
        <v>0</v>
      </c>
      <c r="P276" s="347">
        <v>1134.12</v>
      </c>
      <c r="Q276" s="342">
        <v>59.69</v>
      </c>
      <c r="R276" s="342">
        <v>0</v>
      </c>
      <c r="S276" s="342">
        <v>59.69</v>
      </c>
      <c r="T276" s="341" t="s">
        <v>296</v>
      </c>
      <c r="U276" s="342">
        <v>66021201</v>
      </c>
      <c r="V276" s="342"/>
    </row>
    <row r="277" customHeight="1" spans="1:22">
      <c r="A277" s="343" t="s">
        <v>195</v>
      </c>
      <c r="B277" s="343">
        <v>100212</v>
      </c>
      <c r="C277" s="343" t="s">
        <v>531</v>
      </c>
      <c r="D277" s="344">
        <v>1</v>
      </c>
      <c r="E277" s="343"/>
      <c r="F277" s="345">
        <v>44798</v>
      </c>
      <c r="G277" s="345">
        <v>44798</v>
      </c>
      <c r="H277" s="343">
        <v>202209</v>
      </c>
      <c r="I277" s="344">
        <v>36</v>
      </c>
      <c r="J277" s="342">
        <v>0</v>
      </c>
      <c r="K277" s="346">
        <v>8485.84</v>
      </c>
      <c r="L277" s="346"/>
      <c r="M277" s="346"/>
      <c r="N277" s="346">
        <f t="shared" si="4"/>
        <v>8485.84</v>
      </c>
      <c r="O277" s="342">
        <v>0</v>
      </c>
      <c r="P277" s="347">
        <v>8061.55</v>
      </c>
      <c r="Q277" s="342">
        <v>424.29</v>
      </c>
      <c r="R277" s="342">
        <v>0</v>
      </c>
      <c r="S277" s="342">
        <v>424.29</v>
      </c>
      <c r="T277" s="341" t="s">
        <v>532</v>
      </c>
      <c r="U277" s="342">
        <v>66021201</v>
      </c>
      <c r="V277" s="342"/>
    </row>
    <row r="278" customHeight="1" spans="1:22">
      <c r="A278" s="343" t="s">
        <v>195</v>
      </c>
      <c r="B278" s="343">
        <v>100213</v>
      </c>
      <c r="C278" s="343" t="s">
        <v>533</v>
      </c>
      <c r="D278" s="344">
        <v>1</v>
      </c>
      <c r="E278" s="343"/>
      <c r="F278" s="345">
        <v>44788</v>
      </c>
      <c r="G278" s="345">
        <v>44788</v>
      </c>
      <c r="H278" s="343">
        <v>202209</v>
      </c>
      <c r="I278" s="344">
        <v>36</v>
      </c>
      <c r="J278" s="342">
        <v>0</v>
      </c>
      <c r="K278" s="346">
        <v>1946.02</v>
      </c>
      <c r="L278" s="346"/>
      <c r="M278" s="346"/>
      <c r="N278" s="346">
        <f t="shared" si="4"/>
        <v>1946.02</v>
      </c>
      <c r="O278" s="342">
        <v>0</v>
      </c>
      <c r="P278" s="347">
        <v>1848.72</v>
      </c>
      <c r="Q278" s="342">
        <v>97.3</v>
      </c>
      <c r="R278" s="342">
        <v>0</v>
      </c>
      <c r="S278" s="342">
        <v>97.3</v>
      </c>
      <c r="T278" s="341" t="s">
        <v>532</v>
      </c>
      <c r="U278" s="342">
        <v>66021201</v>
      </c>
      <c r="V278" s="342"/>
    </row>
    <row r="279" customHeight="1" spans="1:22">
      <c r="A279" s="343" t="s">
        <v>195</v>
      </c>
      <c r="B279" s="343">
        <v>100214</v>
      </c>
      <c r="C279" s="343" t="s">
        <v>534</v>
      </c>
      <c r="D279" s="344">
        <v>1</v>
      </c>
      <c r="E279" s="343"/>
      <c r="F279" s="345">
        <v>44843</v>
      </c>
      <c r="G279" s="345">
        <v>44843</v>
      </c>
      <c r="H279" s="343">
        <v>202211</v>
      </c>
      <c r="I279" s="344">
        <v>36</v>
      </c>
      <c r="J279" s="342">
        <v>0</v>
      </c>
      <c r="K279" s="346">
        <v>3325.66</v>
      </c>
      <c r="L279" s="346"/>
      <c r="M279" s="346"/>
      <c r="N279" s="346">
        <f t="shared" si="4"/>
        <v>3325.66</v>
      </c>
      <c r="O279" s="342">
        <v>0</v>
      </c>
      <c r="P279" s="347">
        <v>3159.38</v>
      </c>
      <c r="Q279" s="342">
        <v>166.28</v>
      </c>
      <c r="R279" s="342">
        <v>0</v>
      </c>
      <c r="S279" s="342">
        <v>166.28</v>
      </c>
      <c r="T279" s="341" t="s">
        <v>362</v>
      </c>
      <c r="U279" s="342">
        <v>5301010301</v>
      </c>
      <c r="V279" s="342"/>
    </row>
    <row r="280" customHeight="1" spans="1:22">
      <c r="A280" s="343" t="s">
        <v>195</v>
      </c>
      <c r="B280" s="343">
        <v>100215</v>
      </c>
      <c r="C280" s="343" t="s">
        <v>534</v>
      </c>
      <c r="D280" s="344">
        <v>1</v>
      </c>
      <c r="E280" s="343"/>
      <c r="F280" s="345">
        <v>44843</v>
      </c>
      <c r="G280" s="345">
        <v>44843</v>
      </c>
      <c r="H280" s="343">
        <v>202211</v>
      </c>
      <c r="I280" s="344">
        <v>36</v>
      </c>
      <c r="J280" s="342">
        <v>0</v>
      </c>
      <c r="K280" s="346">
        <v>3325.66</v>
      </c>
      <c r="L280" s="346"/>
      <c r="M280" s="346"/>
      <c r="N280" s="346">
        <f t="shared" si="4"/>
        <v>3325.66</v>
      </c>
      <c r="O280" s="342">
        <v>0</v>
      </c>
      <c r="P280" s="347">
        <v>3159.38</v>
      </c>
      <c r="Q280" s="342">
        <v>166.28</v>
      </c>
      <c r="R280" s="342">
        <v>0</v>
      </c>
      <c r="S280" s="342">
        <v>166.28</v>
      </c>
      <c r="T280" s="341" t="s">
        <v>362</v>
      </c>
      <c r="U280" s="342">
        <v>5301010301</v>
      </c>
      <c r="V280" s="342"/>
    </row>
    <row r="281" customHeight="1" spans="1:22">
      <c r="A281" s="343" t="s">
        <v>195</v>
      </c>
      <c r="B281" s="343">
        <v>100216</v>
      </c>
      <c r="C281" s="343" t="s">
        <v>534</v>
      </c>
      <c r="D281" s="344">
        <v>1</v>
      </c>
      <c r="E281" s="343"/>
      <c r="F281" s="345">
        <v>44843</v>
      </c>
      <c r="G281" s="345">
        <v>44843</v>
      </c>
      <c r="H281" s="343">
        <v>202211</v>
      </c>
      <c r="I281" s="344">
        <v>36</v>
      </c>
      <c r="J281" s="342">
        <v>0</v>
      </c>
      <c r="K281" s="346">
        <v>3325.66</v>
      </c>
      <c r="L281" s="346"/>
      <c r="M281" s="346"/>
      <c r="N281" s="346">
        <f t="shared" si="4"/>
        <v>3325.66</v>
      </c>
      <c r="O281" s="342">
        <v>0</v>
      </c>
      <c r="P281" s="347">
        <v>3159.38</v>
      </c>
      <c r="Q281" s="342">
        <v>166.28</v>
      </c>
      <c r="R281" s="342">
        <v>0</v>
      </c>
      <c r="S281" s="342">
        <v>166.28</v>
      </c>
      <c r="T281" s="341" t="s">
        <v>362</v>
      </c>
      <c r="U281" s="342">
        <v>5301010301</v>
      </c>
      <c r="V281" s="342"/>
    </row>
    <row r="282" customHeight="1" spans="1:22">
      <c r="A282" s="343" t="s">
        <v>195</v>
      </c>
      <c r="B282" s="343">
        <v>100217</v>
      </c>
      <c r="C282" s="343" t="s">
        <v>534</v>
      </c>
      <c r="D282" s="344">
        <v>1</v>
      </c>
      <c r="E282" s="343"/>
      <c r="F282" s="345">
        <v>44843</v>
      </c>
      <c r="G282" s="345">
        <v>44843</v>
      </c>
      <c r="H282" s="343">
        <v>202211</v>
      </c>
      <c r="I282" s="344">
        <v>36</v>
      </c>
      <c r="J282" s="342">
        <v>0</v>
      </c>
      <c r="K282" s="346">
        <v>3325.67</v>
      </c>
      <c r="L282" s="346"/>
      <c r="M282" s="346"/>
      <c r="N282" s="346">
        <f t="shared" si="4"/>
        <v>3325.67</v>
      </c>
      <c r="O282" s="342">
        <v>0</v>
      </c>
      <c r="P282" s="347">
        <v>3159.39</v>
      </c>
      <c r="Q282" s="342">
        <v>166.28</v>
      </c>
      <c r="R282" s="342">
        <v>0</v>
      </c>
      <c r="S282" s="342">
        <v>166.28</v>
      </c>
      <c r="T282" s="341" t="s">
        <v>362</v>
      </c>
      <c r="U282" s="342">
        <v>5301010301</v>
      </c>
      <c r="V282" s="342"/>
    </row>
    <row r="283" customHeight="1" spans="1:22">
      <c r="A283" s="343" t="s">
        <v>195</v>
      </c>
      <c r="B283" s="343">
        <v>100218</v>
      </c>
      <c r="C283" s="343" t="s">
        <v>534</v>
      </c>
      <c r="D283" s="344">
        <v>1</v>
      </c>
      <c r="E283" s="343"/>
      <c r="F283" s="345">
        <v>44843</v>
      </c>
      <c r="G283" s="345">
        <v>44843</v>
      </c>
      <c r="H283" s="343">
        <v>202211</v>
      </c>
      <c r="I283" s="344">
        <v>36</v>
      </c>
      <c r="J283" s="342">
        <v>0</v>
      </c>
      <c r="K283" s="346">
        <v>3641.59</v>
      </c>
      <c r="L283" s="346"/>
      <c r="M283" s="346"/>
      <c r="N283" s="346">
        <f t="shared" si="4"/>
        <v>3641.59</v>
      </c>
      <c r="O283" s="342">
        <v>0</v>
      </c>
      <c r="P283" s="347">
        <v>3459.51</v>
      </c>
      <c r="Q283" s="342">
        <v>182.08</v>
      </c>
      <c r="R283" s="342">
        <v>0</v>
      </c>
      <c r="S283" s="342">
        <v>182.08</v>
      </c>
      <c r="T283" s="341" t="s">
        <v>362</v>
      </c>
      <c r="U283" s="342">
        <v>5301010301</v>
      </c>
      <c r="V283" s="342"/>
    </row>
    <row r="284" customHeight="1" spans="1:22">
      <c r="A284" s="343" t="s">
        <v>195</v>
      </c>
      <c r="B284" s="343">
        <v>100219</v>
      </c>
      <c r="C284" s="343" t="s">
        <v>534</v>
      </c>
      <c r="D284" s="344">
        <v>1</v>
      </c>
      <c r="E284" s="343"/>
      <c r="F284" s="345">
        <v>44843</v>
      </c>
      <c r="G284" s="345">
        <v>44843</v>
      </c>
      <c r="H284" s="343">
        <v>202211</v>
      </c>
      <c r="I284" s="344">
        <v>36</v>
      </c>
      <c r="J284" s="342">
        <v>0</v>
      </c>
      <c r="K284" s="346">
        <v>3641.6</v>
      </c>
      <c r="L284" s="346"/>
      <c r="M284" s="346"/>
      <c r="N284" s="346">
        <f t="shared" si="4"/>
        <v>3641.6</v>
      </c>
      <c r="O284" s="342">
        <v>0</v>
      </c>
      <c r="P284" s="347">
        <v>3459.52</v>
      </c>
      <c r="Q284" s="342">
        <v>182.08</v>
      </c>
      <c r="R284" s="342">
        <v>0</v>
      </c>
      <c r="S284" s="342">
        <v>182.08</v>
      </c>
      <c r="T284" s="341" t="s">
        <v>362</v>
      </c>
      <c r="U284" s="342">
        <v>5301010301</v>
      </c>
      <c r="V284" s="342"/>
    </row>
    <row r="285" customHeight="1" spans="1:22">
      <c r="A285" s="343" t="s">
        <v>195</v>
      </c>
      <c r="B285" s="343">
        <v>100220</v>
      </c>
      <c r="C285" s="343" t="s">
        <v>535</v>
      </c>
      <c r="D285" s="344">
        <v>1</v>
      </c>
      <c r="E285" s="343"/>
      <c r="F285" s="345">
        <v>44848</v>
      </c>
      <c r="G285" s="345">
        <v>44848</v>
      </c>
      <c r="H285" s="343">
        <v>202211</v>
      </c>
      <c r="I285" s="344">
        <v>36</v>
      </c>
      <c r="J285" s="342">
        <v>0</v>
      </c>
      <c r="K285" s="346">
        <v>4424.77</v>
      </c>
      <c r="L285" s="346"/>
      <c r="M285" s="346"/>
      <c r="N285" s="346">
        <f t="shared" si="4"/>
        <v>4424.77</v>
      </c>
      <c r="O285" s="342">
        <v>0</v>
      </c>
      <c r="P285" s="347">
        <v>4203.53</v>
      </c>
      <c r="Q285" s="342">
        <v>221.24</v>
      </c>
      <c r="R285" s="342">
        <v>0</v>
      </c>
      <c r="S285" s="342">
        <v>221.24</v>
      </c>
      <c r="T285" s="341" t="s">
        <v>362</v>
      </c>
      <c r="U285" s="342">
        <v>5301010301</v>
      </c>
      <c r="V285" s="342"/>
    </row>
    <row r="286" customHeight="1" spans="1:22">
      <c r="A286" s="343" t="s">
        <v>195</v>
      </c>
      <c r="B286" s="343">
        <v>100221</v>
      </c>
      <c r="C286" s="343" t="s">
        <v>535</v>
      </c>
      <c r="D286" s="344">
        <v>1</v>
      </c>
      <c r="E286" s="343"/>
      <c r="F286" s="345">
        <v>44848</v>
      </c>
      <c r="G286" s="345">
        <v>44848</v>
      </c>
      <c r="H286" s="343">
        <v>202211</v>
      </c>
      <c r="I286" s="344">
        <v>36</v>
      </c>
      <c r="J286" s="342">
        <v>0</v>
      </c>
      <c r="K286" s="346">
        <v>4424.77</v>
      </c>
      <c r="L286" s="346"/>
      <c r="M286" s="346"/>
      <c r="N286" s="346">
        <f t="shared" si="4"/>
        <v>4424.77</v>
      </c>
      <c r="O286" s="342">
        <v>0</v>
      </c>
      <c r="P286" s="347">
        <v>4203.53</v>
      </c>
      <c r="Q286" s="342">
        <v>221.24</v>
      </c>
      <c r="R286" s="342">
        <v>0</v>
      </c>
      <c r="S286" s="342">
        <v>221.24</v>
      </c>
      <c r="T286" s="341" t="s">
        <v>362</v>
      </c>
      <c r="U286" s="342">
        <v>5301010301</v>
      </c>
      <c r="V286" s="342"/>
    </row>
    <row r="287" customHeight="1" spans="1:22">
      <c r="A287" s="343" t="s">
        <v>195</v>
      </c>
      <c r="B287" s="343">
        <v>100222</v>
      </c>
      <c r="C287" s="343" t="s">
        <v>535</v>
      </c>
      <c r="D287" s="344">
        <v>1</v>
      </c>
      <c r="E287" s="343"/>
      <c r="F287" s="345">
        <v>44848</v>
      </c>
      <c r="G287" s="345">
        <v>44848</v>
      </c>
      <c r="H287" s="343">
        <v>202211</v>
      </c>
      <c r="I287" s="344">
        <v>36</v>
      </c>
      <c r="J287" s="342">
        <v>0</v>
      </c>
      <c r="K287" s="346">
        <v>4424.77</v>
      </c>
      <c r="L287" s="346"/>
      <c r="M287" s="346"/>
      <c r="N287" s="346">
        <f t="shared" si="4"/>
        <v>4424.77</v>
      </c>
      <c r="O287" s="342">
        <v>0</v>
      </c>
      <c r="P287" s="347">
        <v>4203.53</v>
      </c>
      <c r="Q287" s="342">
        <v>221.24</v>
      </c>
      <c r="R287" s="342">
        <v>0</v>
      </c>
      <c r="S287" s="342">
        <v>221.24</v>
      </c>
      <c r="T287" s="341" t="s">
        <v>362</v>
      </c>
      <c r="U287" s="342">
        <v>5301010301</v>
      </c>
      <c r="V287" s="342"/>
    </row>
    <row r="288" customHeight="1" spans="1:22">
      <c r="A288" s="343" t="s">
        <v>195</v>
      </c>
      <c r="B288" s="343">
        <v>100223</v>
      </c>
      <c r="C288" s="343" t="s">
        <v>535</v>
      </c>
      <c r="D288" s="344">
        <v>1</v>
      </c>
      <c r="E288" s="343"/>
      <c r="F288" s="345">
        <v>44848</v>
      </c>
      <c r="G288" s="345">
        <v>44848</v>
      </c>
      <c r="H288" s="343">
        <v>202211</v>
      </c>
      <c r="I288" s="344">
        <v>36</v>
      </c>
      <c r="J288" s="342">
        <v>0</v>
      </c>
      <c r="K288" s="346">
        <v>4424.77</v>
      </c>
      <c r="L288" s="346"/>
      <c r="M288" s="346"/>
      <c r="N288" s="346">
        <f t="shared" si="4"/>
        <v>4424.77</v>
      </c>
      <c r="O288" s="342">
        <v>0</v>
      </c>
      <c r="P288" s="347">
        <v>4203.53</v>
      </c>
      <c r="Q288" s="342">
        <v>221.24</v>
      </c>
      <c r="R288" s="342">
        <v>0</v>
      </c>
      <c r="S288" s="342">
        <v>221.24</v>
      </c>
      <c r="T288" s="341" t="s">
        <v>362</v>
      </c>
      <c r="U288" s="342">
        <v>5301010301</v>
      </c>
      <c r="V288" s="342"/>
    </row>
    <row r="289" customHeight="1" spans="1:22">
      <c r="A289" s="343" t="s">
        <v>195</v>
      </c>
      <c r="B289" s="343">
        <v>100224</v>
      </c>
      <c r="C289" s="343" t="s">
        <v>535</v>
      </c>
      <c r="D289" s="344">
        <v>1</v>
      </c>
      <c r="E289" s="343"/>
      <c r="F289" s="345">
        <v>44848</v>
      </c>
      <c r="G289" s="345">
        <v>44848</v>
      </c>
      <c r="H289" s="343">
        <v>202211</v>
      </c>
      <c r="I289" s="344">
        <v>36</v>
      </c>
      <c r="J289" s="342">
        <v>0</v>
      </c>
      <c r="K289" s="346">
        <v>4424.81</v>
      </c>
      <c r="L289" s="346"/>
      <c r="M289" s="346"/>
      <c r="N289" s="346">
        <f t="shared" si="4"/>
        <v>4424.81</v>
      </c>
      <c r="O289" s="342">
        <v>0</v>
      </c>
      <c r="P289" s="347">
        <v>4203.57</v>
      </c>
      <c r="Q289" s="342">
        <v>221.24</v>
      </c>
      <c r="R289" s="342">
        <v>0</v>
      </c>
      <c r="S289" s="342">
        <v>221.24</v>
      </c>
      <c r="T289" s="341" t="s">
        <v>362</v>
      </c>
      <c r="U289" s="342">
        <v>5301010301</v>
      </c>
      <c r="V289" s="342"/>
    </row>
    <row r="290" customHeight="1" spans="1:22">
      <c r="A290" s="343" t="s">
        <v>195</v>
      </c>
      <c r="B290" s="343">
        <v>100225</v>
      </c>
      <c r="C290" s="343" t="s">
        <v>536</v>
      </c>
      <c r="D290" s="344">
        <v>1</v>
      </c>
      <c r="E290" s="343"/>
      <c r="F290" s="345">
        <v>44880</v>
      </c>
      <c r="G290" s="345">
        <v>44880</v>
      </c>
      <c r="H290" s="343">
        <v>202212</v>
      </c>
      <c r="I290" s="344">
        <v>36</v>
      </c>
      <c r="J290" s="342">
        <v>0</v>
      </c>
      <c r="K290" s="346">
        <v>530.09</v>
      </c>
      <c r="L290" s="346"/>
      <c r="M290" s="346"/>
      <c r="N290" s="346">
        <f t="shared" si="4"/>
        <v>530.09</v>
      </c>
      <c r="O290" s="342">
        <v>0</v>
      </c>
      <c r="P290" s="347">
        <v>503.59</v>
      </c>
      <c r="Q290" s="342">
        <v>26.5</v>
      </c>
      <c r="R290" s="342">
        <v>0</v>
      </c>
      <c r="S290" s="342">
        <v>26.5</v>
      </c>
      <c r="T290" s="341" t="s">
        <v>532</v>
      </c>
      <c r="U290" s="342">
        <v>66021201</v>
      </c>
      <c r="V290" s="342"/>
    </row>
    <row r="291" customHeight="1" spans="1:22">
      <c r="A291" s="343" t="s">
        <v>195</v>
      </c>
      <c r="B291" s="343">
        <v>100226</v>
      </c>
      <c r="C291" s="343" t="s">
        <v>537</v>
      </c>
      <c r="D291" s="344">
        <v>1</v>
      </c>
      <c r="E291" s="343"/>
      <c r="F291" s="345">
        <v>44875</v>
      </c>
      <c r="G291" s="345">
        <v>44875</v>
      </c>
      <c r="H291" s="343">
        <v>202212</v>
      </c>
      <c r="I291" s="344">
        <v>36</v>
      </c>
      <c r="J291" s="342">
        <v>0</v>
      </c>
      <c r="K291" s="346">
        <v>4202.65</v>
      </c>
      <c r="L291" s="346"/>
      <c r="M291" s="346"/>
      <c r="N291" s="346">
        <f t="shared" si="4"/>
        <v>4202.65</v>
      </c>
      <c r="O291" s="342">
        <v>0</v>
      </c>
      <c r="P291" s="347">
        <v>3992.52</v>
      </c>
      <c r="Q291" s="342">
        <v>210.13</v>
      </c>
      <c r="R291" s="342">
        <v>0</v>
      </c>
      <c r="S291" s="342">
        <v>210.13</v>
      </c>
      <c r="T291" s="341" t="s">
        <v>362</v>
      </c>
      <c r="U291" s="342">
        <v>66021201</v>
      </c>
      <c r="V291" s="342"/>
    </row>
    <row r="292" customHeight="1" spans="1:22">
      <c r="A292" s="343" t="s">
        <v>195</v>
      </c>
      <c r="B292" s="343">
        <v>100227</v>
      </c>
      <c r="C292" s="343" t="s">
        <v>534</v>
      </c>
      <c r="D292" s="344">
        <v>1</v>
      </c>
      <c r="E292" s="343"/>
      <c r="F292" s="345">
        <v>44901</v>
      </c>
      <c r="G292" s="345">
        <v>44901</v>
      </c>
      <c r="H292" s="343">
        <v>202301</v>
      </c>
      <c r="I292" s="344">
        <v>36</v>
      </c>
      <c r="J292" s="342">
        <v>0</v>
      </c>
      <c r="K292" s="346">
        <v>1211.5</v>
      </c>
      <c r="L292" s="346"/>
      <c r="M292" s="346"/>
      <c r="N292" s="346">
        <f t="shared" si="4"/>
        <v>1211.5</v>
      </c>
      <c r="O292" s="342">
        <v>0</v>
      </c>
      <c r="P292" s="347">
        <v>1150.92</v>
      </c>
      <c r="Q292" s="342">
        <v>60.58</v>
      </c>
      <c r="R292" s="342">
        <v>0</v>
      </c>
      <c r="S292" s="342">
        <v>60.58</v>
      </c>
      <c r="T292" s="341" t="s">
        <v>362</v>
      </c>
      <c r="U292" s="342">
        <v>5301010301</v>
      </c>
      <c r="V292" s="342"/>
    </row>
    <row r="293" customHeight="1" spans="1:22">
      <c r="A293" s="343" t="s">
        <v>195</v>
      </c>
      <c r="B293" s="343">
        <v>100228</v>
      </c>
      <c r="C293" s="343" t="s">
        <v>538</v>
      </c>
      <c r="D293" s="344">
        <v>1</v>
      </c>
      <c r="E293" s="343"/>
      <c r="F293" s="345">
        <v>44907</v>
      </c>
      <c r="G293" s="345">
        <v>44907</v>
      </c>
      <c r="H293" s="343">
        <v>202301</v>
      </c>
      <c r="I293" s="344">
        <v>36</v>
      </c>
      <c r="J293" s="342">
        <v>0</v>
      </c>
      <c r="K293" s="346">
        <v>2085</v>
      </c>
      <c r="L293" s="346"/>
      <c r="M293" s="346"/>
      <c r="N293" s="346">
        <f t="shared" si="4"/>
        <v>2085</v>
      </c>
      <c r="O293" s="342">
        <v>0</v>
      </c>
      <c r="P293" s="347">
        <v>1980.75</v>
      </c>
      <c r="Q293" s="342">
        <v>104.25</v>
      </c>
      <c r="R293" s="342">
        <v>0</v>
      </c>
      <c r="S293" s="342">
        <v>104.25</v>
      </c>
      <c r="T293" s="341" t="s">
        <v>362</v>
      </c>
      <c r="U293" s="342">
        <v>5301010301</v>
      </c>
      <c r="V293" s="342"/>
    </row>
    <row r="294" customHeight="1" spans="1:22">
      <c r="A294" s="343" t="s">
        <v>195</v>
      </c>
      <c r="B294" s="343">
        <v>100229</v>
      </c>
      <c r="C294" s="343" t="s">
        <v>538</v>
      </c>
      <c r="D294" s="344">
        <v>1</v>
      </c>
      <c r="E294" s="343"/>
      <c r="F294" s="345">
        <v>44907</v>
      </c>
      <c r="G294" s="345">
        <v>44907</v>
      </c>
      <c r="H294" s="343">
        <v>202301</v>
      </c>
      <c r="I294" s="344">
        <v>36</v>
      </c>
      <c r="J294" s="342">
        <v>0</v>
      </c>
      <c r="K294" s="346">
        <v>2085</v>
      </c>
      <c r="L294" s="346"/>
      <c r="M294" s="346"/>
      <c r="N294" s="346">
        <f t="shared" si="4"/>
        <v>2085</v>
      </c>
      <c r="O294" s="342">
        <v>0</v>
      </c>
      <c r="P294" s="347">
        <v>1980.75</v>
      </c>
      <c r="Q294" s="342">
        <v>104.25</v>
      </c>
      <c r="R294" s="342">
        <v>0</v>
      </c>
      <c r="S294" s="342">
        <v>104.25</v>
      </c>
      <c r="T294" s="341" t="s">
        <v>362</v>
      </c>
      <c r="U294" s="342">
        <v>5301010301</v>
      </c>
      <c r="V294" s="342"/>
    </row>
    <row r="295" customHeight="1" spans="1:22">
      <c r="A295" s="343" t="s">
        <v>195</v>
      </c>
      <c r="B295" s="343">
        <v>100230</v>
      </c>
      <c r="C295" s="343" t="s">
        <v>539</v>
      </c>
      <c r="D295" s="344">
        <v>1</v>
      </c>
      <c r="E295" s="343"/>
      <c r="F295" s="345">
        <v>44904</v>
      </c>
      <c r="G295" s="345">
        <v>44904</v>
      </c>
      <c r="H295" s="343">
        <v>202301</v>
      </c>
      <c r="I295" s="344">
        <v>36</v>
      </c>
      <c r="J295" s="342">
        <v>0</v>
      </c>
      <c r="K295" s="346">
        <v>1620</v>
      </c>
      <c r="L295" s="346"/>
      <c r="M295" s="346"/>
      <c r="N295" s="346">
        <f t="shared" si="4"/>
        <v>1620</v>
      </c>
      <c r="O295" s="342">
        <v>0</v>
      </c>
      <c r="P295" s="347">
        <v>1539</v>
      </c>
      <c r="Q295" s="342">
        <v>81</v>
      </c>
      <c r="R295" s="342">
        <v>0</v>
      </c>
      <c r="S295" s="342">
        <v>81</v>
      </c>
      <c r="T295" s="341" t="s">
        <v>362</v>
      </c>
      <c r="U295" s="342">
        <v>5301010301</v>
      </c>
      <c r="V295" s="342"/>
    </row>
    <row r="296" customHeight="1" spans="1:22">
      <c r="A296" s="343" t="s">
        <v>195</v>
      </c>
      <c r="B296" s="343">
        <v>100231</v>
      </c>
      <c r="C296" s="343" t="s">
        <v>539</v>
      </c>
      <c r="D296" s="344">
        <v>1</v>
      </c>
      <c r="E296" s="343"/>
      <c r="F296" s="345">
        <v>44904</v>
      </c>
      <c r="G296" s="345">
        <v>44904</v>
      </c>
      <c r="H296" s="343">
        <v>202301</v>
      </c>
      <c r="I296" s="344">
        <v>36</v>
      </c>
      <c r="J296" s="342">
        <v>0</v>
      </c>
      <c r="K296" s="346">
        <v>1620</v>
      </c>
      <c r="L296" s="346"/>
      <c r="M296" s="346"/>
      <c r="N296" s="346">
        <f t="shared" si="4"/>
        <v>1620</v>
      </c>
      <c r="O296" s="342">
        <v>0</v>
      </c>
      <c r="P296" s="347">
        <v>1539</v>
      </c>
      <c r="Q296" s="342">
        <v>81</v>
      </c>
      <c r="R296" s="342">
        <v>0</v>
      </c>
      <c r="S296" s="342">
        <v>81</v>
      </c>
      <c r="T296" s="341" t="s">
        <v>362</v>
      </c>
      <c r="U296" s="342">
        <v>5301010301</v>
      </c>
      <c r="V296" s="342"/>
    </row>
    <row r="297" customHeight="1" spans="1:22">
      <c r="A297" s="343" t="s">
        <v>195</v>
      </c>
      <c r="B297" s="343">
        <v>100232</v>
      </c>
      <c r="C297" s="343" t="s">
        <v>540</v>
      </c>
      <c r="D297" s="344">
        <v>1</v>
      </c>
      <c r="E297" s="343"/>
      <c r="F297" s="345">
        <v>44902</v>
      </c>
      <c r="G297" s="345">
        <v>44902</v>
      </c>
      <c r="H297" s="343">
        <v>202301</v>
      </c>
      <c r="I297" s="344">
        <v>36</v>
      </c>
      <c r="J297" s="342">
        <v>0</v>
      </c>
      <c r="K297" s="346">
        <v>629</v>
      </c>
      <c r="L297" s="346"/>
      <c r="M297" s="346"/>
      <c r="N297" s="346">
        <f t="shared" si="4"/>
        <v>629</v>
      </c>
      <c r="O297" s="342">
        <v>0</v>
      </c>
      <c r="P297" s="347">
        <v>597.55</v>
      </c>
      <c r="Q297" s="342">
        <v>31.45</v>
      </c>
      <c r="R297" s="342">
        <v>0</v>
      </c>
      <c r="S297" s="342">
        <v>31.45</v>
      </c>
      <c r="T297" s="341" t="s">
        <v>362</v>
      </c>
      <c r="U297" s="342">
        <v>5301010301</v>
      </c>
      <c r="V297" s="342"/>
    </row>
    <row r="298" customHeight="1" spans="1:22">
      <c r="A298" s="343" t="s">
        <v>195</v>
      </c>
      <c r="B298" s="343">
        <v>100233</v>
      </c>
      <c r="C298" s="343" t="s">
        <v>541</v>
      </c>
      <c r="D298" s="344">
        <v>1</v>
      </c>
      <c r="E298" s="343"/>
      <c r="F298" s="345">
        <v>44937</v>
      </c>
      <c r="G298" s="345">
        <v>44937</v>
      </c>
      <c r="H298" s="343">
        <v>202302</v>
      </c>
      <c r="I298" s="344">
        <v>36</v>
      </c>
      <c r="J298" s="342">
        <v>0</v>
      </c>
      <c r="K298" s="346">
        <v>7078.76</v>
      </c>
      <c r="L298" s="346"/>
      <c r="M298" s="346"/>
      <c r="N298" s="346">
        <f t="shared" si="4"/>
        <v>7078.76</v>
      </c>
      <c r="O298" s="342">
        <v>186.8</v>
      </c>
      <c r="P298" s="347">
        <v>6724.82</v>
      </c>
      <c r="Q298" s="342">
        <v>353.94</v>
      </c>
      <c r="R298" s="342">
        <v>0</v>
      </c>
      <c r="S298" s="342">
        <v>353.94</v>
      </c>
      <c r="T298" s="341" t="s">
        <v>296</v>
      </c>
      <c r="U298" s="342">
        <v>66021201</v>
      </c>
      <c r="V298" s="342"/>
    </row>
    <row r="299" customHeight="1" spans="1:22">
      <c r="A299" s="343" t="s">
        <v>195</v>
      </c>
      <c r="B299" s="343">
        <v>100234</v>
      </c>
      <c r="C299" s="343" t="s">
        <v>542</v>
      </c>
      <c r="D299" s="344">
        <v>1</v>
      </c>
      <c r="E299" s="343"/>
      <c r="F299" s="345">
        <v>44946</v>
      </c>
      <c r="G299" s="345">
        <v>44946</v>
      </c>
      <c r="H299" s="343">
        <v>202302</v>
      </c>
      <c r="I299" s="344">
        <v>36</v>
      </c>
      <c r="J299" s="342">
        <v>0</v>
      </c>
      <c r="K299" s="346">
        <v>4884.96</v>
      </c>
      <c r="L299" s="346"/>
      <c r="M299" s="346"/>
      <c r="N299" s="346">
        <f t="shared" si="4"/>
        <v>4884.96</v>
      </c>
      <c r="O299" s="342">
        <v>128.9</v>
      </c>
      <c r="P299" s="347">
        <v>4640.71</v>
      </c>
      <c r="Q299" s="342">
        <v>244.25</v>
      </c>
      <c r="R299" s="342">
        <v>0</v>
      </c>
      <c r="S299" s="342">
        <v>244.25</v>
      </c>
      <c r="T299" s="341" t="s">
        <v>296</v>
      </c>
      <c r="U299" s="342">
        <v>66021201</v>
      </c>
      <c r="V299" s="342"/>
    </row>
    <row r="300" customHeight="1" spans="1:22">
      <c r="A300" s="343" t="s">
        <v>195</v>
      </c>
      <c r="B300" s="343">
        <v>100235</v>
      </c>
      <c r="C300" s="343" t="s">
        <v>543</v>
      </c>
      <c r="D300" s="344">
        <v>1</v>
      </c>
      <c r="E300" s="343"/>
      <c r="F300" s="345">
        <v>44977</v>
      </c>
      <c r="G300" s="345">
        <v>44977</v>
      </c>
      <c r="H300" s="343">
        <v>202303</v>
      </c>
      <c r="I300" s="344">
        <v>36</v>
      </c>
      <c r="J300" s="342">
        <v>0</v>
      </c>
      <c r="K300" s="346">
        <v>1513.27</v>
      </c>
      <c r="L300" s="346"/>
      <c r="M300" s="346"/>
      <c r="N300" s="346">
        <f t="shared" si="4"/>
        <v>1513.27</v>
      </c>
      <c r="O300" s="342">
        <v>79.87</v>
      </c>
      <c r="P300" s="347">
        <v>1437.61</v>
      </c>
      <c r="Q300" s="342">
        <v>75.66</v>
      </c>
      <c r="R300" s="342">
        <v>0</v>
      </c>
      <c r="S300" s="342">
        <v>75.66</v>
      </c>
      <c r="T300" s="341" t="s">
        <v>362</v>
      </c>
      <c r="U300" s="342">
        <v>66021201</v>
      </c>
      <c r="V300" s="342"/>
    </row>
    <row r="301" customHeight="1" spans="1:22">
      <c r="A301" s="343" t="s">
        <v>195</v>
      </c>
      <c r="B301" s="343">
        <v>100236</v>
      </c>
      <c r="C301" s="343" t="s">
        <v>543</v>
      </c>
      <c r="D301" s="344">
        <v>1</v>
      </c>
      <c r="E301" s="343"/>
      <c r="F301" s="345">
        <v>44977</v>
      </c>
      <c r="G301" s="345">
        <v>44977</v>
      </c>
      <c r="H301" s="343">
        <v>202303</v>
      </c>
      <c r="I301" s="344">
        <v>36</v>
      </c>
      <c r="J301" s="342">
        <v>0</v>
      </c>
      <c r="K301" s="346">
        <v>1513.27</v>
      </c>
      <c r="L301" s="346"/>
      <c r="M301" s="346"/>
      <c r="N301" s="346">
        <f t="shared" si="4"/>
        <v>1513.27</v>
      </c>
      <c r="O301" s="342">
        <v>79.87</v>
      </c>
      <c r="P301" s="347">
        <v>1437.61</v>
      </c>
      <c r="Q301" s="342">
        <v>75.66</v>
      </c>
      <c r="R301" s="342">
        <v>0</v>
      </c>
      <c r="S301" s="342">
        <v>75.66</v>
      </c>
      <c r="T301" s="341" t="s">
        <v>362</v>
      </c>
      <c r="U301" s="342">
        <v>66021201</v>
      </c>
      <c r="V301" s="342"/>
    </row>
    <row r="302" customHeight="1" spans="1:22">
      <c r="A302" s="343" t="s">
        <v>195</v>
      </c>
      <c r="B302" s="343">
        <v>100237</v>
      </c>
      <c r="C302" s="343" t="s">
        <v>543</v>
      </c>
      <c r="D302" s="344">
        <v>1</v>
      </c>
      <c r="E302" s="343"/>
      <c r="F302" s="345">
        <v>44977</v>
      </c>
      <c r="G302" s="345">
        <v>44977</v>
      </c>
      <c r="H302" s="343">
        <v>202303</v>
      </c>
      <c r="I302" s="344">
        <v>36</v>
      </c>
      <c r="J302" s="342">
        <v>0</v>
      </c>
      <c r="K302" s="346">
        <v>1513.27</v>
      </c>
      <c r="L302" s="346"/>
      <c r="M302" s="346"/>
      <c r="N302" s="346">
        <f t="shared" si="4"/>
        <v>1513.27</v>
      </c>
      <c r="O302" s="342">
        <v>79.87</v>
      </c>
      <c r="P302" s="347">
        <v>1437.61</v>
      </c>
      <c r="Q302" s="342">
        <v>75.66</v>
      </c>
      <c r="R302" s="342">
        <v>0</v>
      </c>
      <c r="S302" s="342">
        <v>75.66</v>
      </c>
      <c r="T302" s="341" t="s">
        <v>362</v>
      </c>
      <c r="U302" s="342">
        <v>66021201</v>
      </c>
      <c r="V302" s="342"/>
    </row>
    <row r="303" customHeight="1" spans="1:22">
      <c r="A303" s="343" t="s">
        <v>195</v>
      </c>
      <c r="B303" s="343">
        <v>100238</v>
      </c>
      <c r="C303" s="343" t="s">
        <v>543</v>
      </c>
      <c r="D303" s="344">
        <v>1</v>
      </c>
      <c r="E303" s="343"/>
      <c r="F303" s="345">
        <v>44977</v>
      </c>
      <c r="G303" s="345">
        <v>44977</v>
      </c>
      <c r="H303" s="343">
        <v>202303</v>
      </c>
      <c r="I303" s="344">
        <v>36</v>
      </c>
      <c r="J303" s="342">
        <v>0</v>
      </c>
      <c r="K303" s="346">
        <v>1513.27</v>
      </c>
      <c r="L303" s="346"/>
      <c r="M303" s="346"/>
      <c r="N303" s="346">
        <f t="shared" si="4"/>
        <v>1513.27</v>
      </c>
      <c r="O303" s="342">
        <v>79.87</v>
      </c>
      <c r="P303" s="347">
        <v>1437.61</v>
      </c>
      <c r="Q303" s="342">
        <v>75.66</v>
      </c>
      <c r="R303" s="342">
        <v>0</v>
      </c>
      <c r="S303" s="342">
        <v>75.66</v>
      </c>
      <c r="T303" s="341" t="s">
        <v>362</v>
      </c>
      <c r="U303" s="342">
        <v>66021201</v>
      </c>
      <c r="V303" s="342"/>
    </row>
    <row r="304" customHeight="1" spans="1:22">
      <c r="A304" s="343" t="s">
        <v>195</v>
      </c>
      <c r="B304" s="343">
        <v>100239</v>
      </c>
      <c r="C304" s="343" t="s">
        <v>543</v>
      </c>
      <c r="D304" s="344">
        <v>1</v>
      </c>
      <c r="E304" s="343"/>
      <c r="F304" s="345">
        <v>44977</v>
      </c>
      <c r="G304" s="345">
        <v>44977</v>
      </c>
      <c r="H304" s="343">
        <v>202303</v>
      </c>
      <c r="I304" s="344">
        <v>36</v>
      </c>
      <c r="J304" s="342">
        <v>0</v>
      </c>
      <c r="K304" s="346">
        <v>1513.27</v>
      </c>
      <c r="L304" s="346"/>
      <c r="M304" s="346"/>
      <c r="N304" s="346">
        <f t="shared" si="4"/>
        <v>1513.27</v>
      </c>
      <c r="O304" s="342">
        <v>79.87</v>
      </c>
      <c r="P304" s="347">
        <v>1437.61</v>
      </c>
      <c r="Q304" s="342">
        <v>75.66</v>
      </c>
      <c r="R304" s="342">
        <v>0</v>
      </c>
      <c r="S304" s="342">
        <v>75.66</v>
      </c>
      <c r="T304" s="341" t="s">
        <v>362</v>
      </c>
      <c r="U304" s="342">
        <v>66021201</v>
      </c>
      <c r="V304" s="342"/>
    </row>
    <row r="305" customHeight="1" spans="1:22">
      <c r="A305" s="343" t="s">
        <v>195</v>
      </c>
      <c r="B305" s="343">
        <v>100240</v>
      </c>
      <c r="C305" s="343" t="s">
        <v>543</v>
      </c>
      <c r="D305" s="344">
        <v>1</v>
      </c>
      <c r="E305" s="343"/>
      <c r="F305" s="345">
        <v>44977</v>
      </c>
      <c r="G305" s="345">
        <v>44977</v>
      </c>
      <c r="H305" s="343">
        <v>202303</v>
      </c>
      <c r="I305" s="344">
        <v>36</v>
      </c>
      <c r="J305" s="342">
        <v>0</v>
      </c>
      <c r="K305" s="346">
        <v>1513.3</v>
      </c>
      <c r="L305" s="346"/>
      <c r="M305" s="346"/>
      <c r="N305" s="346">
        <f t="shared" si="4"/>
        <v>1513.3</v>
      </c>
      <c r="O305" s="342">
        <v>79.87</v>
      </c>
      <c r="P305" s="347">
        <v>1437.63</v>
      </c>
      <c r="Q305" s="342">
        <v>75.67</v>
      </c>
      <c r="R305" s="342">
        <v>0</v>
      </c>
      <c r="S305" s="342">
        <v>75.67</v>
      </c>
      <c r="T305" s="341" t="s">
        <v>362</v>
      </c>
      <c r="U305" s="342">
        <v>66021201</v>
      </c>
      <c r="V305" s="342"/>
    </row>
    <row r="306" customHeight="1" spans="1:22">
      <c r="A306" s="343" t="s">
        <v>195</v>
      </c>
      <c r="B306" s="343">
        <v>100241</v>
      </c>
      <c r="C306" s="343" t="s">
        <v>543</v>
      </c>
      <c r="D306" s="344">
        <v>1</v>
      </c>
      <c r="E306" s="343"/>
      <c r="F306" s="345">
        <v>44977</v>
      </c>
      <c r="G306" s="345">
        <v>44977</v>
      </c>
      <c r="H306" s="343">
        <v>202303</v>
      </c>
      <c r="I306" s="344">
        <v>36</v>
      </c>
      <c r="J306" s="342">
        <v>0</v>
      </c>
      <c r="K306" s="346">
        <v>849.56</v>
      </c>
      <c r="L306" s="346"/>
      <c r="M306" s="346"/>
      <c r="N306" s="346">
        <f t="shared" si="4"/>
        <v>849.56</v>
      </c>
      <c r="O306" s="342">
        <v>44.83</v>
      </c>
      <c r="P306" s="347">
        <v>807.08</v>
      </c>
      <c r="Q306" s="342">
        <v>42.48</v>
      </c>
      <c r="R306" s="342">
        <v>0</v>
      </c>
      <c r="S306" s="342">
        <v>42.48</v>
      </c>
      <c r="T306" s="341" t="s">
        <v>362</v>
      </c>
      <c r="U306" s="342">
        <v>66021201</v>
      </c>
      <c r="V306" s="342"/>
    </row>
    <row r="307" customHeight="1" spans="1:22">
      <c r="A307" s="343" t="s">
        <v>195</v>
      </c>
      <c r="B307" s="343">
        <v>100242</v>
      </c>
      <c r="C307" s="343" t="s">
        <v>543</v>
      </c>
      <c r="D307" s="344">
        <v>1</v>
      </c>
      <c r="E307" s="343"/>
      <c r="F307" s="345">
        <v>44977</v>
      </c>
      <c r="G307" s="345">
        <v>44977</v>
      </c>
      <c r="H307" s="343">
        <v>202303</v>
      </c>
      <c r="I307" s="344">
        <v>36</v>
      </c>
      <c r="J307" s="342">
        <v>0</v>
      </c>
      <c r="K307" s="346">
        <v>849.56</v>
      </c>
      <c r="L307" s="346"/>
      <c r="M307" s="346"/>
      <c r="N307" s="346">
        <f t="shared" si="4"/>
        <v>849.56</v>
      </c>
      <c r="O307" s="342">
        <v>44.83</v>
      </c>
      <c r="P307" s="347">
        <v>807.08</v>
      </c>
      <c r="Q307" s="342">
        <v>42.48</v>
      </c>
      <c r="R307" s="342">
        <v>0</v>
      </c>
      <c r="S307" s="342">
        <v>42.48</v>
      </c>
      <c r="T307" s="341" t="s">
        <v>362</v>
      </c>
      <c r="U307" s="342">
        <v>66021201</v>
      </c>
      <c r="V307" s="342"/>
    </row>
    <row r="308" customHeight="1" spans="1:22">
      <c r="A308" s="343" t="s">
        <v>195</v>
      </c>
      <c r="B308" s="343">
        <v>100243</v>
      </c>
      <c r="C308" s="343" t="s">
        <v>543</v>
      </c>
      <c r="D308" s="344">
        <v>1</v>
      </c>
      <c r="E308" s="343"/>
      <c r="F308" s="345">
        <v>44977</v>
      </c>
      <c r="G308" s="345">
        <v>44977</v>
      </c>
      <c r="H308" s="343">
        <v>202303</v>
      </c>
      <c r="I308" s="344">
        <v>36</v>
      </c>
      <c r="J308" s="342">
        <v>0</v>
      </c>
      <c r="K308" s="346">
        <v>849.56</v>
      </c>
      <c r="L308" s="346"/>
      <c r="M308" s="346"/>
      <c r="N308" s="346">
        <f t="shared" si="4"/>
        <v>849.56</v>
      </c>
      <c r="O308" s="342">
        <v>44.83</v>
      </c>
      <c r="P308" s="347">
        <v>807.08</v>
      </c>
      <c r="Q308" s="342">
        <v>42.48</v>
      </c>
      <c r="R308" s="342">
        <v>0</v>
      </c>
      <c r="S308" s="342">
        <v>42.48</v>
      </c>
      <c r="T308" s="341" t="s">
        <v>362</v>
      </c>
      <c r="U308" s="342">
        <v>66021201</v>
      </c>
      <c r="V308" s="342"/>
    </row>
    <row r="309" customHeight="1" spans="1:22">
      <c r="A309" s="343" t="s">
        <v>195</v>
      </c>
      <c r="B309" s="343">
        <v>100244</v>
      </c>
      <c r="C309" s="343" t="s">
        <v>543</v>
      </c>
      <c r="D309" s="344">
        <v>1</v>
      </c>
      <c r="E309" s="343"/>
      <c r="F309" s="345">
        <v>44977</v>
      </c>
      <c r="G309" s="345">
        <v>44977</v>
      </c>
      <c r="H309" s="343">
        <v>202303</v>
      </c>
      <c r="I309" s="344">
        <v>36</v>
      </c>
      <c r="J309" s="342">
        <v>0</v>
      </c>
      <c r="K309" s="346">
        <v>849.56</v>
      </c>
      <c r="L309" s="346"/>
      <c r="M309" s="346"/>
      <c r="N309" s="346">
        <f t="shared" si="4"/>
        <v>849.56</v>
      </c>
      <c r="O309" s="342">
        <v>44.83</v>
      </c>
      <c r="P309" s="347">
        <v>807.08</v>
      </c>
      <c r="Q309" s="342">
        <v>42.48</v>
      </c>
      <c r="R309" s="342">
        <v>0</v>
      </c>
      <c r="S309" s="342">
        <v>42.48</v>
      </c>
      <c r="T309" s="341" t="s">
        <v>362</v>
      </c>
      <c r="U309" s="342">
        <v>66021201</v>
      </c>
      <c r="V309" s="342"/>
    </row>
    <row r="310" customHeight="1" spans="1:22">
      <c r="A310" s="343" t="s">
        <v>195</v>
      </c>
      <c r="B310" s="343">
        <v>100245</v>
      </c>
      <c r="C310" s="343" t="s">
        <v>543</v>
      </c>
      <c r="D310" s="344">
        <v>1</v>
      </c>
      <c r="E310" s="343"/>
      <c r="F310" s="345">
        <v>44977</v>
      </c>
      <c r="G310" s="345">
        <v>44977</v>
      </c>
      <c r="H310" s="343">
        <v>202303</v>
      </c>
      <c r="I310" s="344">
        <v>36</v>
      </c>
      <c r="J310" s="342">
        <v>0</v>
      </c>
      <c r="K310" s="346">
        <v>849.56</v>
      </c>
      <c r="L310" s="346"/>
      <c r="M310" s="346"/>
      <c r="N310" s="346">
        <f t="shared" si="4"/>
        <v>849.56</v>
      </c>
      <c r="O310" s="342">
        <v>44.83</v>
      </c>
      <c r="P310" s="347">
        <v>807.08</v>
      </c>
      <c r="Q310" s="342">
        <v>42.48</v>
      </c>
      <c r="R310" s="342">
        <v>0</v>
      </c>
      <c r="S310" s="342">
        <v>42.48</v>
      </c>
      <c r="T310" s="341" t="s">
        <v>362</v>
      </c>
      <c r="U310" s="342">
        <v>66021201</v>
      </c>
      <c r="V310" s="342"/>
    </row>
    <row r="311" customHeight="1" spans="1:22">
      <c r="A311" s="343" t="s">
        <v>195</v>
      </c>
      <c r="B311" s="343">
        <v>100246</v>
      </c>
      <c r="C311" s="343" t="s">
        <v>543</v>
      </c>
      <c r="D311" s="344">
        <v>1</v>
      </c>
      <c r="E311" s="343"/>
      <c r="F311" s="345">
        <v>44977</v>
      </c>
      <c r="G311" s="345">
        <v>44977</v>
      </c>
      <c r="H311" s="343">
        <v>202303</v>
      </c>
      <c r="I311" s="344">
        <v>36</v>
      </c>
      <c r="J311" s="342">
        <v>0</v>
      </c>
      <c r="K311" s="346">
        <v>849.56</v>
      </c>
      <c r="L311" s="346"/>
      <c r="M311" s="346"/>
      <c r="N311" s="346">
        <f t="shared" si="4"/>
        <v>849.56</v>
      </c>
      <c r="O311" s="342">
        <v>44.83</v>
      </c>
      <c r="P311" s="347">
        <v>807.08</v>
      </c>
      <c r="Q311" s="342">
        <v>42.48</v>
      </c>
      <c r="R311" s="342">
        <v>0</v>
      </c>
      <c r="S311" s="342">
        <v>42.48</v>
      </c>
      <c r="T311" s="341" t="s">
        <v>362</v>
      </c>
      <c r="U311" s="342">
        <v>66021201</v>
      </c>
      <c r="V311" s="342"/>
    </row>
    <row r="312" customHeight="1" spans="1:22">
      <c r="A312" s="343" t="s">
        <v>195</v>
      </c>
      <c r="B312" s="343">
        <v>100247</v>
      </c>
      <c r="C312" s="343" t="s">
        <v>543</v>
      </c>
      <c r="D312" s="344">
        <v>1</v>
      </c>
      <c r="E312" s="343"/>
      <c r="F312" s="345">
        <v>44977</v>
      </c>
      <c r="G312" s="345">
        <v>44977</v>
      </c>
      <c r="H312" s="343">
        <v>202303</v>
      </c>
      <c r="I312" s="344">
        <v>36</v>
      </c>
      <c r="J312" s="342">
        <v>0</v>
      </c>
      <c r="K312" s="346">
        <v>849.56</v>
      </c>
      <c r="L312" s="346"/>
      <c r="M312" s="346"/>
      <c r="N312" s="346">
        <f t="shared" si="4"/>
        <v>849.56</v>
      </c>
      <c r="O312" s="342">
        <v>44.83</v>
      </c>
      <c r="P312" s="347">
        <v>807.08</v>
      </c>
      <c r="Q312" s="342">
        <v>42.48</v>
      </c>
      <c r="R312" s="342">
        <v>0</v>
      </c>
      <c r="S312" s="342">
        <v>42.48</v>
      </c>
      <c r="T312" s="341" t="s">
        <v>362</v>
      </c>
      <c r="U312" s="342">
        <v>66021201</v>
      </c>
      <c r="V312" s="342"/>
    </row>
    <row r="313" customHeight="1" spans="1:22">
      <c r="A313" s="343" t="s">
        <v>195</v>
      </c>
      <c r="B313" s="343">
        <v>100248</v>
      </c>
      <c r="C313" s="343" t="s">
        <v>543</v>
      </c>
      <c r="D313" s="344">
        <v>1</v>
      </c>
      <c r="E313" s="343"/>
      <c r="F313" s="345">
        <v>44977</v>
      </c>
      <c r="G313" s="345">
        <v>44977</v>
      </c>
      <c r="H313" s="343">
        <v>202303</v>
      </c>
      <c r="I313" s="344">
        <v>36</v>
      </c>
      <c r="J313" s="342">
        <v>0</v>
      </c>
      <c r="K313" s="346">
        <v>849.54</v>
      </c>
      <c r="L313" s="346"/>
      <c r="M313" s="346"/>
      <c r="N313" s="346">
        <f t="shared" si="4"/>
        <v>849.54</v>
      </c>
      <c r="O313" s="342">
        <v>44.83</v>
      </c>
      <c r="P313" s="347">
        <v>807.06</v>
      </c>
      <c r="Q313" s="342">
        <v>42.48</v>
      </c>
      <c r="R313" s="342">
        <v>0</v>
      </c>
      <c r="S313" s="342">
        <v>42.48</v>
      </c>
      <c r="T313" s="341" t="s">
        <v>362</v>
      </c>
      <c r="U313" s="342">
        <v>66021201</v>
      </c>
      <c r="V313" s="342"/>
    </row>
    <row r="314" customHeight="1" spans="1:22">
      <c r="A314" s="343" t="s">
        <v>195</v>
      </c>
      <c r="B314" s="343">
        <v>100249</v>
      </c>
      <c r="C314" s="343" t="s">
        <v>544</v>
      </c>
      <c r="D314" s="344">
        <v>1</v>
      </c>
      <c r="E314" s="343"/>
      <c r="F314" s="345">
        <v>44959</v>
      </c>
      <c r="G314" s="345">
        <v>44959</v>
      </c>
      <c r="H314" s="343">
        <v>202303</v>
      </c>
      <c r="I314" s="344">
        <v>36</v>
      </c>
      <c r="J314" s="342">
        <v>0</v>
      </c>
      <c r="K314" s="346">
        <v>9291.15</v>
      </c>
      <c r="L314" s="346"/>
      <c r="M314" s="346"/>
      <c r="N314" s="346">
        <f t="shared" si="4"/>
        <v>9291.15</v>
      </c>
      <c r="O314" s="342">
        <v>490.37</v>
      </c>
      <c r="P314" s="347">
        <v>8826.59</v>
      </c>
      <c r="Q314" s="342">
        <v>464.56</v>
      </c>
      <c r="R314" s="342">
        <v>0</v>
      </c>
      <c r="S314" s="342">
        <v>464.56</v>
      </c>
      <c r="T314" s="341" t="s">
        <v>362</v>
      </c>
      <c r="U314" s="342">
        <v>66021201</v>
      </c>
      <c r="V314" s="342"/>
    </row>
    <row r="315" customHeight="1" spans="1:22">
      <c r="A315" s="343" t="s">
        <v>195</v>
      </c>
      <c r="B315" s="343">
        <v>100250</v>
      </c>
      <c r="C315" s="343" t="s">
        <v>545</v>
      </c>
      <c r="D315" s="344">
        <v>1</v>
      </c>
      <c r="E315" s="343"/>
      <c r="F315" s="345">
        <v>44988</v>
      </c>
      <c r="G315" s="345">
        <v>44988</v>
      </c>
      <c r="H315" s="343">
        <v>202304</v>
      </c>
      <c r="I315" s="344">
        <v>36</v>
      </c>
      <c r="J315" s="342">
        <v>0</v>
      </c>
      <c r="K315" s="346">
        <v>4423.89</v>
      </c>
      <c r="L315" s="346"/>
      <c r="M315" s="346"/>
      <c r="N315" s="346">
        <f t="shared" si="4"/>
        <v>4423.89</v>
      </c>
      <c r="O315" s="342">
        <v>350.23</v>
      </c>
      <c r="P315" s="347">
        <v>4202.7</v>
      </c>
      <c r="Q315" s="342">
        <v>221.19</v>
      </c>
      <c r="R315" s="342">
        <v>0</v>
      </c>
      <c r="S315" s="342">
        <v>221.19</v>
      </c>
      <c r="T315" s="341" t="s">
        <v>362</v>
      </c>
      <c r="U315" s="342">
        <v>66021201</v>
      </c>
      <c r="V315" s="342"/>
    </row>
    <row r="316" customHeight="1" spans="1:22">
      <c r="A316" s="343" t="s">
        <v>195</v>
      </c>
      <c r="B316" s="343">
        <v>100251</v>
      </c>
      <c r="C316" s="343" t="s">
        <v>545</v>
      </c>
      <c r="D316" s="344">
        <v>1</v>
      </c>
      <c r="E316" s="343"/>
      <c r="F316" s="345">
        <v>44988</v>
      </c>
      <c r="G316" s="345">
        <v>44988</v>
      </c>
      <c r="H316" s="343">
        <v>202304</v>
      </c>
      <c r="I316" s="344">
        <v>36</v>
      </c>
      <c r="J316" s="342">
        <v>0</v>
      </c>
      <c r="K316" s="346">
        <v>4423.89</v>
      </c>
      <c r="L316" s="346"/>
      <c r="M316" s="346"/>
      <c r="N316" s="346">
        <f t="shared" si="4"/>
        <v>4423.89</v>
      </c>
      <c r="O316" s="342">
        <v>350.23</v>
      </c>
      <c r="P316" s="347">
        <v>4202.7</v>
      </c>
      <c r="Q316" s="342">
        <v>221.19</v>
      </c>
      <c r="R316" s="342">
        <v>0</v>
      </c>
      <c r="S316" s="342">
        <v>221.19</v>
      </c>
      <c r="T316" s="341" t="s">
        <v>546</v>
      </c>
      <c r="U316" s="342">
        <v>66021201</v>
      </c>
      <c r="V316" s="342"/>
    </row>
    <row r="317" customHeight="1" spans="1:22">
      <c r="A317" s="343" t="s">
        <v>195</v>
      </c>
      <c r="B317" s="343">
        <v>100252</v>
      </c>
      <c r="C317" s="343" t="s">
        <v>545</v>
      </c>
      <c r="D317" s="344">
        <v>1</v>
      </c>
      <c r="E317" s="343"/>
      <c r="F317" s="345">
        <v>44988</v>
      </c>
      <c r="G317" s="345">
        <v>44988</v>
      </c>
      <c r="H317" s="343">
        <v>202304</v>
      </c>
      <c r="I317" s="344">
        <v>36</v>
      </c>
      <c r="J317" s="342">
        <v>0</v>
      </c>
      <c r="K317" s="346">
        <v>4423.89</v>
      </c>
      <c r="L317" s="346"/>
      <c r="M317" s="346"/>
      <c r="N317" s="346">
        <f t="shared" si="4"/>
        <v>4423.89</v>
      </c>
      <c r="O317" s="342">
        <v>350.23</v>
      </c>
      <c r="P317" s="347">
        <v>4202.7</v>
      </c>
      <c r="Q317" s="342">
        <v>221.19</v>
      </c>
      <c r="R317" s="342">
        <v>0</v>
      </c>
      <c r="S317" s="342">
        <v>221.19</v>
      </c>
      <c r="T317" s="341" t="s">
        <v>532</v>
      </c>
      <c r="U317" s="342">
        <v>66011201</v>
      </c>
      <c r="V317" s="342"/>
    </row>
    <row r="318" customHeight="1" spans="1:22">
      <c r="A318" s="343" t="s">
        <v>195</v>
      </c>
      <c r="B318" s="343">
        <v>100253</v>
      </c>
      <c r="C318" s="343" t="s">
        <v>545</v>
      </c>
      <c r="D318" s="344">
        <v>1</v>
      </c>
      <c r="E318" s="343"/>
      <c r="F318" s="345">
        <v>44988</v>
      </c>
      <c r="G318" s="345">
        <v>44988</v>
      </c>
      <c r="H318" s="343">
        <v>202304</v>
      </c>
      <c r="I318" s="344">
        <v>36</v>
      </c>
      <c r="J318" s="342">
        <v>0</v>
      </c>
      <c r="K318" s="346">
        <v>4423.89</v>
      </c>
      <c r="L318" s="346"/>
      <c r="M318" s="346"/>
      <c r="N318" s="346">
        <f t="shared" si="4"/>
        <v>4423.89</v>
      </c>
      <c r="O318" s="342">
        <v>350.23</v>
      </c>
      <c r="P318" s="347">
        <v>4202.7</v>
      </c>
      <c r="Q318" s="342">
        <v>221.19</v>
      </c>
      <c r="R318" s="342">
        <v>0</v>
      </c>
      <c r="S318" s="342">
        <v>221.19</v>
      </c>
      <c r="T318" s="341" t="s">
        <v>546</v>
      </c>
      <c r="U318" s="342">
        <v>66011201</v>
      </c>
      <c r="V318" s="342"/>
    </row>
    <row r="319" customHeight="1" spans="1:22">
      <c r="A319" s="343" t="s">
        <v>195</v>
      </c>
      <c r="B319" s="343">
        <v>100254</v>
      </c>
      <c r="C319" s="343" t="s">
        <v>545</v>
      </c>
      <c r="D319" s="344">
        <v>1</v>
      </c>
      <c r="E319" s="343"/>
      <c r="F319" s="345">
        <v>44988</v>
      </c>
      <c r="G319" s="345">
        <v>44988</v>
      </c>
      <c r="H319" s="343">
        <v>202304</v>
      </c>
      <c r="I319" s="344">
        <v>36</v>
      </c>
      <c r="J319" s="342">
        <v>0</v>
      </c>
      <c r="K319" s="346">
        <v>4423.91</v>
      </c>
      <c r="L319" s="346"/>
      <c r="M319" s="346"/>
      <c r="N319" s="346">
        <f t="shared" si="4"/>
        <v>4423.91</v>
      </c>
      <c r="O319" s="342">
        <v>350.23</v>
      </c>
      <c r="P319" s="347">
        <v>4202.71</v>
      </c>
      <c r="Q319" s="342">
        <v>221.2</v>
      </c>
      <c r="R319" s="342">
        <v>0</v>
      </c>
      <c r="S319" s="342">
        <v>221.2</v>
      </c>
      <c r="T319" s="341" t="s">
        <v>296</v>
      </c>
      <c r="U319" s="342">
        <v>66021201</v>
      </c>
      <c r="V319" s="342"/>
    </row>
    <row r="320" customHeight="1" spans="1:22">
      <c r="A320" s="343" t="s">
        <v>195</v>
      </c>
      <c r="B320" s="343">
        <v>100255</v>
      </c>
      <c r="C320" s="343" t="s">
        <v>547</v>
      </c>
      <c r="D320" s="344">
        <v>1</v>
      </c>
      <c r="E320" s="343"/>
      <c r="F320" s="345">
        <v>44996</v>
      </c>
      <c r="G320" s="345">
        <v>44996</v>
      </c>
      <c r="H320" s="343">
        <v>202304</v>
      </c>
      <c r="I320" s="344">
        <v>36</v>
      </c>
      <c r="J320" s="342">
        <v>0</v>
      </c>
      <c r="K320" s="346">
        <v>3984.42</v>
      </c>
      <c r="L320" s="346"/>
      <c r="M320" s="346"/>
      <c r="N320" s="346">
        <f t="shared" si="4"/>
        <v>3984.42</v>
      </c>
      <c r="O320" s="342">
        <v>315.43</v>
      </c>
      <c r="P320" s="347">
        <v>3785.2</v>
      </c>
      <c r="Q320" s="342">
        <v>199.22</v>
      </c>
      <c r="R320" s="342">
        <v>0</v>
      </c>
      <c r="S320" s="342">
        <v>199.22</v>
      </c>
      <c r="T320" s="341" t="s">
        <v>296</v>
      </c>
      <c r="U320" s="342">
        <v>66021201</v>
      </c>
      <c r="V320" s="342"/>
    </row>
    <row r="321" customHeight="1" spans="1:22">
      <c r="A321" s="343" t="s">
        <v>195</v>
      </c>
      <c r="B321" s="343">
        <v>100256</v>
      </c>
      <c r="C321" s="343" t="s">
        <v>548</v>
      </c>
      <c r="D321" s="344">
        <v>1</v>
      </c>
      <c r="E321" s="343"/>
      <c r="F321" s="345">
        <v>45028</v>
      </c>
      <c r="G321" s="345">
        <v>45028</v>
      </c>
      <c r="H321" s="343">
        <v>202305</v>
      </c>
      <c r="I321" s="344">
        <v>36</v>
      </c>
      <c r="J321" s="342">
        <v>0</v>
      </c>
      <c r="K321" s="346">
        <v>1149.56</v>
      </c>
      <c r="L321" s="346"/>
      <c r="M321" s="346"/>
      <c r="N321" s="346">
        <f t="shared" si="4"/>
        <v>1149.56</v>
      </c>
      <c r="O321" s="342">
        <v>121.34</v>
      </c>
      <c r="P321" s="347">
        <v>1092.08</v>
      </c>
      <c r="Q321" s="342">
        <v>57.48</v>
      </c>
      <c r="R321" s="342">
        <v>0</v>
      </c>
      <c r="S321" s="342">
        <v>57.48</v>
      </c>
      <c r="T321" s="341" t="s">
        <v>362</v>
      </c>
      <c r="U321" s="342">
        <v>66021201</v>
      </c>
      <c r="V321" s="342"/>
    </row>
    <row r="322" customHeight="1" spans="1:22">
      <c r="A322" s="343" t="s">
        <v>195</v>
      </c>
      <c r="B322" s="343">
        <v>100257</v>
      </c>
      <c r="C322" s="343" t="s">
        <v>549</v>
      </c>
      <c r="D322" s="344">
        <v>1</v>
      </c>
      <c r="E322" s="343"/>
      <c r="F322" s="345">
        <v>45033</v>
      </c>
      <c r="G322" s="345">
        <v>45033</v>
      </c>
      <c r="H322" s="343">
        <v>202305</v>
      </c>
      <c r="I322" s="344">
        <v>36</v>
      </c>
      <c r="J322" s="342">
        <v>0</v>
      </c>
      <c r="K322" s="346">
        <v>5929.2</v>
      </c>
      <c r="L322" s="346"/>
      <c r="M322" s="346"/>
      <c r="N322" s="346">
        <f t="shared" si="4"/>
        <v>5929.2</v>
      </c>
      <c r="O322" s="342">
        <v>625.86</v>
      </c>
      <c r="P322" s="347">
        <v>5632.74</v>
      </c>
      <c r="Q322" s="342">
        <v>296.46</v>
      </c>
      <c r="R322" s="342">
        <v>0</v>
      </c>
      <c r="S322" s="342">
        <v>296.46</v>
      </c>
      <c r="T322" s="341" t="s">
        <v>550</v>
      </c>
      <c r="U322" s="342">
        <v>66011201</v>
      </c>
      <c r="V322" s="342"/>
    </row>
    <row r="323" customHeight="1" spans="1:22">
      <c r="A323" s="343" t="s">
        <v>195</v>
      </c>
      <c r="B323" s="343">
        <v>100258</v>
      </c>
      <c r="C323" s="343" t="s">
        <v>544</v>
      </c>
      <c r="D323" s="344">
        <v>1</v>
      </c>
      <c r="E323" s="343"/>
      <c r="F323" s="345">
        <v>45020</v>
      </c>
      <c r="G323" s="345">
        <v>45020</v>
      </c>
      <c r="H323" s="343">
        <v>202305</v>
      </c>
      <c r="I323" s="344">
        <v>36</v>
      </c>
      <c r="J323" s="342">
        <v>0</v>
      </c>
      <c r="K323" s="346">
        <v>4689.38</v>
      </c>
      <c r="L323" s="346"/>
      <c r="M323" s="346"/>
      <c r="N323" s="346">
        <f t="shared" ref="N323:N386" si="5">K323+L323-M323</f>
        <v>4689.38</v>
      </c>
      <c r="O323" s="342">
        <v>494.98</v>
      </c>
      <c r="P323" s="347">
        <v>4454.91</v>
      </c>
      <c r="Q323" s="342">
        <v>234.47</v>
      </c>
      <c r="R323" s="342">
        <v>0</v>
      </c>
      <c r="S323" s="342">
        <v>234.47</v>
      </c>
      <c r="T323" s="341" t="s">
        <v>546</v>
      </c>
      <c r="U323" s="342">
        <v>66011201</v>
      </c>
      <c r="V323" s="342"/>
    </row>
    <row r="324" customHeight="1" spans="1:22">
      <c r="A324" s="343" t="s">
        <v>195</v>
      </c>
      <c r="B324" s="343">
        <v>100259</v>
      </c>
      <c r="C324" s="343" t="s">
        <v>544</v>
      </c>
      <c r="D324" s="344">
        <v>1</v>
      </c>
      <c r="E324" s="343"/>
      <c r="F324" s="345">
        <v>45020</v>
      </c>
      <c r="G324" s="345">
        <v>45020</v>
      </c>
      <c r="H324" s="343">
        <v>202305</v>
      </c>
      <c r="I324" s="344">
        <v>36</v>
      </c>
      <c r="J324" s="342">
        <v>0</v>
      </c>
      <c r="K324" s="346">
        <v>4689.38</v>
      </c>
      <c r="L324" s="346"/>
      <c r="M324" s="346"/>
      <c r="N324" s="346">
        <f t="shared" si="5"/>
        <v>4689.38</v>
      </c>
      <c r="O324" s="342">
        <v>494.98</v>
      </c>
      <c r="P324" s="347">
        <v>4454.91</v>
      </c>
      <c r="Q324" s="342">
        <v>234.47</v>
      </c>
      <c r="R324" s="342">
        <v>0</v>
      </c>
      <c r="S324" s="342">
        <v>234.47</v>
      </c>
      <c r="T324" s="341" t="s">
        <v>532</v>
      </c>
      <c r="U324" s="342">
        <v>5301010301</v>
      </c>
      <c r="V324" s="342"/>
    </row>
    <row r="325" customHeight="1" spans="1:22">
      <c r="A325" s="343" t="s">
        <v>195</v>
      </c>
      <c r="B325" s="343">
        <v>100260</v>
      </c>
      <c r="C325" s="343" t="s">
        <v>544</v>
      </c>
      <c r="D325" s="344">
        <v>1</v>
      </c>
      <c r="E325" s="343"/>
      <c r="F325" s="345">
        <v>45020</v>
      </c>
      <c r="G325" s="345">
        <v>45020</v>
      </c>
      <c r="H325" s="343">
        <v>202305</v>
      </c>
      <c r="I325" s="344">
        <v>36</v>
      </c>
      <c r="J325" s="342">
        <v>0</v>
      </c>
      <c r="K325" s="346">
        <v>4689.38</v>
      </c>
      <c r="L325" s="346"/>
      <c r="M325" s="346"/>
      <c r="N325" s="346">
        <f t="shared" si="5"/>
        <v>4689.38</v>
      </c>
      <c r="O325" s="342">
        <v>494.98</v>
      </c>
      <c r="P325" s="347">
        <v>4454.91</v>
      </c>
      <c r="Q325" s="342">
        <v>234.47</v>
      </c>
      <c r="R325" s="342">
        <v>0</v>
      </c>
      <c r="S325" s="342">
        <v>234.47</v>
      </c>
      <c r="T325" s="341" t="s">
        <v>362</v>
      </c>
      <c r="U325" s="342">
        <v>66021201</v>
      </c>
      <c r="V325" s="342"/>
    </row>
    <row r="326" customHeight="1" spans="1:22">
      <c r="A326" s="343" t="s">
        <v>195</v>
      </c>
      <c r="B326" s="343">
        <v>100261</v>
      </c>
      <c r="C326" s="343" t="s">
        <v>551</v>
      </c>
      <c r="D326" s="344">
        <v>1</v>
      </c>
      <c r="E326" s="343"/>
      <c r="F326" s="345">
        <v>45047</v>
      </c>
      <c r="G326" s="345">
        <v>45047</v>
      </c>
      <c r="H326" s="343">
        <v>202306</v>
      </c>
      <c r="I326" s="344">
        <v>36</v>
      </c>
      <c r="J326" s="342">
        <v>1</v>
      </c>
      <c r="K326" s="346">
        <v>3085</v>
      </c>
      <c r="L326" s="346"/>
      <c r="M326" s="346"/>
      <c r="N326" s="346">
        <f t="shared" si="5"/>
        <v>3085</v>
      </c>
      <c r="O326" s="342">
        <v>325.64</v>
      </c>
      <c r="P326" s="347">
        <v>2849.35</v>
      </c>
      <c r="Q326" s="342">
        <v>235.65</v>
      </c>
      <c r="R326" s="342">
        <v>0</v>
      </c>
      <c r="S326" s="342">
        <v>235.65</v>
      </c>
      <c r="T326" s="341" t="s">
        <v>532</v>
      </c>
      <c r="U326" s="342">
        <v>66011201</v>
      </c>
      <c r="V326" s="342"/>
    </row>
    <row r="327" customHeight="1" spans="1:22">
      <c r="A327" s="343" t="s">
        <v>195</v>
      </c>
      <c r="B327" s="343">
        <v>100262</v>
      </c>
      <c r="C327" s="343" t="s">
        <v>552</v>
      </c>
      <c r="D327" s="344">
        <v>1</v>
      </c>
      <c r="E327" s="343"/>
      <c r="F327" s="345">
        <v>45040</v>
      </c>
      <c r="G327" s="345">
        <v>45040</v>
      </c>
      <c r="H327" s="343">
        <v>202305</v>
      </c>
      <c r="I327" s="344">
        <v>36</v>
      </c>
      <c r="J327" s="342">
        <v>0</v>
      </c>
      <c r="K327" s="346">
        <v>1108</v>
      </c>
      <c r="L327" s="346"/>
      <c r="M327" s="346"/>
      <c r="N327" s="346">
        <f t="shared" si="5"/>
        <v>1108</v>
      </c>
      <c r="O327" s="342">
        <v>116.94</v>
      </c>
      <c r="P327" s="347">
        <v>1052.6</v>
      </c>
      <c r="Q327" s="342">
        <v>55.4</v>
      </c>
      <c r="R327" s="342">
        <v>0</v>
      </c>
      <c r="S327" s="342">
        <v>55.4</v>
      </c>
      <c r="T327" s="341" t="s">
        <v>532</v>
      </c>
      <c r="U327" s="342">
        <v>66011201</v>
      </c>
      <c r="V327" s="342"/>
    </row>
    <row r="328" customHeight="1" spans="1:22">
      <c r="A328" s="343" t="s">
        <v>195</v>
      </c>
      <c r="B328" s="343">
        <v>100264</v>
      </c>
      <c r="C328" s="343" t="s">
        <v>553</v>
      </c>
      <c r="D328" s="344">
        <v>1</v>
      </c>
      <c r="E328" s="343"/>
      <c r="F328" s="345">
        <v>45057</v>
      </c>
      <c r="G328" s="345">
        <v>45057</v>
      </c>
      <c r="H328" s="343">
        <v>202306</v>
      </c>
      <c r="I328" s="344">
        <v>36</v>
      </c>
      <c r="J328" s="342">
        <v>1</v>
      </c>
      <c r="K328" s="346">
        <v>1184.96</v>
      </c>
      <c r="L328" s="346"/>
      <c r="M328" s="346"/>
      <c r="N328" s="346">
        <f t="shared" si="5"/>
        <v>1184.96</v>
      </c>
      <c r="O328" s="342">
        <v>125.08</v>
      </c>
      <c r="P328" s="347">
        <v>1094.45</v>
      </c>
      <c r="Q328" s="342">
        <v>90.51</v>
      </c>
      <c r="R328" s="342">
        <v>0</v>
      </c>
      <c r="S328" s="342">
        <v>90.51</v>
      </c>
      <c r="T328" s="341" t="s">
        <v>296</v>
      </c>
      <c r="U328" s="342">
        <v>66021201</v>
      </c>
      <c r="V328" s="342"/>
    </row>
    <row r="329" customHeight="1" spans="1:22">
      <c r="A329" s="343" t="s">
        <v>195</v>
      </c>
      <c r="B329" s="343">
        <v>100265</v>
      </c>
      <c r="C329" s="343" t="s">
        <v>554</v>
      </c>
      <c r="D329" s="344">
        <v>1</v>
      </c>
      <c r="E329" s="343"/>
      <c r="F329" s="345">
        <v>45054</v>
      </c>
      <c r="G329" s="345">
        <v>45054</v>
      </c>
      <c r="H329" s="343">
        <v>202306</v>
      </c>
      <c r="I329" s="344">
        <v>36</v>
      </c>
      <c r="J329" s="342">
        <v>1</v>
      </c>
      <c r="K329" s="346">
        <v>7167.26</v>
      </c>
      <c r="L329" s="346"/>
      <c r="M329" s="346"/>
      <c r="N329" s="346">
        <f t="shared" si="5"/>
        <v>7167.26</v>
      </c>
      <c r="O329" s="342">
        <v>756.54</v>
      </c>
      <c r="P329" s="347">
        <v>6619.77</v>
      </c>
      <c r="Q329" s="342">
        <v>547.49</v>
      </c>
      <c r="R329" s="342">
        <v>0</v>
      </c>
      <c r="S329" s="342">
        <v>547.49</v>
      </c>
      <c r="T329" s="341" t="s">
        <v>550</v>
      </c>
      <c r="U329" s="342">
        <v>66011201</v>
      </c>
      <c r="V329" s="342"/>
    </row>
    <row r="330" customHeight="1" spans="1:22">
      <c r="A330" s="343" t="s">
        <v>195</v>
      </c>
      <c r="B330" s="343">
        <v>100266</v>
      </c>
      <c r="C330" s="343" t="s">
        <v>555</v>
      </c>
      <c r="D330" s="344">
        <v>1</v>
      </c>
      <c r="E330" s="343"/>
      <c r="F330" s="345">
        <v>45044</v>
      </c>
      <c r="G330" s="345">
        <v>45044</v>
      </c>
      <c r="H330" s="343">
        <v>202305</v>
      </c>
      <c r="I330" s="344">
        <v>36</v>
      </c>
      <c r="J330" s="342">
        <v>0</v>
      </c>
      <c r="K330" s="346">
        <v>3167.33</v>
      </c>
      <c r="L330" s="346"/>
      <c r="M330" s="346"/>
      <c r="N330" s="346">
        <f t="shared" si="5"/>
        <v>3167.33</v>
      </c>
      <c r="O330" s="342">
        <v>334.34</v>
      </c>
      <c r="P330" s="347">
        <v>3008.96</v>
      </c>
      <c r="Q330" s="342">
        <v>158.37</v>
      </c>
      <c r="R330" s="342">
        <v>0</v>
      </c>
      <c r="S330" s="342">
        <v>158.37</v>
      </c>
      <c r="T330" s="341" t="s">
        <v>296</v>
      </c>
      <c r="U330" s="342">
        <v>66021201</v>
      </c>
      <c r="V330" s="342"/>
    </row>
    <row r="331" customHeight="1" spans="1:22">
      <c r="A331" s="343" t="s">
        <v>195</v>
      </c>
      <c r="B331" s="343">
        <v>100267</v>
      </c>
      <c r="C331" s="343" t="s">
        <v>556</v>
      </c>
      <c r="D331" s="344">
        <v>1</v>
      </c>
      <c r="E331" s="343"/>
      <c r="F331" s="345">
        <v>45044</v>
      </c>
      <c r="G331" s="345">
        <v>45044</v>
      </c>
      <c r="H331" s="343">
        <v>202305</v>
      </c>
      <c r="I331" s="344">
        <v>36</v>
      </c>
      <c r="J331" s="342">
        <v>0</v>
      </c>
      <c r="K331" s="346">
        <v>2969.31</v>
      </c>
      <c r="L331" s="346"/>
      <c r="M331" s="346"/>
      <c r="N331" s="346">
        <f t="shared" si="5"/>
        <v>2969.31</v>
      </c>
      <c r="O331" s="342">
        <v>313.42</v>
      </c>
      <c r="P331" s="347">
        <v>2820.84</v>
      </c>
      <c r="Q331" s="342">
        <v>148.47</v>
      </c>
      <c r="R331" s="342">
        <v>0</v>
      </c>
      <c r="S331" s="342">
        <v>148.47</v>
      </c>
      <c r="T331" s="341" t="s">
        <v>296</v>
      </c>
      <c r="U331" s="342">
        <v>66021201</v>
      </c>
      <c r="V331" s="342"/>
    </row>
    <row r="332" customHeight="1" spans="1:22">
      <c r="A332" s="343" t="s">
        <v>195</v>
      </c>
      <c r="B332" s="343">
        <v>100562</v>
      </c>
      <c r="C332" s="343" t="s">
        <v>557</v>
      </c>
      <c r="D332" s="344">
        <v>1</v>
      </c>
      <c r="E332" s="343" t="s">
        <v>558</v>
      </c>
      <c r="F332" s="345">
        <v>45512</v>
      </c>
      <c r="G332" s="345">
        <v>45512</v>
      </c>
      <c r="H332" s="343">
        <v>202409</v>
      </c>
      <c r="I332" s="344">
        <v>36</v>
      </c>
      <c r="J332" s="342">
        <v>16</v>
      </c>
      <c r="K332" s="346">
        <v>894.69</v>
      </c>
      <c r="L332" s="346"/>
      <c r="M332" s="346"/>
      <c r="N332" s="346">
        <f t="shared" si="5"/>
        <v>894.69</v>
      </c>
      <c r="O332" s="342">
        <v>94.44</v>
      </c>
      <c r="P332" s="347">
        <v>472.2</v>
      </c>
      <c r="Q332" s="342">
        <v>422.49</v>
      </c>
      <c r="R332" s="342">
        <v>0</v>
      </c>
      <c r="S332" s="342">
        <v>422.49</v>
      </c>
      <c r="T332" s="341" t="s">
        <v>296</v>
      </c>
      <c r="U332" s="342">
        <v>66021201</v>
      </c>
      <c r="V332" s="342"/>
    </row>
    <row r="333" customHeight="1" spans="1:22">
      <c r="A333" s="343" t="s">
        <v>195</v>
      </c>
      <c r="B333" s="343">
        <v>100563</v>
      </c>
      <c r="C333" s="343" t="s">
        <v>557</v>
      </c>
      <c r="D333" s="344">
        <v>1</v>
      </c>
      <c r="E333" s="343" t="s">
        <v>558</v>
      </c>
      <c r="F333" s="345">
        <v>45512</v>
      </c>
      <c r="G333" s="345">
        <v>45512</v>
      </c>
      <c r="H333" s="343">
        <v>202409</v>
      </c>
      <c r="I333" s="344">
        <v>36</v>
      </c>
      <c r="J333" s="342">
        <v>16</v>
      </c>
      <c r="K333" s="346">
        <v>891.15</v>
      </c>
      <c r="L333" s="346"/>
      <c r="M333" s="346"/>
      <c r="N333" s="346">
        <f t="shared" si="5"/>
        <v>891.15</v>
      </c>
      <c r="O333" s="342">
        <v>94.06</v>
      </c>
      <c r="P333" s="347">
        <v>470.35</v>
      </c>
      <c r="Q333" s="342">
        <v>420.8</v>
      </c>
      <c r="R333" s="342">
        <v>0</v>
      </c>
      <c r="S333" s="342">
        <v>420.8</v>
      </c>
      <c r="T333" s="341" t="s">
        <v>296</v>
      </c>
      <c r="U333" s="342">
        <v>66021201</v>
      </c>
      <c r="V333" s="342"/>
    </row>
    <row r="334" customHeight="1" spans="1:22">
      <c r="A334" s="343" t="s">
        <v>195</v>
      </c>
      <c r="B334" s="343">
        <v>100564</v>
      </c>
      <c r="C334" s="343" t="s">
        <v>557</v>
      </c>
      <c r="D334" s="344">
        <v>1</v>
      </c>
      <c r="E334" s="343" t="s">
        <v>558</v>
      </c>
      <c r="F334" s="345">
        <v>45529</v>
      </c>
      <c r="G334" s="345">
        <v>45529</v>
      </c>
      <c r="H334" s="343">
        <v>202409</v>
      </c>
      <c r="I334" s="344">
        <v>36</v>
      </c>
      <c r="J334" s="342">
        <v>16</v>
      </c>
      <c r="K334" s="346">
        <v>891.15</v>
      </c>
      <c r="L334" s="346"/>
      <c r="M334" s="346"/>
      <c r="N334" s="346">
        <f t="shared" si="5"/>
        <v>891.15</v>
      </c>
      <c r="O334" s="342">
        <v>94.06</v>
      </c>
      <c r="P334" s="347">
        <v>470.35</v>
      </c>
      <c r="Q334" s="342">
        <v>420.8</v>
      </c>
      <c r="R334" s="342">
        <v>0</v>
      </c>
      <c r="S334" s="342">
        <v>420.8</v>
      </c>
      <c r="T334" s="341" t="s">
        <v>296</v>
      </c>
      <c r="U334" s="342">
        <v>66021201</v>
      </c>
      <c r="V334" s="342"/>
    </row>
    <row r="335" customHeight="1" spans="1:22">
      <c r="A335" s="343" t="s">
        <v>195</v>
      </c>
      <c r="B335" s="343">
        <v>100565</v>
      </c>
      <c r="C335" s="343" t="s">
        <v>559</v>
      </c>
      <c r="D335" s="344">
        <v>1</v>
      </c>
      <c r="E335" s="343"/>
      <c r="F335" s="345">
        <v>45525</v>
      </c>
      <c r="G335" s="345">
        <v>45525</v>
      </c>
      <c r="H335" s="343">
        <v>202409</v>
      </c>
      <c r="I335" s="344">
        <v>36</v>
      </c>
      <c r="J335" s="342">
        <v>16</v>
      </c>
      <c r="K335" s="346">
        <v>1220.35</v>
      </c>
      <c r="L335" s="346"/>
      <c r="M335" s="346"/>
      <c r="N335" s="346">
        <f t="shared" si="5"/>
        <v>1220.35</v>
      </c>
      <c r="O335" s="342">
        <v>128.82</v>
      </c>
      <c r="P335" s="347">
        <v>644.05</v>
      </c>
      <c r="Q335" s="342">
        <v>576.3</v>
      </c>
      <c r="R335" s="342">
        <v>0</v>
      </c>
      <c r="S335" s="342">
        <v>576.3</v>
      </c>
      <c r="T335" s="341" t="s">
        <v>546</v>
      </c>
      <c r="U335" s="342">
        <v>66011201</v>
      </c>
      <c r="V335" s="342"/>
    </row>
    <row r="336" customHeight="1" spans="1:22">
      <c r="A336" s="343" t="s">
        <v>195</v>
      </c>
      <c r="B336" s="343">
        <v>100566</v>
      </c>
      <c r="C336" s="343" t="s">
        <v>560</v>
      </c>
      <c r="D336" s="344">
        <v>1</v>
      </c>
      <c r="E336" s="343" t="s">
        <v>561</v>
      </c>
      <c r="F336" s="345">
        <v>45542</v>
      </c>
      <c r="G336" s="345">
        <v>45542</v>
      </c>
      <c r="H336" s="343">
        <v>202410</v>
      </c>
      <c r="I336" s="344">
        <v>36</v>
      </c>
      <c r="J336" s="342">
        <v>17</v>
      </c>
      <c r="K336" s="346">
        <v>1406.19</v>
      </c>
      <c r="L336" s="346"/>
      <c r="M336" s="346"/>
      <c r="N336" s="346">
        <f t="shared" si="5"/>
        <v>1406.19</v>
      </c>
      <c r="O336" s="342">
        <v>148.44</v>
      </c>
      <c r="P336" s="347">
        <v>705.09</v>
      </c>
      <c r="Q336" s="342">
        <v>701.1</v>
      </c>
      <c r="R336" s="342">
        <v>0</v>
      </c>
      <c r="S336" s="342">
        <v>701.1</v>
      </c>
      <c r="T336" s="341" t="s">
        <v>532</v>
      </c>
      <c r="U336" s="342">
        <v>66011201</v>
      </c>
      <c r="V336" s="342"/>
    </row>
    <row r="337" customHeight="1" spans="1:22">
      <c r="A337" s="343" t="s">
        <v>195</v>
      </c>
      <c r="B337" s="343">
        <v>100567</v>
      </c>
      <c r="C337" s="343" t="s">
        <v>562</v>
      </c>
      <c r="D337" s="344">
        <v>1</v>
      </c>
      <c r="E337" s="343" t="s">
        <v>563</v>
      </c>
      <c r="F337" s="345">
        <v>45540</v>
      </c>
      <c r="G337" s="345">
        <v>45540</v>
      </c>
      <c r="H337" s="343">
        <v>202410</v>
      </c>
      <c r="I337" s="344">
        <v>36</v>
      </c>
      <c r="J337" s="342">
        <v>17</v>
      </c>
      <c r="K337" s="346">
        <v>6141.59</v>
      </c>
      <c r="L337" s="346"/>
      <c r="M337" s="346"/>
      <c r="N337" s="346">
        <f t="shared" si="5"/>
        <v>6141.59</v>
      </c>
      <c r="O337" s="342">
        <v>648.28</v>
      </c>
      <c r="P337" s="347">
        <v>3079.33</v>
      </c>
      <c r="Q337" s="347">
        <v>3062.26</v>
      </c>
      <c r="R337" s="342">
        <v>0</v>
      </c>
      <c r="S337" s="347">
        <v>3062.26</v>
      </c>
      <c r="T337" s="341" t="s">
        <v>362</v>
      </c>
      <c r="U337" s="342">
        <v>5301010301</v>
      </c>
      <c r="V337" s="342"/>
    </row>
    <row r="338" customHeight="1" spans="1:22">
      <c r="A338" s="343" t="s">
        <v>195</v>
      </c>
      <c r="B338" s="343">
        <v>100568</v>
      </c>
      <c r="C338" s="343" t="s">
        <v>560</v>
      </c>
      <c r="D338" s="344">
        <v>1</v>
      </c>
      <c r="E338" s="343" t="s">
        <v>564</v>
      </c>
      <c r="F338" s="345">
        <v>45581</v>
      </c>
      <c r="G338" s="345">
        <v>45581</v>
      </c>
      <c r="H338" s="343">
        <v>202411</v>
      </c>
      <c r="I338" s="344">
        <v>36</v>
      </c>
      <c r="J338" s="342">
        <v>18</v>
      </c>
      <c r="K338" s="346">
        <v>928</v>
      </c>
      <c r="L338" s="346"/>
      <c r="M338" s="346"/>
      <c r="N338" s="346">
        <f t="shared" si="5"/>
        <v>928</v>
      </c>
      <c r="O338" s="342">
        <v>97.96</v>
      </c>
      <c r="P338" s="347">
        <v>440.82</v>
      </c>
      <c r="Q338" s="342">
        <v>487.18</v>
      </c>
      <c r="R338" s="342">
        <v>0</v>
      </c>
      <c r="S338" s="342">
        <v>487.18</v>
      </c>
      <c r="T338" s="341" t="s">
        <v>546</v>
      </c>
      <c r="U338" s="342">
        <v>66021201</v>
      </c>
      <c r="V338" s="342"/>
    </row>
    <row r="339" customHeight="1" spans="1:22">
      <c r="A339" s="343" t="s">
        <v>195</v>
      </c>
      <c r="B339" s="343">
        <v>100569</v>
      </c>
      <c r="C339" s="343" t="s">
        <v>565</v>
      </c>
      <c r="D339" s="344">
        <v>1</v>
      </c>
      <c r="E339" s="343" t="s">
        <v>566</v>
      </c>
      <c r="F339" s="345">
        <v>45588</v>
      </c>
      <c r="G339" s="345">
        <v>45588</v>
      </c>
      <c r="H339" s="343">
        <v>202411</v>
      </c>
      <c r="I339" s="344">
        <v>36</v>
      </c>
      <c r="J339" s="342">
        <v>18</v>
      </c>
      <c r="K339" s="346">
        <v>3884.07</v>
      </c>
      <c r="L339" s="346"/>
      <c r="M339" s="346"/>
      <c r="N339" s="346">
        <f t="shared" si="5"/>
        <v>3884.07</v>
      </c>
      <c r="O339" s="342">
        <v>409.98</v>
      </c>
      <c r="P339" s="347">
        <v>1844.96</v>
      </c>
      <c r="Q339" s="347">
        <v>2039.11</v>
      </c>
      <c r="R339" s="342">
        <v>0</v>
      </c>
      <c r="S339" s="347">
        <v>2039.11</v>
      </c>
      <c r="T339" s="341" t="s">
        <v>296</v>
      </c>
      <c r="U339" s="342">
        <v>66021201</v>
      </c>
      <c r="V339" s="342"/>
    </row>
    <row r="340" customHeight="1" spans="1:22">
      <c r="A340" s="343" t="s">
        <v>195</v>
      </c>
      <c r="B340" s="343">
        <v>100570</v>
      </c>
      <c r="C340" s="343" t="s">
        <v>545</v>
      </c>
      <c r="D340" s="344">
        <v>1</v>
      </c>
      <c r="E340" s="343" t="s">
        <v>567</v>
      </c>
      <c r="F340" s="345">
        <v>45590</v>
      </c>
      <c r="G340" s="345">
        <v>45590</v>
      </c>
      <c r="H340" s="343">
        <v>202411</v>
      </c>
      <c r="I340" s="344">
        <v>36</v>
      </c>
      <c r="J340" s="342">
        <v>18</v>
      </c>
      <c r="K340" s="346">
        <v>5291.15</v>
      </c>
      <c r="L340" s="346"/>
      <c r="M340" s="346"/>
      <c r="N340" s="346">
        <f t="shared" si="5"/>
        <v>5291.15</v>
      </c>
      <c r="O340" s="342">
        <v>558.52</v>
      </c>
      <c r="P340" s="347">
        <v>2513.34</v>
      </c>
      <c r="Q340" s="347">
        <v>2777.81</v>
      </c>
      <c r="R340" s="342">
        <v>0</v>
      </c>
      <c r="S340" s="347">
        <v>2777.81</v>
      </c>
      <c r="T340" s="341" t="s">
        <v>362</v>
      </c>
      <c r="U340" s="342">
        <v>66021201</v>
      </c>
      <c r="V340" s="342"/>
    </row>
    <row r="341" customHeight="1" spans="1:22">
      <c r="A341" s="343" t="s">
        <v>195</v>
      </c>
      <c r="B341" s="343">
        <v>100571</v>
      </c>
      <c r="C341" s="343" t="s">
        <v>560</v>
      </c>
      <c r="D341" s="344">
        <v>1</v>
      </c>
      <c r="E341" s="343" t="s">
        <v>564</v>
      </c>
      <c r="F341" s="345">
        <v>45590</v>
      </c>
      <c r="G341" s="345">
        <v>45590</v>
      </c>
      <c r="H341" s="343">
        <v>202411</v>
      </c>
      <c r="I341" s="344">
        <v>36</v>
      </c>
      <c r="J341" s="342">
        <v>18</v>
      </c>
      <c r="K341" s="346">
        <v>794.69</v>
      </c>
      <c r="L341" s="346"/>
      <c r="M341" s="346"/>
      <c r="N341" s="346">
        <f t="shared" si="5"/>
        <v>794.69</v>
      </c>
      <c r="O341" s="342">
        <v>83.88</v>
      </c>
      <c r="P341" s="347">
        <v>377.46</v>
      </c>
      <c r="Q341" s="342">
        <v>417.23</v>
      </c>
      <c r="R341" s="342">
        <v>0</v>
      </c>
      <c r="S341" s="342">
        <v>417.23</v>
      </c>
      <c r="T341" s="341" t="s">
        <v>362</v>
      </c>
      <c r="U341" s="342">
        <v>66021201</v>
      </c>
      <c r="V341" s="342"/>
    </row>
    <row r="342" customHeight="1" spans="1:22">
      <c r="A342" s="343" t="s">
        <v>195</v>
      </c>
      <c r="B342" s="343">
        <v>100560</v>
      </c>
      <c r="C342" s="343" t="s">
        <v>559</v>
      </c>
      <c r="D342" s="344">
        <v>1</v>
      </c>
      <c r="E342" s="343" t="s">
        <v>568</v>
      </c>
      <c r="F342" s="345">
        <v>45506</v>
      </c>
      <c r="G342" s="345">
        <v>45506</v>
      </c>
      <c r="H342" s="343">
        <v>202409</v>
      </c>
      <c r="I342" s="344">
        <v>36</v>
      </c>
      <c r="J342" s="342">
        <v>16</v>
      </c>
      <c r="K342" s="346">
        <v>707.08</v>
      </c>
      <c r="L342" s="346"/>
      <c r="M342" s="346"/>
      <c r="N342" s="346">
        <f t="shared" si="5"/>
        <v>707.08</v>
      </c>
      <c r="O342" s="342">
        <v>74.64</v>
      </c>
      <c r="P342" s="347">
        <v>373.2</v>
      </c>
      <c r="Q342" s="342">
        <v>333.88</v>
      </c>
      <c r="R342" s="342">
        <v>0</v>
      </c>
      <c r="S342" s="342">
        <v>333.88</v>
      </c>
      <c r="T342" s="341" t="s">
        <v>362</v>
      </c>
      <c r="U342" s="342">
        <v>66021201</v>
      </c>
      <c r="V342" s="342"/>
    </row>
    <row r="343" customHeight="1" spans="1:22">
      <c r="A343" s="343" t="s">
        <v>195</v>
      </c>
      <c r="B343" s="343">
        <v>100561</v>
      </c>
      <c r="C343" s="343" t="s">
        <v>557</v>
      </c>
      <c r="D343" s="344">
        <v>1</v>
      </c>
      <c r="E343" s="343" t="s">
        <v>558</v>
      </c>
      <c r="F343" s="345">
        <v>45512</v>
      </c>
      <c r="G343" s="345">
        <v>45512</v>
      </c>
      <c r="H343" s="343">
        <v>202409</v>
      </c>
      <c r="I343" s="344">
        <v>36</v>
      </c>
      <c r="J343" s="342">
        <v>16</v>
      </c>
      <c r="K343" s="346">
        <v>894.69</v>
      </c>
      <c r="L343" s="346"/>
      <c r="M343" s="346"/>
      <c r="N343" s="346">
        <f t="shared" si="5"/>
        <v>894.69</v>
      </c>
      <c r="O343" s="342">
        <v>94.44</v>
      </c>
      <c r="P343" s="347">
        <v>472.2</v>
      </c>
      <c r="Q343" s="342">
        <v>422.49</v>
      </c>
      <c r="R343" s="342">
        <v>0</v>
      </c>
      <c r="S343" s="342">
        <v>422.49</v>
      </c>
      <c r="T343" s="341" t="s">
        <v>296</v>
      </c>
      <c r="U343" s="342">
        <v>66021201</v>
      </c>
      <c r="V343" s="342"/>
    </row>
    <row r="344" customHeight="1" spans="1:22">
      <c r="A344" s="343" t="s">
        <v>195</v>
      </c>
      <c r="B344" s="343">
        <v>100572</v>
      </c>
      <c r="C344" s="343" t="s">
        <v>569</v>
      </c>
      <c r="D344" s="344">
        <v>1</v>
      </c>
      <c r="E344" s="343" t="s">
        <v>570</v>
      </c>
      <c r="F344" s="345">
        <v>45589</v>
      </c>
      <c r="G344" s="345">
        <v>45589</v>
      </c>
      <c r="H344" s="343">
        <v>202411</v>
      </c>
      <c r="I344" s="344">
        <v>36</v>
      </c>
      <c r="J344" s="342">
        <v>18</v>
      </c>
      <c r="K344" s="346">
        <v>713.76</v>
      </c>
      <c r="L344" s="346"/>
      <c r="M344" s="346"/>
      <c r="N344" s="346">
        <f t="shared" si="5"/>
        <v>713.76</v>
      </c>
      <c r="O344" s="342">
        <v>75.34</v>
      </c>
      <c r="P344" s="347">
        <v>339.04</v>
      </c>
      <c r="Q344" s="342">
        <v>374.72</v>
      </c>
      <c r="R344" s="342">
        <v>0</v>
      </c>
      <c r="S344" s="342">
        <v>374.72</v>
      </c>
      <c r="T344" s="341" t="s">
        <v>296</v>
      </c>
      <c r="U344" s="342">
        <v>66021201</v>
      </c>
      <c r="V344" s="342"/>
    </row>
    <row r="345" customHeight="1" spans="1:22">
      <c r="A345" s="343" t="s">
        <v>195</v>
      </c>
      <c r="B345" s="343">
        <v>100573</v>
      </c>
      <c r="C345" s="343" t="s">
        <v>571</v>
      </c>
      <c r="D345" s="344">
        <v>1</v>
      </c>
      <c r="E345" s="343" t="s">
        <v>572</v>
      </c>
      <c r="F345" s="345">
        <v>45595</v>
      </c>
      <c r="G345" s="345">
        <v>45595</v>
      </c>
      <c r="H345" s="343">
        <v>202411</v>
      </c>
      <c r="I345" s="344">
        <v>36</v>
      </c>
      <c r="J345" s="342">
        <v>18</v>
      </c>
      <c r="K345" s="346">
        <v>794.69</v>
      </c>
      <c r="L345" s="346"/>
      <c r="M345" s="346"/>
      <c r="N345" s="346">
        <f t="shared" si="5"/>
        <v>794.69</v>
      </c>
      <c r="O345" s="342">
        <v>83.88</v>
      </c>
      <c r="P345" s="347">
        <v>377.46</v>
      </c>
      <c r="Q345" s="342">
        <v>417.23</v>
      </c>
      <c r="R345" s="342">
        <v>0</v>
      </c>
      <c r="S345" s="342">
        <v>417.23</v>
      </c>
      <c r="T345" s="341" t="s">
        <v>573</v>
      </c>
      <c r="U345" s="342">
        <v>5301010301</v>
      </c>
      <c r="V345" s="342"/>
    </row>
    <row r="346" customHeight="1" spans="1:22">
      <c r="A346" s="343" t="s">
        <v>195</v>
      </c>
      <c r="B346" s="343">
        <v>100574</v>
      </c>
      <c r="C346" s="343" t="s">
        <v>571</v>
      </c>
      <c r="D346" s="344">
        <v>1</v>
      </c>
      <c r="E346" s="343" t="s">
        <v>572</v>
      </c>
      <c r="F346" s="345">
        <v>45595</v>
      </c>
      <c r="G346" s="345">
        <v>45595</v>
      </c>
      <c r="H346" s="343">
        <v>202411</v>
      </c>
      <c r="I346" s="344">
        <v>36</v>
      </c>
      <c r="J346" s="342">
        <v>18</v>
      </c>
      <c r="K346" s="346">
        <v>794.69</v>
      </c>
      <c r="L346" s="346"/>
      <c r="M346" s="346"/>
      <c r="N346" s="346">
        <f t="shared" si="5"/>
        <v>794.69</v>
      </c>
      <c r="O346" s="342">
        <v>83.32</v>
      </c>
      <c r="P346" s="347">
        <v>374.94</v>
      </c>
      <c r="Q346" s="342">
        <v>419.75</v>
      </c>
      <c r="R346" s="342">
        <v>0</v>
      </c>
      <c r="S346" s="342">
        <v>419.75</v>
      </c>
      <c r="T346" s="341" t="s">
        <v>573</v>
      </c>
      <c r="U346" s="342">
        <v>5301010301</v>
      </c>
      <c r="V346" s="342"/>
    </row>
    <row r="347" customHeight="1" spans="1:22">
      <c r="A347" s="343" t="s">
        <v>195</v>
      </c>
      <c r="B347" s="343">
        <v>100575</v>
      </c>
      <c r="C347" s="343" t="s">
        <v>571</v>
      </c>
      <c r="D347" s="344">
        <v>1</v>
      </c>
      <c r="E347" s="343" t="s">
        <v>572</v>
      </c>
      <c r="F347" s="345">
        <v>45595</v>
      </c>
      <c r="G347" s="345">
        <v>45595</v>
      </c>
      <c r="H347" s="343">
        <v>202411</v>
      </c>
      <c r="I347" s="344">
        <v>36</v>
      </c>
      <c r="J347" s="342">
        <v>18</v>
      </c>
      <c r="K347" s="346">
        <v>794.69</v>
      </c>
      <c r="L347" s="346"/>
      <c r="M347" s="346"/>
      <c r="N347" s="346">
        <f t="shared" si="5"/>
        <v>794.69</v>
      </c>
      <c r="O347" s="342">
        <v>83.88</v>
      </c>
      <c r="P347" s="347">
        <v>377.46</v>
      </c>
      <c r="Q347" s="342">
        <v>417.23</v>
      </c>
      <c r="R347" s="342">
        <v>0</v>
      </c>
      <c r="S347" s="342">
        <v>417.23</v>
      </c>
      <c r="T347" s="341" t="s">
        <v>573</v>
      </c>
      <c r="U347" s="342">
        <v>5301010301</v>
      </c>
      <c r="V347" s="342"/>
    </row>
    <row r="348" customHeight="1" spans="1:22">
      <c r="A348" s="343" t="s">
        <v>195</v>
      </c>
      <c r="B348" s="343">
        <v>100576</v>
      </c>
      <c r="C348" s="343" t="s">
        <v>574</v>
      </c>
      <c r="D348" s="344">
        <v>1</v>
      </c>
      <c r="E348" s="343" t="s">
        <v>575</v>
      </c>
      <c r="F348" s="345">
        <v>45603</v>
      </c>
      <c r="G348" s="345">
        <v>45603</v>
      </c>
      <c r="H348" s="343">
        <v>202412</v>
      </c>
      <c r="I348" s="344">
        <v>36</v>
      </c>
      <c r="J348" s="342">
        <v>19</v>
      </c>
      <c r="K348" s="346">
        <v>2580</v>
      </c>
      <c r="L348" s="346"/>
      <c r="M348" s="346"/>
      <c r="N348" s="346">
        <f t="shared" si="5"/>
        <v>2580</v>
      </c>
      <c r="O348" s="342">
        <v>272.34</v>
      </c>
      <c r="P348" s="347">
        <v>1157.39</v>
      </c>
      <c r="Q348" s="347">
        <v>1422.61</v>
      </c>
      <c r="R348" s="342">
        <v>0</v>
      </c>
      <c r="S348" s="347">
        <v>1422.61</v>
      </c>
      <c r="T348" s="341" t="s">
        <v>296</v>
      </c>
      <c r="U348" s="342">
        <v>66021201</v>
      </c>
      <c r="V348" s="342"/>
    </row>
    <row r="349" customHeight="1" spans="1:22">
      <c r="A349" s="343" t="s">
        <v>195</v>
      </c>
      <c r="B349" s="343">
        <v>100577</v>
      </c>
      <c r="C349" s="343" t="s">
        <v>545</v>
      </c>
      <c r="D349" s="344">
        <v>1</v>
      </c>
      <c r="E349" s="343" t="s">
        <v>576</v>
      </c>
      <c r="F349" s="345">
        <v>45605</v>
      </c>
      <c r="G349" s="345">
        <v>45605</v>
      </c>
      <c r="H349" s="343">
        <v>202412</v>
      </c>
      <c r="I349" s="344">
        <v>36</v>
      </c>
      <c r="J349" s="342">
        <v>19</v>
      </c>
      <c r="K349" s="346">
        <v>6176.11</v>
      </c>
      <c r="L349" s="346"/>
      <c r="M349" s="346"/>
      <c r="N349" s="346">
        <f t="shared" si="5"/>
        <v>6176.11</v>
      </c>
      <c r="O349" s="342">
        <v>651.92</v>
      </c>
      <c r="P349" s="347">
        <v>2770.66</v>
      </c>
      <c r="Q349" s="347">
        <v>3405.45</v>
      </c>
      <c r="R349" s="342">
        <v>0</v>
      </c>
      <c r="S349" s="347">
        <v>3405.45</v>
      </c>
      <c r="T349" s="341" t="s">
        <v>362</v>
      </c>
      <c r="U349" s="342">
        <v>66021201</v>
      </c>
      <c r="V349" s="342"/>
    </row>
    <row r="350" customHeight="1" spans="1:22">
      <c r="A350" s="343" t="s">
        <v>195</v>
      </c>
      <c r="B350" s="343">
        <v>100578</v>
      </c>
      <c r="C350" s="343" t="s">
        <v>545</v>
      </c>
      <c r="D350" s="344">
        <v>1</v>
      </c>
      <c r="E350" s="343" t="s">
        <v>577</v>
      </c>
      <c r="F350" s="345">
        <v>45617</v>
      </c>
      <c r="G350" s="345">
        <v>45617</v>
      </c>
      <c r="H350" s="343">
        <v>202412</v>
      </c>
      <c r="I350" s="344">
        <v>36</v>
      </c>
      <c r="J350" s="342">
        <v>19</v>
      </c>
      <c r="K350" s="346">
        <v>5087.61</v>
      </c>
      <c r="L350" s="346"/>
      <c r="M350" s="346"/>
      <c r="N350" s="346">
        <f t="shared" si="5"/>
        <v>5087.61</v>
      </c>
      <c r="O350" s="342">
        <v>537.02</v>
      </c>
      <c r="P350" s="347">
        <v>2282.39</v>
      </c>
      <c r="Q350" s="347">
        <v>2805.22</v>
      </c>
      <c r="R350" s="342">
        <v>0</v>
      </c>
      <c r="S350" s="347">
        <v>2805.22</v>
      </c>
      <c r="T350" s="341" t="s">
        <v>296</v>
      </c>
      <c r="U350" s="342">
        <v>66021201</v>
      </c>
      <c r="V350" s="342"/>
    </row>
    <row r="351" customHeight="1" spans="1:22">
      <c r="A351" s="343" t="s">
        <v>195</v>
      </c>
      <c r="B351" s="343">
        <v>100579</v>
      </c>
      <c r="C351" s="343" t="s">
        <v>578</v>
      </c>
      <c r="D351" s="344">
        <v>1</v>
      </c>
      <c r="E351" s="343" t="s">
        <v>579</v>
      </c>
      <c r="F351" s="345">
        <v>45617</v>
      </c>
      <c r="G351" s="345">
        <v>45617</v>
      </c>
      <c r="H351" s="343">
        <v>202412</v>
      </c>
      <c r="I351" s="344">
        <v>36</v>
      </c>
      <c r="J351" s="342">
        <v>19</v>
      </c>
      <c r="K351" s="346">
        <v>4415.04</v>
      </c>
      <c r="L351" s="346"/>
      <c r="M351" s="346"/>
      <c r="N351" s="346">
        <f t="shared" si="5"/>
        <v>4415.04</v>
      </c>
      <c r="O351" s="342">
        <v>466.04</v>
      </c>
      <c r="P351" s="347">
        <v>1980.67</v>
      </c>
      <c r="Q351" s="347">
        <v>2434.37</v>
      </c>
      <c r="R351" s="342">
        <v>0</v>
      </c>
      <c r="S351" s="347">
        <v>2434.37</v>
      </c>
      <c r="T351" s="341" t="s">
        <v>296</v>
      </c>
      <c r="U351" s="342">
        <v>66021201</v>
      </c>
      <c r="V351" s="342"/>
    </row>
    <row r="352" customHeight="1" spans="1:22">
      <c r="A352" s="343" t="s">
        <v>195</v>
      </c>
      <c r="B352" s="343">
        <v>100580</v>
      </c>
      <c r="C352" s="343" t="s">
        <v>580</v>
      </c>
      <c r="D352" s="344">
        <v>1</v>
      </c>
      <c r="E352" s="343"/>
      <c r="F352" s="345">
        <v>45621</v>
      </c>
      <c r="G352" s="345">
        <v>45621</v>
      </c>
      <c r="H352" s="343">
        <v>202412</v>
      </c>
      <c r="I352" s="344">
        <v>36</v>
      </c>
      <c r="J352" s="342">
        <v>19</v>
      </c>
      <c r="K352" s="346">
        <v>3411.5</v>
      </c>
      <c r="L352" s="346"/>
      <c r="M352" s="346"/>
      <c r="N352" s="346">
        <f t="shared" si="5"/>
        <v>3411.5</v>
      </c>
      <c r="O352" s="342">
        <v>360.1</v>
      </c>
      <c r="P352" s="347">
        <v>1530.45</v>
      </c>
      <c r="Q352" s="347">
        <v>1881.05</v>
      </c>
      <c r="R352" s="342">
        <v>0</v>
      </c>
      <c r="S352" s="347">
        <v>1881.05</v>
      </c>
      <c r="T352" s="341" t="s">
        <v>296</v>
      </c>
      <c r="U352" s="342">
        <v>66021201</v>
      </c>
      <c r="V352" s="342"/>
    </row>
    <row r="353" customHeight="1" spans="1:22">
      <c r="A353" s="343" t="s">
        <v>195</v>
      </c>
      <c r="B353" s="343">
        <v>100581</v>
      </c>
      <c r="C353" s="343" t="s">
        <v>581</v>
      </c>
      <c r="D353" s="344">
        <v>1</v>
      </c>
      <c r="E353" s="343"/>
      <c r="F353" s="345">
        <v>45616</v>
      </c>
      <c r="G353" s="345">
        <v>45616</v>
      </c>
      <c r="H353" s="343">
        <v>202412</v>
      </c>
      <c r="I353" s="344">
        <v>36</v>
      </c>
      <c r="J353" s="342">
        <v>19</v>
      </c>
      <c r="K353" s="346">
        <v>1827.43</v>
      </c>
      <c r="L353" s="346"/>
      <c r="M353" s="346"/>
      <c r="N353" s="346">
        <f t="shared" si="5"/>
        <v>1827.43</v>
      </c>
      <c r="O353" s="342">
        <v>192.9</v>
      </c>
      <c r="P353" s="347">
        <v>819.79</v>
      </c>
      <c r="Q353" s="347">
        <v>1007.64</v>
      </c>
      <c r="R353" s="342">
        <v>0</v>
      </c>
      <c r="S353" s="347">
        <v>1007.64</v>
      </c>
      <c r="T353" s="341" t="s">
        <v>296</v>
      </c>
      <c r="U353" s="342">
        <v>66021201</v>
      </c>
      <c r="V353" s="342"/>
    </row>
    <row r="354" customHeight="1" spans="1:22">
      <c r="A354" s="343" t="s">
        <v>195</v>
      </c>
      <c r="B354" s="343">
        <v>100582</v>
      </c>
      <c r="C354" s="343" t="s">
        <v>582</v>
      </c>
      <c r="D354" s="344">
        <v>1</v>
      </c>
      <c r="E354" s="343" t="s">
        <v>583</v>
      </c>
      <c r="F354" s="345">
        <v>45627</v>
      </c>
      <c r="G354" s="345">
        <v>45627</v>
      </c>
      <c r="H354" s="343">
        <v>202501</v>
      </c>
      <c r="I354" s="344">
        <v>36</v>
      </c>
      <c r="J354" s="342">
        <v>20</v>
      </c>
      <c r="K354" s="346">
        <v>5043.36</v>
      </c>
      <c r="L354" s="346"/>
      <c r="M354" s="346"/>
      <c r="N354" s="346">
        <f t="shared" si="5"/>
        <v>5043.36</v>
      </c>
      <c r="O354" s="342">
        <v>532.36</v>
      </c>
      <c r="P354" s="347">
        <v>2129.44</v>
      </c>
      <c r="Q354" s="347">
        <v>2913.92</v>
      </c>
      <c r="R354" s="342">
        <v>0</v>
      </c>
      <c r="S354" s="347">
        <v>2913.92</v>
      </c>
      <c r="T354" s="341" t="s">
        <v>296</v>
      </c>
      <c r="U354" s="342">
        <v>66021201</v>
      </c>
      <c r="V354" s="342"/>
    </row>
    <row r="355" customHeight="1" spans="1:22">
      <c r="A355" s="343" t="s">
        <v>195</v>
      </c>
      <c r="B355" s="343">
        <v>100583</v>
      </c>
      <c r="C355" s="343" t="s">
        <v>545</v>
      </c>
      <c r="D355" s="344">
        <v>1</v>
      </c>
      <c r="E355" s="343" t="s">
        <v>584</v>
      </c>
      <c r="F355" s="345">
        <v>45626</v>
      </c>
      <c r="G355" s="345">
        <v>45627</v>
      </c>
      <c r="H355" s="343">
        <v>202412</v>
      </c>
      <c r="I355" s="344">
        <v>36</v>
      </c>
      <c r="J355" s="342">
        <v>19</v>
      </c>
      <c r="K355" s="346">
        <v>4910.62</v>
      </c>
      <c r="L355" s="346"/>
      <c r="M355" s="346"/>
      <c r="N355" s="346">
        <f t="shared" si="5"/>
        <v>4910.62</v>
      </c>
      <c r="O355" s="342">
        <v>518.34</v>
      </c>
      <c r="P355" s="347">
        <v>2202.98</v>
      </c>
      <c r="Q355" s="347">
        <v>2707.64</v>
      </c>
      <c r="R355" s="342">
        <v>0</v>
      </c>
      <c r="S355" s="347">
        <v>2707.64</v>
      </c>
      <c r="T355" s="341" t="s">
        <v>546</v>
      </c>
      <c r="U355" s="342">
        <v>66011201</v>
      </c>
      <c r="V355" s="342"/>
    </row>
    <row r="356" customHeight="1" spans="1:22">
      <c r="A356" s="343" t="s">
        <v>195</v>
      </c>
      <c r="B356" s="343">
        <v>100584</v>
      </c>
      <c r="C356" s="343" t="s">
        <v>585</v>
      </c>
      <c r="D356" s="344">
        <v>1</v>
      </c>
      <c r="E356" s="343" t="s">
        <v>586</v>
      </c>
      <c r="F356" s="345">
        <v>45636</v>
      </c>
      <c r="G356" s="345">
        <v>45636</v>
      </c>
      <c r="H356" s="343">
        <v>202501</v>
      </c>
      <c r="I356" s="344">
        <v>36</v>
      </c>
      <c r="J356" s="342">
        <v>20</v>
      </c>
      <c r="K356" s="346">
        <v>21681.42</v>
      </c>
      <c r="L356" s="346"/>
      <c r="M356" s="346"/>
      <c r="N356" s="346">
        <f t="shared" si="5"/>
        <v>21681.42</v>
      </c>
      <c r="O356" s="347">
        <v>2288.6</v>
      </c>
      <c r="P356" s="347">
        <v>9154.4</v>
      </c>
      <c r="Q356" s="347">
        <v>12527.02</v>
      </c>
      <c r="R356" s="342">
        <v>0</v>
      </c>
      <c r="S356" s="347">
        <v>12527.02</v>
      </c>
      <c r="T356" s="341" t="s">
        <v>546</v>
      </c>
      <c r="U356" s="342">
        <v>5301010301</v>
      </c>
      <c r="V356" s="342"/>
    </row>
    <row r="357" customHeight="1" spans="1:22">
      <c r="A357" s="343" t="s">
        <v>195</v>
      </c>
      <c r="B357" s="343">
        <v>100585</v>
      </c>
      <c r="C357" s="343" t="s">
        <v>587</v>
      </c>
      <c r="D357" s="344">
        <v>1</v>
      </c>
      <c r="E357" s="343" t="s">
        <v>588</v>
      </c>
      <c r="F357" s="345">
        <v>45566</v>
      </c>
      <c r="G357" s="345">
        <v>45627</v>
      </c>
      <c r="H357" s="343">
        <v>202412</v>
      </c>
      <c r="I357" s="344">
        <v>36</v>
      </c>
      <c r="J357" s="342">
        <v>18</v>
      </c>
      <c r="K357" s="346">
        <v>886.7</v>
      </c>
      <c r="L357" s="346"/>
      <c r="M357" s="346"/>
      <c r="N357" s="346">
        <f t="shared" si="5"/>
        <v>886.7</v>
      </c>
      <c r="O357" s="342">
        <v>93.6</v>
      </c>
      <c r="P357" s="347">
        <v>421.2</v>
      </c>
      <c r="Q357" s="342">
        <v>465.5</v>
      </c>
      <c r="R357" s="342">
        <v>0</v>
      </c>
      <c r="S357" s="342">
        <v>465.5</v>
      </c>
      <c r="T357" s="341" t="s">
        <v>296</v>
      </c>
      <c r="U357" s="342">
        <v>66021201</v>
      </c>
      <c r="V357" s="342"/>
    </row>
    <row r="358" customHeight="1" spans="1:22">
      <c r="A358" s="343" t="s">
        <v>195</v>
      </c>
      <c r="B358" s="343">
        <v>100586</v>
      </c>
      <c r="C358" s="343" t="s">
        <v>587</v>
      </c>
      <c r="D358" s="344">
        <v>1</v>
      </c>
      <c r="E358" s="343" t="s">
        <v>588</v>
      </c>
      <c r="F358" s="345">
        <v>45566</v>
      </c>
      <c r="G358" s="345">
        <v>45627</v>
      </c>
      <c r="H358" s="343">
        <v>202412</v>
      </c>
      <c r="I358" s="344">
        <v>36</v>
      </c>
      <c r="J358" s="342">
        <v>18</v>
      </c>
      <c r="K358" s="346">
        <v>886.7</v>
      </c>
      <c r="L358" s="346"/>
      <c r="M358" s="346"/>
      <c r="N358" s="346">
        <f t="shared" si="5"/>
        <v>886.7</v>
      </c>
      <c r="O358" s="342">
        <v>93.6</v>
      </c>
      <c r="P358" s="347">
        <v>421.2</v>
      </c>
      <c r="Q358" s="342">
        <v>465.5</v>
      </c>
      <c r="R358" s="342">
        <v>0</v>
      </c>
      <c r="S358" s="342">
        <v>465.5</v>
      </c>
      <c r="T358" s="341" t="s">
        <v>296</v>
      </c>
      <c r="U358" s="342">
        <v>66021201</v>
      </c>
      <c r="V358" s="342"/>
    </row>
    <row r="359" customHeight="1" spans="1:22">
      <c r="A359" s="343" t="s">
        <v>195</v>
      </c>
      <c r="B359" s="343">
        <v>100587</v>
      </c>
      <c r="C359" s="343" t="s">
        <v>589</v>
      </c>
      <c r="D359" s="344">
        <v>1</v>
      </c>
      <c r="E359" s="343" t="s">
        <v>590</v>
      </c>
      <c r="F359" s="345">
        <v>45657</v>
      </c>
      <c r="G359" s="345">
        <v>45657</v>
      </c>
      <c r="H359" s="343">
        <v>202501</v>
      </c>
      <c r="I359" s="344">
        <v>36</v>
      </c>
      <c r="J359" s="342">
        <v>20</v>
      </c>
      <c r="K359" s="346">
        <v>1104.42</v>
      </c>
      <c r="L359" s="346"/>
      <c r="M359" s="346"/>
      <c r="N359" s="346">
        <f t="shared" si="5"/>
        <v>1104.42</v>
      </c>
      <c r="O359" s="342">
        <v>116.58</v>
      </c>
      <c r="P359" s="347">
        <v>466.3</v>
      </c>
      <c r="Q359" s="342">
        <v>638.12</v>
      </c>
      <c r="R359" s="342">
        <v>0</v>
      </c>
      <c r="S359" s="342">
        <v>638.12</v>
      </c>
      <c r="T359" s="341" t="s">
        <v>296</v>
      </c>
      <c r="U359" s="342">
        <v>66021201</v>
      </c>
      <c r="V359" s="342"/>
    </row>
    <row r="360" customHeight="1" spans="1:22">
      <c r="A360" s="343" t="s">
        <v>195</v>
      </c>
      <c r="B360" s="343">
        <v>100588</v>
      </c>
      <c r="C360" s="343" t="s">
        <v>545</v>
      </c>
      <c r="D360" s="344">
        <v>1</v>
      </c>
      <c r="E360" s="343" t="s">
        <v>591</v>
      </c>
      <c r="F360" s="345">
        <v>45665</v>
      </c>
      <c r="G360" s="345">
        <v>45665</v>
      </c>
      <c r="H360" s="343">
        <v>202502</v>
      </c>
      <c r="I360" s="344">
        <v>36</v>
      </c>
      <c r="J360" s="342">
        <v>21</v>
      </c>
      <c r="K360" s="346">
        <v>5530.09</v>
      </c>
      <c r="L360" s="346"/>
      <c r="M360" s="346"/>
      <c r="N360" s="346">
        <f t="shared" si="5"/>
        <v>5530.09</v>
      </c>
      <c r="O360" s="342">
        <v>583.73</v>
      </c>
      <c r="P360" s="347">
        <v>2188.96</v>
      </c>
      <c r="Q360" s="347">
        <v>3341.13</v>
      </c>
      <c r="R360" s="342">
        <v>0</v>
      </c>
      <c r="S360" s="347">
        <v>3341.13</v>
      </c>
      <c r="T360" s="341" t="s">
        <v>546</v>
      </c>
      <c r="U360" s="342">
        <v>5301010301</v>
      </c>
      <c r="V360" s="342"/>
    </row>
    <row r="361" customHeight="1" spans="1:22">
      <c r="A361" s="343" t="s">
        <v>195</v>
      </c>
      <c r="B361" s="343">
        <v>100677</v>
      </c>
      <c r="C361" s="343" t="s">
        <v>592</v>
      </c>
      <c r="D361" s="344">
        <v>1</v>
      </c>
      <c r="E361" s="343" t="s">
        <v>593</v>
      </c>
      <c r="F361" s="345">
        <v>45853</v>
      </c>
      <c r="G361" s="345">
        <v>45853</v>
      </c>
      <c r="H361" s="343">
        <v>202508</v>
      </c>
      <c r="I361" s="344">
        <v>36</v>
      </c>
      <c r="J361" s="342">
        <v>27</v>
      </c>
      <c r="K361" s="346">
        <v>16106.19</v>
      </c>
      <c r="L361" s="346"/>
      <c r="M361" s="346"/>
      <c r="N361" s="346">
        <f t="shared" si="5"/>
        <v>16106.19</v>
      </c>
      <c r="O361" s="347">
        <v>1700.1</v>
      </c>
      <c r="P361" s="347">
        <v>3825.21</v>
      </c>
      <c r="Q361" s="347">
        <v>12280.98</v>
      </c>
      <c r="R361" s="342">
        <v>0</v>
      </c>
      <c r="S361" s="347">
        <v>12280.98</v>
      </c>
      <c r="T361" s="341" t="s">
        <v>296</v>
      </c>
      <c r="U361" s="342">
        <v>66021201</v>
      </c>
      <c r="V361" s="342"/>
    </row>
    <row r="362" customHeight="1" spans="1:22">
      <c r="A362" s="343" t="s">
        <v>195</v>
      </c>
      <c r="B362" s="343">
        <v>100678</v>
      </c>
      <c r="C362" s="343" t="s">
        <v>594</v>
      </c>
      <c r="D362" s="344">
        <v>1</v>
      </c>
      <c r="E362" s="343" t="s">
        <v>595</v>
      </c>
      <c r="F362" s="345">
        <v>45870</v>
      </c>
      <c r="G362" s="345">
        <v>45870</v>
      </c>
      <c r="H362" s="343">
        <v>202509</v>
      </c>
      <c r="I362" s="344">
        <v>36</v>
      </c>
      <c r="J362" s="342">
        <v>28</v>
      </c>
      <c r="K362" s="346">
        <v>2388.5</v>
      </c>
      <c r="L362" s="346"/>
      <c r="M362" s="346"/>
      <c r="N362" s="346">
        <f t="shared" si="5"/>
        <v>2388.5</v>
      </c>
      <c r="O362" s="342">
        <v>252.12</v>
      </c>
      <c r="P362" s="347">
        <v>504.24</v>
      </c>
      <c r="Q362" s="347">
        <v>1884.26</v>
      </c>
      <c r="R362" s="342">
        <v>0</v>
      </c>
      <c r="S362" s="347">
        <v>1884.26</v>
      </c>
      <c r="T362" s="341" t="s">
        <v>362</v>
      </c>
      <c r="U362" s="342">
        <v>5301010301</v>
      </c>
      <c r="V362" s="342"/>
    </row>
    <row r="363" customHeight="1" spans="1:22">
      <c r="A363" s="343" t="s">
        <v>195</v>
      </c>
      <c r="B363" s="343">
        <v>100679</v>
      </c>
      <c r="C363" s="343" t="s">
        <v>594</v>
      </c>
      <c r="D363" s="344">
        <v>1</v>
      </c>
      <c r="E363" s="343" t="s">
        <v>595</v>
      </c>
      <c r="F363" s="345">
        <v>45870</v>
      </c>
      <c r="G363" s="345">
        <v>45870</v>
      </c>
      <c r="H363" s="343">
        <v>202509</v>
      </c>
      <c r="I363" s="344">
        <v>36</v>
      </c>
      <c r="J363" s="342">
        <v>28</v>
      </c>
      <c r="K363" s="346">
        <v>2388.49</v>
      </c>
      <c r="L363" s="346"/>
      <c r="M363" s="346"/>
      <c r="N363" s="346">
        <f t="shared" si="5"/>
        <v>2388.49</v>
      </c>
      <c r="O363" s="342">
        <v>252.12</v>
      </c>
      <c r="P363" s="347">
        <v>504.24</v>
      </c>
      <c r="Q363" s="347">
        <v>1884.25</v>
      </c>
      <c r="R363" s="342">
        <v>0</v>
      </c>
      <c r="S363" s="347">
        <v>1884.25</v>
      </c>
      <c r="T363" s="341" t="s">
        <v>362</v>
      </c>
      <c r="U363" s="342">
        <v>5301010301</v>
      </c>
      <c r="V363" s="342"/>
    </row>
    <row r="364" customHeight="1" spans="1:22">
      <c r="A364" s="343" t="s">
        <v>195</v>
      </c>
      <c r="B364" s="343">
        <v>100680</v>
      </c>
      <c r="C364" s="343" t="s">
        <v>545</v>
      </c>
      <c r="D364" s="344">
        <v>1</v>
      </c>
      <c r="E364" s="343" t="s">
        <v>596</v>
      </c>
      <c r="F364" s="345">
        <v>45870</v>
      </c>
      <c r="G364" s="345">
        <v>45870</v>
      </c>
      <c r="H364" s="343">
        <v>202509</v>
      </c>
      <c r="I364" s="344">
        <v>36</v>
      </c>
      <c r="J364" s="342">
        <v>28</v>
      </c>
      <c r="K364" s="346">
        <v>5220.35</v>
      </c>
      <c r="L364" s="346"/>
      <c r="M364" s="346"/>
      <c r="N364" s="346">
        <f t="shared" si="5"/>
        <v>5220.35</v>
      </c>
      <c r="O364" s="342">
        <v>551.04</v>
      </c>
      <c r="P364" s="347">
        <v>1102.08</v>
      </c>
      <c r="Q364" s="347">
        <v>4118.27</v>
      </c>
      <c r="R364" s="342">
        <v>0</v>
      </c>
      <c r="S364" s="347">
        <v>4118.27</v>
      </c>
      <c r="T364" s="341" t="s">
        <v>546</v>
      </c>
      <c r="U364" s="342">
        <v>5301010301</v>
      </c>
      <c r="V364" s="342"/>
    </row>
    <row r="365" customHeight="1" spans="1:22">
      <c r="A365" s="343" t="s">
        <v>195</v>
      </c>
      <c r="B365" s="343">
        <v>100681</v>
      </c>
      <c r="C365" s="343" t="s">
        <v>559</v>
      </c>
      <c r="D365" s="344">
        <v>1</v>
      </c>
      <c r="E365" s="343" t="s">
        <v>564</v>
      </c>
      <c r="F365" s="345">
        <v>45870</v>
      </c>
      <c r="G365" s="345">
        <v>45870</v>
      </c>
      <c r="H365" s="343">
        <v>202509</v>
      </c>
      <c r="I365" s="344">
        <v>36</v>
      </c>
      <c r="J365" s="342">
        <v>28</v>
      </c>
      <c r="K365" s="346">
        <v>821.24</v>
      </c>
      <c r="L365" s="346"/>
      <c r="M365" s="346"/>
      <c r="N365" s="346">
        <f t="shared" si="5"/>
        <v>821.24</v>
      </c>
      <c r="O365" s="342">
        <v>86.68</v>
      </c>
      <c r="P365" s="347">
        <v>173.36</v>
      </c>
      <c r="Q365" s="342">
        <v>647.88</v>
      </c>
      <c r="R365" s="342">
        <v>0</v>
      </c>
      <c r="S365" s="342">
        <v>647.88</v>
      </c>
      <c r="T365" s="341" t="s">
        <v>546</v>
      </c>
      <c r="U365" s="342">
        <v>5301010301</v>
      </c>
      <c r="V365" s="342"/>
    </row>
    <row r="366" customHeight="1" spans="1:22">
      <c r="A366" s="343" t="s">
        <v>195</v>
      </c>
      <c r="B366" s="343">
        <v>100682</v>
      </c>
      <c r="C366" s="343" t="s">
        <v>545</v>
      </c>
      <c r="D366" s="344">
        <v>1</v>
      </c>
      <c r="E366" s="343" t="s">
        <v>597</v>
      </c>
      <c r="F366" s="345">
        <v>45870</v>
      </c>
      <c r="G366" s="345">
        <v>45870</v>
      </c>
      <c r="H366" s="343">
        <v>202509</v>
      </c>
      <c r="I366" s="344">
        <v>36</v>
      </c>
      <c r="J366" s="342">
        <v>28</v>
      </c>
      <c r="K366" s="346">
        <v>5123.01</v>
      </c>
      <c r="L366" s="346"/>
      <c r="M366" s="346"/>
      <c r="N366" s="346">
        <f t="shared" si="5"/>
        <v>5123.01</v>
      </c>
      <c r="O366" s="342">
        <v>540.76</v>
      </c>
      <c r="P366" s="347">
        <v>1081.52</v>
      </c>
      <c r="Q366" s="347">
        <v>4041.49</v>
      </c>
      <c r="R366" s="342">
        <v>0</v>
      </c>
      <c r="S366" s="347">
        <v>4041.49</v>
      </c>
      <c r="T366" s="341" t="s">
        <v>546</v>
      </c>
      <c r="U366" s="342">
        <v>5301010301</v>
      </c>
      <c r="V366" s="342"/>
    </row>
    <row r="367" customHeight="1" spans="1:22">
      <c r="A367" s="343" t="s">
        <v>195</v>
      </c>
      <c r="B367" s="343">
        <v>100683</v>
      </c>
      <c r="C367" s="343" t="s">
        <v>559</v>
      </c>
      <c r="D367" s="344">
        <v>1</v>
      </c>
      <c r="E367" s="343" t="s">
        <v>564</v>
      </c>
      <c r="F367" s="345">
        <v>45870</v>
      </c>
      <c r="G367" s="345">
        <v>45870</v>
      </c>
      <c r="H367" s="343">
        <v>202509</v>
      </c>
      <c r="I367" s="344">
        <v>36</v>
      </c>
      <c r="J367" s="342">
        <v>28</v>
      </c>
      <c r="K367" s="346">
        <v>821.24</v>
      </c>
      <c r="L367" s="346"/>
      <c r="M367" s="346"/>
      <c r="N367" s="346">
        <f t="shared" si="5"/>
        <v>821.24</v>
      </c>
      <c r="O367" s="342">
        <v>86.68</v>
      </c>
      <c r="P367" s="347">
        <v>173.36</v>
      </c>
      <c r="Q367" s="342">
        <v>647.88</v>
      </c>
      <c r="R367" s="342">
        <v>0</v>
      </c>
      <c r="S367" s="342">
        <v>647.88</v>
      </c>
      <c r="T367" s="341" t="s">
        <v>546</v>
      </c>
      <c r="U367" s="342">
        <v>5301010301</v>
      </c>
      <c r="V367" s="342"/>
    </row>
    <row r="368" customHeight="1" spans="1:22">
      <c r="A368" s="343" t="s">
        <v>195</v>
      </c>
      <c r="B368" s="343">
        <v>100684</v>
      </c>
      <c r="C368" s="343" t="s">
        <v>598</v>
      </c>
      <c r="D368" s="344">
        <v>2</v>
      </c>
      <c r="E368" s="343" t="s">
        <v>599</v>
      </c>
      <c r="F368" s="345">
        <v>45853</v>
      </c>
      <c r="G368" s="345">
        <v>45853</v>
      </c>
      <c r="H368" s="343">
        <v>202508</v>
      </c>
      <c r="I368" s="344">
        <v>36</v>
      </c>
      <c r="J368" s="342">
        <v>27</v>
      </c>
      <c r="K368" s="346">
        <v>7684.96</v>
      </c>
      <c r="L368" s="346"/>
      <c r="M368" s="346"/>
      <c r="N368" s="346">
        <f t="shared" si="5"/>
        <v>7684.96</v>
      </c>
      <c r="O368" s="342">
        <v>811.2</v>
      </c>
      <c r="P368" s="347">
        <v>1825.2</v>
      </c>
      <c r="Q368" s="347">
        <v>5859.76</v>
      </c>
      <c r="R368" s="342">
        <v>0</v>
      </c>
      <c r="S368" s="347">
        <v>5859.76</v>
      </c>
      <c r="T368" s="341" t="s">
        <v>600</v>
      </c>
      <c r="U368" s="342">
        <v>5301010301</v>
      </c>
      <c r="V368" s="342" t="s">
        <v>601</v>
      </c>
    </row>
    <row r="369" customHeight="1" spans="1:22">
      <c r="A369" s="343" t="s">
        <v>195</v>
      </c>
      <c r="B369" s="343">
        <v>100685</v>
      </c>
      <c r="C369" s="343" t="s">
        <v>545</v>
      </c>
      <c r="D369" s="344">
        <v>1</v>
      </c>
      <c r="E369" s="343" t="s">
        <v>602</v>
      </c>
      <c r="F369" s="345">
        <v>45891</v>
      </c>
      <c r="G369" s="345">
        <v>45891</v>
      </c>
      <c r="H369" s="343">
        <v>202509</v>
      </c>
      <c r="I369" s="344">
        <v>36</v>
      </c>
      <c r="J369" s="342">
        <v>28</v>
      </c>
      <c r="K369" s="346">
        <v>4246.9</v>
      </c>
      <c r="L369" s="346"/>
      <c r="M369" s="346"/>
      <c r="N369" s="346">
        <f t="shared" si="5"/>
        <v>4246.9</v>
      </c>
      <c r="O369" s="342">
        <v>448.28</v>
      </c>
      <c r="P369" s="347">
        <v>896.56</v>
      </c>
      <c r="Q369" s="347">
        <v>3350.34</v>
      </c>
      <c r="R369" s="342">
        <v>0</v>
      </c>
      <c r="S369" s="347">
        <v>3350.34</v>
      </c>
      <c r="T369" s="341" t="s">
        <v>362</v>
      </c>
      <c r="U369" s="342">
        <v>5301010301</v>
      </c>
      <c r="V369" s="342"/>
    </row>
    <row r="370" customHeight="1" spans="1:22">
      <c r="A370" s="343" t="s">
        <v>195</v>
      </c>
      <c r="B370" s="343">
        <v>100686</v>
      </c>
      <c r="C370" s="343" t="s">
        <v>545</v>
      </c>
      <c r="D370" s="344">
        <v>1</v>
      </c>
      <c r="E370" s="343" t="s">
        <v>602</v>
      </c>
      <c r="F370" s="345">
        <v>45891</v>
      </c>
      <c r="G370" s="345">
        <v>45891</v>
      </c>
      <c r="H370" s="343">
        <v>202509</v>
      </c>
      <c r="I370" s="344">
        <v>36</v>
      </c>
      <c r="J370" s="342">
        <v>28</v>
      </c>
      <c r="K370" s="346">
        <v>4246.9</v>
      </c>
      <c r="L370" s="346"/>
      <c r="M370" s="346"/>
      <c r="N370" s="346">
        <f t="shared" si="5"/>
        <v>4246.9</v>
      </c>
      <c r="O370" s="342">
        <v>448.28</v>
      </c>
      <c r="P370" s="347">
        <v>896.56</v>
      </c>
      <c r="Q370" s="347">
        <v>3350.34</v>
      </c>
      <c r="R370" s="342">
        <v>0</v>
      </c>
      <c r="S370" s="347">
        <v>3350.34</v>
      </c>
      <c r="T370" s="341" t="s">
        <v>362</v>
      </c>
      <c r="U370" s="342">
        <v>5301010301</v>
      </c>
      <c r="V370" s="342"/>
    </row>
    <row r="371" customHeight="1" spans="1:22">
      <c r="A371" s="343" t="s">
        <v>195</v>
      </c>
      <c r="B371" s="343">
        <v>100687</v>
      </c>
      <c r="C371" s="343" t="s">
        <v>545</v>
      </c>
      <c r="D371" s="344">
        <v>1</v>
      </c>
      <c r="E371" s="343" t="s">
        <v>602</v>
      </c>
      <c r="F371" s="345">
        <v>45891</v>
      </c>
      <c r="G371" s="345">
        <v>45891</v>
      </c>
      <c r="H371" s="343">
        <v>202509</v>
      </c>
      <c r="I371" s="344">
        <v>36</v>
      </c>
      <c r="J371" s="342">
        <v>28</v>
      </c>
      <c r="K371" s="346">
        <v>4246.9</v>
      </c>
      <c r="L371" s="346"/>
      <c r="M371" s="346"/>
      <c r="N371" s="346">
        <f t="shared" si="5"/>
        <v>4246.9</v>
      </c>
      <c r="O371" s="342">
        <v>448.28</v>
      </c>
      <c r="P371" s="347">
        <v>896.56</v>
      </c>
      <c r="Q371" s="347">
        <v>3350.34</v>
      </c>
      <c r="R371" s="342">
        <v>0</v>
      </c>
      <c r="S371" s="347">
        <v>3350.34</v>
      </c>
      <c r="T371" s="341" t="s">
        <v>362</v>
      </c>
      <c r="U371" s="342">
        <v>5301010301</v>
      </c>
      <c r="V371" s="342"/>
    </row>
    <row r="372" customHeight="1" spans="1:22">
      <c r="A372" s="343" t="s">
        <v>195</v>
      </c>
      <c r="B372" s="343">
        <v>100688</v>
      </c>
      <c r="C372" s="343" t="s">
        <v>545</v>
      </c>
      <c r="D372" s="344">
        <v>1</v>
      </c>
      <c r="E372" s="343" t="s">
        <v>602</v>
      </c>
      <c r="F372" s="345">
        <v>45891</v>
      </c>
      <c r="G372" s="345">
        <v>45891</v>
      </c>
      <c r="H372" s="343">
        <v>202509</v>
      </c>
      <c r="I372" s="344">
        <v>36</v>
      </c>
      <c r="J372" s="342">
        <v>28</v>
      </c>
      <c r="K372" s="346">
        <v>4246.91</v>
      </c>
      <c r="L372" s="346"/>
      <c r="M372" s="346"/>
      <c r="N372" s="346">
        <f t="shared" si="5"/>
        <v>4246.91</v>
      </c>
      <c r="O372" s="342">
        <v>448.28</v>
      </c>
      <c r="P372" s="347">
        <v>896.56</v>
      </c>
      <c r="Q372" s="347">
        <v>3350.35</v>
      </c>
      <c r="R372" s="342">
        <v>0</v>
      </c>
      <c r="S372" s="347">
        <v>3350.35</v>
      </c>
      <c r="T372" s="341" t="s">
        <v>362</v>
      </c>
      <c r="U372" s="342">
        <v>5301010301</v>
      </c>
      <c r="V372" s="342"/>
    </row>
    <row r="373" customHeight="1" spans="1:22">
      <c r="A373" s="343" t="s">
        <v>195</v>
      </c>
      <c r="B373" s="343">
        <v>100689</v>
      </c>
      <c r="C373" s="343" t="s">
        <v>545</v>
      </c>
      <c r="D373" s="344">
        <v>1</v>
      </c>
      <c r="E373" s="343" t="s">
        <v>603</v>
      </c>
      <c r="F373" s="345">
        <v>45891</v>
      </c>
      <c r="G373" s="345">
        <v>45891</v>
      </c>
      <c r="H373" s="343">
        <v>202509</v>
      </c>
      <c r="I373" s="344">
        <v>36</v>
      </c>
      <c r="J373" s="342">
        <v>28</v>
      </c>
      <c r="K373" s="346">
        <v>4246.9</v>
      </c>
      <c r="L373" s="346"/>
      <c r="M373" s="346"/>
      <c r="N373" s="346">
        <f t="shared" si="5"/>
        <v>4246.9</v>
      </c>
      <c r="O373" s="342">
        <v>448.28</v>
      </c>
      <c r="P373" s="347">
        <v>896.56</v>
      </c>
      <c r="Q373" s="347">
        <v>3350.34</v>
      </c>
      <c r="R373" s="342">
        <v>0</v>
      </c>
      <c r="S373" s="347">
        <v>3350.34</v>
      </c>
      <c r="T373" s="341" t="s">
        <v>296</v>
      </c>
      <c r="U373" s="342">
        <v>66021201</v>
      </c>
      <c r="V373" s="342"/>
    </row>
    <row r="374" customHeight="1" spans="1:22">
      <c r="A374" s="343" t="s">
        <v>195</v>
      </c>
      <c r="B374" s="343">
        <v>100690</v>
      </c>
      <c r="C374" s="343" t="s">
        <v>559</v>
      </c>
      <c r="D374" s="344">
        <v>1</v>
      </c>
      <c r="E374" s="343" t="s">
        <v>564</v>
      </c>
      <c r="F374" s="345">
        <v>45891</v>
      </c>
      <c r="G374" s="345">
        <v>45891</v>
      </c>
      <c r="H374" s="343">
        <v>202509</v>
      </c>
      <c r="I374" s="344">
        <v>36</v>
      </c>
      <c r="J374" s="342">
        <v>28</v>
      </c>
      <c r="K374" s="346">
        <v>821.24</v>
      </c>
      <c r="L374" s="346"/>
      <c r="M374" s="346"/>
      <c r="N374" s="346">
        <f t="shared" si="5"/>
        <v>821.24</v>
      </c>
      <c r="O374" s="342">
        <v>86.68</v>
      </c>
      <c r="P374" s="347">
        <v>173.36</v>
      </c>
      <c r="Q374" s="342">
        <v>647.88</v>
      </c>
      <c r="R374" s="342">
        <v>0</v>
      </c>
      <c r="S374" s="342">
        <v>647.88</v>
      </c>
      <c r="T374" s="341" t="s">
        <v>362</v>
      </c>
      <c r="U374" s="342">
        <v>66021201</v>
      </c>
      <c r="V374" s="342"/>
    </row>
    <row r="375" customHeight="1" spans="1:22">
      <c r="A375" s="343" t="s">
        <v>195</v>
      </c>
      <c r="B375" s="343">
        <v>100691</v>
      </c>
      <c r="C375" s="343" t="s">
        <v>582</v>
      </c>
      <c r="D375" s="344">
        <v>1</v>
      </c>
      <c r="E375" s="343" t="s">
        <v>604</v>
      </c>
      <c r="F375" s="345">
        <v>45896</v>
      </c>
      <c r="G375" s="345">
        <v>45896</v>
      </c>
      <c r="H375" s="343">
        <v>202509</v>
      </c>
      <c r="I375" s="344">
        <v>36</v>
      </c>
      <c r="J375" s="342">
        <v>28</v>
      </c>
      <c r="K375" s="346">
        <v>4822.12</v>
      </c>
      <c r="L375" s="346"/>
      <c r="M375" s="346"/>
      <c r="N375" s="346">
        <f t="shared" si="5"/>
        <v>4822.12</v>
      </c>
      <c r="O375" s="342">
        <v>509</v>
      </c>
      <c r="P375" s="347">
        <v>1018</v>
      </c>
      <c r="Q375" s="347">
        <v>3804.12</v>
      </c>
      <c r="R375" s="342">
        <v>0</v>
      </c>
      <c r="S375" s="347">
        <v>3804.12</v>
      </c>
      <c r="T375" s="341" t="s">
        <v>532</v>
      </c>
      <c r="U375" s="342">
        <v>66021201</v>
      </c>
      <c r="V375" s="342"/>
    </row>
    <row r="376" customHeight="1" spans="1:22">
      <c r="A376" s="343" t="s">
        <v>195</v>
      </c>
      <c r="B376" s="343">
        <v>100692</v>
      </c>
      <c r="C376" s="343" t="s">
        <v>545</v>
      </c>
      <c r="D376" s="344">
        <v>1</v>
      </c>
      <c r="E376" s="343" t="s">
        <v>602</v>
      </c>
      <c r="F376" s="345">
        <v>45882</v>
      </c>
      <c r="G376" s="345">
        <v>45882</v>
      </c>
      <c r="H376" s="343">
        <v>202509</v>
      </c>
      <c r="I376" s="344">
        <v>36</v>
      </c>
      <c r="J376" s="342">
        <v>28</v>
      </c>
      <c r="K376" s="346">
        <v>4415.04</v>
      </c>
      <c r="L376" s="346"/>
      <c r="M376" s="346"/>
      <c r="N376" s="346">
        <f t="shared" si="5"/>
        <v>4415.04</v>
      </c>
      <c r="O376" s="342">
        <v>466.04</v>
      </c>
      <c r="P376" s="347">
        <v>932.08</v>
      </c>
      <c r="Q376" s="347">
        <v>3482.96</v>
      </c>
      <c r="R376" s="342">
        <v>0</v>
      </c>
      <c r="S376" s="347">
        <v>3482.96</v>
      </c>
      <c r="T376" s="341" t="s">
        <v>296</v>
      </c>
      <c r="U376" s="342">
        <v>66021201</v>
      </c>
      <c r="V376" s="342"/>
    </row>
    <row r="377" customHeight="1" spans="1:22">
      <c r="A377" s="343" t="s">
        <v>195</v>
      </c>
      <c r="B377" s="343">
        <v>100693</v>
      </c>
      <c r="C377" s="343" t="s">
        <v>605</v>
      </c>
      <c r="D377" s="344">
        <v>1</v>
      </c>
      <c r="E377" s="343" t="s">
        <v>606</v>
      </c>
      <c r="F377" s="345">
        <v>45870</v>
      </c>
      <c r="G377" s="345">
        <v>45870</v>
      </c>
      <c r="H377" s="343">
        <v>202509</v>
      </c>
      <c r="I377" s="344">
        <v>36</v>
      </c>
      <c r="J377" s="342">
        <v>28</v>
      </c>
      <c r="K377" s="346">
        <v>4814.17</v>
      </c>
      <c r="L377" s="346"/>
      <c r="M377" s="346"/>
      <c r="N377" s="346">
        <f t="shared" si="5"/>
        <v>4814.17</v>
      </c>
      <c r="O377" s="342">
        <v>508.16</v>
      </c>
      <c r="P377" s="347">
        <v>1016.32</v>
      </c>
      <c r="Q377" s="347">
        <v>3797.85</v>
      </c>
      <c r="R377" s="342">
        <v>0</v>
      </c>
      <c r="S377" s="347">
        <v>3797.85</v>
      </c>
      <c r="T377" s="341" t="s">
        <v>362</v>
      </c>
      <c r="U377" s="342">
        <v>5301010301</v>
      </c>
      <c r="V377" s="342"/>
    </row>
    <row r="378" customHeight="1" spans="1:22">
      <c r="A378" s="343" t="s">
        <v>195</v>
      </c>
      <c r="B378" s="343">
        <v>100694</v>
      </c>
      <c r="C378" s="343" t="s">
        <v>607</v>
      </c>
      <c r="D378" s="344">
        <v>1</v>
      </c>
      <c r="E378" s="343" t="s">
        <v>608</v>
      </c>
      <c r="F378" s="345">
        <v>45889</v>
      </c>
      <c r="G378" s="345">
        <v>45889</v>
      </c>
      <c r="H378" s="343">
        <v>202509</v>
      </c>
      <c r="I378" s="344">
        <v>36</v>
      </c>
      <c r="J378" s="342">
        <v>28</v>
      </c>
      <c r="K378" s="346">
        <v>5839.82</v>
      </c>
      <c r="L378" s="346"/>
      <c r="M378" s="346"/>
      <c r="N378" s="346">
        <f t="shared" si="5"/>
        <v>5839.82</v>
      </c>
      <c r="O378" s="342">
        <v>616.44</v>
      </c>
      <c r="P378" s="347">
        <v>1232.88</v>
      </c>
      <c r="Q378" s="347">
        <v>4606.94</v>
      </c>
      <c r="R378" s="342">
        <v>0</v>
      </c>
      <c r="S378" s="347">
        <v>4606.94</v>
      </c>
      <c r="T378" s="341" t="s">
        <v>296</v>
      </c>
      <c r="U378" s="342">
        <v>66021201</v>
      </c>
      <c r="V378" s="342"/>
    </row>
    <row r="379" customHeight="1" spans="1:22">
      <c r="A379" s="343" t="s">
        <v>195</v>
      </c>
      <c r="B379" s="343">
        <v>100695</v>
      </c>
      <c r="C379" s="343" t="s">
        <v>607</v>
      </c>
      <c r="D379" s="344">
        <v>1</v>
      </c>
      <c r="E379" s="343" t="s">
        <v>608</v>
      </c>
      <c r="F379" s="345">
        <v>45889</v>
      </c>
      <c r="G379" s="345">
        <v>45889</v>
      </c>
      <c r="H379" s="343">
        <v>202509</v>
      </c>
      <c r="I379" s="344">
        <v>36</v>
      </c>
      <c r="J379" s="342">
        <v>28</v>
      </c>
      <c r="K379" s="346">
        <v>5839.83</v>
      </c>
      <c r="L379" s="346"/>
      <c r="M379" s="346"/>
      <c r="N379" s="346">
        <f t="shared" si="5"/>
        <v>5839.83</v>
      </c>
      <c r="O379" s="342">
        <v>616.44</v>
      </c>
      <c r="P379" s="347">
        <v>1232.88</v>
      </c>
      <c r="Q379" s="347">
        <v>4606.95</v>
      </c>
      <c r="R379" s="342">
        <v>0</v>
      </c>
      <c r="S379" s="347">
        <v>4606.95</v>
      </c>
      <c r="T379" s="341" t="s">
        <v>296</v>
      </c>
      <c r="U379" s="342">
        <v>66021201</v>
      </c>
      <c r="V379" s="342"/>
    </row>
    <row r="380" customHeight="1" spans="1:22">
      <c r="A380" s="343" t="s">
        <v>195</v>
      </c>
      <c r="B380" s="343">
        <v>100696</v>
      </c>
      <c r="C380" s="343" t="s">
        <v>605</v>
      </c>
      <c r="D380" s="344">
        <v>1</v>
      </c>
      <c r="E380" s="343" t="s">
        <v>609</v>
      </c>
      <c r="F380" s="345">
        <v>45870</v>
      </c>
      <c r="G380" s="345">
        <v>45870</v>
      </c>
      <c r="H380" s="343">
        <v>202509</v>
      </c>
      <c r="I380" s="344">
        <v>36</v>
      </c>
      <c r="J380" s="342">
        <v>28</v>
      </c>
      <c r="K380" s="346">
        <v>2734.51</v>
      </c>
      <c r="L380" s="346"/>
      <c r="M380" s="346"/>
      <c r="N380" s="346">
        <f t="shared" si="5"/>
        <v>2734.51</v>
      </c>
      <c r="O380" s="342">
        <v>288.64</v>
      </c>
      <c r="P380" s="347">
        <v>577.28</v>
      </c>
      <c r="Q380" s="347">
        <v>2157.23</v>
      </c>
      <c r="R380" s="342">
        <v>0</v>
      </c>
      <c r="S380" s="347">
        <v>2157.23</v>
      </c>
      <c r="T380" s="341" t="s">
        <v>362</v>
      </c>
      <c r="U380" s="342">
        <v>5301010301</v>
      </c>
      <c r="V380" s="342"/>
    </row>
    <row r="381" customHeight="1" spans="1:22">
      <c r="A381" s="343" t="s">
        <v>195</v>
      </c>
      <c r="B381" s="343">
        <v>100697</v>
      </c>
      <c r="C381" s="343" t="s">
        <v>610</v>
      </c>
      <c r="D381" s="344">
        <v>1</v>
      </c>
      <c r="E381" s="343" t="s">
        <v>611</v>
      </c>
      <c r="F381" s="345">
        <v>45896</v>
      </c>
      <c r="G381" s="345">
        <v>45896</v>
      </c>
      <c r="H381" s="343">
        <v>202509</v>
      </c>
      <c r="I381" s="344">
        <v>36</v>
      </c>
      <c r="J381" s="342">
        <v>28</v>
      </c>
      <c r="K381" s="346">
        <v>1991.15</v>
      </c>
      <c r="L381" s="346"/>
      <c r="M381" s="346"/>
      <c r="N381" s="346">
        <f t="shared" si="5"/>
        <v>1991.15</v>
      </c>
      <c r="O381" s="342">
        <v>210.17</v>
      </c>
      <c r="P381" s="347">
        <v>420.33</v>
      </c>
      <c r="Q381" s="347">
        <v>1570.82</v>
      </c>
      <c r="R381" s="342">
        <v>0</v>
      </c>
      <c r="S381" s="347">
        <v>1570.82</v>
      </c>
      <c r="T381" s="341" t="s">
        <v>362</v>
      </c>
      <c r="U381" s="342">
        <v>5301010301</v>
      </c>
      <c r="V381" s="342"/>
    </row>
    <row r="382" customHeight="1" spans="1:22">
      <c r="A382" s="343" t="s">
        <v>195</v>
      </c>
      <c r="B382" s="343">
        <v>100698</v>
      </c>
      <c r="C382" s="343" t="s">
        <v>612</v>
      </c>
      <c r="D382" s="344">
        <v>1</v>
      </c>
      <c r="E382" s="343" t="s">
        <v>613</v>
      </c>
      <c r="F382" s="345">
        <v>45952</v>
      </c>
      <c r="G382" s="345">
        <v>45952</v>
      </c>
      <c r="H382" s="343">
        <v>202511</v>
      </c>
      <c r="I382" s="344">
        <v>36</v>
      </c>
      <c r="J382" s="342">
        <v>30</v>
      </c>
      <c r="K382" s="346">
        <v>1879.2</v>
      </c>
      <c r="L382" s="346"/>
      <c r="M382" s="346"/>
      <c r="N382" s="346">
        <f t="shared" si="5"/>
        <v>1879.2</v>
      </c>
      <c r="O382" s="342">
        <v>198.36</v>
      </c>
      <c r="P382" s="347">
        <v>297.54</v>
      </c>
      <c r="Q382" s="347">
        <v>1581.66</v>
      </c>
      <c r="R382" s="342">
        <v>0</v>
      </c>
      <c r="S382" s="347">
        <v>1581.66</v>
      </c>
      <c r="T382" s="341" t="s">
        <v>362</v>
      </c>
      <c r="U382" s="342">
        <v>5301010301</v>
      </c>
      <c r="V382" s="342"/>
    </row>
    <row r="383" customHeight="1" spans="1:22">
      <c r="A383" s="343" t="s">
        <v>195</v>
      </c>
      <c r="B383" s="343">
        <v>100699</v>
      </c>
      <c r="C383" s="343" t="s">
        <v>612</v>
      </c>
      <c r="D383" s="344">
        <v>1</v>
      </c>
      <c r="E383" s="343" t="s">
        <v>613</v>
      </c>
      <c r="F383" s="345">
        <v>45952</v>
      </c>
      <c r="G383" s="345">
        <v>45952</v>
      </c>
      <c r="H383" s="343">
        <v>202511</v>
      </c>
      <c r="I383" s="344">
        <v>36</v>
      </c>
      <c r="J383" s="342">
        <v>30</v>
      </c>
      <c r="K383" s="346">
        <v>1879.2</v>
      </c>
      <c r="L383" s="346"/>
      <c r="M383" s="346"/>
      <c r="N383" s="346">
        <f t="shared" si="5"/>
        <v>1879.2</v>
      </c>
      <c r="O383" s="342">
        <v>198.36</v>
      </c>
      <c r="P383" s="347">
        <v>297.54</v>
      </c>
      <c r="Q383" s="347">
        <v>1581.66</v>
      </c>
      <c r="R383" s="342">
        <v>0</v>
      </c>
      <c r="S383" s="347">
        <v>1581.66</v>
      </c>
      <c r="T383" s="341" t="s">
        <v>362</v>
      </c>
      <c r="U383" s="342">
        <v>66021201</v>
      </c>
      <c r="V383" s="342"/>
    </row>
    <row r="384" customHeight="1" spans="1:22">
      <c r="A384" s="343" t="s">
        <v>195</v>
      </c>
      <c r="B384" s="343">
        <v>100700</v>
      </c>
      <c r="C384" s="343" t="s">
        <v>614</v>
      </c>
      <c r="D384" s="344">
        <v>1</v>
      </c>
      <c r="E384" s="343" t="s">
        <v>615</v>
      </c>
      <c r="F384" s="345">
        <v>45952</v>
      </c>
      <c r="G384" s="345">
        <v>45952</v>
      </c>
      <c r="H384" s="343">
        <v>202511</v>
      </c>
      <c r="I384" s="344">
        <v>36</v>
      </c>
      <c r="J384" s="342">
        <v>30</v>
      </c>
      <c r="K384" s="346">
        <v>5752.21</v>
      </c>
      <c r="L384" s="346"/>
      <c r="M384" s="346"/>
      <c r="N384" s="346">
        <f t="shared" si="5"/>
        <v>5752.21</v>
      </c>
      <c r="O384" s="342">
        <v>607.17</v>
      </c>
      <c r="P384" s="347">
        <v>910.75</v>
      </c>
      <c r="Q384" s="347">
        <v>4841.46</v>
      </c>
      <c r="R384" s="342">
        <v>0</v>
      </c>
      <c r="S384" s="347">
        <v>4841.46</v>
      </c>
      <c r="T384" s="341" t="s">
        <v>296</v>
      </c>
      <c r="U384" s="342">
        <v>66021201</v>
      </c>
      <c r="V384" s="342"/>
    </row>
    <row r="385" customHeight="1" spans="1:22">
      <c r="A385" s="343" t="s">
        <v>195</v>
      </c>
      <c r="B385" s="343">
        <v>100701</v>
      </c>
      <c r="C385" s="343" t="s">
        <v>616</v>
      </c>
      <c r="D385" s="344">
        <v>1</v>
      </c>
      <c r="E385" s="343" t="s">
        <v>588</v>
      </c>
      <c r="F385" s="345">
        <v>45956</v>
      </c>
      <c r="G385" s="345">
        <v>45956</v>
      </c>
      <c r="H385" s="343">
        <v>202511</v>
      </c>
      <c r="I385" s="344">
        <v>36</v>
      </c>
      <c r="J385" s="342">
        <v>30</v>
      </c>
      <c r="K385" s="346">
        <v>867.26</v>
      </c>
      <c r="L385" s="346"/>
      <c r="M385" s="346"/>
      <c r="N385" s="346">
        <f t="shared" si="5"/>
        <v>867.26</v>
      </c>
      <c r="O385" s="342">
        <v>91.56</v>
      </c>
      <c r="P385" s="347">
        <v>137.34</v>
      </c>
      <c r="Q385" s="342">
        <v>729.92</v>
      </c>
      <c r="R385" s="342">
        <v>0</v>
      </c>
      <c r="S385" s="342">
        <v>729.92</v>
      </c>
      <c r="T385" s="341" t="s">
        <v>296</v>
      </c>
      <c r="U385" s="342">
        <v>66021201</v>
      </c>
      <c r="V385" s="342"/>
    </row>
    <row r="386" customHeight="1" spans="1:22">
      <c r="A386" s="343" t="s">
        <v>195</v>
      </c>
      <c r="B386" s="343">
        <v>100702</v>
      </c>
      <c r="C386" s="343" t="s">
        <v>616</v>
      </c>
      <c r="D386" s="344">
        <v>1</v>
      </c>
      <c r="E386" s="343" t="s">
        <v>588</v>
      </c>
      <c r="F386" s="345">
        <v>45956</v>
      </c>
      <c r="G386" s="345">
        <v>45956</v>
      </c>
      <c r="H386" s="343">
        <v>202511</v>
      </c>
      <c r="I386" s="344">
        <v>36</v>
      </c>
      <c r="J386" s="342">
        <v>30</v>
      </c>
      <c r="K386" s="346">
        <v>867.26</v>
      </c>
      <c r="L386" s="346"/>
      <c r="M386" s="346"/>
      <c r="N386" s="346">
        <f t="shared" si="5"/>
        <v>867.26</v>
      </c>
      <c r="O386" s="342">
        <v>91.56</v>
      </c>
      <c r="P386" s="347">
        <v>137.34</v>
      </c>
      <c r="Q386" s="342">
        <v>729.92</v>
      </c>
      <c r="R386" s="342">
        <v>0</v>
      </c>
      <c r="S386" s="342">
        <v>729.92</v>
      </c>
      <c r="T386" s="341" t="s">
        <v>296</v>
      </c>
      <c r="U386" s="342">
        <v>66021201</v>
      </c>
      <c r="V386" s="342"/>
    </row>
    <row r="387" customHeight="1" spans="1:22">
      <c r="A387" s="343" t="s">
        <v>195</v>
      </c>
      <c r="B387" s="343">
        <v>100703</v>
      </c>
      <c r="C387" s="343" t="s">
        <v>616</v>
      </c>
      <c r="D387" s="344">
        <v>1</v>
      </c>
      <c r="E387" s="343" t="s">
        <v>588</v>
      </c>
      <c r="F387" s="345">
        <v>45956</v>
      </c>
      <c r="G387" s="345">
        <v>45956</v>
      </c>
      <c r="H387" s="343">
        <v>202511</v>
      </c>
      <c r="I387" s="344">
        <v>36</v>
      </c>
      <c r="J387" s="342">
        <v>30</v>
      </c>
      <c r="K387" s="346">
        <v>867.25</v>
      </c>
      <c r="L387" s="346"/>
      <c r="M387" s="346"/>
      <c r="N387" s="346">
        <f t="shared" ref="N387:N450" si="6">K387+L387-M387</f>
        <v>867.25</v>
      </c>
      <c r="O387" s="342">
        <v>91.56</v>
      </c>
      <c r="P387" s="347">
        <v>137.34</v>
      </c>
      <c r="Q387" s="342">
        <v>729.91</v>
      </c>
      <c r="R387" s="342">
        <v>0</v>
      </c>
      <c r="S387" s="342">
        <v>729.91</v>
      </c>
      <c r="T387" s="341" t="s">
        <v>296</v>
      </c>
      <c r="U387" s="342">
        <v>66021201</v>
      </c>
      <c r="V387" s="342"/>
    </row>
    <row r="388" customHeight="1" spans="1:22">
      <c r="A388" s="343" t="s">
        <v>195</v>
      </c>
      <c r="B388" s="343">
        <v>100704</v>
      </c>
      <c r="C388" s="343" t="s">
        <v>617</v>
      </c>
      <c r="D388" s="344">
        <v>1</v>
      </c>
      <c r="E388" s="343" t="s">
        <v>618</v>
      </c>
      <c r="F388" s="345">
        <v>45957</v>
      </c>
      <c r="G388" s="345">
        <v>45957</v>
      </c>
      <c r="H388" s="343">
        <v>202511</v>
      </c>
      <c r="I388" s="344">
        <v>36</v>
      </c>
      <c r="J388" s="342">
        <v>30</v>
      </c>
      <c r="K388" s="346">
        <v>4866.37</v>
      </c>
      <c r="L388" s="346"/>
      <c r="M388" s="346"/>
      <c r="N388" s="346">
        <f t="shared" si="6"/>
        <v>4866.37</v>
      </c>
      <c r="O388" s="342">
        <v>513.68</v>
      </c>
      <c r="P388" s="347">
        <v>770.52</v>
      </c>
      <c r="Q388" s="347">
        <v>4095.85</v>
      </c>
      <c r="R388" s="342">
        <v>0</v>
      </c>
      <c r="S388" s="347">
        <v>4095.85</v>
      </c>
      <c r="T388" s="341" t="s">
        <v>296</v>
      </c>
      <c r="U388" s="342">
        <v>66021201</v>
      </c>
      <c r="V388" s="342"/>
    </row>
    <row r="389" customHeight="1" spans="1:22">
      <c r="A389" s="343" t="s">
        <v>195</v>
      </c>
      <c r="B389" s="343">
        <v>100591</v>
      </c>
      <c r="C389" s="343" t="s">
        <v>545</v>
      </c>
      <c r="D389" s="344">
        <v>1</v>
      </c>
      <c r="E389" s="343" t="s">
        <v>619</v>
      </c>
      <c r="F389" s="345">
        <v>45663</v>
      </c>
      <c r="G389" s="345">
        <v>45663</v>
      </c>
      <c r="H389" s="343">
        <v>202502</v>
      </c>
      <c r="I389" s="344">
        <v>36</v>
      </c>
      <c r="J389" s="342">
        <v>21</v>
      </c>
      <c r="K389" s="346">
        <v>5309.73</v>
      </c>
      <c r="L389" s="346"/>
      <c r="M389" s="346"/>
      <c r="N389" s="346">
        <f t="shared" si="6"/>
        <v>5309.73</v>
      </c>
      <c r="O389" s="342">
        <v>560.48</v>
      </c>
      <c r="P389" s="347">
        <v>2101.8</v>
      </c>
      <c r="Q389" s="347">
        <v>3207.93</v>
      </c>
      <c r="R389" s="342">
        <v>0</v>
      </c>
      <c r="S389" s="347">
        <v>3207.93</v>
      </c>
      <c r="T389" s="341" t="s">
        <v>362</v>
      </c>
      <c r="U389" s="342">
        <v>5301010301</v>
      </c>
      <c r="V389" s="342"/>
    </row>
    <row r="390" customHeight="1" spans="1:22">
      <c r="A390" s="343" t="s">
        <v>195</v>
      </c>
      <c r="B390" s="343">
        <v>100592</v>
      </c>
      <c r="C390" s="343" t="s">
        <v>545</v>
      </c>
      <c r="D390" s="344">
        <v>1</v>
      </c>
      <c r="E390" s="343" t="s">
        <v>619</v>
      </c>
      <c r="F390" s="345">
        <v>45663</v>
      </c>
      <c r="G390" s="345">
        <v>45663</v>
      </c>
      <c r="H390" s="343">
        <v>202502</v>
      </c>
      <c r="I390" s="344">
        <v>36</v>
      </c>
      <c r="J390" s="342">
        <v>21</v>
      </c>
      <c r="K390" s="346">
        <v>5309.74</v>
      </c>
      <c r="L390" s="346"/>
      <c r="M390" s="346"/>
      <c r="N390" s="346">
        <f t="shared" si="6"/>
        <v>5309.74</v>
      </c>
      <c r="O390" s="342">
        <v>560.48</v>
      </c>
      <c r="P390" s="347">
        <v>2101.8</v>
      </c>
      <c r="Q390" s="347">
        <v>3207.94</v>
      </c>
      <c r="R390" s="342">
        <v>0</v>
      </c>
      <c r="S390" s="347">
        <v>3207.94</v>
      </c>
      <c r="T390" s="341" t="s">
        <v>362</v>
      </c>
      <c r="U390" s="342">
        <v>5301010301</v>
      </c>
      <c r="V390" s="342"/>
    </row>
    <row r="391" customHeight="1" spans="1:22">
      <c r="A391" s="343" t="s">
        <v>195</v>
      </c>
      <c r="B391" s="343">
        <v>100593</v>
      </c>
      <c r="C391" s="343" t="s">
        <v>545</v>
      </c>
      <c r="D391" s="344">
        <v>1</v>
      </c>
      <c r="E391" s="343" t="s">
        <v>620</v>
      </c>
      <c r="F391" s="345">
        <v>45705</v>
      </c>
      <c r="G391" s="345">
        <v>45705</v>
      </c>
      <c r="H391" s="343">
        <v>202503</v>
      </c>
      <c r="I391" s="344">
        <v>36</v>
      </c>
      <c r="J391" s="342">
        <v>22</v>
      </c>
      <c r="K391" s="346">
        <v>5556.64</v>
      </c>
      <c r="L391" s="346"/>
      <c r="M391" s="346"/>
      <c r="N391" s="346">
        <f t="shared" si="6"/>
        <v>5556.64</v>
      </c>
      <c r="O391" s="342">
        <v>586.54</v>
      </c>
      <c r="P391" s="347">
        <v>2052.84</v>
      </c>
      <c r="Q391" s="347">
        <v>3503.8</v>
      </c>
      <c r="R391" s="342">
        <v>0</v>
      </c>
      <c r="S391" s="347">
        <v>3503.8</v>
      </c>
      <c r="T391" s="341" t="s">
        <v>362</v>
      </c>
      <c r="U391" s="342">
        <v>66021201</v>
      </c>
      <c r="V391" s="342"/>
    </row>
    <row r="392" customHeight="1" spans="1:22">
      <c r="A392" s="343" t="s">
        <v>195</v>
      </c>
      <c r="B392" s="343">
        <v>100594</v>
      </c>
      <c r="C392" s="343" t="s">
        <v>545</v>
      </c>
      <c r="D392" s="344">
        <v>1</v>
      </c>
      <c r="E392" s="343" t="s">
        <v>621</v>
      </c>
      <c r="F392" s="345">
        <v>45723</v>
      </c>
      <c r="G392" s="345">
        <v>45723</v>
      </c>
      <c r="H392" s="343">
        <v>202504</v>
      </c>
      <c r="I392" s="344">
        <v>36</v>
      </c>
      <c r="J392" s="342">
        <v>23</v>
      </c>
      <c r="K392" s="346">
        <v>5485.84</v>
      </c>
      <c r="L392" s="346"/>
      <c r="M392" s="346"/>
      <c r="N392" s="346">
        <f t="shared" si="6"/>
        <v>5485.84</v>
      </c>
      <c r="O392" s="342">
        <v>579.06</v>
      </c>
      <c r="P392" s="347">
        <v>1881.96</v>
      </c>
      <c r="Q392" s="347">
        <v>3603.88</v>
      </c>
      <c r="R392" s="342">
        <v>0</v>
      </c>
      <c r="S392" s="347">
        <v>3603.88</v>
      </c>
      <c r="T392" s="341" t="s">
        <v>362</v>
      </c>
      <c r="U392" s="342">
        <v>66021201</v>
      </c>
      <c r="V392" s="342"/>
    </row>
    <row r="393" customHeight="1" spans="1:22">
      <c r="A393" s="343" t="s">
        <v>195</v>
      </c>
      <c r="B393" s="343">
        <v>100595</v>
      </c>
      <c r="C393" s="343" t="s">
        <v>545</v>
      </c>
      <c r="D393" s="344">
        <v>1</v>
      </c>
      <c r="E393" s="343" t="s">
        <v>621</v>
      </c>
      <c r="F393" s="345">
        <v>45723</v>
      </c>
      <c r="G393" s="345">
        <v>45723</v>
      </c>
      <c r="H393" s="343">
        <v>202504</v>
      </c>
      <c r="I393" s="344">
        <v>36</v>
      </c>
      <c r="J393" s="342">
        <v>23</v>
      </c>
      <c r="K393" s="346">
        <v>5485.84</v>
      </c>
      <c r="L393" s="346"/>
      <c r="M393" s="346"/>
      <c r="N393" s="346">
        <f t="shared" si="6"/>
        <v>5485.84</v>
      </c>
      <c r="O393" s="342">
        <v>579.06</v>
      </c>
      <c r="P393" s="347">
        <v>1881.96</v>
      </c>
      <c r="Q393" s="347">
        <v>3603.88</v>
      </c>
      <c r="R393" s="342">
        <v>0</v>
      </c>
      <c r="S393" s="347">
        <v>3603.88</v>
      </c>
      <c r="T393" s="341" t="s">
        <v>546</v>
      </c>
      <c r="U393" s="342">
        <v>66011201</v>
      </c>
      <c r="V393" s="342"/>
    </row>
    <row r="394" customHeight="1" spans="1:22">
      <c r="A394" s="343" t="s">
        <v>195</v>
      </c>
      <c r="B394" s="343">
        <v>100596</v>
      </c>
      <c r="C394" s="343" t="s">
        <v>545</v>
      </c>
      <c r="D394" s="344">
        <v>1</v>
      </c>
      <c r="E394" s="343" t="s">
        <v>621</v>
      </c>
      <c r="F394" s="345">
        <v>45723</v>
      </c>
      <c r="G394" s="345">
        <v>45723</v>
      </c>
      <c r="H394" s="343">
        <v>202504</v>
      </c>
      <c r="I394" s="344">
        <v>36</v>
      </c>
      <c r="J394" s="342">
        <v>23</v>
      </c>
      <c r="K394" s="346">
        <v>5485.84</v>
      </c>
      <c r="L394" s="346"/>
      <c r="M394" s="346"/>
      <c r="N394" s="346">
        <f t="shared" si="6"/>
        <v>5485.84</v>
      </c>
      <c r="O394" s="342">
        <v>579.06</v>
      </c>
      <c r="P394" s="347">
        <v>1881.96</v>
      </c>
      <c r="Q394" s="347">
        <v>3603.88</v>
      </c>
      <c r="R394" s="342">
        <v>0</v>
      </c>
      <c r="S394" s="347">
        <v>3603.88</v>
      </c>
      <c r="T394" s="341" t="s">
        <v>546</v>
      </c>
      <c r="U394" s="342">
        <v>66011201</v>
      </c>
      <c r="V394" s="342"/>
    </row>
    <row r="395" customHeight="1" spans="1:22">
      <c r="A395" s="343" t="s">
        <v>195</v>
      </c>
      <c r="B395" s="343">
        <v>100597</v>
      </c>
      <c r="C395" s="343" t="s">
        <v>545</v>
      </c>
      <c r="D395" s="344">
        <v>1</v>
      </c>
      <c r="E395" s="343" t="s">
        <v>621</v>
      </c>
      <c r="F395" s="345">
        <v>45730</v>
      </c>
      <c r="G395" s="345">
        <v>45730</v>
      </c>
      <c r="H395" s="343">
        <v>202504</v>
      </c>
      <c r="I395" s="344">
        <v>36</v>
      </c>
      <c r="J395" s="342">
        <v>23</v>
      </c>
      <c r="K395" s="346">
        <v>6299</v>
      </c>
      <c r="L395" s="346"/>
      <c r="M395" s="346"/>
      <c r="N395" s="346">
        <f t="shared" si="6"/>
        <v>6299</v>
      </c>
      <c r="O395" s="342">
        <v>664.9</v>
      </c>
      <c r="P395" s="347">
        <v>2160.88</v>
      </c>
      <c r="Q395" s="347">
        <v>4138.12</v>
      </c>
      <c r="R395" s="342">
        <v>0</v>
      </c>
      <c r="S395" s="347">
        <v>4138.12</v>
      </c>
      <c r="T395" s="341" t="s">
        <v>546</v>
      </c>
      <c r="U395" s="342">
        <v>5301010301</v>
      </c>
      <c r="V395" s="342"/>
    </row>
    <row r="396" customHeight="1" spans="1:22">
      <c r="A396" s="343" t="s">
        <v>195</v>
      </c>
      <c r="B396" s="343">
        <v>100598</v>
      </c>
      <c r="C396" s="343" t="s">
        <v>545</v>
      </c>
      <c r="D396" s="344">
        <v>1</v>
      </c>
      <c r="E396" s="343" t="s">
        <v>622</v>
      </c>
      <c r="F396" s="345">
        <v>45730</v>
      </c>
      <c r="G396" s="345">
        <v>45730</v>
      </c>
      <c r="H396" s="343">
        <v>202504</v>
      </c>
      <c r="I396" s="344">
        <v>36</v>
      </c>
      <c r="J396" s="342">
        <v>23</v>
      </c>
      <c r="K396" s="346">
        <v>4989</v>
      </c>
      <c r="L396" s="346"/>
      <c r="M396" s="346"/>
      <c r="N396" s="346">
        <f t="shared" si="6"/>
        <v>4989</v>
      </c>
      <c r="O396" s="342">
        <v>526.62</v>
      </c>
      <c r="P396" s="347">
        <v>1711.49</v>
      </c>
      <c r="Q396" s="347">
        <v>3277.51</v>
      </c>
      <c r="R396" s="342">
        <v>0</v>
      </c>
      <c r="S396" s="347">
        <v>3277.51</v>
      </c>
      <c r="T396" s="341" t="s">
        <v>532</v>
      </c>
      <c r="U396" s="342">
        <v>66011201</v>
      </c>
      <c r="V396" s="342"/>
    </row>
    <row r="397" customHeight="1" spans="1:22">
      <c r="A397" s="343" t="s">
        <v>195</v>
      </c>
      <c r="B397" s="343">
        <v>100599</v>
      </c>
      <c r="C397" s="343" t="s">
        <v>545</v>
      </c>
      <c r="D397" s="344">
        <v>1</v>
      </c>
      <c r="E397" s="343" t="s">
        <v>622</v>
      </c>
      <c r="F397" s="345">
        <v>45730</v>
      </c>
      <c r="G397" s="345">
        <v>45730</v>
      </c>
      <c r="H397" s="343">
        <v>202504</v>
      </c>
      <c r="I397" s="344">
        <v>36</v>
      </c>
      <c r="J397" s="342">
        <v>23</v>
      </c>
      <c r="K397" s="346">
        <v>4989</v>
      </c>
      <c r="L397" s="346"/>
      <c r="M397" s="346"/>
      <c r="N397" s="346">
        <f t="shared" si="6"/>
        <v>4989</v>
      </c>
      <c r="O397" s="342">
        <v>526.62</v>
      </c>
      <c r="P397" s="347">
        <v>1711.49</v>
      </c>
      <c r="Q397" s="347">
        <v>3277.51</v>
      </c>
      <c r="R397" s="342">
        <v>0</v>
      </c>
      <c r="S397" s="347">
        <v>3277.51</v>
      </c>
      <c r="T397" s="341" t="s">
        <v>546</v>
      </c>
      <c r="U397" s="342">
        <v>66021201</v>
      </c>
      <c r="V397" s="342"/>
    </row>
    <row r="398" customHeight="1" spans="1:22">
      <c r="A398" s="343" t="s">
        <v>195</v>
      </c>
      <c r="B398" s="343">
        <v>100600</v>
      </c>
      <c r="C398" s="343" t="s">
        <v>559</v>
      </c>
      <c r="D398" s="344">
        <v>1</v>
      </c>
      <c r="E398" s="343" t="s">
        <v>623</v>
      </c>
      <c r="F398" s="345">
        <v>45728</v>
      </c>
      <c r="G398" s="345">
        <v>45728</v>
      </c>
      <c r="H398" s="343">
        <v>202504</v>
      </c>
      <c r="I398" s="344">
        <v>36</v>
      </c>
      <c r="J398" s="342">
        <v>23</v>
      </c>
      <c r="K398" s="346">
        <v>547.79</v>
      </c>
      <c r="L398" s="346"/>
      <c r="M398" s="346"/>
      <c r="N398" s="346">
        <f t="shared" si="6"/>
        <v>547.79</v>
      </c>
      <c r="O398" s="342">
        <v>57.82</v>
      </c>
      <c r="P398" s="347">
        <v>187.94</v>
      </c>
      <c r="Q398" s="342">
        <v>359.85</v>
      </c>
      <c r="R398" s="342">
        <v>0</v>
      </c>
      <c r="S398" s="342">
        <v>359.85</v>
      </c>
      <c r="T398" s="341" t="s">
        <v>532</v>
      </c>
      <c r="U398" s="342">
        <v>66011201</v>
      </c>
      <c r="V398" s="342"/>
    </row>
    <row r="399" customHeight="1" spans="1:22">
      <c r="A399" s="343" t="s">
        <v>195</v>
      </c>
      <c r="B399" s="343">
        <v>100601</v>
      </c>
      <c r="C399" s="343" t="s">
        <v>559</v>
      </c>
      <c r="D399" s="344">
        <v>1</v>
      </c>
      <c r="E399" s="343" t="s">
        <v>624</v>
      </c>
      <c r="F399" s="345">
        <v>45737</v>
      </c>
      <c r="G399" s="345">
        <v>45737</v>
      </c>
      <c r="H399" s="343">
        <v>202504</v>
      </c>
      <c r="I399" s="344">
        <v>36</v>
      </c>
      <c r="J399" s="342">
        <v>23</v>
      </c>
      <c r="K399" s="346">
        <v>884.07</v>
      </c>
      <c r="L399" s="346"/>
      <c r="M399" s="346"/>
      <c r="N399" s="346">
        <f t="shared" si="6"/>
        <v>884.07</v>
      </c>
      <c r="O399" s="342">
        <v>93.32</v>
      </c>
      <c r="P399" s="347">
        <v>303.29</v>
      </c>
      <c r="Q399" s="342">
        <v>580.78</v>
      </c>
      <c r="R399" s="342">
        <v>0</v>
      </c>
      <c r="S399" s="342">
        <v>580.78</v>
      </c>
      <c r="T399" s="341" t="s">
        <v>362</v>
      </c>
      <c r="U399" s="342">
        <v>5301010301</v>
      </c>
      <c r="V399" s="342"/>
    </row>
    <row r="400" customHeight="1" spans="1:22">
      <c r="A400" s="343" t="s">
        <v>195</v>
      </c>
      <c r="B400" s="343">
        <v>100602</v>
      </c>
      <c r="C400" s="343" t="s">
        <v>559</v>
      </c>
      <c r="D400" s="344">
        <v>1</v>
      </c>
      <c r="E400" s="343" t="s">
        <v>624</v>
      </c>
      <c r="F400" s="345">
        <v>45737</v>
      </c>
      <c r="G400" s="345">
        <v>45737</v>
      </c>
      <c r="H400" s="343">
        <v>202504</v>
      </c>
      <c r="I400" s="344">
        <v>36</v>
      </c>
      <c r="J400" s="342">
        <v>23</v>
      </c>
      <c r="K400" s="346">
        <v>884.07</v>
      </c>
      <c r="L400" s="346"/>
      <c r="M400" s="346"/>
      <c r="N400" s="346">
        <f t="shared" si="6"/>
        <v>884.07</v>
      </c>
      <c r="O400" s="342">
        <v>93.32</v>
      </c>
      <c r="P400" s="347">
        <v>303.29</v>
      </c>
      <c r="Q400" s="342">
        <v>580.78</v>
      </c>
      <c r="R400" s="342">
        <v>0</v>
      </c>
      <c r="S400" s="342">
        <v>580.78</v>
      </c>
      <c r="T400" s="341" t="s">
        <v>362</v>
      </c>
      <c r="U400" s="342">
        <v>66021201</v>
      </c>
      <c r="V400" s="342"/>
    </row>
    <row r="401" customHeight="1" spans="1:22">
      <c r="A401" s="343" t="s">
        <v>195</v>
      </c>
      <c r="B401" s="343">
        <v>100603</v>
      </c>
      <c r="C401" s="343" t="s">
        <v>559</v>
      </c>
      <c r="D401" s="344">
        <v>1</v>
      </c>
      <c r="E401" s="343" t="s">
        <v>624</v>
      </c>
      <c r="F401" s="345">
        <v>45737</v>
      </c>
      <c r="G401" s="345">
        <v>45737</v>
      </c>
      <c r="H401" s="343">
        <v>202504</v>
      </c>
      <c r="I401" s="344">
        <v>36</v>
      </c>
      <c r="J401" s="342">
        <v>23</v>
      </c>
      <c r="K401" s="346">
        <v>884.07</v>
      </c>
      <c r="L401" s="346"/>
      <c r="M401" s="346"/>
      <c r="N401" s="346">
        <f t="shared" si="6"/>
        <v>884.07</v>
      </c>
      <c r="O401" s="342">
        <v>93.32</v>
      </c>
      <c r="P401" s="347">
        <v>303.29</v>
      </c>
      <c r="Q401" s="342">
        <v>580.78</v>
      </c>
      <c r="R401" s="342">
        <v>0</v>
      </c>
      <c r="S401" s="342">
        <v>580.78</v>
      </c>
      <c r="T401" s="341" t="s">
        <v>362</v>
      </c>
      <c r="U401" s="342">
        <v>5301010301</v>
      </c>
      <c r="V401" s="342"/>
    </row>
    <row r="402" customHeight="1" spans="1:22">
      <c r="A402" s="343" t="s">
        <v>195</v>
      </c>
      <c r="B402" s="343">
        <v>100604</v>
      </c>
      <c r="C402" s="343" t="s">
        <v>559</v>
      </c>
      <c r="D402" s="344">
        <v>1</v>
      </c>
      <c r="E402" s="343" t="s">
        <v>624</v>
      </c>
      <c r="F402" s="345">
        <v>45737</v>
      </c>
      <c r="G402" s="345">
        <v>45737</v>
      </c>
      <c r="H402" s="343">
        <v>202504</v>
      </c>
      <c r="I402" s="344">
        <v>36</v>
      </c>
      <c r="J402" s="342">
        <v>23</v>
      </c>
      <c r="K402" s="346">
        <v>884.07</v>
      </c>
      <c r="L402" s="346"/>
      <c r="M402" s="346"/>
      <c r="N402" s="346">
        <f t="shared" si="6"/>
        <v>884.07</v>
      </c>
      <c r="O402" s="342">
        <v>93.32</v>
      </c>
      <c r="P402" s="347">
        <v>303.29</v>
      </c>
      <c r="Q402" s="342">
        <v>580.78</v>
      </c>
      <c r="R402" s="342">
        <v>0</v>
      </c>
      <c r="S402" s="342">
        <v>580.78</v>
      </c>
      <c r="T402" s="341" t="s">
        <v>362</v>
      </c>
      <c r="U402" s="342">
        <v>5301010301</v>
      </c>
      <c r="V402" s="342"/>
    </row>
    <row r="403" customHeight="1" spans="1:22">
      <c r="A403" s="343" t="s">
        <v>195</v>
      </c>
      <c r="B403" s="343">
        <v>100605</v>
      </c>
      <c r="C403" s="343" t="s">
        <v>559</v>
      </c>
      <c r="D403" s="344">
        <v>1</v>
      </c>
      <c r="E403" s="343" t="s">
        <v>624</v>
      </c>
      <c r="F403" s="345">
        <v>45737</v>
      </c>
      <c r="G403" s="345">
        <v>45737</v>
      </c>
      <c r="H403" s="343">
        <v>202504</v>
      </c>
      <c r="I403" s="344">
        <v>36</v>
      </c>
      <c r="J403" s="342">
        <v>23</v>
      </c>
      <c r="K403" s="346">
        <v>884.07</v>
      </c>
      <c r="L403" s="346"/>
      <c r="M403" s="346"/>
      <c r="N403" s="346">
        <f t="shared" si="6"/>
        <v>884.07</v>
      </c>
      <c r="O403" s="342">
        <v>93.32</v>
      </c>
      <c r="P403" s="347">
        <v>303.29</v>
      </c>
      <c r="Q403" s="342">
        <v>580.78</v>
      </c>
      <c r="R403" s="342">
        <v>0</v>
      </c>
      <c r="S403" s="342">
        <v>580.78</v>
      </c>
      <c r="T403" s="341" t="s">
        <v>362</v>
      </c>
      <c r="U403" s="342">
        <v>66021201</v>
      </c>
      <c r="V403" s="342"/>
    </row>
    <row r="404" customHeight="1" spans="1:22">
      <c r="A404" s="343" t="s">
        <v>195</v>
      </c>
      <c r="B404" s="343">
        <v>100606</v>
      </c>
      <c r="C404" s="343" t="s">
        <v>559</v>
      </c>
      <c r="D404" s="344">
        <v>1</v>
      </c>
      <c r="E404" s="343" t="s">
        <v>624</v>
      </c>
      <c r="F404" s="345">
        <v>45737</v>
      </c>
      <c r="G404" s="345">
        <v>45737</v>
      </c>
      <c r="H404" s="343">
        <v>202504</v>
      </c>
      <c r="I404" s="344">
        <v>36</v>
      </c>
      <c r="J404" s="342">
        <v>23</v>
      </c>
      <c r="K404" s="346">
        <v>884.07</v>
      </c>
      <c r="L404" s="346"/>
      <c r="M404" s="346"/>
      <c r="N404" s="346">
        <f t="shared" si="6"/>
        <v>884.07</v>
      </c>
      <c r="O404" s="342">
        <v>93.32</v>
      </c>
      <c r="P404" s="347">
        <v>303.29</v>
      </c>
      <c r="Q404" s="342">
        <v>580.78</v>
      </c>
      <c r="R404" s="342">
        <v>0</v>
      </c>
      <c r="S404" s="342">
        <v>580.78</v>
      </c>
      <c r="T404" s="341" t="s">
        <v>362</v>
      </c>
      <c r="U404" s="342">
        <v>5301010301</v>
      </c>
      <c r="V404" s="342"/>
    </row>
    <row r="405" customHeight="1" spans="1:22">
      <c r="A405" s="343" t="s">
        <v>195</v>
      </c>
      <c r="B405" s="343">
        <v>100607</v>
      </c>
      <c r="C405" s="343" t="s">
        <v>559</v>
      </c>
      <c r="D405" s="344">
        <v>1</v>
      </c>
      <c r="E405" s="343" t="s">
        <v>624</v>
      </c>
      <c r="F405" s="345">
        <v>45737</v>
      </c>
      <c r="G405" s="345">
        <v>45737</v>
      </c>
      <c r="H405" s="343">
        <v>202504</v>
      </c>
      <c r="I405" s="344">
        <v>36</v>
      </c>
      <c r="J405" s="342">
        <v>23</v>
      </c>
      <c r="K405" s="346">
        <v>884.07</v>
      </c>
      <c r="L405" s="346"/>
      <c r="M405" s="346"/>
      <c r="N405" s="346">
        <f t="shared" si="6"/>
        <v>884.07</v>
      </c>
      <c r="O405" s="342">
        <v>93.32</v>
      </c>
      <c r="P405" s="347">
        <v>303.29</v>
      </c>
      <c r="Q405" s="342">
        <v>580.78</v>
      </c>
      <c r="R405" s="342">
        <v>0</v>
      </c>
      <c r="S405" s="342">
        <v>580.78</v>
      </c>
      <c r="T405" s="341" t="s">
        <v>362</v>
      </c>
      <c r="U405" s="342">
        <v>5301010301</v>
      </c>
      <c r="V405" s="342"/>
    </row>
    <row r="406" customHeight="1" spans="1:22">
      <c r="A406" s="343" t="s">
        <v>195</v>
      </c>
      <c r="B406" s="343">
        <v>100589</v>
      </c>
      <c r="C406" s="343" t="s">
        <v>625</v>
      </c>
      <c r="D406" s="344">
        <v>1</v>
      </c>
      <c r="E406" s="343" t="s">
        <v>626</v>
      </c>
      <c r="F406" s="345">
        <v>45663</v>
      </c>
      <c r="G406" s="345">
        <v>45663</v>
      </c>
      <c r="H406" s="343">
        <v>202502</v>
      </c>
      <c r="I406" s="344">
        <v>36</v>
      </c>
      <c r="J406" s="342">
        <v>21</v>
      </c>
      <c r="K406" s="346">
        <v>3407.08</v>
      </c>
      <c r="L406" s="346"/>
      <c r="M406" s="346"/>
      <c r="N406" s="346">
        <f t="shared" si="6"/>
        <v>3407.08</v>
      </c>
      <c r="O406" s="342">
        <v>359.64</v>
      </c>
      <c r="P406" s="347">
        <v>1348.65</v>
      </c>
      <c r="Q406" s="347">
        <v>2058.43</v>
      </c>
      <c r="R406" s="342">
        <v>0</v>
      </c>
      <c r="S406" s="347">
        <v>2058.43</v>
      </c>
      <c r="T406" s="341" t="s">
        <v>362</v>
      </c>
      <c r="U406" s="342">
        <v>5301010301</v>
      </c>
      <c r="V406" s="342"/>
    </row>
    <row r="407" customHeight="1" spans="1:22">
      <c r="A407" s="343" t="s">
        <v>195</v>
      </c>
      <c r="B407" s="343">
        <v>100590</v>
      </c>
      <c r="C407" s="343" t="s">
        <v>625</v>
      </c>
      <c r="D407" s="344">
        <v>1</v>
      </c>
      <c r="E407" s="343" t="s">
        <v>626</v>
      </c>
      <c r="F407" s="345">
        <v>45663</v>
      </c>
      <c r="G407" s="345">
        <v>45663</v>
      </c>
      <c r="H407" s="343">
        <v>202502</v>
      </c>
      <c r="I407" s="344">
        <v>36</v>
      </c>
      <c r="J407" s="342">
        <v>21</v>
      </c>
      <c r="K407" s="346">
        <v>3407.08</v>
      </c>
      <c r="L407" s="346"/>
      <c r="M407" s="346"/>
      <c r="N407" s="346">
        <f t="shared" si="6"/>
        <v>3407.08</v>
      </c>
      <c r="O407" s="342">
        <v>359.64</v>
      </c>
      <c r="P407" s="347">
        <v>1348.65</v>
      </c>
      <c r="Q407" s="347">
        <v>2058.43</v>
      </c>
      <c r="R407" s="342">
        <v>0</v>
      </c>
      <c r="S407" s="347">
        <v>2058.43</v>
      </c>
      <c r="T407" s="341" t="s">
        <v>362</v>
      </c>
      <c r="U407" s="342">
        <v>5301010301</v>
      </c>
      <c r="V407" s="342"/>
    </row>
    <row r="408" customHeight="1" spans="1:22">
      <c r="A408" s="343" t="s">
        <v>195</v>
      </c>
      <c r="B408" s="343">
        <v>100608</v>
      </c>
      <c r="C408" s="343" t="s">
        <v>559</v>
      </c>
      <c r="D408" s="344">
        <v>1</v>
      </c>
      <c r="E408" s="343" t="s">
        <v>624</v>
      </c>
      <c r="F408" s="345">
        <v>45737</v>
      </c>
      <c r="G408" s="345">
        <v>45737</v>
      </c>
      <c r="H408" s="343">
        <v>202504</v>
      </c>
      <c r="I408" s="344">
        <v>36</v>
      </c>
      <c r="J408" s="342">
        <v>23</v>
      </c>
      <c r="K408" s="346">
        <v>884.08</v>
      </c>
      <c r="L408" s="346"/>
      <c r="M408" s="346"/>
      <c r="N408" s="346">
        <f t="shared" si="6"/>
        <v>884.08</v>
      </c>
      <c r="O408" s="342">
        <v>93.32</v>
      </c>
      <c r="P408" s="347">
        <v>303.29</v>
      </c>
      <c r="Q408" s="342">
        <v>580.79</v>
      </c>
      <c r="R408" s="342">
        <v>0</v>
      </c>
      <c r="S408" s="342">
        <v>580.79</v>
      </c>
      <c r="T408" s="341" t="s">
        <v>362</v>
      </c>
      <c r="U408" s="342">
        <v>66021201</v>
      </c>
      <c r="V408" s="342"/>
    </row>
    <row r="409" customHeight="1" spans="1:22">
      <c r="A409" s="343" t="s">
        <v>195</v>
      </c>
      <c r="B409" s="343">
        <v>100609</v>
      </c>
      <c r="C409" s="343" t="s">
        <v>559</v>
      </c>
      <c r="D409" s="344">
        <v>1</v>
      </c>
      <c r="E409" s="343" t="s">
        <v>627</v>
      </c>
      <c r="F409" s="345">
        <v>45737</v>
      </c>
      <c r="G409" s="345">
        <v>45737</v>
      </c>
      <c r="H409" s="343">
        <v>202504</v>
      </c>
      <c r="I409" s="344">
        <v>36</v>
      </c>
      <c r="J409" s="342">
        <v>23</v>
      </c>
      <c r="K409" s="346">
        <v>1220.35</v>
      </c>
      <c r="L409" s="346"/>
      <c r="M409" s="346"/>
      <c r="N409" s="346">
        <f t="shared" si="6"/>
        <v>1220.35</v>
      </c>
      <c r="O409" s="342">
        <v>128.82</v>
      </c>
      <c r="P409" s="347">
        <v>418.62</v>
      </c>
      <c r="Q409" s="342">
        <v>801.73</v>
      </c>
      <c r="R409" s="342">
        <v>0</v>
      </c>
      <c r="S409" s="342">
        <v>801.73</v>
      </c>
      <c r="T409" s="341" t="s">
        <v>362</v>
      </c>
      <c r="U409" s="342">
        <v>5301010301</v>
      </c>
      <c r="V409" s="342"/>
    </row>
    <row r="410" customHeight="1" spans="1:22">
      <c r="A410" s="343" t="s">
        <v>195</v>
      </c>
      <c r="B410" s="343">
        <v>100610</v>
      </c>
      <c r="C410" s="343" t="s">
        <v>560</v>
      </c>
      <c r="D410" s="344">
        <v>1</v>
      </c>
      <c r="E410" s="343" t="s">
        <v>628</v>
      </c>
      <c r="F410" s="345">
        <v>45743</v>
      </c>
      <c r="G410" s="345">
        <v>45743</v>
      </c>
      <c r="H410" s="343">
        <v>202504</v>
      </c>
      <c r="I410" s="344">
        <v>36</v>
      </c>
      <c r="J410" s="342">
        <v>23</v>
      </c>
      <c r="K410" s="346">
        <v>821.24</v>
      </c>
      <c r="L410" s="346"/>
      <c r="M410" s="346"/>
      <c r="N410" s="346">
        <f t="shared" si="6"/>
        <v>821.24</v>
      </c>
      <c r="O410" s="342">
        <v>86.68</v>
      </c>
      <c r="P410" s="347">
        <v>281.71</v>
      </c>
      <c r="Q410" s="342">
        <v>539.53</v>
      </c>
      <c r="R410" s="342">
        <v>0</v>
      </c>
      <c r="S410" s="342">
        <v>539.53</v>
      </c>
      <c r="T410" s="341" t="s">
        <v>573</v>
      </c>
      <c r="U410" s="342">
        <v>5301010301</v>
      </c>
      <c r="V410" s="342"/>
    </row>
    <row r="411" customHeight="1" spans="1:22">
      <c r="A411" s="343" t="s">
        <v>195</v>
      </c>
      <c r="B411" s="343">
        <v>100611</v>
      </c>
      <c r="C411" s="343" t="s">
        <v>560</v>
      </c>
      <c r="D411" s="344">
        <v>1</v>
      </c>
      <c r="E411" s="343" t="s">
        <v>628</v>
      </c>
      <c r="F411" s="345">
        <v>45743</v>
      </c>
      <c r="G411" s="345">
        <v>45743</v>
      </c>
      <c r="H411" s="343">
        <v>202504</v>
      </c>
      <c r="I411" s="344">
        <v>36</v>
      </c>
      <c r="J411" s="342">
        <v>23</v>
      </c>
      <c r="K411" s="346">
        <v>821.24</v>
      </c>
      <c r="L411" s="346"/>
      <c r="M411" s="346"/>
      <c r="N411" s="346">
        <f t="shared" si="6"/>
        <v>821.24</v>
      </c>
      <c r="O411" s="342">
        <v>86.68</v>
      </c>
      <c r="P411" s="347">
        <v>281.71</v>
      </c>
      <c r="Q411" s="342">
        <v>539.53</v>
      </c>
      <c r="R411" s="342">
        <v>0</v>
      </c>
      <c r="S411" s="342">
        <v>539.53</v>
      </c>
      <c r="T411" s="341" t="s">
        <v>573</v>
      </c>
      <c r="U411" s="342">
        <v>5301010301</v>
      </c>
      <c r="V411" s="342"/>
    </row>
    <row r="412" customHeight="1" spans="1:22">
      <c r="A412" s="343" t="s">
        <v>195</v>
      </c>
      <c r="B412" s="343">
        <v>100612</v>
      </c>
      <c r="C412" s="343" t="s">
        <v>560</v>
      </c>
      <c r="D412" s="344">
        <v>1</v>
      </c>
      <c r="E412" s="343" t="s">
        <v>628</v>
      </c>
      <c r="F412" s="345">
        <v>45743</v>
      </c>
      <c r="G412" s="345">
        <v>45743</v>
      </c>
      <c r="H412" s="343">
        <v>202504</v>
      </c>
      <c r="I412" s="344">
        <v>36</v>
      </c>
      <c r="J412" s="342">
        <v>23</v>
      </c>
      <c r="K412" s="346">
        <v>821.24</v>
      </c>
      <c r="L412" s="346"/>
      <c r="M412" s="346"/>
      <c r="N412" s="346">
        <f t="shared" si="6"/>
        <v>821.24</v>
      </c>
      <c r="O412" s="342">
        <v>86.68</v>
      </c>
      <c r="P412" s="347">
        <v>281.71</v>
      </c>
      <c r="Q412" s="342">
        <v>539.53</v>
      </c>
      <c r="R412" s="342">
        <v>0</v>
      </c>
      <c r="S412" s="342">
        <v>539.53</v>
      </c>
      <c r="T412" s="341" t="s">
        <v>573</v>
      </c>
      <c r="U412" s="342">
        <v>5301010301</v>
      </c>
      <c r="V412" s="342"/>
    </row>
    <row r="413" customHeight="1" spans="1:22">
      <c r="A413" s="343" t="s">
        <v>195</v>
      </c>
      <c r="B413" s="343">
        <v>100613</v>
      </c>
      <c r="C413" s="343" t="s">
        <v>560</v>
      </c>
      <c r="D413" s="344">
        <v>1</v>
      </c>
      <c r="E413" s="343" t="s">
        <v>628</v>
      </c>
      <c r="F413" s="345">
        <v>45742</v>
      </c>
      <c r="G413" s="345">
        <v>45742</v>
      </c>
      <c r="H413" s="343">
        <v>202504</v>
      </c>
      <c r="I413" s="344">
        <v>36</v>
      </c>
      <c r="J413" s="342">
        <v>23</v>
      </c>
      <c r="K413" s="346">
        <v>821.24</v>
      </c>
      <c r="L413" s="346"/>
      <c r="M413" s="346"/>
      <c r="N413" s="346">
        <f t="shared" si="6"/>
        <v>821.24</v>
      </c>
      <c r="O413" s="342">
        <v>86.68</v>
      </c>
      <c r="P413" s="347">
        <v>281.71</v>
      </c>
      <c r="Q413" s="342">
        <v>539.53</v>
      </c>
      <c r="R413" s="342">
        <v>0</v>
      </c>
      <c r="S413" s="342">
        <v>539.53</v>
      </c>
      <c r="T413" s="341" t="s">
        <v>532</v>
      </c>
      <c r="U413" s="342">
        <v>66011201</v>
      </c>
      <c r="V413" s="342"/>
    </row>
    <row r="414" customHeight="1" spans="1:22">
      <c r="A414" s="343" t="s">
        <v>195</v>
      </c>
      <c r="B414" s="343">
        <v>100614</v>
      </c>
      <c r="C414" s="343" t="s">
        <v>629</v>
      </c>
      <c r="D414" s="344">
        <v>1</v>
      </c>
      <c r="E414" s="343" t="s">
        <v>630</v>
      </c>
      <c r="F414" s="345">
        <v>45726</v>
      </c>
      <c r="G414" s="345">
        <v>45726</v>
      </c>
      <c r="H414" s="343">
        <v>202504</v>
      </c>
      <c r="I414" s="344">
        <v>36</v>
      </c>
      <c r="J414" s="342">
        <v>23</v>
      </c>
      <c r="K414" s="346">
        <v>2876.1</v>
      </c>
      <c r="L414" s="346"/>
      <c r="M414" s="346"/>
      <c r="N414" s="346">
        <f t="shared" si="6"/>
        <v>2876.1</v>
      </c>
      <c r="O414" s="342">
        <v>303.6</v>
      </c>
      <c r="P414" s="347">
        <v>986.7</v>
      </c>
      <c r="Q414" s="347">
        <v>1889.4</v>
      </c>
      <c r="R414" s="342">
        <v>0</v>
      </c>
      <c r="S414" s="347">
        <v>1889.4</v>
      </c>
      <c r="T414" s="341" t="s">
        <v>296</v>
      </c>
      <c r="U414" s="342">
        <v>66021201</v>
      </c>
      <c r="V414" s="342"/>
    </row>
    <row r="415" customHeight="1" spans="1:22">
      <c r="A415" s="343" t="s">
        <v>195</v>
      </c>
      <c r="B415" s="343">
        <v>100615</v>
      </c>
      <c r="C415" s="343" t="s">
        <v>629</v>
      </c>
      <c r="D415" s="344">
        <v>1</v>
      </c>
      <c r="E415" s="343" t="s">
        <v>630</v>
      </c>
      <c r="F415" s="345">
        <v>45726</v>
      </c>
      <c r="G415" s="345">
        <v>45726</v>
      </c>
      <c r="H415" s="343">
        <v>202504</v>
      </c>
      <c r="I415" s="344">
        <v>36</v>
      </c>
      <c r="J415" s="342">
        <v>23</v>
      </c>
      <c r="K415" s="346">
        <v>2876.11</v>
      </c>
      <c r="L415" s="346"/>
      <c r="M415" s="346"/>
      <c r="N415" s="346">
        <f t="shared" si="6"/>
        <v>2876.11</v>
      </c>
      <c r="O415" s="342">
        <v>303.6</v>
      </c>
      <c r="P415" s="347">
        <v>986.7</v>
      </c>
      <c r="Q415" s="347">
        <v>1889.41</v>
      </c>
      <c r="R415" s="342">
        <v>0</v>
      </c>
      <c r="S415" s="347">
        <v>1889.41</v>
      </c>
      <c r="T415" s="341" t="s">
        <v>296</v>
      </c>
      <c r="U415" s="342">
        <v>66021201</v>
      </c>
      <c r="V415" s="342"/>
    </row>
    <row r="416" customHeight="1" spans="1:22">
      <c r="A416" s="343" t="s">
        <v>195</v>
      </c>
      <c r="B416" s="343">
        <v>100616</v>
      </c>
      <c r="C416" s="343" t="s">
        <v>545</v>
      </c>
      <c r="D416" s="344">
        <v>1</v>
      </c>
      <c r="E416" s="343" t="s">
        <v>631</v>
      </c>
      <c r="F416" s="345">
        <v>45750</v>
      </c>
      <c r="G416" s="345">
        <v>45750</v>
      </c>
      <c r="H416" s="343">
        <v>202505</v>
      </c>
      <c r="I416" s="344">
        <v>36</v>
      </c>
      <c r="J416" s="342">
        <v>24</v>
      </c>
      <c r="K416" s="346">
        <v>5308.85</v>
      </c>
      <c r="L416" s="346"/>
      <c r="M416" s="346"/>
      <c r="N416" s="346">
        <f t="shared" si="6"/>
        <v>5308.85</v>
      </c>
      <c r="O416" s="342">
        <v>560.38</v>
      </c>
      <c r="P416" s="347">
        <v>1681.13</v>
      </c>
      <c r="Q416" s="347">
        <v>3627.72</v>
      </c>
      <c r="R416" s="342">
        <v>0</v>
      </c>
      <c r="S416" s="347">
        <v>3627.72</v>
      </c>
      <c r="T416" s="341" t="s">
        <v>362</v>
      </c>
      <c r="U416" s="342">
        <v>66011201</v>
      </c>
      <c r="V416" s="342"/>
    </row>
    <row r="417" customHeight="1" spans="1:22">
      <c r="A417" s="343" t="s">
        <v>195</v>
      </c>
      <c r="B417" s="343">
        <v>100617</v>
      </c>
      <c r="C417" s="343" t="s">
        <v>559</v>
      </c>
      <c r="D417" s="344">
        <v>1</v>
      </c>
      <c r="E417" s="343" t="s">
        <v>564</v>
      </c>
      <c r="F417" s="345">
        <v>45750</v>
      </c>
      <c r="G417" s="345">
        <v>45750</v>
      </c>
      <c r="H417" s="343">
        <v>202505</v>
      </c>
      <c r="I417" s="344">
        <v>36</v>
      </c>
      <c r="J417" s="342">
        <v>24</v>
      </c>
      <c r="K417" s="346">
        <v>821.24</v>
      </c>
      <c r="L417" s="346"/>
      <c r="M417" s="346"/>
      <c r="N417" s="346">
        <f t="shared" si="6"/>
        <v>821.24</v>
      </c>
      <c r="O417" s="342">
        <v>86.68</v>
      </c>
      <c r="P417" s="347">
        <v>260.04</v>
      </c>
      <c r="Q417" s="342">
        <v>561.2</v>
      </c>
      <c r="R417" s="342">
        <v>0</v>
      </c>
      <c r="S417" s="342">
        <v>561.2</v>
      </c>
      <c r="T417" s="341" t="s">
        <v>362</v>
      </c>
      <c r="U417" s="342">
        <v>66011201</v>
      </c>
      <c r="V417" s="342"/>
    </row>
    <row r="418" customHeight="1" spans="1:22">
      <c r="A418" s="343" t="s">
        <v>195</v>
      </c>
      <c r="B418" s="343">
        <v>100618</v>
      </c>
      <c r="C418" s="343" t="s">
        <v>632</v>
      </c>
      <c r="D418" s="344">
        <v>1</v>
      </c>
      <c r="E418" s="343" t="s">
        <v>627</v>
      </c>
      <c r="F418" s="345">
        <v>45750</v>
      </c>
      <c r="G418" s="345">
        <v>45750</v>
      </c>
      <c r="H418" s="343">
        <v>202505</v>
      </c>
      <c r="I418" s="344">
        <v>36</v>
      </c>
      <c r="J418" s="342">
        <v>24</v>
      </c>
      <c r="K418" s="346">
        <v>1220.36</v>
      </c>
      <c r="L418" s="346"/>
      <c r="M418" s="346"/>
      <c r="N418" s="346">
        <f t="shared" si="6"/>
        <v>1220.36</v>
      </c>
      <c r="O418" s="342">
        <v>128.82</v>
      </c>
      <c r="P418" s="347">
        <v>386.42</v>
      </c>
      <c r="Q418" s="342">
        <v>833.94</v>
      </c>
      <c r="R418" s="342">
        <v>0</v>
      </c>
      <c r="S418" s="342">
        <v>833.94</v>
      </c>
      <c r="T418" s="341" t="s">
        <v>362</v>
      </c>
      <c r="U418" s="342">
        <v>5301010301</v>
      </c>
      <c r="V418" s="342"/>
    </row>
    <row r="419" customHeight="1" spans="1:22">
      <c r="A419" s="343" t="s">
        <v>195</v>
      </c>
      <c r="B419" s="343">
        <v>100619</v>
      </c>
      <c r="C419" s="343" t="s">
        <v>632</v>
      </c>
      <c r="D419" s="344">
        <v>1</v>
      </c>
      <c r="E419" s="343" t="s">
        <v>627</v>
      </c>
      <c r="F419" s="345">
        <v>45750</v>
      </c>
      <c r="G419" s="345">
        <v>45750</v>
      </c>
      <c r="H419" s="343">
        <v>202505</v>
      </c>
      <c r="I419" s="344">
        <v>36</v>
      </c>
      <c r="J419" s="342">
        <v>24</v>
      </c>
      <c r="K419" s="346">
        <v>1220.36</v>
      </c>
      <c r="L419" s="346"/>
      <c r="M419" s="346"/>
      <c r="N419" s="346">
        <f t="shared" si="6"/>
        <v>1220.36</v>
      </c>
      <c r="O419" s="342">
        <v>128.82</v>
      </c>
      <c r="P419" s="347">
        <v>386.42</v>
      </c>
      <c r="Q419" s="342">
        <v>833.94</v>
      </c>
      <c r="R419" s="342">
        <v>0</v>
      </c>
      <c r="S419" s="342">
        <v>833.94</v>
      </c>
      <c r="T419" s="341" t="s">
        <v>362</v>
      </c>
      <c r="U419" s="342">
        <v>5301010301</v>
      </c>
      <c r="V419" s="342"/>
    </row>
    <row r="420" customHeight="1" spans="1:22">
      <c r="A420" s="343" t="s">
        <v>195</v>
      </c>
      <c r="B420" s="343">
        <v>100620</v>
      </c>
      <c r="C420" s="343" t="s">
        <v>632</v>
      </c>
      <c r="D420" s="344">
        <v>1</v>
      </c>
      <c r="E420" s="343" t="s">
        <v>627</v>
      </c>
      <c r="F420" s="345">
        <v>45750</v>
      </c>
      <c r="G420" s="345">
        <v>45750</v>
      </c>
      <c r="H420" s="343">
        <v>202505</v>
      </c>
      <c r="I420" s="344">
        <v>36</v>
      </c>
      <c r="J420" s="342">
        <v>24</v>
      </c>
      <c r="K420" s="346">
        <v>1220.35</v>
      </c>
      <c r="L420" s="346"/>
      <c r="M420" s="346"/>
      <c r="N420" s="346">
        <f t="shared" si="6"/>
        <v>1220.35</v>
      </c>
      <c r="O420" s="342">
        <v>128.81</v>
      </c>
      <c r="P420" s="347">
        <v>386.41</v>
      </c>
      <c r="Q420" s="342">
        <v>833.94</v>
      </c>
      <c r="R420" s="342">
        <v>0</v>
      </c>
      <c r="S420" s="342">
        <v>833.94</v>
      </c>
      <c r="T420" s="341" t="s">
        <v>362</v>
      </c>
      <c r="U420" s="342">
        <v>5301010301</v>
      </c>
      <c r="V420" s="342"/>
    </row>
    <row r="421" customHeight="1" spans="1:22">
      <c r="A421" s="343" t="s">
        <v>195</v>
      </c>
      <c r="B421" s="343">
        <v>100621</v>
      </c>
      <c r="C421" s="343" t="s">
        <v>632</v>
      </c>
      <c r="D421" s="344">
        <v>1</v>
      </c>
      <c r="E421" s="343" t="s">
        <v>627</v>
      </c>
      <c r="F421" s="345">
        <v>45750</v>
      </c>
      <c r="G421" s="345">
        <v>45750</v>
      </c>
      <c r="H421" s="343">
        <v>202505</v>
      </c>
      <c r="I421" s="344">
        <v>36</v>
      </c>
      <c r="J421" s="342">
        <v>24</v>
      </c>
      <c r="K421" s="346">
        <v>1220.35</v>
      </c>
      <c r="L421" s="346"/>
      <c r="M421" s="346"/>
      <c r="N421" s="346">
        <f t="shared" si="6"/>
        <v>1220.35</v>
      </c>
      <c r="O421" s="342">
        <v>128.81</v>
      </c>
      <c r="P421" s="347">
        <v>386.41</v>
      </c>
      <c r="Q421" s="342">
        <v>833.94</v>
      </c>
      <c r="R421" s="342">
        <v>0</v>
      </c>
      <c r="S421" s="342">
        <v>833.94</v>
      </c>
      <c r="T421" s="341" t="s">
        <v>362</v>
      </c>
      <c r="U421" s="342">
        <v>66021201</v>
      </c>
      <c r="V421" s="342"/>
    </row>
    <row r="422" customHeight="1" spans="1:22">
      <c r="A422" s="343" t="s">
        <v>195</v>
      </c>
      <c r="B422" s="343">
        <v>100622</v>
      </c>
      <c r="C422" s="343" t="s">
        <v>545</v>
      </c>
      <c r="D422" s="344">
        <v>1</v>
      </c>
      <c r="E422" s="343" t="s">
        <v>633</v>
      </c>
      <c r="F422" s="345">
        <v>45770</v>
      </c>
      <c r="G422" s="345">
        <v>45770</v>
      </c>
      <c r="H422" s="343">
        <v>202505</v>
      </c>
      <c r="I422" s="344">
        <v>36</v>
      </c>
      <c r="J422" s="342">
        <v>24</v>
      </c>
      <c r="K422" s="346">
        <v>5308.85</v>
      </c>
      <c r="L422" s="346"/>
      <c r="M422" s="346"/>
      <c r="N422" s="346">
        <f t="shared" si="6"/>
        <v>5308.85</v>
      </c>
      <c r="O422" s="342">
        <v>560.38</v>
      </c>
      <c r="P422" s="347">
        <v>1681.13</v>
      </c>
      <c r="Q422" s="347">
        <v>3627.72</v>
      </c>
      <c r="R422" s="342">
        <v>0</v>
      </c>
      <c r="S422" s="347">
        <v>3627.72</v>
      </c>
      <c r="T422" s="341" t="s">
        <v>362</v>
      </c>
      <c r="U422" s="342">
        <v>66021201</v>
      </c>
      <c r="V422" s="342"/>
    </row>
    <row r="423" customHeight="1" spans="1:22">
      <c r="A423" s="343" t="s">
        <v>195</v>
      </c>
      <c r="B423" s="343">
        <v>100623</v>
      </c>
      <c r="C423" s="343" t="s">
        <v>634</v>
      </c>
      <c r="D423" s="344">
        <v>1</v>
      </c>
      <c r="E423" s="343" t="s">
        <v>635</v>
      </c>
      <c r="F423" s="345">
        <v>45765</v>
      </c>
      <c r="G423" s="345">
        <v>45765</v>
      </c>
      <c r="H423" s="343">
        <v>202505</v>
      </c>
      <c r="I423" s="344">
        <v>36</v>
      </c>
      <c r="J423" s="342">
        <v>24</v>
      </c>
      <c r="K423" s="346">
        <v>3087.61</v>
      </c>
      <c r="L423" s="346"/>
      <c r="M423" s="346"/>
      <c r="N423" s="346">
        <f t="shared" si="6"/>
        <v>3087.61</v>
      </c>
      <c r="O423" s="342">
        <v>325.92</v>
      </c>
      <c r="P423" s="347">
        <v>977.76</v>
      </c>
      <c r="Q423" s="347">
        <v>2109.85</v>
      </c>
      <c r="R423" s="342">
        <v>0</v>
      </c>
      <c r="S423" s="347">
        <v>2109.85</v>
      </c>
      <c r="T423" s="341" t="s">
        <v>296</v>
      </c>
      <c r="U423" s="342">
        <v>66021201</v>
      </c>
      <c r="V423" s="342"/>
    </row>
    <row r="424" customHeight="1" spans="1:22">
      <c r="A424" s="343" t="s">
        <v>195</v>
      </c>
      <c r="B424" s="343">
        <v>100624</v>
      </c>
      <c r="C424" s="343" t="s">
        <v>636</v>
      </c>
      <c r="D424" s="344">
        <v>1</v>
      </c>
      <c r="E424" s="343" t="s">
        <v>637</v>
      </c>
      <c r="F424" s="345">
        <v>45765</v>
      </c>
      <c r="G424" s="345">
        <v>45765</v>
      </c>
      <c r="H424" s="343">
        <v>202505</v>
      </c>
      <c r="I424" s="344">
        <v>36</v>
      </c>
      <c r="J424" s="342">
        <v>24</v>
      </c>
      <c r="K424" s="346">
        <v>884.07</v>
      </c>
      <c r="L424" s="346"/>
      <c r="M424" s="346"/>
      <c r="N424" s="346">
        <f t="shared" si="6"/>
        <v>884.07</v>
      </c>
      <c r="O424" s="342">
        <v>93.32</v>
      </c>
      <c r="P424" s="347">
        <v>279.96</v>
      </c>
      <c r="Q424" s="342">
        <v>604.11</v>
      </c>
      <c r="R424" s="342">
        <v>0</v>
      </c>
      <c r="S424" s="342">
        <v>604.11</v>
      </c>
      <c r="T424" s="341" t="s">
        <v>296</v>
      </c>
      <c r="U424" s="342">
        <v>66021201</v>
      </c>
      <c r="V424" s="342"/>
    </row>
    <row r="425" customHeight="1" spans="1:22">
      <c r="A425" s="343" t="s">
        <v>195</v>
      </c>
      <c r="B425" s="343">
        <v>100625</v>
      </c>
      <c r="C425" s="343" t="s">
        <v>545</v>
      </c>
      <c r="D425" s="344">
        <v>1</v>
      </c>
      <c r="E425" s="343" t="s">
        <v>638</v>
      </c>
      <c r="F425" s="345">
        <v>45793</v>
      </c>
      <c r="G425" s="345">
        <v>45793</v>
      </c>
      <c r="H425" s="343">
        <v>202506</v>
      </c>
      <c r="I425" s="344">
        <v>36</v>
      </c>
      <c r="J425" s="342">
        <v>25</v>
      </c>
      <c r="K425" s="346">
        <v>4415.05</v>
      </c>
      <c r="L425" s="346"/>
      <c r="M425" s="346"/>
      <c r="N425" s="346">
        <f t="shared" si="6"/>
        <v>4415.05</v>
      </c>
      <c r="O425" s="342">
        <v>466.04</v>
      </c>
      <c r="P425" s="347">
        <v>1281.61</v>
      </c>
      <c r="Q425" s="347">
        <v>3133.44</v>
      </c>
      <c r="R425" s="342">
        <v>0</v>
      </c>
      <c r="S425" s="347">
        <v>3133.44</v>
      </c>
      <c r="T425" s="341" t="s">
        <v>546</v>
      </c>
      <c r="U425" s="342">
        <v>5301010301</v>
      </c>
      <c r="V425" s="342"/>
    </row>
    <row r="426" customHeight="1" spans="1:22">
      <c r="A426" s="343" t="s">
        <v>195</v>
      </c>
      <c r="B426" s="343">
        <v>100626</v>
      </c>
      <c r="C426" s="343" t="s">
        <v>545</v>
      </c>
      <c r="D426" s="344">
        <v>1</v>
      </c>
      <c r="E426" s="343" t="s">
        <v>638</v>
      </c>
      <c r="F426" s="345">
        <v>45793</v>
      </c>
      <c r="G426" s="345">
        <v>45793</v>
      </c>
      <c r="H426" s="343">
        <v>202506</v>
      </c>
      <c r="I426" s="344">
        <v>36</v>
      </c>
      <c r="J426" s="342">
        <v>25</v>
      </c>
      <c r="K426" s="346">
        <v>4415.04</v>
      </c>
      <c r="L426" s="346"/>
      <c r="M426" s="346"/>
      <c r="N426" s="346">
        <f t="shared" si="6"/>
        <v>4415.04</v>
      </c>
      <c r="O426" s="342">
        <v>466.04</v>
      </c>
      <c r="P426" s="347">
        <v>1281.61</v>
      </c>
      <c r="Q426" s="347">
        <v>3133.43</v>
      </c>
      <c r="R426" s="342">
        <v>0</v>
      </c>
      <c r="S426" s="347">
        <v>3133.43</v>
      </c>
      <c r="T426" s="341" t="s">
        <v>546</v>
      </c>
      <c r="U426" s="342">
        <v>5301010301</v>
      </c>
      <c r="V426" s="342"/>
    </row>
    <row r="427" customHeight="1" spans="1:22">
      <c r="A427" s="343" t="s">
        <v>195</v>
      </c>
      <c r="B427" s="343">
        <v>100627</v>
      </c>
      <c r="C427" s="343" t="s">
        <v>545</v>
      </c>
      <c r="D427" s="344">
        <v>1</v>
      </c>
      <c r="E427" s="343" t="s">
        <v>638</v>
      </c>
      <c r="F427" s="345">
        <v>45793</v>
      </c>
      <c r="G427" s="345">
        <v>45793</v>
      </c>
      <c r="H427" s="343">
        <v>202506</v>
      </c>
      <c r="I427" s="344">
        <v>36</v>
      </c>
      <c r="J427" s="342">
        <v>25</v>
      </c>
      <c r="K427" s="346">
        <v>4415.04</v>
      </c>
      <c r="L427" s="346"/>
      <c r="M427" s="346"/>
      <c r="N427" s="346">
        <f t="shared" si="6"/>
        <v>4415.04</v>
      </c>
      <c r="O427" s="342">
        <v>466.04</v>
      </c>
      <c r="P427" s="347">
        <v>1281.61</v>
      </c>
      <c r="Q427" s="347">
        <v>3133.43</v>
      </c>
      <c r="R427" s="342">
        <v>0</v>
      </c>
      <c r="S427" s="347">
        <v>3133.43</v>
      </c>
      <c r="T427" s="341" t="s">
        <v>362</v>
      </c>
      <c r="U427" s="342">
        <v>66021201</v>
      </c>
      <c r="V427" s="342"/>
    </row>
    <row r="428" customHeight="1" spans="1:22">
      <c r="A428" s="343" t="s">
        <v>195</v>
      </c>
      <c r="B428" s="343">
        <v>100628</v>
      </c>
      <c r="C428" s="343" t="s">
        <v>545</v>
      </c>
      <c r="D428" s="344">
        <v>1</v>
      </c>
      <c r="E428" s="343" t="s">
        <v>638</v>
      </c>
      <c r="F428" s="345">
        <v>45793</v>
      </c>
      <c r="G428" s="345">
        <v>45793</v>
      </c>
      <c r="H428" s="343">
        <v>202506</v>
      </c>
      <c r="I428" s="344">
        <v>36</v>
      </c>
      <c r="J428" s="342">
        <v>25</v>
      </c>
      <c r="K428" s="346">
        <v>4415.04</v>
      </c>
      <c r="L428" s="346"/>
      <c r="M428" s="346"/>
      <c r="N428" s="346">
        <f t="shared" si="6"/>
        <v>4415.04</v>
      </c>
      <c r="O428" s="342">
        <v>466.04</v>
      </c>
      <c r="P428" s="347">
        <v>1281.61</v>
      </c>
      <c r="Q428" s="347">
        <v>3133.43</v>
      </c>
      <c r="R428" s="342">
        <v>0</v>
      </c>
      <c r="S428" s="347">
        <v>3133.43</v>
      </c>
      <c r="T428" s="341" t="s">
        <v>546</v>
      </c>
      <c r="U428" s="342">
        <v>5301010301</v>
      </c>
      <c r="V428" s="342"/>
    </row>
    <row r="429" customHeight="1" spans="1:22">
      <c r="A429" s="343" t="s">
        <v>195</v>
      </c>
      <c r="B429" s="343">
        <v>100629</v>
      </c>
      <c r="C429" s="343" t="s">
        <v>565</v>
      </c>
      <c r="D429" s="344">
        <v>1</v>
      </c>
      <c r="E429" s="343" t="s">
        <v>639</v>
      </c>
      <c r="F429" s="345">
        <v>45799</v>
      </c>
      <c r="G429" s="345">
        <v>45799</v>
      </c>
      <c r="H429" s="343">
        <v>202506</v>
      </c>
      <c r="I429" s="344">
        <v>36</v>
      </c>
      <c r="J429" s="342">
        <v>25</v>
      </c>
      <c r="K429" s="346">
        <v>1725.66</v>
      </c>
      <c r="L429" s="346"/>
      <c r="M429" s="346"/>
      <c r="N429" s="346">
        <f t="shared" si="6"/>
        <v>1725.66</v>
      </c>
      <c r="O429" s="342">
        <v>182.16</v>
      </c>
      <c r="P429" s="347">
        <v>500.94</v>
      </c>
      <c r="Q429" s="347">
        <v>1224.72</v>
      </c>
      <c r="R429" s="342">
        <v>0</v>
      </c>
      <c r="S429" s="347">
        <v>1224.72</v>
      </c>
      <c r="T429" s="341" t="s">
        <v>296</v>
      </c>
      <c r="U429" s="342">
        <v>66021201</v>
      </c>
      <c r="V429" s="342"/>
    </row>
    <row r="430" customHeight="1" spans="1:22">
      <c r="A430" s="343" t="s">
        <v>195</v>
      </c>
      <c r="B430" s="343">
        <v>100630</v>
      </c>
      <c r="C430" s="343" t="s">
        <v>555</v>
      </c>
      <c r="D430" s="344">
        <v>1</v>
      </c>
      <c r="E430" s="343" t="s">
        <v>640</v>
      </c>
      <c r="F430" s="345">
        <v>45800</v>
      </c>
      <c r="G430" s="345">
        <v>45800</v>
      </c>
      <c r="H430" s="343">
        <v>202506</v>
      </c>
      <c r="I430" s="344">
        <v>36</v>
      </c>
      <c r="J430" s="342">
        <v>25</v>
      </c>
      <c r="K430" s="346">
        <v>2653.98</v>
      </c>
      <c r="L430" s="346"/>
      <c r="M430" s="346"/>
      <c r="N430" s="346">
        <f t="shared" si="6"/>
        <v>2653.98</v>
      </c>
      <c r="O430" s="342">
        <v>280.14</v>
      </c>
      <c r="P430" s="347">
        <v>770.41</v>
      </c>
      <c r="Q430" s="347">
        <v>1883.57</v>
      </c>
      <c r="R430" s="342">
        <v>0</v>
      </c>
      <c r="S430" s="347">
        <v>1883.57</v>
      </c>
      <c r="T430" s="341" t="s">
        <v>296</v>
      </c>
      <c r="U430" s="342">
        <v>66021201</v>
      </c>
      <c r="V430" s="342"/>
    </row>
    <row r="431" customHeight="1" spans="1:22">
      <c r="A431" s="343" t="s">
        <v>195</v>
      </c>
      <c r="B431" s="343">
        <v>100631</v>
      </c>
      <c r="C431" s="343" t="s">
        <v>545</v>
      </c>
      <c r="D431" s="344">
        <v>1</v>
      </c>
      <c r="E431" s="343" t="s">
        <v>603</v>
      </c>
      <c r="F431" s="345">
        <v>45799</v>
      </c>
      <c r="G431" s="345">
        <v>45799</v>
      </c>
      <c r="H431" s="343">
        <v>202506</v>
      </c>
      <c r="I431" s="344">
        <v>36</v>
      </c>
      <c r="J431" s="342">
        <v>25</v>
      </c>
      <c r="K431" s="346">
        <v>4423.89</v>
      </c>
      <c r="L431" s="346"/>
      <c r="M431" s="346"/>
      <c r="N431" s="346">
        <f t="shared" si="6"/>
        <v>4423.89</v>
      </c>
      <c r="O431" s="342">
        <v>466.96</v>
      </c>
      <c r="P431" s="347">
        <v>1284.14</v>
      </c>
      <c r="Q431" s="347">
        <v>3139.75</v>
      </c>
      <c r="R431" s="342">
        <v>0</v>
      </c>
      <c r="S431" s="347">
        <v>3139.75</v>
      </c>
      <c r="T431" s="341" t="s">
        <v>362</v>
      </c>
      <c r="U431" s="342">
        <v>66021201</v>
      </c>
      <c r="V431" s="342"/>
    </row>
    <row r="432" customHeight="1" spans="1:22">
      <c r="A432" s="343" t="s">
        <v>195</v>
      </c>
      <c r="B432" s="343">
        <v>100632</v>
      </c>
      <c r="C432" s="343" t="s">
        <v>560</v>
      </c>
      <c r="D432" s="344">
        <v>1</v>
      </c>
      <c r="E432" s="343" t="s">
        <v>628</v>
      </c>
      <c r="F432" s="345">
        <v>45798</v>
      </c>
      <c r="G432" s="345">
        <v>45798</v>
      </c>
      <c r="H432" s="343">
        <v>202506</v>
      </c>
      <c r="I432" s="344">
        <v>36</v>
      </c>
      <c r="J432" s="342">
        <v>25</v>
      </c>
      <c r="K432" s="346">
        <v>795.58</v>
      </c>
      <c r="L432" s="346"/>
      <c r="M432" s="346"/>
      <c r="N432" s="346">
        <f t="shared" si="6"/>
        <v>795.58</v>
      </c>
      <c r="O432" s="342">
        <v>83.98</v>
      </c>
      <c r="P432" s="347">
        <v>230.93</v>
      </c>
      <c r="Q432" s="342">
        <v>564.65</v>
      </c>
      <c r="R432" s="342">
        <v>0</v>
      </c>
      <c r="S432" s="342">
        <v>564.65</v>
      </c>
      <c r="T432" s="341" t="s">
        <v>546</v>
      </c>
      <c r="U432" s="342">
        <v>66011201</v>
      </c>
      <c r="V432" s="342"/>
    </row>
    <row r="433" customHeight="1" spans="1:22">
      <c r="A433" s="343" t="s">
        <v>195</v>
      </c>
      <c r="B433" s="343">
        <v>100633</v>
      </c>
      <c r="C433" s="343" t="s">
        <v>560</v>
      </c>
      <c r="D433" s="344">
        <v>1</v>
      </c>
      <c r="E433" s="343" t="s">
        <v>628</v>
      </c>
      <c r="F433" s="345">
        <v>45807</v>
      </c>
      <c r="G433" s="345">
        <v>45807</v>
      </c>
      <c r="H433" s="343">
        <v>202506</v>
      </c>
      <c r="I433" s="344">
        <v>36</v>
      </c>
      <c r="J433" s="342">
        <v>25</v>
      </c>
      <c r="K433" s="346">
        <v>791.16</v>
      </c>
      <c r="L433" s="346"/>
      <c r="M433" s="346"/>
      <c r="N433" s="346">
        <f t="shared" si="6"/>
        <v>791.16</v>
      </c>
      <c r="O433" s="342">
        <v>83.52</v>
      </c>
      <c r="P433" s="347">
        <v>229.68</v>
      </c>
      <c r="Q433" s="342">
        <v>561.48</v>
      </c>
      <c r="R433" s="342">
        <v>0</v>
      </c>
      <c r="S433" s="342">
        <v>561.48</v>
      </c>
      <c r="T433" s="341" t="s">
        <v>532</v>
      </c>
      <c r="U433" s="342">
        <v>66011201</v>
      </c>
      <c r="V433" s="342"/>
    </row>
    <row r="434" customHeight="1" spans="1:22">
      <c r="A434" s="343" t="s">
        <v>195</v>
      </c>
      <c r="B434" s="343">
        <v>100634</v>
      </c>
      <c r="C434" s="343" t="s">
        <v>545</v>
      </c>
      <c r="D434" s="344">
        <v>1</v>
      </c>
      <c r="E434" s="343" t="s">
        <v>641</v>
      </c>
      <c r="F434" s="345">
        <v>45814</v>
      </c>
      <c r="G434" s="345">
        <v>45814</v>
      </c>
      <c r="H434" s="343">
        <v>202507</v>
      </c>
      <c r="I434" s="344">
        <v>36</v>
      </c>
      <c r="J434" s="342">
        <v>26</v>
      </c>
      <c r="K434" s="346">
        <v>6707.08</v>
      </c>
      <c r="L434" s="346"/>
      <c r="M434" s="346"/>
      <c r="N434" s="346">
        <f t="shared" si="6"/>
        <v>6707.08</v>
      </c>
      <c r="O434" s="342">
        <v>707.96</v>
      </c>
      <c r="P434" s="347">
        <v>1769.9</v>
      </c>
      <c r="Q434" s="347">
        <v>4937.18</v>
      </c>
      <c r="R434" s="342">
        <v>0</v>
      </c>
      <c r="S434" s="347">
        <v>4937.18</v>
      </c>
      <c r="T434" s="341" t="s">
        <v>362</v>
      </c>
      <c r="U434" s="342">
        <v>5301010301</v>
      </c>
      <c r="V434" s="342"/>
    </row>
    <row r="435" customHeight="1" spans="1:22">
      <c r="A435" s="343" t="s">
        <v>195</v>
      </c>
      <c r="B435" s="343">
        <v>100635</v>
      </c>
      <c r="C435" s="343" t="s">
        <v>565</v>
      </c>
      <c r="D435" s="344">
        <v>1</v>
      </c>
      <c r="E435" s="343" t="s">
        <v>642</v>
      </c>
      <c r="F435" s="345">
        <v>45812</v>
      </c>
      <c r="G435" s="345">
        <v>45812</v>
      </c>
      <c r="H435" s="343">
        <v>202507</v>
      </c>
      <c r="I435" s="344">
        <v>36</v>
      </c>
      <c r="J435" s="342">
        <v>26</v>
      </c>
      <c r="K435" s="346">
        <v>2468.14</v>
      </c>
      <c r="L435" s="346"/>
      <c r="M435" s="346"/>
      <c r="N435" s="346">
        <f t="shared" si="6"/>
        <v>2468.14</v>
      </c>
      <c r="O435" s="342">
        <v>260.52</v>
      </c>
      <c r="P435" s="347">
        <v>651.3</v>
      </c>
      <c r="Q435" s="347">
        <v>1816.84</v>
      </c>
      <c r="R435" s="342">
        <v>0</v>
      </c>
      <c r="S435" s="347">
        <v>1816.84</v>
      </c>
      <c r="T435" s="341" t="s">
        <v>362</v>
      </c>
      <c r="U435" s="342">
        <v>5301010301</v>
      </c>
      <c r="V435" s="342"/>
    </row>
    <row r="436" customHeight="1" spans="1:22">
      <c r="A436" s="343" t="s">
        <v>195</v>
      </c>
      <c r="B436" s="343">
        <v>100636</v>
      </c>
      <c r="C436" s="343" t="s">
        <v>643</v>
      </c>
      <c r="D436" s="344">
        <v>1</v>
      </c>
      <c r="E436" s="343" t="s">
        <v>644</v>
      </c>
      <c r="F436" s="345">
        <v>45818</v>
      </c>
      <c r="G436" s="345">
        <v>45818</v>
      </c>
      <c r="H436" s="343">
        <v>202507</v>
      </c>
      <c r="I436" s="344">
        <v>36</v>
      </c>
      <c r="J436" s="342">
        <v>26</v>
      </c>
      <c r="K436" s="346">
        <v>3982.3</v>
      </c>
      <c r="L436" s="346"/>
      <c r="M436" s="346"/>
      <c r="N436" s="346">
        <f t="shared" si="6"/>
        <v>3982.3</v>
      </c>
      <c r="O436" s="342">
        <v>420.36</v>
      </c>
      <c r="P436" s="347">
        <v>1050.9</v>
      </c>
      <c r="Q436" s="347">
        <v>2931.4</v>
      </c>
      <c r="R436" s="342">
        <v>0</v>
      </c>
      <c r="S436" s="347">
        <v>2931.4</v>
      </c>
      <c r="T436" s="341" t="s">
        <v>296</v>
      </c>
      <c r="U436" s="342">
        <v>66021201</v>
      </c>
      <c r="V436" s="342"/>
    </row>
    <row r="437" customHeight="1" spans="1:22">
      <c r="A437" s="343" t="s">
        <v>195</v>
      </c>
      <c r="B437" s="343">
        <v>100637</v>
      </c>
      <c r="C437" s="343" t="s">
        <v>559</v>
      </c>
      <c r="D437" s="344">
        <v>1</v>
      </c>
      <c r="E437" s="343" t="s">
        <v>645</v>
      </c>
      <c r="F437" s="345">
        <v>45822</v>
      </c>
      <c r="G437" s="345">
        <v>45822</v>
      </c>
      <c r="H437" s="343">
        <v>202507</v>
      </c>
      <c r="I437" s="344">
        <v>36</v>
      </c>
      <c r="J437" s="342">
        <v>26</v>
      </c>
      <c r="K437" s="346">
        <v>1220.36</v>
      </c>
      <c r="L437" s="346"/>
      <c r="M437" s="346"/>
      <c r="N437" s="346">
        <f t="shared" si="6"/>
        <v>1220.36</v>
      </c>
      <c r="O437" s="342">
        <v>128.81</v>
      </c>
      <c r="P437" s="347">
        <v>322.01</v>
      </c>
      <c r="Q437" s="342">
        <v>898.35</v>
      </c>
      <c r="R437" s="342">
        <v>0</v>
      </c>
      <c r="S437" s="342">
        <v>898.35</v>
      </c>
      <c r="T437" s="341" t="s">
        <v>546</v>
      </c>
      <c r="U437" s="342">
        <v>5301010301</v>
      </c>
      <c r="V437" s="342"/>
    </row>
    <row r="438" customHeight="1" spans="1:22">
      <c r="A438" s="343" t="s">
        <v>195</v>
      </c>
      <c r="B438" s="343">
        <v>100638</v>
      </c>
      <c r="C438" s="343" t="s">
        <v>559</v>
      </c>
      <c r="D438" s="344">
        <v>1</v>
      </c>
      <c r="E438" s="343" t="s">
        <v>645</v>
      </c>
      <c r="F438" s="345">
        <v>45822</v>
      </c>
      <c r="G438" s="345">
        <v>45822</v>
      </c>
      <c r="H438" s="343">
        <v>202507</v>
      </c>
      <c r="I438" s="344">
        <v>36</v>
      </c>
      <c r="J438" s="342">
        <v>26</v>
      </c>
      <c r="K438" s="346">
        <v>1220.36</v>
      </c>
      <c r="L438" s="346"/>
      <c r="M438" s="346"/>
      <c r="N438" s="346">
        <f t="shared" si="6"/>
        <v>1220.36</v>
      </c>
      <c r="O438" s="342">
        <v>128.81</v>
      </c>
      <c r="P438" s="347">
        <v>322.01</v>
      </c>
      <c r="Q438" s="342">
        <v>898.35</v>
      </c>
      <c r="R438" s="342">
        <v>0</v>
      </c>
      <c r="S438" s="342">
        <v>898.35</v>
      </c>
      <c r="T438" s="341" t="s">
        <v>546</v>
      </c>
      <c r="U438" s="342">
        <v>5301010301</v>
      </c>
      <c r="V438" s="342"/>
    </row>
    <row r="439" customHeight="1" spans="1:22">
      <c r="A439" s="343" t="s">
        <v>195</v>
      </c>
      <c r="B439" s="343">
        <v>100639</v>
      </c>
      <c r="C439" s="343" t="s">
        <v>559</v>
      </c>
      <c r="D439" s="344">
        <v>1</v>
      </c>
      <c r="E439" s="343" t="s">
        <v>645</v>
      </c>
      <c r="F439" s="345">
        <v>45822</v>
      </c>
      <c r="G439" s="345">
        <v>45822</v>
      </c>
      <c r="H439" s="343">
        <v>202507</v>
      </c>
      <c r="I439" s="344">
        <v>36</v>
      </c>
      <c r="J439" s="342">
        <v>26</v>
      </c>
      <c r="K439" s="346">
        <v>1220.35</v>
      </c>
      <c r="L439" s="346"/>
      <c r="M439" s="346"/>
      <c r="N439" s="346">
        <f t="shared" si="6"/>
        <v>1220.35</v>
      </c>
      <c r="O439" s="342">
        <v>128.8</v>
      </c>
      <c r="P439" s="347">
        <v>322</v>
      </c>
      <c r="Q439" s="342">
        <v>898.35</v>
      </c>
      <c r="R439" s="342">
        <v>0</v>
      </c>
      <c r="S439" s="342">
        <v>898.35</v>
      </c>
      <c r="T439" s="341" t="s">
        <v>546</v>
      </c>
      <c r="U439" s="342">
        <v>5301010301</v>
      </c>
      <c r="V439" s="342"/>
    </row>
    <row r="440" customHeight="1" spans="1:22">
      <c r="A440" s="343" t="s">
        <v>195</v>
      </c>
      <c r="B440" s="343">
        <v>100640</v>
      </c>
      <c r="C440" s="343" t="s">
        <v>559</v>
      </c>
      <c r="D440" s="344">
        <v>1</v>
      </c>
      <c r="E440" s="343" t="s">
        <v>645</v>
      </c>
      <c r="F440" s="345">
        <v>45822</v>
      </c>
      <c r="G440" s="345">
        <v>45822</v>
      </c>
      <c r="H440" s="343">
        <v>202507</v>
      </c>
      <c r="I440" s="344">
        <v>36</v>
      </c>
      <c r="J440" s="342">
        <v>26</v>
      </c>
      <c r="K440" s="346">
        <v>1220.35</v>
      </c>
      <c r="L440" s="346"/>
      <c r="M440" s="346"/>
      <c r="N440" s="346">
        <f t="shared" si="6"/>
        <v>1220.35</v>
      </c>
      <c r="O440" s="342">
        <v>128.8</v>
      </c>
      <c r="P440" s="347">
        <v>322</v>
      </c>
      <c r="Q440" s="342">
        <v>898.35</v>
      </c>
      <c r="R440" s="342">
        <v>0</v>
      </c>
      <c r="S440" s="342">
        <v>898.35</v>
      </c>
      <c r="T440" s="341" t="s">
        <v>546</v>
      </c>
      <c r="U440" s="342">
        <v>5301010301</v>
      </c>
      <c r="V440" s="342"/>
    </row>
    <row r="441" customHeight="1" spans="1:22">
      <c r="A441" s="343" t="s">
        <v>195</v>
      </c>
      <c r="B441" s="343">
        <v>100641</v>
      </c>
      <c r="C441" s="343" t="s">
        <v>559</v>
      </c>
      <c r="D441" s="344">
        <v>1</v>
      </c>
      <c r="E441" s="343" t="s">
        <v>564</v>
      </c>
      <c r="F441" s="345">
        <v>45820</v>
      </c>
      <c r="G441" s="345">
        <v>45820</v>
      </c>
      <c r="H441" s="343">
        <v>202507</v>
      </c>
      <c r="I441" s="344">
        <v>36</v>
      </c>
      <c r="J441" s="342">
        <v>26</v>
      </c>
      <c r="K441" s="346">
        <v>795.58</v>
      </c>
      <c r="L441" s="346"/>
      <c r="M441" s="346"/>
      <c r="N441" s="346">
        <f t="shared" si="6"/>
        <v>795.58</v>
      </c>
      <c r="O441" s="342">
        <v>83.98</v>
      </c>
      <c r="P441" s="347">
        <v>209.93</v>
      </c>
      <c r="Q441" s="342">
        <v>585.65</v>
      </c>
      <c r="R441" s="342">
        <v>0</v>
      </c>
      <c r="S441" s="342">
        <v>585.65</v>
      </c>
      <c r="T441" s="341" t="s">
        <v>362</v>
      </c>
      <c r="U441" s="342">
        <v>5301010301</v>
      </c>
      <c r="V441" s="342"/>
    </row>
    <row r="442" customHeight="1" spans="1:22">
      <c r="A442" s="343" t="s">
        <v>195</v>
      </c>
      <c r="B442" s="343">
        <v>100642</v>
      </c>
      <c r="C442" s="343" t="s">
        <v>559</v>
      </c>
      <c r="D442" s="344">
        <v>1</v>
      </c>
      <c r="E442" s="343" t="s">
        <v>564</v>
      </c>
      <c r="F442" s="345">
        <v>45820</v>
      </c>
      <c r="G442" s="345">
        <v>45820</v>
      </c>
      <c r="H442" s="343">
        <v>202507</v>
      </c>
      <c r="I442" s="344">
        <v>36</v>
      </c>
      <c r="J442" s="342">
        <v>26</v>
      </c>
      <c r="K442" s="346">
        <v>795.58</v>
      </c>
      <c r="L442" s="346"/>
      <c r="M442" s="346"/>
      <c r="N442" s="346">
        <f t="shared" si="6"/>
        <v>795.58</v>
      </c>
      <c r="O442" s="342">
        <v>83.98</v>
      </c>
      <c r="P442" s="347">
        <v>209.93</v>
      </c>
      <c r="Q442" s="342">
        <v>585.65</v>
      </c>
      <c r="R442" s="342">
        <v>0</v>
      </c>
      <c r="S442" s="342">
        <v>585.65</v>
      </c>
      <c r="T442" s="341" t="s">
        <v>362</v>
      </c>
      <c r="U442" s="342">
        <v>5301010301</v>
      </c>
      <c r="V442" s="342"/>
    </row>
    <row r="443" customHeight="1" spans="1:22">
      <c r="A443" s="343" t="s">
        <v>195</v>
      </c>
      <c r="B443" s="343">
        <v>100643</v>
      </c>
      <c r="C443" s="343" t="s">
        <v>559</v>
      </c>
      <c r="D443" s="344">
        <v>1</v>
      </c>
      <c r="E443" s="343" t="s">
        <v>564</v>
      </c>
      <c r="F443" s="345">
        <v>45820</v>
      </c>
      <c r="G443" s="345">
        <v>45820</v>
      </c>
      <c r="H443" s="343">
        <v>202507</v>
      </c>
      <c r="I443" s="344">
        <v>36</v>
      </c>
      <c r="J443" s="342">
        <v>26</v>
      </c>
      <c r="K443" s="346">
        <v>795.58</v>
      </c>
      <c r="L443" s="346"/>
      <c r="M443" s="346"/>
      <c r="N443" s="346">
        <f t="shared" si="6"/>
        <v>795.58</v>
      </c>
      <c r="O443" s="342">
        <v>83.98</v>
      </c>
      <c r="P443" s="347">
        <v>209.93</v>
      </c>
      <c r="Q443" s="342">
        <v>585.65</v>
      </c>
      <c r="R443" s="342">
        <v>0</v>
      </c>
      <c r="S443" s="342">
        <v>585.65</v>
      </c>
      <c r="T443" s="341" t="s">
        <v>362</v>
      </c>
      <c r="U443" s="342">
        <v>5301010301</v>
      </c>
      <c r="V443" s="342"/>
    </row>
    <row r="444" customHeight="1" spans="1:22">
      <c r="A444" s="343" t="s">
        <v>195</v>
      </c>
      <c r="B444" s="343">
        <v>100644</v>
      </c>
      <c r="C444" s="343" t="s">
        <v>559</v>
      </c>
      <c r="D444" s="344">
        <v>1</v>
      </c>
      <c r="E444" s="343" t="s">
        <v>564</v>
      </c>
      <c r="F444" s="345">
        <v>45820</v>
      </c>
      <c r="G444" s="345">
        <v>45820</v>
      </c>
      <c r="H444" s="343">
        <v>202507</v>
      </c>
      <c r="I444" s="344">
        <v>36</v>
      </c>
      <c r="J444" s="342">
        <v>26</v>
      </c>
      <c r="K444" s="346">
        <v>795.57</v>
      </c>
      <c r="L444" s="346"/>
      <c r="M444" s="346"/>
      <c r="N444" s="346">
        <f t="shared" si="6"/>
        <v>795.57</v>
      </c>
      <c r="O444" s="342">
        <v>83.98</v>
      </c>
      <c r="P444" s="347">
        <v>209.92</v>
      </c>
      <c r="Q444" s="342">
        <v>585.65</v>
      </c>
      <c r="R444" s="342">
        <v>0</v>
      </c>
      <c r="S444" s="342">
        <v>585.65</v>
      </c>
      <c r="T444" s="341" t="s">
        <v>362</v>
      </c>
      <c r="U444" s="342">
        <v>5301010301</v>
      </c>
      <c r="V444" s="342"/>
    </row>
    <row r="445" customHeight="1" spans="1:22">
      <c r="A445" s="343" t="s">
        <v>195</v>
      </c>
      <c r="B445" s="343">
        <v>100645</v>
      </c>
      <c r="C445" s="343" t="s">
        <v>559</v>
      </c>
      <c r="D445" s="344">
        <v>1</v>
      </c>
      <c r="E445" s="343" t="s">
        <v>564</v>
      </c>
      <c r="F445" s="345">
        <v>45820</v>
      </c>
      <c r="G445" s="345">
        <v>45820</v>
      </c>
      <c r="H445" s="343">
        <v>202507</v>
      </c>
      <c r="I445" s="344">
        <v>36</v>
      </c>
      <c r="J445" s="342">
        <v>26</v>
      </c>
      <c r="K445" s="346">
        <v>795.57</v>
      </c>
      <c r="L445" s="346"/>
      <c r="M445" s="346"/>
      <c r="N445" s="346">
        <f t="shared" si="6"/>
        <v>795.57</v>
      </c>
      <c r="O445" s="342">
        <v>83.98</v>
      </c>
      <c r="P445" s="347">
        <v>209.92</v>
      </c>
      <c r="Q445" s="342">
        <v>585.65</v>
      </c>
      <c r="R445" s="342">
        <v>0</v>
      </c>
      <c r="S445" s="342">
        <v>585.65</v>
      </c>
      <c r="T445" s="341" t="s">
        <v>362</v>
      </c>
      <c r="U445" s="342">
        <v>5301010301</v>
      </c>
      <c r="V445" s="342"/>
    </row>
    <row r="446" customHeight="1" spans="1:22">
      <c r="A446" s="343" t="s">
        <v>195</v>
      </c>
      <c r="B446" s="343">
        <v>100646</v>
      </c>
      <c r="C446" s="343" t="s">
        <v>559</v>
      </c>
      <c r="D446" s="344">
        <v>1</v>
      </c>
      <c r="E446" s="343" t="s">
        <v>564</v>
      </c>
      <c r="F446" s="345">
        <v>45820</v>
      </c>
      <c r="G446" s="345">
        <v>45820</v>
      </c>
      <c r="H446" s="343">
        <v>202507</v>
      </c>
      <c r="I446" s="344">
        <v>36</v>
      </c>
      <c r="J446" s="342">
        <v>26</v>
      </c>
      <c r="K446" s="346">
        <v>795.57</v>
      </c>
      <c r="L446" s="346"/>
      <c r="M446" s="346"/>
      <c r="N446" s="346">
        <f t="shared" si="6"/>
        <v>795.57</v>
      </c>
      <c r="O446" s="342">
        <v>83.98</v>
      </c>
      <c r="P446" s="347">
        <v>209.92</v>
      </c>
      <c r="Q446" s="342">
        <v>585.65</v>
      </c>
      <c r="R446" s="342">
        <v>0</v>
      </c>
      <c r="S446" s="342">
        <v>585.65</v>
      </c>
      <c r="T446" s="341" t="s">
        <v>362</v>
      </c>
      <c r="U446" s="342">
        <v>5301010301</v>
      </c>
      <c r="V446" s="342"/>
    </row>
    <row r="447" customHeight="1" spans="1:22">
      <c r="A447" s="343" t="s">
        <v>195</v>
      </c>
      <c r="B447" s="343">
        <v>100647</v>
      </c>
      <c r="C447" s="343" t="s">
        <v>646</v>
      </c>
      <c r="D447" s="344">
        <v>1</v>
      </c>
      <c r="E447" s="343" t="s">
        <v>647</v>
      </c>
      <c r="F447" s="345">
        <v>45812</v>
      </c>
      <c r="G447" s="345">
        <v>45812</v>
      </c>
      <c r="H447" s="343">
        <v>202507</v>
      </c>
      <c r="I447" s="344">
        <v>36</v>
      </c>
      <c r="J447" s="342">
        <v>26</v>
      </c>
      <c r="K447" s="346">
        <v>2524.78</v>
      </c>
      <c r="L447" s="346"/>
      <c r="M447" s="346"/>
      <c r="N447" s="346">
        <f t="shared" si="6"/>
        <v>2524.78</v>
      </c>
      <c r="O447" s="342">
        <v>266.51</v>
      </c>
      <c r="P447" s="347">
        <v>666.29</v>
      </c>
      <c r="Q447" s="347">
        <v>1858.49</v>
      </c>
      <c r="R447" s="342">
        <v>0</v>
      </c>
      <c r="S447" s="347">
        <v>1858.49</v>
      </c>
      <c r="T447" s="341" t="s">
        <v>296</v>
      </c>
      <c r="U447" s="342">
        <v>66021201</v>
      </c>
      <c r="V447" s="342"/>
    </row>
    <row r="448" customHeight="1" spans="1:22">
      <c r="A448" s="343" t="s">
        <v>195</v>
      </c>
      <c r="B448" s="343">
        <v>100648</v>
      </c>
      <c r="C448" s="343" t="s">
        <v>646</v>
      </c>
      <c r="D448" s="344">
        <v>1</v>
      </c>
      <c r="E448" s="343" t="s">
        <v>648</v>
      </c>
      <c r="F448" s="345">
        <v>45812</v>
      </c>
      <c r="G448" s="345">
        <v>45812</v>
      </c>
      <c r="H448" s="343">
        <v>202507</v>
      </c>
      <c r="I448" s="344">
        <v>36</v>
      </c>
      <c r="J448" s="342">
        <v>26</v>
      </c>
      <c r="K448" s="346">
        <v>2264.6</v>
      </c>
      <c r="L448" s="346"/>
      <c r="M448" s="346"/>
      <c r="N448" s="346">
        <f t="shared" si="6"/>
        <v>2264.6</v>
      </c>
      <c r="O448" s="342">
        <v>239.04</v>
      </c>
      <c r="P448" s="347">
        <v>597.6</v>
      </c>
      <c r="Q448" s="347">
        <v>1667</v>
      </c>
      <c r="R448" s="342">
        <v>0</v>
      </c>
      <c r="S448" s="347">
        <v>1667</v>
      </c>
      <c r="T448" s="341" t="s">
        <v>296</v>
      </c>
      <c r="U448" s="342">
        <v>66021201</v>
      </c>
      <c r="V448" s="342"/>
    </row>
    <row r="449" customHeight="1" spans="1:22">
      <c r="A449" s="343" t="s">
        <v>195</v>
      </c>
      <c r="B449" s="343">
        <v>100649</v>
      </c>
      <c r="C449" s="343" t="s">
        <v>559</v>
      </c>
      <c r="D449" s="344">
        <v>1</v>
      </c>
      <c r="E449" s="343" t="s">
        <v>624</v>
      </c>
      <c r="F449" s="345">
        <v>45828</v>
      </c>
      <c r="G449" s="345">
        <v>45828</v>
      </c>
      <c r="H449" s="343">
        <v>202507</v>
      </c>
      <c r="I449" s="344">
        <v>36</v>
      </c>
      <c r="J449" s="342">
        <v>26</v>
      </c>
      <c r="K449" s="346">
        <v>857.52</v>
      </c>
      <c r="L449" s="346"/>
      <c r="M449" s="346"/>
      <c r="N449" s="346">
        <f t="shared" si="6"/>
        <v>857.52</v>
      </c>
      <c r="O449" s="342">
        <v>90.52</v>
      </c>
      <c r="P449" s="347">
        <v>226.3</v>
      </c>
      <c r="Q449" s="342">
        <v>631.22</v>
      </c>
      <c r="R449" s="342">
        <v>0</v>
      </c>
      <c r="S449" s="342">
        <v>631.22</v>
      </c>
      <c r="T449" s="341" t="s">
        <v>362</v>
      </c>
      <c r="U449" s="342">
        <v>5301010301</v>
      </c>
      <c r="V449" s="342"/>
    </row>
    <row r="450" customHeight="1" spans="1:22">
      <c r="A450" s="343" t="s">
        <v>195</v>
      </c>
      <c r="B450" s="343">
        <v>100650</v>
      </c>
      <c r="C450" s="343" t="s">
        <v>559</v>
      </c>
      <c r="D450" s="344">
        <v>1</v>
      </c>
      <c r="E450" s="343" t="s">
        <v>624</v>
      </c>
      <c r="F450" s="345">
        <v>45828</v>
      </c>
      <c r="G450" s="345">
        <v>45828</v>
      </c>
      <c r="H450" s="343">
        <v>202507</v>
      </c>
      <c r="I450" s="344">
        <v>36</v>
      </c>
      <c r="J450" s="342">
        <v>26</v>
      </c>
      <c r="K450" s="346">
        <v>857.52</v>
      </c>
      <c r="L450" s="346"/>
      <c r="M450" s="346"/>
      <c r="N450" s="346">
        <f t="shared" si="6"/>
        <v>857.52</v>
      </c>
      <c r="O450" s="342">
        <v>90.52</v>
      </c>
      <c r="P450" s="347">
        <v>226.3</v>
      </c>
      <c r="Q450" s="342">
        <v>631.22</v>
      </c>
      <c r="R450" s="342">
        <v>0</v>
      </c>
      <c r="S450" s="342">
        <v>631.22</v>
      </c>
      <c r="T450" s="341" t="s">
        <v>362</v>
      </c>
      <c r="U450" s="342">
        <v>5301010301</v>
      </c>
      <c r="V450" s="342"/>
    </row>
    <row r="451" customHeight="1" spans="1:22">
      <c r="A451" s="343" t="s">
        <v>195</v>
      </c>
      <c r="B451" s="343">
        <v>100651</v>
      </c>
      <c r="C451" s="343" t="s">
        <v>559</v>
      </c>
      <c r="D451" s="344">
        <v>1</v>
      </c>
      <c r="E451" s="343" t="s">
        <v>624</v>
      </c>
      <c r="F451" s="345">
        <v>45828</v>
      </c>
      <c r="G451" s="345">
        <v>45828</v>
      </c>
      <c r="H451" s="343">
        <v>202507</v>
      </c>
      <c r="I451" s="344">
        <v>36</v>
      </c>
      <c r="J451" s="342">
        <v>26</v>
      </c>
      <c r="K451" s="346">
        <v>857.52</v>
      </c>
      <c r="L451" s="346"/>
      <c r="M451" s="346"/>
      <c r="N451" s="346">
        <f t="shared" ref="N451:N514" si="7">K451+L451-M451</f>
        <v>857.52</v>
      </c>
      <c r="O451" s="342">
        <v>90.52</v>
      </c>
      <c r="P451" s="347">
        <v>226.3</v>
      </c>
      <c r="Q451" s="342">
        <v>631.22</v>
      </c>
      <c r="R451" s="342">
        <v>0</v>
      </c>
      <c r="S451" s="342">
        <v>631.22</v>
      </c>
      <c r="T451" s="341" t="s">
        <v>362</v>
      </c>
      <c r="U451" s="342">
        <v>5301010301</v>
      </c>
      <c r="V451" s="342"/>
    </row>
    <row r="452" customHeight="1" spans="1:22">
      <c r="A452" s="343" t="s">
        <v>195</v>
      </c>
      <c r="B452" s="343">
        <v>100652</v>
      </c>
      <c r="C452" s="343" t="s">
        <v>559</v>
      </c>
      <c r="D452" s="344">
        <v>1</v>
      </c>
      <c r="E452" s="343" t="s">
        <v>624</v>
      </c>
      <c r="F452" s="345">
        <v>45828</v>
      </c>
      <c r="G452" s="345">
        <v>45828</v>
      </c>
      <c r="H452" s="343">
        <v>202507</v>
      </c>
      <c r="I452" s="344">
        <v>36</v>
      </c>
      <c r="J452" s="342">
        <v>26</v>
      </c>
      <c r="K452" s="346">
        <v>857.52</v>
      </c>
      <c r="L452" s="346"/>
      <c r="M452" s="346"/>
      <c r="N452" s="346">
        <f t="shared" si="7"/>
        <v>857.52</v>
      </c>
      <c r="O452" s="342">
        <v>90.52</v>
      </c>
      <c r="P452" s="347">
        <v>226.3</v>
      </c>
      <c r="Q452" s="342">
        <v>631.22</v>
      </c>
      <c r="R452" s="342">
        <v>0</v>
      </c>
      <c r="S452" s="342">
        <v>631.22</v>
      </c>
      <c r="T452" s="341" t="s">
        <v>362</v>
      </c>
      <c r="U452" s="342">
        <v>5301010301</v>
      </c>
      <c r="V452" s="342"/>
    </row>
    <row r="453" customHeight="1" spans="1:22">
      <c r="A453" s="343" t="s">
        <v>195</v>
      </c>
      <c r="B453" s="343">
        <v>100653</v>
      </c>
      <c r="C453" s="343" t="s">
        <v>559</v>
      </c>
      <c r="D453" s="344">
        <v>1</v>
      </c>
      <c r="E453" s="343" t="s">
        <v>624</v>
      </c>
      <c r="F453" s="345">
        <v>45828</v>
      </c>
      <c r="G453" s="345">
        <v>45828</v>
      </c>
      <c r="H453" s="343">
        <v>202507</v>
      </c>
      <c r="I453" s="344">
        <v>36</v>
      </c>
      <c r="J453" s="342">
        <v>26</v>
      </c>
      <c r="K453" s="346">
        <v>857.52</v>
      </c>
      <c r="L453" s="346"/>
      <c r="M453" s="346"/>
      <c r="N453" s="346">
        <f t="shared" si="7"/>
        <v>857.52</v>
      </c>
      <c r="O453" s="342">
        <v>90.52</v>
      </c>
      <c r="P453" s="347">
        <v>226.3</v>
      </c>
      <c r="Q453" s="342">
        <v>631.22</v>
      </c>
      <c r="R453" s="342">
        <v>0</v>
      </c>
      <c r="S453" s="342">
        <v>631.22</v>
      </c>
      <c r="T453" s="341" t="s">
        <v>362</v>
      </c>
      <c r="U453" s="342">
        <v>5301010301</v>
      </c>
      <c r="V453" s="342"/>
    </row>
    <row r="454" customHeight="1" spans="1:22">
      <c r="A454" s="343" t="s">
        <v>195</v>
      </c>
      <c r="B454" s="343">
        <v>100654</v>
      </c>
      <c r="C454" s="343" t="s">
        <v>559</v>
      </c>
      <c r="D454" s="344">
        <v>1</v>
      </c>
      <c r="E454" s="343" t="s">
        <v>624</v>
      </c>
      <c r="F454" s="345">
        <v>45828</v>
      </c>
      <c r="G454" s="345">
        <v>45828</v>
      </c>
      <c r="H454" s="343">
        <v>202507</v>
      </c>
      <c r="I454" s="344">
        <v>36</v>
      </c>
      <c r="J454" s="342">
        <v>26</v>
      </c>
      <c r="K454" s="346">
        <v>857.52</v>
      </c>
      <c r="L454" s="346"/>
      <c r="M454" s="346"/>
      <c r="N454" s="346">
        <f t="shared" si="7"/>
        <v>857.52</v>
      </c>
      <c r="O454" s="342">
        <v>90.52</v>
      </c>
      <c r="P454" s="347">
        <v>226.3</v>
      </c>
      <c r="Q454" s="342">
        <v>631.22</v>
      </c>
      <c r="R454" s="342">
        <v>0</v>
      </c>
      <c r="S454" s="342">
        <v>631.22</v>
      </c>
      <c r="T454" s="341" t="s">
        <v>362</v>
      </c>
      <c r="U454" s="342">
        <v>5301010301</v>
      </c>
      <c r="V454" s="342"/>
    </row>
    <row r="455" customHeight="1" spans="1:22">
      <c r="A455" s="343" t="s">
        <v>195</v>
      </c>
      <c r="B455" s="343">
        <v>100655</v>
      </c>
      <c r="C455" s="343" t="s">
        <v>559</v>
      </c>
      <c r="D455" s="344">
        <v>1</v>
      </c>
      <c r="E455" s="343" t="s">
        <v>624</v>
      </c>
      <c r="F455" s="345">
        <v>45828</v>
      </c>
      <c r="G455" s="345">
        <v>45828</v>
      </c>
      <c r="H455" s="343">
        <v>202507</v>
      </c>
      <c r="I455" s="344">
        <v>36</v>
      </c>
      <c r="J455" s="342">
        <v>26</v>
      </c>
      <c r="K455" s="346">
        <v>857.52</v>
      </c>
      <c r="L455" s="346"/>
      <c r="M455" s="346"/>
      <c r="N455" s="346">
        <f t="shared" si="7"/>
        <v>857.52</v>
      </c>
      <c r="O455" s="342">
        <v>90.52</v>
      </c>
      <c r="P455" s="347">
        <v>226.3</v>
      </c>
      <c r="Q455" s="342">
        <v>631.22</v>
      </c>
      <c r="R455" s="342">
        <v>0</v>
      </c>
      <c r="S455" s="342">
        <v>631.22</v>
      </c>
      <c r="T455" s="341" t="s">
        <v>362</v>
      </c>
      <c r="U455" s="342">
        <v>5301010301</v>
      </c>
      <c r="V455" s="342"/>
    </row>
    <row r="456" customHeight="1" spans="1:22">
      <c r="A456" s="343" t="s">
        <v>195</v>
      </c>
      <c r="B456" s="343">
        <v>100656</v>
      </c>
      <c r="C456" s="343" t="s">
        <v>559</v>
      </c>
      <c r="D456" s="344">
        <v>1</v>
      </c>
      <c r="E456" s="343" t="s">
        <v>624</v>
      </c>
      <c r="F456" s="345">
        <v>45828</v>
      </c>
      <c r="G456" s="345">
        <v>45828</v>
      </c>
      <c r="H456" s="343">
        <v>202507</v>
      </c>
      <c r="I456" s="344">
        <v>36</v>
      </c>
      <c r="J456" s="342">
        <v>26</v>
      </c>
      <c r="K456" s="346">
        <v>857.52</v>
      </c>
      <c r="L456" s="346"/>
      <c r="M456" s="346"/>
      <c r="N456" s="346">
        <f t="shared" si="7"/>
        <v>857.52</v>
      </c>
      <c r="O456" s="342">
        <v>90.52</v>
      </c>
      <c r="P456" s="347">
        <v>226.3</v>
      </c>
      <c r="Q456" s="342">
        <v>631.22</v>
      </c>
      <c r="R456" s="342">
        <v>0</v>
      </c>
      <c r="S456" s="342">
        <v>631.22</v>
      </c>
      <c r="T456" s="341" t="s">
        <v>362</v>
      </c>
      <c r="U456" s="342">
        <v>5301010301</v>
      </c>
      <c r="V456" s="342"/>
    </row>
    <row r="457" customHeight="1" spans="1:22">
      <c r="A457" s="343" t="s">
        <v>195</v>
      </c>
      <c r="B457" s="343">
        <v>100657</v>
      </c>
      <c r="C457" s="343" t="s">
        <v>559</v>
      </c>
      <c r="D457" s="344">
        <v>1</v>
      </c>
      <c r="E457" s="343" t="s">
        <v>624</v>
      </c>
      <c r="F457" s="345">
        <v>45828</v>
      </c>
      <c r="G457" s="345">
        <v>45828</v>
      </c>
      <c r="H457" s="343">
        <v>202507</v>
      </c>
      <c r="I457" s="344">
        <v>36</v>
      </c>
      <c r="J457" s="342">
        <v>26</v>
      </c>
      <c r="K457" s="346">
        <v>857.52</v>
      </c>
      <c r="L457" s="346"/>
      <c r="M457" s="346"/>
      <c r="N457" s="346">
        <f t="shared" si="7"/>
        <v>857.52</v>
      </c>
      <c r="O457" s="342">
        <v>90.52</v>
      </c>
      <c r="P457" s="347">
        <v>226.3</v>
      </c>
      <c r="Q457" s="342">
        <v>631.22</v>
      </c>
      <c r="R457" s="342">
        <v>0</v>
      </c>
      <c r="S457" s="342">
        <v>631.22</v>
      </c>
      <c r="T457" s="341" t="s">
        <v>362</v>
      </c>
      <c r="U457" s="342">
        <v>5301010301</v>
      </c>
      <c r="V457" s="342"/>
    </row>
    <row r="458" customHeight="1" spans="1:22">
      <c r="A458" s="343" t="s">
        <v>195</v>
      </c>
      <c r="B458" s="343">
        <v>100658</v>
      </c>
      <c r="C458" s="343" t="s">
        <v>559</v>
      </c>
      <c r="D458" s="344">
        <v>1</v>
      </c>
      <c r="E458" s="343" t="s">
        <v>624</v>
      </c>
      <c r="F458" s="345">
        <v>45828</v>
      </c>
      <c r="G458" s="345">
        <v>45828</v>
      </c>
      <c r="H458" s="343">
        <v>202507</v>
      </c>
      <c r="I458" s="344">
        <v>36</v>
      </c>
      <c r="J458" s="342">
        <v>26</v>
      </c>
      <c r="K458" s="346">
        <v>857.53</v>
      </c>
      <c r="L458" s="346"/>
      <c r="M458" s="346"/>
      <c r="N458" s="346">
        <f t="shared" si="7"/>
        <v>857.53</v>
      </c>
      <c r="O458" s="342">
        <v>90.52</v>
      </c>
      <c r="P458" s="347">
        <v>226.3</v>
      </c>
      <c r="Q458" s="342">
        <v>631.23</v>
      </c>
      <c r="R458" s="342">
        <v>0</v>
      </c>
      <c r="S458" s="342">
        <v>631.23</v>
      </c>
      <c r="T458" s="341" t="s">
        <v>362</v>
      </c>
      <c r="U458" s="342">
        <v>5301010301</v>
      </c>
      <c r="V458" s="342"/>
    </row>
    <row r="459" customHeight="1" spans="1:22">
      <c r="A459" s="343" t="s">
        <v>195</v>
      </c>
      <c r="B459" s="343">
        <v>100659</v>
      </c>
      <c r="C459" s="343" t="s">
        <v>559</v>
      </c>
      <c r="D459" s="344">
        <v>1</v>
      </c>
      <c r="E459" s="343" t="s">
        <v>624</v>
      </c>
      <c r="F459" s="345">
        <v>45828</v>
      </c>
      <c r="G459" s="345">
        <v>45828</v>
      </c>
      <c r="H459" s="343">
        <v>202507</v>
      </c>
      <c r="I459" s="344">
        <v>36</v>
      </c>
      <c r="J459" s="342">
        <v>26</v>
      </c>
      <c r="K459" s="346">
        <v>857.53</v>
      </c>
      <c r="L459" s="346"/>
      <c r="M459" s="346"/>
      <c r="N459" s="346">
        <f t="shared" si="7"/>
        <v>857.53</v>
      </c>
      <c r="O459" s="342">
        <v>90.52</v>
      </c>
      <c r="P459" s="347">
        <v>226.3</v>
      </c>
      <c r="Q459" s="342">
        <v>631.23</v>
      </c>
      <c r="R459" s="342">
        <v>0</v>
      </c>
      <c r="S459" s="342">
        <v>631.23</v>
      </c>
      <c r="T459" s="341" t="s">
        <v>362</v>
      </c>
      <c r="U459" s="342">
        <v>5301010301</v>
      </c>
      <c r="V459" s="342"/>
    </row>
    <row r="460" customHeight="1" spans="1:22">
      <c r="A460" s="343" t="s">
        <v>195</v>
      </c>
      <c r="B460" s="343">
        <v>100660</v>
      </c>
      <c r="C460" s="343" t="s">
        <v>559</v>
      </c>
      <c r="D460" s="344">
        <v>1</v>
      </c>
      <c r="E460" s="343" t="s">
        <v>624</v>
      </c>
      <c r="F460" s="345">
        <v>45828</v>
      </c>
      <c r="G460" s="345">
        <v>45828</v>
      </c>
      <c r="H460" s="343">
        <v>202507</v>
      </c>
      <c r="I460" s="344">
        <v>36</v>
      </c>
      <c r="J460" s="342">
        <v>26</v>
      </c>
      <c r="K460" s="346">
        <v>857.53</v>
      </c>
      <c r="L460" s="346"/>
      <c r="M460" s="346"/>
      <c r="N460" s="346">
        <f t="shared" si="7"/>
        <v>857.53</v>
      </c>
      <c r="O460" s="342">
        <v>90.52</v>
      </c>
      <c r="P460" s="347">
        <v>226.3</v>
      </c>
      <c r="Q460" s="342">
        <v>631.23</v>
      </c>
      <c r="R460" s="342">
        <v>0</v>
      </c>
      <c r="S460" s="342">
        <v>631.23</v>
      </c>
      <c r="T460" s="341" t="s">
        <v>362</v>
      </c>
      <c r="U460" s="342">
        <v>5301010301</v>
      </c>
      <c r="V460" s="342"/>
    </row>
    <row r="461" customHeight="1" spans="1:22">
      <c r="A461" s="343" t="s">
        <v>195</v>
      </c>
      <c r="B461" s="343">
        <v>100661</v>
      </c>
      <c r="C461" s="343" t="s">
        <v>565</v>
      </c>
      <c r="D461" s="344">
        <v>1</v>
      </c>
      <c r="E461" s="343" t="s">
        <v>649</v>
      </c>
      <c r="F461" s="345">
        <v>45828</v>
      </c>
      <c r="G461" s="345">
        <v>45828</v>
      </c>
      <c r="H461" s="343">
        <v>202507</v>
      </c>
      <c r="I461" s="344">
        <v>36</v>
      </c>
      <c r="J461" s="342">
        <v>26</v>
      </c>
      <c r="K461" s="346">
        <v>2468.14</v>
      </c>
      <c r="L461" s="346"/>
      <c r="M461" s="346"/>
      <c r="N461" s="346">
        <f t="shared" si="7"/>
        <v>2468.14</v>
      </c>
      <c r="O461" s="342">
        <v>260.52</v>
      </c>
      <c r="P461" s="347">
        <v>651.3</v>
      </c>
      <c r="Q461" s="347">
        <v>1816.84</v>
      </c>
      <c r="R461" s="342">
        <v>0</v>
      </c>
      <c r="S461" s="347">
        <v>1816.84</v>
      </c>
      <c r="T461" s="341" t="s">
        <v>362</v>
      </c>
      <c r="U461" s="342">
        <v>5301010301</v>
      </c>
      <c r="V461" s="342"/>
    </row>
    <row r="462" customHeight="1" spans="1:22">
      <c r="A462" s="343" t="s">
        <v>195</v>
      </c>
      <c r="B462" s="343">
        <v>100662</v>
      </c>
      <c r="C462" s="343" t="s">
        <v>565</v>
      </c>
      <c r="D462" s="344">
        <v>1</v>
      </c>
      <c r="E462" s="343" t="s">
        <v>649</v>
      </c>
      <c r="F462" s="345">
        <v>45828</v>
      </c>
      <c r="G462" s="345">
        <v>45828</v>
      </c>
      <c r="H462" s="343">
        <v>202507</v>
      </c>
      <c r="I462" s="344">
        <v>36</v>
      </c>
      <c r="J462" s="342">
        <v>26</v>
      </c>
      <c r="K462" s="346">
        <v>2468.14</v>
      </c>
      <c r="L462" s="346"/>
      <c r="M462" s="346"/>
      <c r="N462" s="346">
        <f t="shared" si="7"/>
        <v>2468.14</v>
      </c>
      <c r="O462" s="342">
        <v>260.52</v>
      </c>
      <c r="P462" s="347">
        <v>651.3</v>
      </c>
      <c r="Q462" s="347">
        <v>1816.84</v>
      </c>
      <c r="R462" s="342">
        <v>0</v>
      </c>
      <c r="S462" s="347">
        <v>1816.84</v>
      </c>
      <c r="T462" s="341" t="s">
        <v>362</v>
      </c>
      <c r="U462" s="342">
        <v>5301010301</v>
      </c>
      <c r="V462" s="342"/>
    </row>
    <row r="463" customHeight="1" spans="1:22">
      <c r="A463" s="343" t="s">
        <v>195</v>
      </c>
      <c r="B463" s="343">
        <v>100663</v>
      </c>
      <c r="C463" s="343" t="s">
        <v>565</v>
      </c>
      <c r="D463" s="344">
        <v>1</v>
      </c>
      <c r="E463" s="343" t="s">
        <v>649</v>
      </c>
      <c r="F463" s="345">
        <v>45828</v>
      </c>
      <c r="G463" s="345">
        <v>45828</v>
      </c>
      <c r="H463" s="343">
        <v>202507</v>
      </c>
      <c r="I463" s="344">
        <v>36</v>
      </c>
      <c r="J463" s="342">
        <v>26</v>
      </c>
      <c r="K463" s="346">
        <v>2468.14</v>
      </c>
      <c r="L463" s="346"/>
      <c r="M463" s="346"/>
      <c r="N463" s="346">
        <f t="shared" si="7"/>
        <v>2468.14</v>
      </c>
      <c r="O463" s="342">
        <v>260.52</v>
      </c>
      <c r="P463" s="347">
        <v>651.3</v>
      </c>
      <c r="Q463" s="347">
        <v>1816.84</v>
      </c>
      <c r="R463" s="342">
        <v>0</v>
      </c>
      <c r="S463" s="347">
        <v>1816.84</v>
      </c>
      <c r="T463" s="341" t="s">
        <v>362</v>
      </c>
      <c r="U463" s="342">
        <v>5301010301</v>
      </c>
      <c r="V463" s="342"/>
    </row>
    <row r="464" customHeight="1" spans="1:22">
      <c r="A464" s="343" t="s">
        <v>195</v>
      </c>
      <c r="B464" s="343">
        <v>100664</v>
      </c>
      <c r="C464" s="343" t="s">
        <v>565</v>
      </c>
      <c r="D464" s="344">
        <v>1</v>
      </c>
      <c r="E464" s="343" t="s">
        <v>649</v>
      </c>
      <c r="F464" s="345">
        <v>45828</v>
      </c>
      <c r="G464" s="345">
        <v>45828</v>
      </c>
      <c r="H464" s="343">
        <v>202507</v>
      </c>
      <c r="I464" s="344">
        <v>36</v>
      </c>
      <c r="J464" s="342">
        <v>26</v>
      </c>
      <c r="K464" s="346">
        <v>2468.15</v>
      </c>
      <c r="L464" s="346"/>
      <c r="M464" s="346"/>
      <c r="N464" s="346">
        <f t="shared" si="7"/>
        <v>2468.15</v>
      </c>
      <c r="O464" s="342">
        <v>260.52</v>
      </c>
      <c r="P464" s="347">
        <v>651.3</v>
      </c>
      <c r="Q464" s="347">
        <v>1816.85</v>
      </c>
      <c r="R464" s="342">
        <v>0</v>
      </c>
      <c r="S464" s="347">
        <v>1816.85</v>
      </c>
      <c r="T464" s="341" t="s">
        <v>362</v>
      </c>
      <c r="U464" s="342">
        <v>5301010301</v>
      </c>
      <c r="V464" s="342"/>
    </row>
    <row r="465" customHeight="1" spans="1:22">
      <c r="A465" s="343" t="s">
        <v>195</v>
      </c>
      <c r="B465" s="343">
        <v>100665</v>
      </c>
      <c r="C465" s="343" t="s">
        <v>560</v>
      </c>
      <c r="D465" s="344">
        <v>1</v>
      </c>
      <c r="E465" s="343" t="s">
        <v>628</v>
      </c>
      <c r="F465" s="345">
        <v>45834</v>
      </c>
      <c r="G465" s="345">
        <v>45834</v>
      </c>
      <c r="H465" s="343">
        <v>202507</v>
      </c>
      <c r="I465" s="344">
        <v>36</v>
      </c>
      <c r="J465" s="342">
        <v>26</v>
      </c>
      <c r="K465" s="346">
        <v>795.58</v>
      </c>
      <c r="L465" s="346"/>
      <c r="M465" s="346"/>
      <c r="N465" s="346">
        <f t="shared" si="7"/>
        <v>795.58</v>
      </c>
      <c r="O465" s="342">
        <v>83.98</v>
      </c>
      <c r="P465" s="347">
        <v>209.93</v>
      </c>
      <c r="Q465" s="342">
        <v>585.65</v>
      </c>
      <c r="R465" s="342">
        <v>0</v>
      </c>
      <c r="S465" s="342">
        <v>585.65</v>
      </c>
      <c r="T465" s="341" t="s">
        <v>532</v>
      </c>
      <c r="U465" s="342">
        <v>66011201</v>
      </c>
      <c r="V465" s="342"/>
    </row>
    <row r="466" customHeight="1" spans="1:22">
      <c r="A466" s="343" t="s">
        <v>195</v>
      </c>
      <c r="B466" s="343">
        <v>100666</v>
      </c>
      <c r="C466" s="343" t="s">
        <v>545</v>
      </c>
      <c r="D466" s="344">
        <v>1</v>
      </c>
      <c r="E466" s="343" t="s">
        <v>650</v>
      </c>
      <c r="F466" s="345">
        <v>45834</v>
      </c>
      <c r="G466" s="345">
        <v>45834</v>
      </c>
      <c r="H466" s="343">
        <v>202507</v>
      </c>
      <c r="I466" s="344">
        <v>36</v>
      </c>
      <c r="J466" s="342">
        <v>26</v>
      </c>
      <c r="K466" s="346">
        <v>5308.85</v>
      </c>
      <c r="L466" s="346"/>
      <c r="M466" s="346"/>
      <c r="N466" s="346">
        <f t="shared" si="7"/>
        <v>5308.85</v>
      </c>
      <c r="O466" s="342">
        <v>560.38</v>
      </c>
      <c r="P466" s="347">
        <v>1400.94</v>
      </c>
      <c r="Q466" s="347">
        <v>3907.91</v>
      </c>
      <c r="R466" s="342">
        <v>0</v>
      </c>
      <c r="S466" s="347">
        <v>3907.91</v>
      </c>
      <c r="T466" s="341" t="s">
        <v>362</v>
      </c>
      <c r="U466" s="342">
        <v>5301010301</v>
      </c>
      <c r="V466" s="342"/>
    </row>
    <row r="467" customHeight="1" spans="1:22">
      <c r="A467" s="343" t="s">
        <v>195</v>
      </c>
      <c r="B467" s="343">
        <v>100667</v>
      </c>
      <c r="C467" s="343" t="s">
        <v>545</v>
      </c>
      <c r="D467" s="344">
        <v>1</v>
      </c>
      <c r="E467" s="343" t="s">
        <v>650</v>
      </c>
      <c r="F467" s="345">
        <v>45834</v>
      </c>
      <c r="G467" s="345">
        <v>45834</v>
      </c>
      <c r="H467" s="343">
        <v>202507</v>
      </c>
      <c r="I467" s="344">
        <v>36</v>
      </c>
      <c r="J467" s="342">
        <v>26</v>
      </c>
      <c r="K467" s="346">
        <v>5308.85</v>
      </c>
      <c r="L467" s="346"/>
      <c r="M467" s="346"/>
      <c r="N467" s="346">
        <f t="shared" si="7"/>
        <v>5308.85</v>
      </c>
      <c r="O467" s="342">
        <v>560.38</v>
      </c>
      <c r="P467" s="347">
        <v>1400.94</v>
      </c>
      <c r="Q467" s="347">
        <v>3907.91</v>
      </c>
      <c r="R467" s="342">
        <v>0</v>
      </c>
      <c r="S467" s="347">
        <v>3907.91</v>
      </c>
      <c r="T467" s="341" t="s">
        <v>362</v>
      </c>
      <c r="U467" s="342">
        <v>5301010301</v>
      </c>
      <c r="V467" s="342"/>
    </row>
    <row r="468" customHeight="1" spans="1:22">
      <c r="A468" s="343" t="s">
        <v>195</v>
      </c>
      <c r="B468" s="343">
        <v>100668</v>
      </c>
      <c r="C468" s="343" t="s">
        <v>545</v>
      </c>
      <c r="D468" s="344">
        <v>1</v>
      </c>
      <c r="E468" s="343" t="s">
        <v>650</v>
      </c>
      <c r="F468" s="345">
        <v>45834</v>
      </c>
      <c r="G468" s="345">
        <v>45834</v>
      </c>
      <c r="H468" s="343">
        <v>202507</v>
      </c>
      <c r="I468" s="344">
        <v>36</v>
      </c>
      <c r="J468" s="342">
        <v>26</v>
      </c>
      <c r="K468" s="346">
        <v>5308.85</v>
      </c>
      <c r="L468" s="346"/>
      <c r="M468" s="346"/>
      <c r="N468" s="346">
        <f t="shared" si="7"/>
        <v>5308.85</v>
      </c>
      <c r="O468" s="342">
        <v>560.38</v>
      </c>
      <c r="P468" s="347">
        <v>1400.94</v>
      </c>
      <c r="Q468" s="347">
        <v>3907.91</v>
      </c>
      <c r="R468" s="342">
        <v>0</v>
      </c>
      <c r="S468" s="347">
        <v>3907.91</v>
      </c>
      <c r="T468" s="341" t="s">
        <v>362</v>
      </c>
      <c r="U468" s="342">
        <v>5301010301</v>
      </c>
      <c r="V468" s="342"/>
    </row>
    <row r="469" customHeight="1" spans="1:22">
      <c r="A469" s="343" t="s">
        <v>195</v>
      </c>
      <c r="B469" s="343">
        <v>100669</v>
      </c>
      <c r="C469" s="343" t="s">
        <v>545</v>
      </c>
      <c r="D469" s="344">
        <v>1</v>
      </c>
      <c r="E469" s="343" t="s">
        <v>650</v>
      </c>
      <c r="F469" s="345">
        <v>45834</v>
      </c>
      <c r="G469" s="345">
        <v>45834</v>
      </c>
      <c r="H469" s="343">
        <v>202507</v>
      </c>
      <c r="I469" s="344">
        <v>36</v>
      </c>
      <c r="J469" s="342">
        <v>26</v>
      </c>
      <c r="K469" s="346">
        <v>5308.85</v>
      </c>
      <c r="L469" s="346"/>
      <c r="M469" s="346"/>
      <c r="N469" s="346">
        <f t="shared" si="7"/>
        <v>5308.85</v>
      </c>
      <c r="O469" s="342">
        <v>560.38</v>
      </c>
      <c r="P469" s="347">
        <v>1400.94</v>
      </c>
      <c r="Q469" s="347">
        <v>3907.91</v>
      </c>
      <c r="R469" s="342">
        <v>0</v>
      </c>
      <c r="S469" s="347">
        <v>3907.91</v>
      </c>
      <c r="T469" s="341" t="s">
        <v>362</v>
      </c>
      <c r="U469" s="342">
        <v>5301010301</v>
      </c>
      <c r="V469" s="342"/>
    </row>
    <row r="470" customHeight="1" spans="1:22">
      <c r="A470" s="343" t="s">
        <v>195</v>
      </c>
      <c r="B470" s="343">
        <v>100670</v>
      </c>
      <c r="C470" s="343" t="s">
        <v>545</v>
      </c>
      <c r="D470" s="344">
        <v>1</v>
      </c>
      <c r="E470" s="343" t="s">
        <v>650</v>
      </c>
      <c r="F470" s="345">
        <v>45834</v>
      </c>
      <c r="G470" s="345">
        <v>45834</v>
      </c>
      <c r="H470" s="343">
        <v>202507</v>
      </c>
      <c r="I470" s="344">
        <v>36</v>
      </c>
      <c r="J470" s="342">
        <v>26</v>
      </c>
      <c r="K470" s="346">
        <v>5308.85</v>
      </c>
      <c r="L470" s="346"/>
      <c r="M470" s="346"/>
      <c r="N470" s="346">
        <f t="shared" si="7"/>
        <v>5308.85</v>
      </c>
      <c r="O470" s="342">
        <v>560.38</v>
      </c>
      <c r="P470" s="347">
        <v>1400.94</v>
      </c>
      <c r="Q470" s="347">
        <v>3907.91</v>
      </c>
      <c r="R470" s="342">
        <v>0</v>
      </c>
      <c r="S470" s="347">
        <v>3907.91</v>
      </c>
      <c r="T470" s="341" t="s">
        <v>362</v>
      </c>
      <c r="U470" s="342">
        <v>5301010301</v>
      </c>
      <c r="V470" s="342"/>
    </row>
    <row r="471" customHeight="1" spans="1:22">
      <c r="A471" s="343" t="s">
        <v>195</v>
      </c>
      <c r="B471" s="343">
        <v>100671</v>
      </c>
      <c r="C471" s="343" t="s">
        <v>560</v>
      </c>
      <c r="D471" s="344">
        <v>1</v>
      </c>
      <c r="E471" s="343" t="s">
        <v>628</v>
      </c>
      <c r="F471" s="345">
        <v>45834</v>
      </c>
      <c r="G471" s="345">
        <v>45834</v>
      </c>
      <c r="H471" s="343">
        <v>202507</v>
      </c>
      <c r="I471" s="344">
        <v>36</v>
      </c>
      <c r="J471" s="342">
        <v>26</v>
      </c>
      <c r="K471" s="346">
        <v>795.58</v>
      </c>
      <c r="L471" s="346"/>
      <c r="M471" s="346"/>
      <c r="N471" s="346">
        <f t="shared" si="7"/>
        <v>795.58</v>
      </c>
      <c r="O471" s="342">
        <v>83.98</v>
      </c>
      <c r="P471" s="347">
        <v>209.93</v>
      </c>
      <c r="Q471" s="342">
        <v>585.65</v>
      </c>
      <c r="R471" s="342">
        <v>0</v>
      </c>
      <c r="S471" s="342">
        <v>585.65</v>
      </c>
      <c r="T471" s="341" t="s">
        <v>362</v>
      </c>
      <c r="U471" s="342">
        <v>5301010301</v>
      </c>
      <c r="V471" s="342"/>
    </row>
    <row r="472" customHeight="1" spans="1:22">
      <c r="A472" s="343" t="s">
        <v>195</v>
      </c>
      <c r="B472" s="343">
        <v>100672</v>
      </c>
      <c r="C472" s="343" t="s">
        <v>560</v>
      </c>
      <c r="D472" s="344">
        <v>1</v>
      </c>
      <c r="E472" s="343" t="s">
        <v>628</v>
      </c>
      <c r="F472" s="345">
        <v>45834</v>
      </c>
      <c r="G472" s="345">
        <v>45834</v>
      </c>
      <c r="H472" s="343">
        <v>202507</v>
      </c>
      <c r="I472" s="344">
        <v>36</v>
      </c>
      <c r="J472" s="342">
        <v>26</v>
      </c>
      <c r="K472" s="346">
        <v>795.58</v>
      </c>
      <c r="L472" s="346"/>
      <c r="M472" s="346"/>
      <c r="N472" s="346">
        <f t="shared" si="7"/>
        <v>795.58</v>
      </c>
      <c r="O472" s="342">
        <v>83.98</v>
      </c>
      <c r="P472" s="347">
        <v>209.93</v>
      </c>
      <c r="Q472" s="342">
        <v>585.65</v>
      </c>
      <c r="R472" s="342">
        <v>0</v>
      </c>
      <c r="S472" s="342">
        <v>585.65</v>
      </c>
      <c r="T472" s="341" t="s">
        <v>362</v>
      </c>
      <c r="U472" s="342">
        <v>5301010301</v>
      </c>
      <c r="V472" s="342"/>
    </row>
    <row r="473" customHeight="1" spans="1:22">
      <c r="A473" s="343" t="s">
        <v>195</v>
      </c>
      <c r="B473" s="343">
        <v>100673</v>
      </c>
      <c r="C473" s="343" t="s">
        <v>560</v>
      </c>
      <c r="D473" s="344">
        <v>1</v>
      </c>
      <c r="E473" s="343" t="s">
        <v>628</v>
      </c>
      <c r="F473" s="345">
        <v>45834</v>
      </c>
      <c r="G473" s="345">
        <v>45834</v>
      </c>
      <c r="H473" s="343">
        <v>202507</v>
      </c>
      <c r="I473" s="344">
        <v>36</v>
      </c>
      <c r="J473" s="342">
        <v>26</v>
      </c>
      <c r="K473" s="346">
        <v>795.58</v>
      </c>
      <c r="L473" s="346"/>
      <c r="M473" s="346"/>
      <c r="N473" s="346">
        <f t="shared" si="7"/>
        <v>795.58</v>
      </c>
      <c r="O473" s="342">
        <v>83.98</v>
      </c>
      <c r="P473" s="347">
        <v>209.93</v>
      </c>
      <c r="Q473" s="342">
        <v>585.65</v>
      </c>
      <c r="R473" s="342">
        <v>0</v>
      </c>
      <c r="S473" s="342">
        <v>585.65</v>
      </c>
      <c r="T473" s="341" t="s">
        <v>362</v>
      </c>
      <c r="U473" s="342">
        <v>5301010301</v>
      </c>
      <c r="V473" s="342"/>
    </row>
    <row r="474" customHeight="1" spans="1:22">
      <c r="A474" s="343" t="s">
        <v>195</v>
      </c>
      <c r="B474" s="343">
        <v>100674</v>
      </c>
      <c r="C474" s="343" t="s">
        <v>560</v>
      </c>
      <c r="D474" s="344">
        <v>1</v>
      </c>
      <c r="E474" s="343" t="s">
        <v>628</v>
      </c>
      <c r="F474" s="345">
        <v>45834</v>
      </c>
      <c r="G474" s="345">
        <v>45834</v>
      </c>
      <c r="H474" s="343">
        <v>202507</v>
      </c>
      <c r="I474" s="344">
        <v>36</v>
      </c>
      <c r="J474" s="342">
        <v>26</v>
      </c>
      <c r="K474" s="346">
        <v>795.58</v>
      </c>
      <c r="L474" s="346"/>
      <c r="M474" s="346"/>
      <c r="N474" s="346">
        <f t="shared" si="7"/>
        <v>795.58</v>
      </c>
      <c r="O474" s="342">
        <v>83.98</v>
      </c>
      <c r="P474" s="347">
        <v>209.93</v>
      </c>
      <c r="Q474" s="342">
        <v>585.65</v>
      </c>
      <c r="R474" s="342">
        <v>0</v>
      </c>
      <c r="S474" s="342">
        <v>585.65</v>
      </c>
      <c r="T474" s="341" t="s">
        <v>362</v>
      </c>
      <c r="U474" s="342">
        <v>5301010301</v>
      </c>
      <c r="V474" s="342"/>
    </row>
    <row r="475" customHeight="1" spans="1:22">
      <c r="A475" s="343" t="s">
        <v>195</v>
      </c>
      <c r="B475" s="343">
        <v>100675</v>
      </c>
      <c r="C475" s="343" t="s">
        <v>560</v>
      </c>
      <c r="D475" s="344">
        <v>1</v>
      </c>
      <c r="E475" s="343" t="s">
        <v>628</v>
      </c>
      <c r="F475" s="345">
        <v>45834</v>
      </c>
      <c r="G475" s="345">
        <v>45834</v>
      </c>
      <c r="H475" s="343">
        <v>202507</v>
      </c>
      <c r="I475" s="344">
        <v>36</v>
      </c>
      <c r="J475" s="342">
        <v>26</v>
      </c>
      <c r="K475" s="346">
        <v>795.56</v>
      </c>
      <c r="L475" s="346"/>
      <c r="M475" s="346"/>
      <c r="N475" s="346">
        <f t="shared" si="7"/>
        <v>795.56</v>
      </c>
      <c r="O475" s="342">
        <v>83.97</v>
      </c>
      <c r="P475" s="347">
        <v>209.91</v>
      </c>
      <c r="Q475" s="342">
        <v>585.65</v>
      </c>
      <c r="R475" s="342">
        <v>0</v>
      </c>
      <c r="S475" s="342">
        <v>585.65</v>
      </c>
      <c r="T475" s="341" t="s">
        <v>362</v>
      </c>
      <c r="U475" s="342">
        <v>5301010301</v>
      </c>
      <c r="V475" s="342"/>
    </row>
    <row r="476" customHeight="1" spans="1:22">
      <c r="A476" s="343" t="s">
        <v>195</v>
      </c>
      <c r="B476" s="343">
        <v>100676</v>
      </c>
      <c r="C476" s="343" t="s">
        <v>559</v>
      </c>
      <c r="D476" s="344">
        <v>1</v>
      </c>
      <c r="E476" s="343" t="s">
        <v>564</v>
      </c>
      <c r="F476" s="345">
        <v>45852</v>
      </c>
      <c r="G476" s="345">
        <v>45852</v>
      </c>
      <c r="H476" s="343">
        <v>202508</v>
      </c>
      <c r="I476" s="344">
        <v>36</v>
      </c>
      <c r="J476" s="342">
        <v>27</v>
      </c>
      <c r="K476" s="346">
        <v>821.24</v>
      </c>
      <c r="L476" s="346"/>
      <c r="M476" s="346"/>
      <c r="N476" s="346">
        <f t="shared" si="7"/>
        <v>821.24</v>
      </c>
      <c r="O476" s="342">
        <v>86.68</v>
      </c>
      <c r="P476" s="347">
        <v>195.03</v>
      </c>
      <c r="Q476" s="342">
        <v>626.21</v>
      </c>
      <c r="R476" s="342">
        <v>0</v>
      </c>
      <c r="S476" s="342">
        <v>626.21</v>
      </c>
      <c r="T476" s="341" t="s">
        <v>546</v>
      </c>
      <c r="U476" s="342">
        <v>5301010301</v>
      </c>
      <c r="V476" s="342"/>
    </row>
    <row r="477" customHeight="1" spans="1:22">
      <c r="A477" s="343" t="s">
        <v>195</v>
      </c>
      <c r="B477" s="343">
        <v>100268</v>
      </c>
      <c r="C477" s="343" t="s">
        <v>651</v>
      </c>
      <c r="D477" s="344">
        <v>1</v>
      </c>
      <c r="E477" s="343"/>
      <c r="F477" s="345">
        <v>45069</v>
      </c>
      <c r="G477" s="345">
        <v>45069</v>
      </c>
      <c r="H477" s="343">
        <v>202306</v>
      </c>
      <c r="I477" s="344">
        <v>36</v>
      </c>
      <c r="J477" s="342">
        <v>1</v>
      </c>
      <c r="K477" s="346">
        <v>2458.67</v>
      </c>
      <c r="L477" s="346"/>
      <c r="M477" s="346"/>
      <c r="N477" s="346">
        <f t="shared" si="7"/>
        <v>2458.67</v>
      </c>
      <c r="O477" s="342">
        <v>259.54</v>
      </c>
      <c r="P477" s="347">
        <v>2270.86</v>
      </c>
      <c r="Q477" s="342">
        <v>187.81</v>
      </c>
      <c r="R477" s="342">
        <v>0</v>
      </c>
      <c r="S477" s="342">
        <v>187.81</v>
      </c>
      <c r="T477" s="341" t="s">
        <v>362</v>
      </c>
      <c r="U477" s="342">
        <v>66021201</v>
      </c>
      <c r="V477" s="342"/>
    </row>
    <row r="478" customHeight="1" spans="1:22">
      <c r="A478" s="343" t="s">
        <v>195</v>
      </c>
      <c r="B478" s="343">
        <v>100269</v>
      </c>
      <c r="C478" s="343" t="s">
        <v>545</v>
      </c>
      <c r="D478" s="344">
        <v>1</v>
      </c>
      <c r="E478" s="343"/>
      <c r="F478" s="345">
        <v>45063</v>
      </c>
      <c r="G478" s="345">
        <v>45063</v>
      </c>
      <c r="H478" s="343">
        <v>202306</v>
      </c>
      <c r="I478" s="344">
        <v>36</v>
      </c>
      <c r="J478" s="342">
        <v>1</v>
      </c>
      <c r="K478" s="346">
        <v>4689.38</v>
      </c>
      <c r="L478" s="346"/>
      <c r="M478" s="346"/>
      <c r="N478" s="346">
        <f t="shared" si="7"/>
        <v>4689.38</v>
      </c>
      <c r="O478" s="342">
        <v>494.98</v>
      </c>
      <c r="P478" s="347">
        <v>4331.17</v>
      </c>
      <c r="Q478" s="342">
        <v>358.21</v>
      </c>
      <c r="R478" s="342">
        <v>0</v>
      </c>
      <c r="S478" s="342">
        <v>358.21</v>
      </c>
      <c r="T478" s="341" t="s">
        <v>550</v>
      </c>
      <c r="U478" s="342">
        <v>66021201</v>
      </c>
      <c r="V478" s="342"/>
    </row>
    <row r="479" customHeight="1" spans="1:22">
      <c r="A479" s="343" t="s">
        <v>195</v>
      </c>
      <c r="B479" s="343">
        <v>100270</v>
      </c>
      <c r="C479" s="343" t="s">
        <v>545</v>
      </c>
      <c r="D479" s="344">
        <v>1</v>
      </c>
      <c r="E479" s="343"/>
      <c r="F479" s="345">
        <v>45063</v>
      </c>
      <c r="G479" s="345">
        <v>45063</v>
      </c>
      <c r="H479" s="343">
        <v>202306</v>
      </c>
      <c r="I479" s="344">
        <v>36</v>
      </c>
      <c r="J479" s="342">
        <v>1</v>
      </c>
      <c r="K479" s="346">
        <v>4689.38</v>
      </c>
      <c r="L479" s="346"/>
      <c r="M479" s="346"/>
      <c r="N479" s="346">
        <f t="shared" si="7"/>
        <v>4689.38</v>
      </c>
      <c r="O479" s="342">
        <v>494.98</v>
      </c>
      <c r="P479" s="347">
        <v>4331.17</v>
      </c>
      <c r="Q479" s="342">
        <v>358.21</v>
      </c>
      <c r="R479" s="342">
        <v>0</v>
      </c>
      <c r="S479" s="342">
        <v>358.21</v>
      </c>
      <c r="T479" s="341" t="s">
        <v>532</v>
      </c>
      <c r="U479" s="342">
        <v>66011201</v>
      </c>
      <c r="V479" s="342"/>
    </row>
    <row r="480" customHeight="1" spans="1:22">
      <c r="A480" s="343" t="s">
        <v>195</v>
      </c>
      <c r="B480" s="343">
        <v>100271</v>
      </c>
      <c r="C480" s="343" t="s">
        <v>545</v>
      </c>
      <c r="D480" s="344">
        <v>1</v>
      </c>
      <c r="E480" s="343"/>
      <c r="F480" s="345">
        <v>45063</v>
      </c>
      <c r="G480" s="345">
        <v>45063</v>
      </c>
      <c r="H480" s="343">
        <v>202306</v>
      </c>
      <c r="I480" s="344">
        <v>36</v>
      </c>
      <c r="J480" s="342">
        <v>1</v>
      </c>
      <c r="K480" s="346">
        <v>4689.38</v>
      </c>
      <c r="L480" s="346"/>
      <c r="M480" s="346"/>
      <c r="N480" s="346">
        <f t="shared" si="7"/>
        <v>4689.38</v>
      </c>
      <c r="O480" s="342">
        <v>494.98</v>
      </c>
      <c r="P480" s="347">
        <v>4331.17</v>
      </c>
      <c r="Q480" s="342">
        <v>358.21</v>
      </c>
      <c r="R480" s="342">
        <v>0</v>
      </c>
      <c r="S480" s="342">
        <v>358.21</v>
      </c>
      <c r="T480" s="341" t="s">
        <v>532</v>
      </c>
      <c r="U480" s="342">
        <v>66021201</v>
      </c>
      <c r="V480" s="342"/>
    </row>
    <row r="481" customHeight="1" spans="1:22">
      <c r="A481" s="343" t="s">
        <v>195</v>
      </c>
      <c r="B481" s="343">
        <v>100272</v>
      </c>
      <c r="C481" s="343" t="s">
        <v>559</v>
      </c>
      <c r="D481" s="344">
        <v>1</v>
      </c>
      <c r="E481" s="343"/>
      <c r="F481" s="345">
        <v>45063</v>
      </c>
      <c r="G481" s="345">
        <v>45063</v>
      </c>
      <c r="H481" s="343">
        <v>202306</v>
      </c>
      <c r="I481" s="344">
        <v>36</v>
      </c>
      <c r="J481" s="342">
        <v>1</v>
      </c>
      <c r="K481" s="346">
        <v>1238.06</v>
      </c>
      <c r="L481" s="346"/>
      <c r="M481" s="346"/>
      <c r="N481" s="346">
        <f t="shared" si="7"/>
        <v>1238.06</v>
      </c>
      <c r="O481" s="342">
        <v>130.7</v>
      </c>
      <c r="P481" s="347">
        <v>1143.49</v>
      </c>
      <c r="Q481" s="342">
        <v>94.57</v>
      </c>
      <c r="R481" s="342">
        <v>0</v>
      </c>
      <c r="S481" s="342">
        <v>94.57</v>
      </c>
      <c r="T481" s="341" t="s">
        <v>362</v>
      </c>
      <c r="U481" s="342">
        <v>66011201</v>
      </c>
      <c r="V481" s="342"/>
    </row>
    <row r="482" customHeight="1" spans="1:22">
      <c r="A482" s="343" t="s">
        <v>195</v>
      </c>
      <c r="B482" s="343">
        <v>100273</v>
      </c>
      <c r="C482" s="343" t="s">
        <v>559</v>
      </c>
      <c r="D482" s="344">
        <v>1</v>
      </c>
      <c r="E482" s="343"/>
      <c r="F482" s="345">
        <v>45063</v>
      </c>
      <c r="G482" s="345">
        <v>45063</v>
      </c>
      <c r="H482" s="343">
        <v>202306</v>
      </c>
      <c r="I482" s="344">
        <v>36</v>
      </c>
      <c r="J482" s="342">
        <v>1</v>
      </c>
      <c r="K482" s="346">
        <v>1238.05</v>
      </c>
      <c r="L482" s="346"/>
      <c r="M482" s="346"/>
      <c r="N482" s="346">
        <f t="shared" si="7"/>
        <v>1238.05</v>
      </c>
      <c r="O482" s="342">
        <v>130.7</v>
      </c>
      <c r="P482" s="347">
        <v>1143.48</v>
      </c>
      <c r="Q482" s="342">
        <v>94.57</v>
      </c>
      <c r="R482" s="342">
        <v>0</v>
      </c>
      <c r="S482" s="342">
        <v>94.57</v>
      </c>
      <c r="T482" s="341" t="s">
        <v>296</v>
      </c>
      <c r="U482" s="342">
        <v>66021201</v>
      </c>
      <c r="V482" s="342"/>
    </row>
    <row r="483" customHeight="1" spans="1:22">
      <c r="A483" s="343" t="s">
        <v>195</v>
      </c>
      <c r="B483" s="343">
        <v>100274</v>
      </c>
      <c r="C483" s="343" t="s">
        <v>559</v>
      </c>
      <c r="D483" s="344">
        <v>1</v>
      </c>
      <c r="E483" s="343"/>
      <c r="F483" s="345">
        <v>45064</v>
      </c>
      <c r="G483" s="345">
        <v>45064</v>
      </c>
      <c r="H483" s="343">
        <v>202306</v>
      </c>
      <c r="I483" s="344">
        <v>36</v>
      </c>
      <c r="J483" s="342">
        <v>1</v>
      </c>
      <c r="K483" s="346">
        <v>1370.8</v>
      </c>
      <c r="L483" s="346"/>
      <c r="M483" s="346"/>
      <c r="N483" s="346">
        <f t="shared" si="7"/>
        <v>1370.8</v>
      </c>
      <c r="O483" s="342">
        <v>144.7</v>
      </c>
      <c r="P483" s="347">
        <v>1266.09</v>
      </c>
      <c r="Q483" s="342">
        <v>104.71</v>
      </c>
      <c r="R483" s="342">
        <v>0</v>
      </c>
      <c r="S483" s="342">
        <v>104.71</v>
      </c>
      <c r="T483" s="341" t="s">
        <v>362</v>
      </c>
      <c r="U483" s="342">
        <v>66011201</v>
      </c>
      <c r="V483" s="342"/>
    </row>
    <row r="484" customHeight="1" spans="1:22">
      <c r="A484" s="343" t="s">
        <v>195</v>
      </c>
      <c r="B484" s="343">
        <v>100275</v>
      </c>
      <c r="C484" s="343" t="s">
        <v>559</v>
      </c>
      <c r="D484" s="344">
        <v>1</v>
      </c>
      <c r="E484" s="343"/>
      <c r="F484" s="345">
        <v>45064</v>
      </c>
      <c r="G484" s="345">
        <v>45064</v>
      </c>
      <c r="H484" s="343">
        <v>202306</v>
      </c>
      <c r="I484" s="344">
        <v>36</v>
      </c>
      <c r="J484" s="342">
        <v>1</v>
      </c>
      <c r="K484" s="346">
        <v>1370.79</v>
      </c>
      <c r="L484" s="346"/>
      <c r="M484" s="346"/>
      <c r="N484" s="346">
        <f t="shared" si="7"/>
        <v>1370.79</v>
      </c>
      <c r="O484" s="342">
        <v>144.7</v>
      </c>
      <c r="P484" s="347">
        <v>1266.08</v>
      </c>
      <c r="Q484" s="342">
        <v>104.71</v>
      </c>
      <c r="R484" s="342">
        <v>0</v>
      </c>
      <c r="S484" s="342">
        <v>104.71</v>
      </c>
      <c r="T484" s="341" t="s">
        <v>362</v>
      </c>
      <c r="U484" s="342">
        <v>5301010301</v>
      </c>
      <c r="V484" s="342"/>
    </row>
    <row r="485" customHeight="1" spans="1:22">
      <c r="A485" s="343" t="s">
        <v>195</v>
      </c>
      <c r="B485" s="343">
        <v>100276</v>
      </c>
      <c r="C485" s="343" t="s">
        <v>652</v>
      </c>
      <c r="D485" s="344">
        <v>1</v>
      </c>
      <c r="E485" s="343"/>
      <c r="F485" s="345">
        <v>45103</v>
      </c>
      <c r="G485" s="345">
        <v>45103</v>
      </c>
      <c r="H485" s="343">
        <v>202307</v>
      </c>
      <c r="I485" s="344">
        <v>36</v>
      </c>
      <c r="J485" s="342">
        <v>2</v>
      </c>
      <c r="K485" s="346">
        <v>1105</v>
      </c>
      <c r="L485" s="346"/>
      <c r="M485" s="346"/>
      <c r="N485" s="346">
        <f t="shared" si="7"/>
        <v>1105</v>
      </c>
      <c r="O485" s="342">
        <v>116.64</v>
      </c>
      <c r="P485" s="347">
        <v>991.44</v>
      </c>
      <c r="Q485" s="342">
        <v>113.56</v>
      </c>
      <c r="R485" s="342">
        <v>0</v>
      </c>
      <c r="S485" s="342">
        <v>113.56</v>
      </c>
      <c r="T485" s="341" t="s">
        <v>362</v>
      </c>
      <c r="U485" s="342">
        <v>5301010301</v>
      </c>
      <c r="V485" s="342"/>
    </row>
    <row r="486" customHeight="1" spans="1:22">
      <c r="A486" s="343" t="s">
        <v>195</v>
      </c>
      <c r="B486" s="343">
        <v>100277</v>
      </c>
      <c r="C486" s="343" t="s">
        <v>653</v>
      </c>
      <c r="D486" s="344">
        <v>1</v>
      </c>
      <c r="E486" s="343"/>
      <c r="F486" s="345">
        <v>45086</v>
      </c>
      <c r="G486" s="345">
        <v>45086</v>
      </c>
      <c r="H486" s="343">
        <v>202307</v>
      </c>
      <c r="I486" s="344">
        <v>36</v>
      </c>
      <c r="J486" s="342">
        <v>2</v>
      </c>
      <c r="K486" s="346">
        <v>1650.45</v>
      </c>
      <c r="L486" s="346"/>
      <c r="M486" s="346"/>
      <c r="N486" s="346">
        <f t="shared" si="7"/>
        <v>1650.45</v>
      </c>
      <c r="O486" s="342">
        <v>174.22</v>
      </c>
      <c r="P486" s="347">
        <v>1480.82</v>
      </c>
      <c r="Q486" s="342">
        <v>169.63</v>
      </c>
      <c r="R486" s="342">
        <v>0</v>
      </c>
      <c r="S486" s="342">
        <v>169.63</v>
      </c>
      <c r="T486" s="341" t="s">
        <v>532</v>
      </c>
      <c r="U486" s="342">
        <v>66011201</v>
      </c>
      <c r="V486" s="342"/>
    </row>
    <row r="487" customHeight="1" spans="1:22">
      <c r="A487" s="343" t="s">
        <v>195</v>
      </c>
      <c r="B487" s="343">
        <v>100278</v>
      </c>
      <c r="C487" s="343" t="s">
        <v>653</v>
      </c>
      <c r="D487" s="344">
        <v>1</v>
      </c>
      <c r="E487" s="343"/>
      <c r="F487" s="345">
        <v>45086</v>
      </c>
      <c r="G487" s="345">
        <v>45086</v>
      </c>
      <c r="H487" s="343">
        <v>202307</v>
      </c>
      <c r="I487" s="344">
        <v>36</v>
      </c>
      <c r="J487" s="342">
        <v>2</v>
      </c>
      <c r="K487" s="346">
        <v>1650.44</v>
      </c>
      <c r="L487" s="346"/>
      <c r="M487" s="346"/>
      <c r="N487" s="346">
        <f t="shared" si="7"/>
        <v>1650.44</v>
      </c>
      <c r="O487" s="342">
        <v>174.22</v>
      </c>
      <c r="P487" s="347">
        <v>1480.81</v>
      </c>
      <c r="Q487" s="342">
        <v>169.63</v>
      </c>
      <c r="R487" s="342">
        <v>0</v>
      </c>
      <c r="S487" s="342">
        <v>169.63</v>
      </c>
      <c r="T487" s="341" t="s">
        <v>550</v>
      </c>
      <c r="U487" s="342">
        <v>66011201</v>
      </c>
      <c r="V487" s="342"/>
    </row>
    <row r="488" customHeight="1" spans="1:22">
      <c r="A488" s="343" t="s">
        <v>195</v>
      </c>
      <c r="B488" s="343">
        <v>100279</v>
      </c>
      <c r="C488" s="343" t="s">
        <v>559</v>
      </c>
      <c r="D488" s="344">
        <v>1</v>
      </c>
      <c r="E488" s="343"/>
      <c r="F488" s="345">
        <v>45107</v>
      </c>
      <c r="G488" s="345">
        <v>45107</v>
      </c>
      <c r="H488" s="343">
        <v>202307</v>
      </c>
      <c r="I488" s="344">
        <v>36</v>
      </c>
      <c r="J488" s="342">
        <v>2</v>
      </c>
      <c r="K488" s="346">
        <v>485.84</v>
      </c>
      <c r="L488" s="346"/>
      <c r="M488" s="346"/>
      <c r="N488" s="346">
        <f t="shared" si="7"/>
        <v>485.84</v>
      </c>
      <c r="O488" s="342">
        <v>51.3</v>
      </c>
      <c r="P488" s="347">
        <v>435.9</v>
      </c>
      <c r="Q488" s="342">
        <v>49.94</v>
      </c>
      <c r="R488" s="342">
        <v>0</v>
      </c>
      <c r="S488" s="342">
        <v>49.94</v>
      </c>
      <c r="T488" s="341" t="s">
        <v>532</v>
      </c>
      <c r="U488" s="342">
        <v>66011201</v>
      </c>
      <c r="V488" s="342"/>
    </row>
    <row r="489" customHeight="1" spans="1:22">
      <c r="A489" s="343" t="s">
        <v>195</v>
      </c>
      <c r="B489" s="343">
        <v>100280</v>
      </c>
      <c r="C489" s="343" t="s">
        <v>559</v>
      </c>
      <c r="D489" s="344">
        <v>1</v>
      </c>
      <c r="E489" s="343"/>
      <c r="F489" s="345">
        <v>45107</v>
      </c>
      <c r="G489" s="345">
        <v>45107</v>
      </c>
      <c r="H489" s="343">
        <v>202307</v>
      </c>
      <c r="I489" s="344">
        <v>36</v>
      </c>
      <c r="J489" s="342">
        <v>2</v>
      </c>
      <c r="K489" s="346">
        <v>485.84</v>
      </c>
      <c r="L489" s="346"/>
      <c r="M489" s="346"/>
      <c r="N489" s="346">
        <f t="shared" si="7"/>
        <v>485.84</v>
      </c>
      <c r="O489" s="342">
        <v>51.3</v>
      </c>
      <c r="P489" s="347">
        <v>435.9</v>
      </c>
      <c r="Q489" s="342">
        <v>49.94</v>
      </c>
      <c r="R489" s="342">
        <v>0</v>
      </c>
      <c r="S489" s="342">
        <v>49.94</v>
      </c>
      <c r="T489" s="341" t="s">
        <v>532</v>
      </c>
      <c r="U489" s="342">
        <v>66011201</v>
      </c>
      <c r="V489" s="342"/>
    </row>
    <row r="490" customHeight="1" spans="1:22">
      <c r="A490" s="343" t="s">
        <v>195</v>
      </c>
      <c r="B490" s="343">
        <v>100281</v>
      </c>
      <c r="C490" s="343" t="s">
        <v>654</v>
      </c>
      <c r="D490" s="344">
        <v>1</v>
      </c>
      <c r="E490" s="343"/>
      <c r="F490" s="345">
        <v>45100</v>
      </c>
      <c r="G490" s="345">
        <v>45100</v>
      </c>
      <c r="H490" s="343">
        <v>202307</v>
      </c>
      <c r="I490" s="344">
        <v>36</v>
      </c>
      <c r="J490" s="342">
        <v>2</v>
      </c>
      <c r="K490" s="346">
        <v>441.59</v>
      </c>
      <c r="L490" s="346"/>
      <c r="M490" s="346"/>
      <c r="N490" s="346">
        <f t="shared" si="7"/>
        <v>441.59</v>
      </c>
      <c r="O490" s="342">
        <v>46.62</v>
      </c>
      <c r="P490" s="347">
        <v>396.2</v>
      </c>
      <c r="Q490" s="342">
        <v>45.39</v>
      </c>
      <c r="R490" s="342">
        <v>0</v>
      </c>
      <c r="S490" s="342">
        <v>45.39</v>
      </c>
      <c r="T490" s="341" t="s">
        <v>296</v>
      </c>
      <c r="U490" s="342">
        <v>66021201</v>
      </c>
      <c r="V490" s="342"/>
    </row>
    <row r="491" customHeight="1" spans="1:22">
      <c r="A491" s="343" t="s">
        <v>195</v>
      </c>
      <c r="B491" s="343">
        <v>100282</v>
      </c>
      <c r="C491" s="343" t="s">
        <v>655</v>
      </c>
      <c r="D491" s="344">
        <v>1</v>
      </c>
      <c r="E491" s="343"/>
      <c r="F491" s="345">
        <v>45055</v>
      </c>
      <c r="G491" s="345">
        <v>45055</v>
      </c>
      <c r="H491" s="343">
        <v>202306</v>
      </c>
      <c r="I491" s="344">
        <v>36</v>
      </c>
      <c r="J491" s="342">
        <v>1</v>
      </c>
      <c r="K491" s="346">
        <v>2477.88</v>
      </c>
      <c r="L491" s="346"/>
      <c r="M491" s="346"/>
      <c r="N491" s="346">
        <f t="shared" si="7"/>
        <v>2477.88</v>
      </c>
      <c r="O491" s="342">
        <v>261.54</v>
      </c>
      <c r="P491" s="347">
        <v>2288.61</v>
      </c>
      <c r="Q491" s="342">
        <v>189.27</v>
      </c>
      <c r="R491" s="342">
        <v>0</v>
      </c>
      <c r="S491" s="342">
        <v>189.27</v>
      </c>
      <c r="T491" s="341" t="s">
        <v>532</v>
      </c>
      <c r="U491" s="342">
        <v>66011201</v>
      </c>
      <c r="V491" s="342"/>
    </row>
    <row r="492" customHeight="1" spans="1:22">
      <c r="A492" s="343" t="s">
        <v>195</v>
      </c>
      <c r="B492" s="343">
        <v>100485</v>
      </c>
      <c r="C492" s="343" t="s">
        <v>656</v>
      </c>
      <c r="D492" s="344">
        <v>1</v>
      </c>
      <c r="E492" s="343"/>
      <c r="F492" s="345">
        <v>45055</v>
      </c>
      <c r="G492" s="345">
        <v>45055</v>
      </c>
      <c r="H492" s="343">
        <v>202306</v>
      </c>
      <c r="I492" s="344">
        <v>36</v>
      </c>
      <c r="J492" s="342">
        <v>1</v>
      </c>
      <c r="K492" s="346">
        <v>2212.39</v>
      </c>
      <c r="L492" s="346"/>
      <c r="M492" s="346"/>
      <c r="N492" s="346">
        <f t="shared" si="7"/>
        <v>2212.39</v>
      </c>
      <c r="O492" s="342">
        <v>233.54</v>
      </c>
      <c r="P492" s="347">
        <v>2043.39</v>
      </c>
      <c r="Q492" s="342">
        <v>169</v>
      </c>
      <c r="R492" s="342">
        <v>0</v>
      </c>
      <c r="S492" s="342">
        <v>169</v>
      </c>
      <c r="T492" s="341" t="s">
        <v>532</v>
      </c>
      <c r="U492" s="342">
        <v>66011201</v>
      </c>
      <c r="V492" s="342"/>
    </row>
    <row r="493" customHeight="1" spans="1:22">
      <c r="A493" s="343" t="s">
        <v>195</v>
      </c>
      <c r="B493" s="343">
        <v>100486</v>
      </c>
      <c r="C493" s="343" t="s">
        <v>657</v>
      </c>
      <c r="D493" s="344">
        <v>1</v>
      </c>
      <c r="E493" s="343"/>
      <c r="F493" s="345">
        <v>45055</v>
      </c>
      <c r="G493" s="345">
        <v>45055</v>
      </c>
      <c r="H493" s="343">
        <v>202306</v>
      </c>
      <c r="I493" s="344">
        <v>36</v>
      </c>
      <c r="J493" s="342">
        <v>1</v>
      </c>
      <c r="K493" s="346">
        <v>2477.88</v>
      </c>
      <c r="L493" s="346"/>
      <c r="M493" s="346"/>
      <c r="N493" s="346">
        <f t="shared" si="7"/>
        <v>2477.88</v>
      </c>
      <c r="O493" s="342">
        <v>261.54</v>
      </c>
      <c r="P493" s="347">
        <v>2288.61</v>
      </c>
      <c r="Q493" s="342">
        <v>189.27</v>
      </c>
      <c r="R493" s="342">
        <v>0</v>
      </c>
      <c r="S493" s="342">
        <v>189.27</v>
      </c>
      <c r="T493" s="341" t="s">
        <v>532</v>
      </c>
      <c r="U493" s="342">
        <v>66011201</v>
      </c>
      <c r="V493" s="342"/>
    </row>
    <row r="494" customHeight="1" spans="1:22">
      <c r="A494" s="343" t="s">
        <v>195</v>
      </c>
      <c r="B494" s="343">
        <v>100487</v>
      </c>
      <c r="C494" s="343" t="s">
        <v>658</v>
      </c>
      <c r="D494" s="344">
        <v>1</v>
      </c>
      <c r="E494" s="343"/>
      <c r="F494" s="345">
        <v>45055</v>
      </c>
      <c r="G494" s="345">
        <v>45055</v>
      </c>
      <c r="H494" s="343">
        <v>202306</v>
      </c>
      <c r="I494" s="344">
        <v>36</v>
      </c>
      <c r="J494" s="342">
        <v>1</v>
      </c>
      <c r="K494" s="346">
        <v>2212.39</v>
      </c>
      <c r="L494" s="346"/>
      <c r="M494" s="346"/>
      <c r="N494" s="346">
        <f t="shared" si="7"/>
        <v>2212.39</v>
      </c>
      <c r="O494" s="342">
        <v>233.54</v>
      </c>
      <c r="P494" s="347">
        <v>2043.39</v>
      </c>
      <c r="Q494" s="342">
        <v>169</v>
      </c>
      <c r="R494" s="342">
        <v>0</v>
      </c>
      <c r="S494" s="342">
        <v>169</v>
      </c>
      <c r="T494" s="341" t="s">
        <v>532</v>
      </c>
      <c r="U494" s="342">
        <v>66011201</v>
      </c>
      <c r="V494" s="342"/>
    </row>
    <row r="495" customHeight="1" spans="1:22">
      <c r="A495" s="343" t="s">
        <v>195</v>
      </c>
      <c r="B495" s="343">
        <v>100488</v>
      </c>
      <c r="C495" s="343" t="s">
        <v>559</v>
      </c>
      <c r="D495" s="344">
        <v>1</v>
      </c>
      <c r="E495" s="343"/>
      <c r="F495" s="345">
        <v>45138</v>
      </c>
      <c r="G495" s="345">
        <v>45138</v>
      </c>
      <c r="H495" s="343">
        <v>202308</v>
      </c>
      <c r="I495" s="344">
        <v>36</v>
      </c>
      <c r="J495" s="342">
        <v>3</v>
      </c>
      <c r="K495" s="346">
        <v>1326.55</v>
      </c>
      <c r="L495" s="346"/>
      <c r="M495" s="346"/>
      <c r="N495" s="346">
        <f t="shared" si="7"/>
        <v>1326.55</v>
      </c>
      <c r="O495" s="342">
        <v>140.02</v>
      </c>
      <c r="P495" s="347">
        <v>1155.21</v>
      </c>
      <c r="Q495" s="342">
        <v>171.34</v>
      </c>
      <c r="R495" s="342">
        <v>0</v>
      </c>
      <c r="S495" s="342">
        <v>171.34</v>
      </c>
      <c r="T495" s="341" t="s">
        <v>546</v>
      </c>
      <c r="U495" s="342">
        <v>66021201</v>
      </c>
      <c r="V495" s="342"/>
    </row>
    <row r="496" customHeight="1" spans="1:22">
      <c r="A496" s="343" t="s">
        <v>195</v>
      </c>
      <c r="B496" s="343">
        <v>100489</v>
      </c>
      <c r="C496" s="343" t="s">
        <v>559</v>
      </c>
      <c r="D496" s="344">
        <v>1</v>
      </c>
      <c r="E496" s="343"/>
      <c r="F496" s="345">
        <v>45138</v>
      </c>
      <c r="G496" s="345">
        <v>45138</v>
      </c>
      <c r="H496" s="343">
        <v>202308</v>
      </c>
      <c r="I496" s="344">
        <v>36</v>
      </c>
      <c r="J496" s="342">
        <v>3</v>
      </c>
      <c r="K496" s="346">
        <v>1326.55</v>
      </c>
      <c r="L496" s="346"/>
      <c r="M496" s="346"/>
      <c r="N496" s="346">
        <f t="shared" si="7"/>
        <v>1326.55</v>
      </c>
      <c r="O496" s="342">
        <v>140.02</v>
      </c>
      <c r="P496" s="347">
        <v>1155.21</v>
      </c>
      <c r="Q496" s="342">
        <v>171.34</v>
      </c>
      <c r="R496" s="342">
        <v>0</v>
      </c>
      <c r="S496" s="342">
        <v>171.34</v>
      </c>
      <c r="T496" s="341" t="s">
        <v>550</v>
      </c>
      <c r="U496" s="342">
        <v>66011201</v>
      </c>
      <c r="V496" s="342"/>
    </row>
    <row r="497" customHeight="1" spans="1:22">
      <c r="A497" s="343" t="s">
        <v>195</v>
      </c>
      <c r="B497" s="343">
        <v>100490</v>
      </c>
      <c r="C497" s="343" t="s">
        <v>559</v>
      </c>
      <c r="D497" s="344">
        <v>1</v>
      </c>
      <c r="E497" s="343"/>
      <c r="F497" s="345">
        <v>45138</v>
      </c>
      <c r="G497" s="345">
        <v>45138</v>
      </c>
      <c r="H497" s="343">
        <v>202308</v>
      </c>
      <c r="I497" s="344">
        <v>36</v>
      </c>
      <c r="J497" s="342">
        <v>3</v>
      </c>
      <c r="K497" s="346">
        <v>1326.55</v>
      </c>
      <c r="L497" s="346"/>
      <c r="M497" s="346"/>
      <c r="N497" s="346">
        <f t="shared" si="7"/>
        <v>1326.55</v>
      </c>
      <c r="O497" s="342">
        <v>140.02</v>
      </c>
      <c r="P497" s="347">
        <v>1155.21</v>
      </c>
      <c r="Q497" s="342">
        <v>171.34</v>
      </c>
      <c r="R497" s="342">
        <v>0</v>
      </c>
      <c r="S497" s="342">
        <v>171.34</v>
      </c>
      <c r="T497" s="341" t="s">
        <v>550</v>
      </c>
      <c r="U497" s="342">
        <v>66021201</v>
      </c>
      <c r="V497" s="342"/>
    </row>
    <row r="498" customHeight="1" spans="1:22">
      <c r="A498" s="343" t="s">
        <v>195</v>
      </c>
      <c r="B498" s="343">
        <v>100491</v>
      </c>
      <c r="C498" s="343" t="s">
        <v>559</v>
      </c>
      <c r="D498" s="344">
        <v>1</v>
      </c>
      <c r="E498" s="343"/>
      <c r="F498" s="345">
        <v>45138</v>
      </c>
      <c r="G498" s="345">
        <v>45138</v>
      </c>
      <c r="H498" s="343">
        <v>202308</v>
      </c>
      <c r="I498" s="344">
        <v>36</v>
      </c>
      <c r="J498" s="342">
        <v>3</v>
      </c>
      <c r="K498" s="346">
        <v>1326.55</v>
      </c>
      <c r="L498" s="346"/>
      <c r="M498" s="346"/>
      <c r="N498" s="346">
        <f t="shared" si="7"/>
        <v>1326.55</v>
      </c>
      <c r="O498" s="342">
        <v>140.02</v>
      </c>
      <c r="P498" s="347">
        <v>1155.21</v>
      </c>
      <c r="Q498" s="342">
        <v>171.34</v>
      </c>
      <c r="R498" s="342">
        <v>0</v>
      </c>
      <c r="S498" s="342">
        <v>171.34</v>
      </c>
      <c r="T498" s="341" t="s">
        <v>362</v>
      </c>
      <c r="U498" s="342">
        <v>66011201</v>
      </c>
      <c r="V498" s="342"/>
    </row>
    <row r="499" customHeight="1" spans="1:22">
      <c r="A499" s="343" t="s">
        <v>195</v>
      </c>
      <c r="B499" s="343">
        <v>100492</v>
      </c>
      <c r="C499" s="343" t="s">
        <v>559</v>
      </c>
      <c r="D499" s="344">
        <v>1</v>
      </c>
      <c r="E499" s="343"/>
      <c r="F499" s="345">
        <v>45138</v>
      </c>
      <c r="G499" s="345">
        <v>45138</v>
      </c>
      <c r="H499" s="343">
        <v>202308</v>
      </c>
      <c r="I499" s="344">
        <v>36</v>
      </c>
      <c r="J499" s="342">
        <v>3</v>
      </c>
      <c r="K499" s="346">
        <v>1326.54</v>
      </c>
      <c r="L499" s="346"/>
      <c r="M499" s="346"/>
      <c r="N499" s="346">
        <f t="shared" si="7"/>
        <v>1326.54</v>
      </c>
      <c r="O499" s="342">
        <v>140.02</v>
      </c>
      <c r="P499" s="347">
        <v>1155.2</v>
      </c>
      <c r="Q499" s="342">
        <v>171.34</v>
      </c>
      <c r="R499" s="342">
        <v>0</v>
      </c>
      <c r="S499" s="342">
        <v>171.34</v>
      </c>
      <c r="T499" s="341" t="s">
        <v>362</v>
      </c>
      <c r="U499" s="342">
        <v>66011201</v>
      </c>
      <c r="V499" s="342"/>
    </row>
    <row r="500" customHeight="1" spans="1:22">
      <c r="A500" s="343" t="s">
        <v>195</v>
      </c>
      <c r="B500" s="343">
        <v>100493</v>
      </c>
      <c r="C500" s="343" t="s">
        <v>559</v>
      </c>
      <c r="D500" s="344">
        <v>1</v>
      </c>
      <c r="E500" s="343"/>
      <c r="F500" s="345">
        <v>45138</v>
      </c>
      <c r="G500" s="345">
        <v>45138</v>
      </c>
      <c r="H500" s="343">
        <v>202308</v>
      </c>
      <c r="I500" s="344">
        <v>36</v>
      </c>
      <c r="J500" s="342">
        <v>3</v>
      </c>
      <c r="K500" s="346">
        <v>1326.55</v>
      </c>
      <c r="L500" s="346"/>
      <c r="M500" s="346"/>
      <c r="N500" s="346">
        <f t="shared" si="7"/>
        <v>1326.55</v>
      </c>
      <c r="O500" s="342">
        <v>140.02</v>
      </c>
      <c r="P500" s="347">
        <v>1155.21</v>
      </c>
      <c r="Q500" s="342">
        <v>171.34</v>
      </c>
      <c r="R500" s="342">
        <v>0</v>
      </c>
      <c r="S500" s="342">
        <v>171.34</v>
      </c>
      <c r="T500" s="341" t="s">
        <v>550</v>
      </c>
      <c r="U500" s="342">
        <v>66021201</v>
      </c>
      <c r="V500" s="342"/>
    </row>
    <row r="501" customHeight="1" spans="1:22">
      <c r="A501" s="343" t="s">
        <v>195</v>
      </c>
      <c r="B501" s="343">
        <v>100494</v>
      </c>
      <c r="C501" s="343" t="s">
        <v>559</v>
      </c>
      <c r="D501" s="344">
        <v>1</v>
      </c>
      <c r="E501" s="343"/>
      <c r="F501" s="345">
        <v>45138</v>
      </c>
      <c r="G501" s="345">
        <v>45138</v>
      </c>
      <c r="H501" s="343">
        <v>202308</v>
      </c>
      <c r="I501" s="344">
        <v>36</v>
      </c>
      <c r="J501" s="342">
        <v>3</v>
      </c>
      <c r="K501" s="346">
        <v>1326.55</v>
      </c>
      <c r="L501" s="346"/>
      <c r="M501" s="346"/>
      <c r="N501" s="346">
        <f t="shared" si="7"/>
        <v>1326.55</v>
      </c>
      <c r="O501" s="342">
        <v>140.02</v>
      </c>
      <c r="P501" s="347">
        <v>1155.21</v>
      </c>
      <c r="Q501" s="342">
        <v>171.34</v>
      </c>
      <c r="R501" s="342">
        <v>0</v>
      </c>
      <c r="S501" s="342">
        <v>171.34</v>
      </c>
      <c r="T501" s="341" t="s">
        <v>550</v>
      </c>
      <c r="U501" s="342">
        <v>66011201</v>
      </c>
      <c r="V501" s="342"/>
    </row>
    <row r="502" customHeight="1" spans="1:22">
      <c r="A502" s="343" t="s">
        <v>195</v>
      </c>
      <c r="B502" s="343">
        <v>100495</v>
      </c>
      <c r="C502" s="343" t="s">
        <v>659</v>
      </c>
      <c r="D502" s="344">
        <v>1</v>
      </c>
      <c r="E502" s="343" t="s">
        <v>660</v>
      </c>
      <c r="F502" s="345">
        <v>45138</v>
      </c>
      <c r="G502" s="345">
        <v>45138</v>
      </c>
      <c r="H502" s="343">
        <v>202308</v>
      </c>
      <c r="I502" s="344">
        <v>36</v>
      </c>
      <c r="J502" s="342">
        <v>3</v>
      </c>
      <c r="K502" s="346">
        <v>699</v>
      </c>
      <c r="L502" s="346"/>
      <c r="M502" s="346"/>
      <c r="N502" s="346">
        <f t="shared" si="7"/>
        <v>699</v>
      </c>
      <c r="O502" s="342">
        <v>73.78</v>
      </c>
      <c r="P502" s="347">
        <v>608.72</v>
      </c>
      <c r="Q502" s="342">
        <v>90.28</v>
      </c>
      <c r="R502" s="342">
        <v>0</v>
      </c>
      <c r="S502" s="342">
        <v>90.28</v>
      </c>
      <c r="T502" s="341" t="s">
        <v>362</v>
      </c>
      <c r="U502" s="342">
        <v>5301010301</v>
      </c>
      <c r="V502" s="342"/>
    </row>
    <row r="503" customHeight="1" spans="1:22">
      <c r="A503" s="343" t="s">
        <v>195</v>
      </c>
      <c r="B503" s="343">
        <v>100496</v>
      </c>
      <c r="C503" s="343" t="s">
        <v>661</v>
      </c>
      <c r="D503" s="344">
        <v>1</v>
      </c>
      <c r="E503" s="343" t="s">
        <v>662</v>
      </c>
      <c r="F503" s="345">
        <v>45138</v>
      </c>
      <c r="G503" s="345">
        <v>45138</v>
      </c>
      <c r="H503" s="343">
        <v>202308</v>
      </c>
      <c r="I503" s="344">
        <v>36</v>
      </c>
      <c r="J503" s="342">
        <v>3</v>
      </c>
      <c r="K503" s="346">
        <v>4926.54</v>
      </c>
      <c r="L503" s="346"/>
      <c r="M503" s="346"/>
      <c r="N503" s="346">
        <f t="shared" si="7"/>
        <v>4926.54</v>
      </c>
      <c r="O503" s="342">
        <v>520.02</v>
      </c>
      <c r="P503" s="347">
        <v>4290.2</v>
      </c>
      <c r="Q503" s="342">
        <v>636.34</v>
      </c>
      <c r="R503" s="342">
        <v>0</v>
      </c>
      <c r="S503" s="342">
        <v>636.34</v>
      </c>
      <c r="T503" s="341" t="s">
        <v>362</v>
      </c>
      <c r="U503" s="342">
        <v>5301010301</v>
      </c>
      <c r="V503" s="342"/>
    </row>
    <row r="504" customHeight="1" spans="1:22">
      <c r="A504" s="343" t="s">
        <v>195</v>
      </c>
      <c r="B504" s="343">
        <v>100497</v>
      </c>
      <c r="C504" s="343" t="s">
        <v>663</v>
      </c>
      <c r="D504" s="344">
        <v>1</v>
      </c>
      <c r="E504" s="343" t="s">
        <v>664</v>
      </c>
      <c r="F504" s="345">
        <v>45114</v>
      </c>
      <c r="G504" s="345">
        <v>45114</v>
      </c>
      <c r="H504" s="343">
        <v>202308</v>
      </c>
      <c r="I504" s="344">
        <v>36</v>
      </c>
      <c r="J504" s="342">
        <v>3</v>
      </c>
      <c r="K504" s="346">
        <v>1768.14</v>
      </c>
      <c r="L504" s="346"/>
      <c r="M504" s="346"/>
      <c r="N504" s="346">
        <f t="shared" si="7"/>
        <v>1768.14</v>
      </c>
      <c r="O504" s="342">
        <v>186.63</v>
      </c>
      <c r="P504" s="347">
        <v>1539.77</v>
      </c>
      <c r="Q504" s="342">
        <v>228.37</v>
      </c>
      <c r="R504" s="342">
        <v>0</v>
      </c>
      <c r="S504" s="342">
        <v>228.37</v>
      </c>
      <c r="T504" s="341" t="s">
        <v>362</v>
      </c>
      <c r="U504" s="342">
        <v>66021201</v>
      </c>
      <c r="V504" s="342"/>
    </row>
    <row r="505" customHeight="1" spans="1:22">
      <c r="A505" s="343" t="s">
        <v>195</v>
      </c>
      <c r="B505" s="343">
        <v>100498</v>
      </c>
      <c r="C505" s="343" t="s">
        <v>665</v>
      </c>
      <c r="D505" s="344">
        <v>1</v>
      </c>
      <c r="E505" s="343" t="s">
        <v>666</v>
      </c>
      <c r="F505" s="345">
        <v>45160</v>
      </c>
      <c r="G505" s="345">
        <v>45168</v>
      </c>
      <c r="H505" s="343">
        <v>202309</v>
      </c>
      <c r="I505" s="344">
        <v>36</v>
      </c>
      <c r="J505" s="342">
        <v>4</v>
      </c>
      <c r="K505" s="346">
        <v>27433.63</v>
      </c>
      <c r="L505" s="346"/>
      <c r="M505" s="346"/>
      <c r="N505" s="346">
        <f t="shared" si="7"/>
        <v>27433.63</v>
      </c>
      <c r="O505" s="347">
        <v>2895.78</v>
      </c>
      <c r="P505" s="347">
        <v>23166.17</v>
      </c>
      <c r="Q505" s="347">
        <v>4267.46</v>
      </c>
      <c r="R505" s="342">
        <v>0</v>
      </c>
      <c r="S505" s="347">
        <v>4267.46</v>
      </c>
      <c r="T505" s="341" t="s">
        <v>532</v>
      </c>
      <c r="U505" s="342">
        <v>66011201</v>
      </c>
      <c r="V505" s="342"/>
    </row>
    <row r="506" customHeight="1" spans="1:22">
      <c r="A506" s="343" t="s">
        <v>195</v>
      </c>
      <c r="B506" s="343">
        <v>100499</v>
      </c>
      <c r="C506" s="343" t="s">
        <v>545</v>
      </c>
      <c r="D506" s="344">
        <v>1</v>
      </c>
      <c r="E506" s="343"/>
      <c r="F506" s="345">
        <v>45175</v>
      </c>
      <c r="G506" s="345">
        <v>45175</v>
      </c>
      <c r="H506" s="343">
        <v>202310</v>
      </c>
      <c r="I506" s="344">
        <v>36</v>
      </c>
      <c r="J506" s="342">
        <v>5</v>
      </c>
      <c r="K506" s="346">
        <v>4512.39</v>
      </c>
      <c r="L506" s="346"/>
      <c r="M506" s="346"/>
      <c r="N506" s="346">
        <f t="shared" si="7"/>
        <v>4512.39</v>
      </c>
      <c r="O506" s="342">
        <v>476.3</v>
      </c>
      <c r="P506" s="347">
        <v>3691.4</v>
      </c>
      <c r="Q506" s="342">
        <v>820.99</v>
      </c>
      <c r="R506" s="342">
        <v>0</v>
      </c>
      <c r="S506" s="342">
        <v>820.99</v>
      </c>
      <c r="T506" s="341" t="s">
        <v>362</v>
      </c>
      <c r="U506" s="342">
        <v>5301010301</v>
      </c>
      <c r="V506" s="342"/>
    </row>
    <row r="507" customHeight="1" spans="1:22">
      <c r="A507" s="343" t="s">
        <v>195</v>
      </c>
      <c r="B507" s="343">
        <v>100500</v>
      </c>
      <c r="C507" s="343" t="s">
        <v>545</v>
      </c>
      <c r="D507" s="344">
        <v>1</v>
      </c>
      <c r="E507" s="343" t="s">
        <v>667</v>
      </c>
      <c r="F507" s="345">
        <v>45191</v>
      </c>
      <c r="G507" s="345">
        <v>45191</v>
      </c>
      <c r="H507" s="343">
        <v>202310</v>
      </c>
      <c r="I507" s="344">
        <v>36</v>
      </c>
      <c r="J507" s="342">
        <v>5</v>
      </c>
      <c r="K507" s="346">
        <v>4689.38</v>
      </c>
      <c r="L507" s="346"/>
      <c r="M507" s="346"/>
      <c r="N507" s="346">
        <f t="shared" si="7"/>
        <v>4689.38</v>
      </c>
      <c r="O507" s="342">
        <v>494.98</v>
      </c>
      <c r="P507" s="347">
        <v>3836.19</v>
      </c>
      <c r="Q507" s="342">
        <v>853.19</v>
      </c>
      <c r="R507" s="342">
        <v>0</v>
      </c>
      <c r="S507" s="342">
        <v>853.19</v>
      </c>
      <c r="T507" s="341" t="s">
        <v>362</v>
      </c>
      <c r="U507" s="342">
        <v>66021201</v>
      </c>
      <c r="V507" s="342"/>
    </row>
    <row r="508" customHeight="1" spans="1:22">
      <c r="A508" s="343" t="s">
        <v>195</v>
      </c>
      <c r="B508" s="343">
        <v>100501</v>
      </c>
      <c r="C508" s="343" t="s">
        <v>559</v>
      </c>
      <c r="D508" s="344">
        <v>1</v>
      </c>
      <c r="E508" s="343" t="s">
        <v>668</v>
      </c>
      <c r="F508" s="345">
        <v>45184</v>
      </c>
      <c r="G508" s="345">
        <v>45184</v>
      </c>
      <c r="H508" s="343">
        <v>202310</v>
      </c>
      <c r="I508" s="344">
        <v>36</v>
      </c>
      <c r="J508" s="342">
        <v>5</v>
      </c>
      <c r="K508" s="346">
        <v>485.84</v>
      </c>
      <c r="L508" s="346"/>
      <c r="M508" s="346"/>
      <c r="N508" s="346">
        <f t="shared" si="7"/>
        <v>485.84</v>
      </c>
      <c r="O508" s="342">
        <v>51.29</v>
      </c>
      <c r="P508" s="347">
        <v>397.43</v>
      </c>
      <c r="Q508" s="342">
        <v>88.41</v>
      </c>
      <c r="R508" s="342">
        <v>0</v>
      </c>
      <c r="S508" s="342">
        <v>88.41</v>
      </c>
      <c r="T508" s="341" t="s">
        <v>532</v>
      </c>
      <c r="U508" s="342">
        <v>66011201</v>
      </c>
      <c r="V508" s="342"/>
    </row>
    <row r="509" customHeight="1" spans="1:22">
      <c r="A509" s="343" t="s">
        <v>195</v>
      </c>
      <c r="B509" s="343">
        <v>100502</v>
      </c>
      <c r="C509" s="343" t="s">
        <v>559</v>
      </c>
      <c r="D509" s="344">
        <v>1</v>
      </c>
      <c r="E509" s="343"/>
      <c r="F509" s="345">
        <v>45218</v>
      </c>
      <c r="G509" s="345">
        <v>45218</v>
      </c>
      <c r="H509" s="343">
        <v>202311</v>
      </c>
      <c r="I509" s="344">
        <v>36</v>
      </c>
      <c r="J509" s="342">
        <v>6</v>
      </c>
      <c r="K509" s="346">
        <v>1574.33</v>
      </c>
      <c r="L509" s="346"/>
      <c r="M509" s="346"/>
      <c r="N509" s="346">
        <f t="shared" si="7"/>
        <v>1574.33</v>
      </c>
      <c r="O509" s="342">
        <v>166.18</v>
      </c>
      <c r="P509" s="347">
        <v>1246.34</v>
      </c>
      <c r="Q509" s="342">
        <v>327.99</v>
      </c>
      <c r="R509" s="342">
        <v>0</v>
      </c>
      <c r="S509" s="342">
        <v>327.99</v>
      </c>
      <c r="T509" s="341" t="s">
        <v>362</v>
      </c>
      <c r="U509" s="342">
        <v>5301010301</v>
      </c>
      <c r="V509" s="342"/>
    </row>
    <row r="510" customHeight="1" spans="1:22">
      <c r="A510" s="343" t="s">
        <v>195</v>
      </c>
      <c r="B510" s="343">
        <v>100503</v>
      </c>
      <c r="C510" s="343" t="s">
        <v>559</v>
      </c>
      <c r="D510" s="344">
        <v>1</v>
      </c>
      <c r="E510" s="343" t="s">
        <v>669</v>
      </c>
      <c r="F510" s="345">
        <v>45218</v>
      </c>
      <c r="G510" s="345">
        <v>45218</v>
      </c>
      <c r="H510" s="343">
        <v>202311</v>
      </c>
      <c r="I510" s="344">
        <v>36</v>
      </c>
      <c r="J510" s="342">
        <v>6</v>
      </c>
      <c r="K510" s="346">
        <v>1574.34</v>
      </c>
      <c r="L510" s="346"/>
      <c r="M510" s="346"/>
      <c r="N510" s="346">
        <f t="shared" si="7"/>
        <v>1574.34</v>
      </c>
      <c r="O510" s="342">
        <v>166.18</v>
      </c>
      <c r="P510" s="347">
        <v>1246.35</v>
      </c>
      <c r="Q510" s="342">
        <v>327.99</v>
      </c>
      <c r="R510" s="342">
        <v>0</v>
      </c>
      <c r="S510" s="342">
        <v>327.99</v>
      </c>
      <c r="T510" s="341" t="s">
        <v>362</v>
      </c>
      <c r="U510" s="342">
        <v>5301010301</v>
      </c>
      <c r="V510" s="342"/>
    </row>
    <row r="511" customHeight="1" spans="1:22">
      <c r="A511" s="343" t="s">
        <v>195</v>
      </c>
      <c r="B511" s="343">
        <v>100504</v>
      </c>
      <c r="C511" s="343" t="s">
        <v>559</v>
      </c>
      <c r="D511" s="344">
        <v>1</v>
      </c>
      <c r="E511" s="343"/>
      <c r="F511" s="345">
        <v>45218</v>
      </c>
      <c r="G511" s="345">
        <v>45218</v>
      </c>
      <c r="H511" s="343">
        <v>202311</v>
      </c>
      <c r="I511" s="344">
        <v>36</v>
      </c>
      <c r="J511" s="342">
        <v>6</v>
      </c>
      <c r="K511" s="346">
        <v>1574.34</v>
      </c>
      <c r="L511" s="346"/>
      <c r="M511" s="346"/>
      <c r="N511" s="346">
        <f t="shared" si="7"/>
        <v>1574.34</v>
      </c>
      <c r="O511" s="342">
        <v>166.18</v>
      </c>
      <c r="P511" s="347">
        <v>1246.35</v>
      </c>
      <c r="Q511" s="342">
        <v>327.99</v>
      </c>
      <c r="R511" s="342">
        <v>0</v>
      </c>
      <c r="S511" s="342">
        <v>327.99</v>
      </c>
      <c r="T511" s="341" t="s">
        <v>362</v>
      </c>
      <c r="U511" s="342">
        <v>5301010301</v>
      </c>
      <c r="V511" s="342"/>
    </row>
    <row r="512" customHeight="1" spans="1:22">
      <c r="A512" s="343" t="s">
        <v>195</v>
      </c>
      <c r="B512" s="343">
        <v>100505</v>
      </c>
      <c r="C512" s="343" t="s">
        <v>670</v>
      </c>
      <c r="D512" s="344">
        <v>1</v>
      </c>
      <c r="E512" s="343"/>
      <c r="F512" s="345">
        <v>45211</v>
      </c>
      <c r="G512" s="345">
        <v>45211</v>
      </c>
      <c r="H512" s="343">
        <v>202311</v>
      </c>
      <c r="I512" s="344">
        <v>36</v>
      </c>
      <c r="J512" s="342">
        <v>6</v>
      </c>
      <c r="K512" s="346">
        <v>5780.53</v>
      </c>
      <c r="L512" s="346"/>
      <c r="M512" s="346"/>
      <c r="N512" s="346">
        <f t="shared" si="7"/>
        <v>5780.53</v>
      </c>
      <c r="O512" s="342">
        <v>610.18</v>
      </c>
      <c r="P512" s="347">
        <v>4576.23</v>
      </c>
      <c r="Q512" s="347">
        <v>1204.3</v>
      </c>
      <c r="R512" s="342">
        <v>0</v>
      </c>
      <c r="S512" s="347">
        <v>1204.3</v>
      </c>
      <c r="T512" s="341" t="s">
        <v>362</v>
      </c>
      <c r="U512" s="342">
        <v>5301010301</v>
      </c>
      <c r="V512" s="342"/>
    </row>
    <row r="513" customHeight="1" spans="1:22">
      <c r="A513" s="343" t="s">
        <v>195</v>
      </c>
      <c r="B513" s="343">
        <v>100506</v>
      </c>
      <c r="C513" s="343" t="s">
        <v>545</v>
      </c>
      <c r="D513" s="344">
        <v>1</v>
      </c>
      <c r="E513" s="343" t="s">
        <v>576</v>
      </c>
      <c r="F513" s="345">
        <v>45257</v>
      </c>
      <c r="G513" s="345">
        <v>45257</v>
      </c>
      <c r="H513" s="343">
        <v>202312</v>
      </c>
      <c r="I513" s="344">
        <v>36</v>
      </c>
      <c r="J513" s="342">
        <v>7</v>
      </c>
      <c r="K513" s="346">
        <v>4512.39</v>
      </c>
      <c r="L513" s="346"/>
      <c r="M513" s="346"/>
      <c r="N513" s="346">
        <f t="shared" si="7"/>
        <v>4512.39</v>
      </c>
      <c r="O513" s="342">
        <v>476.3</v>
      </c>
      <c r="P513" s="347">
        <v>3453.25</v>
      </c>
      <c r="Q513" s="347">
        <v>1059.14</v>
      </c>
      <c r="R513" s="342">
        <v>0</v>
      </c>
      <c r="S513" s="347">
        <v>1059.14</v>
      </c>
      <c r="T513" s="341" t="s">
        <v>362</v>
      </c>
      <c r="U513" s="342">
        <v>5301010301</v>
      </c>
      <c r="V513" s="342"/>
    </row>
    <row r="514" customHeight="1" spans="1:22">
      <c r="A514" s="343" t="s">
        <v>195</v>
      </c>
      <c r="B514" s="343">
        <v>100507</v>
      </c>
      <c r="C514" s="343" t="s">
        <v>545</v>
      </c>
      <c r="D514" s="344">
        <v>1</v>
      </c>
      <c r="E514" s="343" t="s">
        <v>576</v>
      </c>
      <c r="F514" s="345">
        <v>45257</v>
      </c>
      <c r="G514" s="345">
        <v>45257</v>
      </c>
      <c r="H514" s="343">
        <v>202312</v>
      </c>
      <c r="I514" s="344">
        <v>36</v>
      </c>
      <c r="J514" s="342">
        <v>7</v>
      </c>
      <c r="K514" s="346">
        <v>4512.39</v>
      </c>
      <c r="L514" s="346"/>
      <c r="M514" s="346"/>
      <c r="N514" s="346">
        <f t="shared" si="7"/>
        <v>4512.39</v>
      </c>
      <c r="O514" s="342">
        <v>476.3</v>
      </c>
      <c r="P514" s="347">
        <v>3453.25</v>
      </c>
      <c r="Q514" s="347">
        <v>1059.14</v>
      </c>
      <c r="R514" s="342">
        <v>0</v>
      </c>
      <c r="S514" s="347">
        <v>1059.14</v>
      </c>
      <c r="T514" s="341" t="s">
        <v>362</v>
      </c>
      <c r="U514" s="342">
        <v>5301010301</v>
      </c>
      <c r="V514" s="342"/>
    </row>
    <row r="515" customHeight="1" spans="1:22">
      <c r="A515" s="343" t="s">
        <v>195</v>
      </c>
      <c r="B515" s="343">
        <v>100508</v>
      </c>
      <c r="C515" s="343" t="s">
        <v>545</v>
      </c>
      <c r="D515" s="344">
        <v>1</v>
      </c>
      <c r="E515" s="343" t="s">
        <v>576</v>
      </c>
      <c r="F515" s="345">
        <v>45257</v>
      </c>
      <c r="G515" s="345">
        <v>45257</v>
      </c>
      <c r="H515" s="343">
        <v>202312</v>
      </c>
      <c r="I515" s="344">
        <v>36</v>
      </c>
      <c r="J515" s="342">
        <v>7</v>
      </c>
      <c r="K515" s="346">
        <v>4512.39</v>
      </c>
      <c r="L515" s="346"/>
      <c r="M515" s="346"/>
      <c r="N515" s="346">
        <f t="shared" ref="N515:N578" si="8">K515+L515-M515</f>
        <v>4512.39</v>
      </c>
      <c r="O515" s="342">
        <v>476.3</v>
      </c>
      <c r="P515" s="347">
        <v>3453.25</v>
      </c>
      <c r="Q515" s="347">
        <v>1059.14</v>
      </c>
      <c r="R515" s="342">
        <v>0</v>
      </c>
      <c r="S515" s="347">
        <v>1059.14</v>
      </c>
      <c r="T515" s="341" t="s">
        <v>362</v>
      </c>
      <c r="U515" s="342">
        <v>5301010301</v>
      </c>
      <c r="V515" s="342"/>
    </row>
    <row r="516" customHeight="1" spans="1:22">
      <c r="A516" s="343" t="s">
        <v>195</v>
      </c>
      <c r="B516" s="343">
        <v>100509</v>
      </c>
      <c r="C516" s="343" t="s">
        <v>545</v>
      </c>
      <c r="D516" s="344">
        <v>1</v>
      </c>
      <c r="E516" s="343" t="s">
        <v>576</v>
      </c>
      <c r="F516" s="345">
        <v>45257</v>
      </c>
      <c r="G516" s="345">
        <v>45257</v>
      </c>
      <c r="H516" s="343">
        <v>202312</v>
      </c>
      <c r="I516" s="344">
        <v>36</v>
      </c>
      <c r="J516" s="342">
        <v>7</v>
      </c>
      <c r="K516" s="346">
        <v>4512.39</v>
      </c>
      <c r="L516" s="346"/>
      <c r="M516" s="346"/>
      <c r="N516" s="346">
        <f t="shared" si="8"/>
        <v>4512.39</v>
      </c>
      <c r="O516" s="342">
        <v>476.3</v>
      </c>
      <c r="P516" s="347">
        <v>3453.25</v>
      </c>
      <c r="Q516" s="347">
        <v>1059.14</v>
      </c>
      <c r="R516" s="342">
        <v>0</v>
      </c>
      <c r="S516" s="347">
        <v>1059.14</v>
      </c>
      <c r="T516" s="341" t="s">
        <v>296</v>
      </c>
      <c r="U516" s="342">
        <v>66021201</v>
      </c>
      <c r="V516" s="342"/>
    </row>
    <row r="517" customHeight="1" spans="1:22">
      <c r="A517" s="343" t="s">
        <v>195</v>
      </c>
      <c r="B517" s="343">
        <v>100510</v>
      </c>
      <c r="C517" s="343" t="s">
        <v>545</v>
      </c>
      <c r="D517" s="344">
        <v>1</v>
      </c>
      <c r="E517" s="343" t="s">
        <v>576</v>
      </c>
      <c r="F517" s="345">
        <v>45257</v>
      </c>
      <c r="G517" s="345">
        <v>45257</v>
      </c>
      <c r="H517" s="343">
        <v>202312</v>
      </c>
      <c r="I517" s="344">
        <v>36</v>
      </c>
      <c r="J517" s="342">
        <v>7</v>
      </c>
      <c r="K517" s="346">
        <v>4512.39</v>
      </c>
      <c r="L517" s="346"/>
      <c r="M517" s="346"/>
      <c r="N517" s="346">
        <f t="shared" si="8"/>
        <v>4512.39</v>
      </c>
      <c r="O517" s="342">
        <v>476.3</v>
      </c>
      <c r="P517" s="347">
        <v>3453.25</v>
      </c>
      <c r="Q517" s="347">
        <v>1059.14</v>
      </c>
      <c r="R517" s="342">
        <v>0</v>
      </c>
      <c r="S517" s="347">
        <v>1059.14</v>
      </c>
      <c r="T517" s="341" t="s">
        <v>532</v>
      </c>
      <c r="U517" s="342">
        <v>66011201</v>
      </c>
      <c r="V517" s="342"/>
    </row>
    <row r="518" customHeight="1" spans="1:22">
      <c r="A518" s="343" t="s">
        <v>195</v>
      </c>
      <c r="B518" s="343">
        <v>100511</v>
      </c>
      <c r="C518" s="343" t="s">
        <v>559</v>
      </c>
      <c r="D518" s="344">
        <v>1</v>
      </c>
      <c r="E518" s="343" t="s">
        <v>669</v>
      </c>
      <c r="F518" s="345">
        <v>45257</v>
      </c>
      <c r="G518" s="345">
        <v>45257</v>
      </c>
      <c r="H518" s="343">
        <v>202312</v>
      </c>
      <c r="I518" s="344">
        <v>36</v>
      </c>
      <c r="J518" s="342">
        <v>7</v>
      </c>
      <c r="K518" s="346">
        <v>1574.34</v>
      </c>
      <c r="L518" s="346"/>
      <c r="M518" s="346"/>
      <c r="N518" s="346">
        <f t="shared" si="8"/>
        <v>1574.34</v>
      </c>
      <c r="O518" s="342">
        <v>166.18</v>
      </c>
      <c r="P518" s="347">
        <v>1204.81</v>
      </c>
      <c r="Q518" s="342">
        <v>369.53</v>
      </c>
      <c r="R518" s="342">
        <v>0</v>
      </c>
      <c r="S518" s="342">
        <v>369.53</v>
      </c>
      <c r="T518" s="341" t="s">
        <v>362</v>
      </c>
      <c r="U518" s="342">
        <v>5301010301</v>
      </c>
      <c r="V518" s="342"/>
    </row>
    <row r="519" customHeight="1" spans="1:22">
      <c r="A519" s="343" t="s">
        <v>195</v>
      </c>
      <c r="B519" s="343">
        <v>100512</v>
      </c>
      <c r="C519" s="343" t="s">
        <v>559</v>
      </c>
      <c r="D519" s="344">
        <v>1</v>
      </c>
      <c r="E519" s="343" t="s">
        <v>669</v>
      </c>
      <c r="F519" s="345">
        <v>45257</v>
      </c>
      <c r="G519" s="345">
        <v>45257</v>
      </c>
      <c r="H519" s="343">
        <v>202312</v>
      </c>
      <c r="I519" s="344">
        <v>36</v>
      </c>
      <c r="J519" s="342">
        <v>7</v>
      </c>
      <c r="K519" s="346">
        <v>1574.34</v>
      </c>
      <c r="L519" s="346"/>
      <c r="M519" s="346"/>
      <c r="N519" s="346">
        <f t="shared" si="8"/>
        <v>1574.34</v>
      </c>
      <c r="O519" s="342">
        <v>166.18</v>
      </c>
      <c r="P519" s="347">
        <v>1204.81</v>
      </c>
      <c r="Q519" s="342">
        <v>369.53</v>
      </c>
      <c r="R519" s="342">
        <v>0</v>
      </c>
      <c r="S519" s="342">
        <v>369.53</v>
      </c>
      <c r="T519" s="341" t="s">
        <v>362</v>
      </c>
      <c r="U519" s="342">
        <v>5301010301</v>
      </c>
      <c r="V519" s="342"/>
    </row>
    <row r="520" customHeight="1" spans="1:22">
      <c r="A520" s="343" t="s">
        <v>195</v>
      </c>
      <c r="B520" s="343">
        <v>100513</v>
      </c>
      <c r="C520" s="343" t="s">
        <v>559</v>
      </c>
      <c r="D520" s="344">
        <v>1</v>
      </c>
      <c r="E520" s="343" t="s">
        <v>669</v>
      </c>
      <c r="F520" s="345">
        <v>45257</v>
      </c>
      <c r="G520" s="345">
        <v>45257</v>
      </c>
      <c r="H520" s="343">
        <v>202312</v>
      </c>
      <c r="I520" s="344">
        <v>36</v>
      </c>
      <c r="J520" s="342">
        <v>7</v>
      </c>
      <c r="K520" s="346">
        <v>1574.34</v>
      </c>
      <c r="L520" s="346"/>
      <c r="M520" s="346"/>
      <c r="N520" s="346">
        <f t="shared" si="8"/>
        <v>1574.34</v>
      </c>
      <c r="O520" s="342">
        <v>166.18</v>
      </c>
      <c r="P520" s="347">
        <v>1204.81</v>
      </c>
      <c r="Q520" s="342">
        <v>369.53</v>
      </c>
      <c r="R520" s="342">
        <v>0</v>
      </c>
      <c r="S520" s="342">
        <v>369.53</v>
      </c>
      <c r="T520" s="341" t="s">
        <v>362</v>
      </c>
      <c r="U520" s="342">
        <v>5301010301</v>
      </c>
      <c r="V520" s="342"/>
    </row>
    <row r="521" customHeight="1" spans="1:22">
      <c r="A521" s="343" t="s">
        <v>195</v>
      </c>
      <c r="B521" s="343">
        <v>100514</v>
      </c>
      <c r="C521" s="343" t="s">
        <v>559</v>
      </c>
      <c r="D521" s="344">
        <v>1</v>
      </c>
      <c r="E521" s="343" t="s">
        <v>669</v>
      </c>
      <c r="F521" s="345">
        <v>45257</v>
      </c>
      <c r="G521" s="345">
        <v>45257</v>
      </c>
      <c r="H521" s="343">
        <v>202312</v>
      </c>
      <c r="I521" s="344">
        <v>36</v>
      </c>
      <c r="J521" s="342">
        <v>7</v>
      </c>
      <c r="K521" s="346">
        <v>1574.34</v>
      </c>
      <c r="L521" s="346"/>
      <c r="M521" s="346"/>
      <c r="N521" s="346">
        <f t="shared" si="8"/>
        <v>1574.34</v>
      </c>
      <c r="O521" s="342">
        <v>166.18</v>
      </c>
      <c r="P521" s="347">
        <v>1204.81</v>
      </c>
      <c r="Q521" s="342">
        <v>369.53</v>
      </c>
      <c r="R521" s="342">
        <v>0</v>
      </c>
      <c r="S521" s="342">
        <v>369.53</v>
      </c>
      <c r="T521" s="341" t="s">
        <v>362</v>
      </c>
      <c r="U521" s="342">
        <v>5301010301</v>
      </c>
      <c r="V521" s="342"/>
    </row>
    <row r="522" customHeight="1" spans="1:22">
      <c r="A522" s="343" t="s">
        <v>195</v>
      </c>
      <c r="B522" s="343">
        <v>100515</v>
      </c>
      <c r="C522" s="343" t="s">
        <v>559</v>
      </c>
      <c r="D522" s="344">
        <v>1</v>
      </c>
      <c r="E522" s="343" t="s">
        <v>669</v>
      </c>
      <c r="F522" s="345">
        <v>45257</v>
      </c>
      <c r="G522" s="345">
        <v>45257</v>
      </c>
      <c r="H522" s="343">
        <v>202312</v>
      </c>
      <c r="I522" s="344">
        <v>36</v>
      </c>
      <c r="J522" s="342">
        <v>7</v>
      </c>
      <c r="K522" s="346">
        <v>1574.33</v>
      </c>
      <c r="L522" s="346"/>
      <c r="M522" s="346"/>
      <c r="N522" s="346">
        <f t="shared" si="8"/>
        <v>1574.33</v>
      </c>
      <c r="O522" s="342">
        <v>166.18</v>
      </c>
      <c r="P522" s="347">
        <v>1204.8</v>
      </c>
      <c r="Q522" s="342">
        <v>369.53</v>
      </c>
      <c r="R522" s="342">
        <v>0</v>
      </c>
      <c r="S522" s="342">
        <v>369.53</v>
      </c>
      <c r="T522" s="341" t="s">
        <v>362</v>
      </c>
      <c r="U522" s="342">
        <v>5301010301</v>
      </c>
      <c r="V522" s="342"/>
    </row>
    <row r="523" customHeight="1" spans="1:22">
      <c r="A523" s="343" t="s">
        <v>195</v>
      </c>
      <c r="B523" s="343">
        <v>100516</v>
      </c>
      <c r="C523" s="343" t="s">
        <v>559</v>
      </c>
      <c r="D523" s="344">
        <v>1</v>
      </c>
      <c r="E523" s="343" t="s">
        <v>669</v>
      </c>
      <c r="F523" s="345">
        <v>45257</v>
      </c>
      <c r="G523" s="345">
        <v>45257</v>
      </c>
      <c r="H523" s="343">
        <v>202312</v>
      </c>
      <c r="I523" s="344">
        <v>36</v>
      </c>
      <c r="J523" s="342">
        <v>7</v>
      </c>
      <c r="K523" s="346">
        <v>1574.33</v>
      </c>
      <c r="L523" s="346"/>
      <c r="M523" s="346"/>
      <c r="N523" s="346">
        <f t="shared" si="8"/>
        <v>1574.33</v>
      </c>
      <c r="O523" s="342">
        <v>166.18</v>
      </c>
      <c r="P523" s="347">
        <v>1204.8</v>
      </c>
      <c r="Q523" s="342">
        <v>369.53</v>
      </c>
      <c r="R523" s="342">
        <v>0</v>
      </c>
      <c r="S523" s="342">
        <v>369.53</v>
      </c>
      <c r="T523" s="341" t="s">
        <v>362</v>
      </c>
      <c r="U523" s="342">
        <v>5301010301</v>
      </c>
      <c r="V523" s="342"/>
    </row>
    <row r="524" customHeight="1" spans="1:22">
      <c r="A524" s="343" t="s">
        <v>195</v>
      </c>
      <c r="B524" s="343">
        <v>100517</v>
      </c>
      <c r="C524" s="343" t="s">
        <v>671</v>
      </c>
      <c r="D524" s="344">
        <v>1</v>
      </c>
      <c r="E524" s="343" t="s">
        <v>672</v>
      </c>
      <c r="F524" s="345">
        <v>45271</v>
      </c>
      <c r="G524" s="345">
        <v>45271</v>
      </c>
      <c r="H524" s="343">
        <v>202401</v>
      </c>
      <c r="I524" s="344">
        <v>36</v>
      </c>
      <c r="J524" s="342">
        <v>8</v>
      </c>
      <c r="K524" s="346">
        <v>2389.38</v>
      </c>
      <c r="L524" s="346"/>
      <c r="M524" s="346"/>
      <c r="N524" s="346">
        <f t="shared" si="8"/>
        <v>2389.38</v>
      </c>
      <c r="O524" s="342">
        <v>252.22</v>
      </c>
      <c r="P524" s="347">
        <v>1765.47</v>
      </c>
      <c r="Q524" s="342">
        <v>623.91</v>
      </c>
      <c r="R524" s="342">
        <v>0</v>
      </c>
      <c r="S524" s="342">
        <v>623.91</v>
      </c>
      <c r="T524" s="341" t="s">
        <v>362</v>
      </c>
      <c r="U524" s="342">
        <v>66021201</v>
      </c>
      <c r="V524" s="342"/>
    </row>
    <row r="525" customHeight="1" spans="1:22">
      <c r="A525" s="343" t="s">
        <v>195</v>
      </c>
      <c r="B525" s="343">
        <v>100518</v>
      </c>
      <c r="C525" s="343" t="s">
        <v>671</v>
      </c>
      <c r="D525" s="344">
        <v>1</v>
      </c>
      <c r="E525" s="343" t="s">
        <v>672</v>
      </c>
      <c r="F525" s="345">
        <v>45271</v>
      </c>
      <c r="G525" s="345">
        <v>45271</v>
      </c>
      <c r="H525" s="343">
        <v>202401</v>
      </c>
      <c r="I525" s="344">
        <v>36</v>
      </c>
      <c r="J525" s="342">
        <v>8</v>
      </c>
      <c r="K525" s="346">
        <v>2389.38</v>
      </c>
      <c r="L525" s="346"/>
      <c r="M525" s="346"/>
      <c r="N525" s="346">
        <f t="shared" si="8"/>
        <v>2389.38</v>
      </c>
      <c r="O525" s="342">
        <v>252.22</v>
      </c>
      <c r="P525" s="347">
        <v>1765.47</v>
      </c>
      <c r="Q525" s="342">
        <v>623.91</v>
      </c>
      <c r="R525" s="342">
        <v>0</v>
      </c>
      <c r="S525" s="342">
        <v>623.91</v>
      </c>
      <c r="T525" s="341" t="s">
        <v>362</v>
      </c>
      <c r="U525" s="342">
        <v>66021201</v>
      </c>
      <c r="V525" s="342"/>
    </row>
    <row r="526" customHeight="1" spans="1:22">
      <c r="A526" s="343" t="s">
        <v>195</v>
      </c>
      <c r="B526" s="343">
        <v>100519</v>
      </c>
      <c r="C526" s="343" t="s">
        <v>671</v>
      </c>
      <c r="D526" s="344">
        <v>1</v>
      </c>
      <c r="E526" s="343" t="s">
        <v>672</v>
      </c>
      <c r="F526" s="345">
        <v>45271</v>
      </c>
      <c r="G526" s="345">
        <v>45271</v>
      </c>
      <c r="H526" s="343">
        <v>202401</v>
      </c>
      <c r="I526" s="344">
        <v>36</v>
      </c>
      <c r="J526" s="342">
        <v>8</v>
      </c>
      <c r="K526" s="346">
        <v>2389.38</v>
      </c>
      <c r="L526" s="346"/>
      <c r="M526" s="346"/>
      <c r="N526" s="346">
        <f t="shared" si="8"/>
        <v>2389.38</v>
      </c>
      <c r="O526" s="342">
        <v>252.22</v>
      </c>
      <c r="P526" s="347">
        <v>1765.47</v>
      </c>
      <c r="Q526" s="342">
        <v>623.91</v>
      </c>
      <c r="R526" s="342">
        <v>0</v>
      </c>
      <c r="S526" s="342">
        <v>623.91</v>
      </c>
      <c r="T526" s="341" t="s">
        <v>362</v>
      </c>
      <c r="U526" s="342">
        <v>66021201</v>
      </c>
      <c r="V526" s="342"/>
    </row>
    <row r="527" customHeight="1" spans="1:22">
      <c r="A527" s="343" t="s">
        <v>195</v>
      </c>
      <c r="B527" s="343">
        <v>100520</v>
      </c>
      <c r="C527" s="343" t="s">
        <v>671</v>
      </c>
      <c r="D527" s="344">
        <v>1</v>
      </c>
      <c r="E527" s="343" t="s">
        <v>672</v>
      </c>
      <c r="F527" s="345">
        <v>45271</v>
      </c>
      <c r="G527" s="345">
        <v>45271</v>
      </c>
      <c r="H527" s="343">
        <v>202401</v>
      </c>
      <c r="I527" s="344">
        <v>36</v>
      </c>
      <c r="J527" s="342">
        <v>8</v>
      </c>
      <c r="K527" s="346">
        <v>2389.38</v>
      </c>
      <c r="L527" s="346"/>
      <c r="M527" s="346"/>
      <c r="N527" s="346">
        <f t="shared" si="8"/>
        <v>2389.38</v>
      </c>
      <c r="O527" s="342">
        <v>252.22</v>
      </c>
      <c r="P527" s="347">
        <v>1765.47</v>
      </c>
      <c r="Q527" s="342">
        <v>623.91</v>
      </c>
      <c r="R527" s="342">
        <v>0</v>
      </c>
      <c r="S527" s="342">
        <v>623.91</v>
      </c>
      <c r="T527" s="341" t="s">
        <v>362</v>
      </c>
      <c r="U527" s="342">
        <v>66021201</v>
      </c>
      <c r="V527" s="342"/>
    </row>
    <row r="528" customHeight="1" spans="1:22">
      <c r="A528" s="343" t="s">
        <v>195</v>
      </c>
      <c r="B528" s="343">
        <v>100521</v>
      </c>
      <c r="C528" s="343" t="s">
        <v>671</v>
      </c>
      <c r="D528" s="344">
        <v>1</v>
      </c>
      <c r="E528" s="343" t="s">
        <v>672</v>
      </c>
      <c r="F528" s="345">
        <v>45271</v>
      </c>
      <c r="G528" s="345">
        <v>45271</v>
      </c>
      <c r="H528" s="343">
        <v>202401</v>
      </c>
      <c r="I528" s="344">
        <v>36</v>
      </c>
      <c r="J528" s="342">
        <v>8</v>
      </c>
      <c r="K528" s="346">
        <v>2389.38</v>
      </c>
      <c r="L528" s="346"/>
      <c r="M528" s="346"/>
      <c r="N528" s="346">
        <f t="shared" si="8"/>
        <v>2389.38</v>
      </c>
      <c r="O528" s="342">
        <v>252.22</v>
      </c>
      <c r="P528" s="347">
        <v>1765.47</v>
      </c>
      <c r="Q528" s="342">
        <v>623.91</v>
      </c>
      <c r="R528" s="342">
        <v>0</v>
      </c>
      <c r="S528" s="342">
        <v>623.91</v>
      </c>
      <c r="T528" s="341" t="s">
        <v>362</v>
      </c>
      <c r="U528" s="342">
        <v>66021201</v>
      </c>
      <c r="V528" s="342"/>
    </row>
    <row r="529" customHeight="1" spans="1:22">
      <c r="A529" s="343" t="s">
        <v>195</v>
      </c>
      <c r="B529" s="343">
        <v>100522</v>
      </c>
      <c r="C529" s="343" t="s">
        <v>671</v>
      </c>
      <c r="D529" s="344">
        <v>1</v>
      </c>
      <c r="E529" s="343" t="s">
        <v>672</v>
      </c>
      <c r="F529" s="345">
        <v>45271</v>
      </c>
      <c r="G529" s="345">
        <v>45271</v>
      </c>
      <c r="H529" s="343">
        <v>202401</v>
      </c>
      <c r="I529" s="344">
        <v>36</v>
      </c>
      <c r="J529" s="342">
        <v>8</v>
      </c>
      <c r="K529" s="346">
        <v>2389.38</v>
      </c>
      <c r="L529" s="346"/>
      <c r="M529" s="346"/>
      <c r="N529" s="346">
        <f t="shared" si="8"/>
        <v>2389.38</v>
      </c>
      <c r="O529" s="342">
        <v>252.22</v>
      </c>
      <c r="P529" s="347">
        <v>1765.47</v>
      </c>
      <c r="Q529" s="342">
        <v>623.91</v>
      </c>
      <c r="R529" s="342">
        <v>0</v>
      </c>
      <c r="S529" s="342">
        <v>623.91</v>
      </c>
      <c r="T529" s="341" t="s">
        <v>362</v>
      </c>
      <c r="U529" s="342">
        <v>66021201</v>
      </c>
      <c r="V529" s="342"/>
    </row>
    <row r="530" customHeight="1" spans="1:22">
      <c r="A530" s="343" t="s">
        <v>195</v>
      </c>
      <c r="B530" s="343">
        <v>100524</v>
      </c>
      <c r="C530" s="343" t="s">
        <v>673</v>
      </c>
      <c r="D530" s="344">
        <v>1</v>
      </c>
      <c r="E530" s="343" t="s">
        <v>674</v>
      </c>
      <c r="F530" s="345">
        <v>45287</v>
      </c>
      <c r="G530" s="345">
        <v>45287</v>
      </c>
      <c r="H530" s="343">
        <v>202401</v>
      </c>
      <c r="I530" s="344">
        <v>36</v>
      </c>
      <c r="J530" s="342">
        <v>8</v>
      </c>
      <c r="K530" s="346">
        <v>30000</v>
      </c>
      <c r="L530" s="346"/>
      <c r="M530" s="346"/>
      <c r="N530" s="346">
        <f t="shared" si="8"/>
        <v>30000</v>
      </c>
      <c r="O530" s="347">
        <v>3166.66</v>
      </c>
      <c r="P530" s="347">
        <v>22166.68</v>
      </c>
      <c r="Q530" s="347">
        <v>7833.32</v>
      </c>
      <c r="R530" s="342">
        <v>0</v>
      </c>
      <c r="S530" s="347">
        <v>7833.32</v>
      </c>
      <c r="T530" s="341" t="s">
        <v>362</v>
      </c>
      <c r="U530" s="342">
        <v>66021201</v>
      </c>
      <c r="V530" s="342"/>
    </row>
    <row r="531" customHeight="1" spans="1:22">
      <c r="A531" s="343" t="s">
        <v>195</v>
      </c>
      <c r="B531" s="343">
        <v>100525</v>
      </c>
      <c r="C531" s="343" t="s">
        <v>545</v>
      </c>
      <c r="D531" s="344">
        <v>1</v>
      </c>
      <c r="E531" s="343" t="s">
        <v>633</v>
      </c>
      <c r="F531" s="345">
        <v>45288</v>
      </c>
      <c r="G531" s="345">
        <v>45288</v>
      </c>
      <c r="H531" s="343">
        <v>202401</v>
      </c>
      <c r="I531" s="344">
        <v>36</v>
      </c>
      <c r="J531" s="342">
        <v>8</v>
      </c>
      <c r="K531" s="346">
        <v>4512.39</v>
      </c>
      <c r="L531" s="346"/>
      <c r="M531" s="346"/>
      <c r="N531" s="346">
        <f t="shared" si="8"/>
        <v>4512.39</v>
      </c>
      <c r="O531" s="342">
        <v>476.3</v>
      </c>
      <c r="P531" s="347">
        <v>3334.17</v>
      </c>
      <c r="Q531" s="347">
        <v>1178.22</v>
      </c>
      <c r="R531" s="342">
        <v>0</v>
      </c>
      <c r="S531" s="347">
        <v>1178.22</v>
      </c>
      <c r="T531" s="341" t="s">
        <v>362</v>
      </c>
      <c r="U531" s="342">
        <v>66021201</v>
      </c>
      <c r="V531" s="342"/>
    </row>
    <row r="532" customHeight="1" spans="1:22">
      <c r="A532" s="343" t="s">
        <v>195</v>
      </c>
      <c r="B532" s="343">
        <v>100526</v>
      </c>
      <c r="C532" s="343" t="s">
        <v>545</v>
      </c>
      <c r="D532" s="344">
        <v>1</v>
      </c>
      <c r="E532" s="343" t="s">
        <v>633</v>
      </c>
      <c r="F532" s="345">
        <v>45288</v>
      </c>
      <c r="G532" s="345">
        <v>45288</v>
      </c>
      <c r="H532" s="343">
        <v>202401</v>
      </c>
      <c r="I532" s="344">
        <v>36</v>
      </c>
      <c r="J532" s="342">
        <v>8</v>
      </c>
      <c r="K532" s="346">
        <v>4512.39</v>
      </c>
      <c r="L532" s="346"/>
      <c r="M532" s="346"/>
      <c r="N532" s="346">
        <f t="shared" si="8"/>
        <v>4512.39</v>
      </c>
      <c r="O532" s="342">
        <v>476.3</v>
      </c>
      <c r="P532" s="347">
        <v>3334.17</v>
      </c>
      <c r="Q532" s="347">
        <v>1178.22</v>
      </c>
      <c r="R532" s="342">
        <v>0</v>
      </c>
      <c r="S532" s="347">
        <v>1178.22</v>
      </c>
      <c r="T532" s="341" t="s">
        <v>362</v>
      </c>
      <c r="U532" s="342">
        <v>66021201</v>
      </c>
      <c r="V532" s="342"/>
    </row>
    <row r="533" customHeight="1" spans="1:22">
      <c r="A533" s="343" t="s">
        <v>195</v>
      </c>
      <c r="B533" s="343">
        <v>100527</v>
      </c>
      <c r="C533" s="343" t="s">
        <v>545</v>
      </c>
      <c r="D533" s="344">
        <v>1</v>
      </c>
      <c r="E533" s="343" t="s">
        <v>633</v>
      </c>
      <c r="F533" s="345">
        <v>45288</v>
      </c>
      <c r="G533" s="345">
        <v>45288</v>
      </c>
      <c r="H533" s="343">
        <v>202401</v>
      </c>
      <c r="I533" s="344">
        <v>36</v>
      </c>
      <c r="J533" s="342">
        <v>8</v>
      </c>
      <c r="K533" s="346">
        <v>4512.39</v>
      </c>
      <c r="L533" s="346"/>
      <c r="M533" s="346"/>
      <c r="N533" s="346">
        <f t="shared" si="8"/>
        <v>4512.39</v>
      </c>
      <c r="O533" s="342">
        <v>476.3</v>
      </c>
      <c r="P533" s="347">
        <v>3334.17</v>
      </c>
      <c r="Q533" s="347">
        <v>1178.22</v>
      </c>
      <c r="R533" s="342">
        <v>0</v>
      </c>
      <c r="S533" s="347">
        <v>1178.22</v>
      </c>
      <c r="T533" s="341" t="s">
        <v>573</v>
      </c>
      <c r="U533" s="342">
        <v>66011201</v>
      </c>
      <c r="V533" s="342"/>
    </row>
    <row r="534" customHeight="1" spans="1:22">
      <c r="A534" s="343" t="s">
        <v>195</v>
      </c>
      <c r="B534" s="343">
        <v>100528</v>
      </c>
      <c r="C534" s="343" t="s">
        <v>675</v>
      </c>
      <c r="D534" s="344">
        <v>1</v>
      </c>
      <c r="E534" s="343" t="s">
        <v>676</v>
      </c>
      <c r="F534" s="345">
        <v>45306</v>
      </c>
      <c r="G534" s="345">
        <v>45306</v>
      </c>
      <c r="H534" s="343">
        <v>202402</v>
      </c>
      <c r="I534" s="344">
        <v>36</v>
      </c>
      <c r="J534" s="342">
        <v>9</v>
      </c>
      <c r="K534" s="346">
        <v>14867.26</v>
      </c>
      <c r="L534" s="346"/>
      <c r="M534" s="346"/>
      <c r="N534" s="346">
        <f t="shared" si="8"/>
        <v>14867.26</v>
      </c>
      <c r="O534" s="347">
        <v>1569.32</v>
      </c>
      <c r="P534" s="347">
        <v>10592.91</v>
      </c>
      <c r="Q534" s="347">
        <v>4274.35</v>
      </c>
      <c r="R534" s="342">
        <v>0</v>
      </c>
      <c r="S534" s="347">
        <v>4274.35</v>
      </c>
      <c r="T534" s="341" t="s">
        <v>296</v>
      </c>
      <c r="U534" s="342">
        <v>66021201</v>
      </c>
      <c r="V534" s="342"/>
    </row>
    <row r="535" customHeight="1" spans="1:22">
      <c r="A535" s="343" t="s">
        <v>195</v>
      </c>
      <c r="B535" s="343">
        <v>100529</v>
      </c>
      <c r="C535" s="343" t="s">
        <v>677</v>
      </c>
      <c r="D535" s="344">
        <v>1</v>
      </c>
      <c r="E535" s="343" t="s">
        <v>678</v>
      </c>
      <c r="F535" s="345">
        <v>45314</v>
      </c>
      <c r="G535" s="345">
        <v>45314</v>
      </c>
      <c r="H535" s="343">
        <v>202402</v>
      </c>
      <c r="I535" s="344">
        <v>36</v>
      </c>
      <c r="J535" s="342">
        <v>9</v>
      </c>
      <c r="K535" s="346">
        <v>19291.15</v>
      </c>
      <c r="L535" s="346"/>
      <c r="M535" s="346"/>
      <c r="N535" s="346">
        <f t="shared" si="8"/>
        <v>19291.15</v>
      </c>
      <c r="O535" s="347">
        <v>2036.3</v>
      </c>
      <c r="P535" s="347">
        <v>13744.92</v>
      </c>
      <c r="Q535" s="347">
        <v>5546.23</v>
      </c>
      <c r="R535" s="342">
        <v>0</v>
      </c>
      <c r="S535" s="347">
        <v>5546.23</v>
      </c>
      <c r="T535" s="341" t="s">
        <v>296</v>
      </c>
      <c r="U535" s="342">
        <v>66021201</v>
      </c>
      <c r="V535" s="342"/>
    </row>
    <row r="536" customHeight="1" spans="1:22">
      <c r="A536" s="343" t="s">
        <v>195</v>
      </c>
      <c r="B536" s="343">
        <v>100530</v>
      </c>
      <c r="C536" s="343" t="s">
        <v>679</v>
      </c>
      <c r="D536" s="344">
        <v>1</v>
      </c>
      <c r="E536" s="343" t="s">
        <v>680</v>
      </c>
      <c r="F536" s="345">
        <v>45316</v>
      </c>
      <c r="G536" s="345">
        <v>45316</v>
      </c>
      <c r="H536" s="343">
        <v>202402</v>
      </c>
      <c r="I536" s="344">
        <v>36</v>
      </c>
      <c r="J536" s="342">
        <v>9</v>
      </c>
      <c r="K536" s="346">
        <v>795.58</v>
      </c>
      <c r="L536" s="346"/>
      <c r="M536" s="346"/>
      <c r="N536" s="346">
        <f t="shared" si="8"/>
        <v>795.58</v>
      </c>
      <c r="O536" s="342">
        <v>83.98</v>
      </c>
      <c r="P536" s="347">
        <v>566.85</v>
      </c>
      <c r="Q536" s="342">
        <v>228.73</v>
      </c>
      <c r="R536" s="342">
        <v>0</v>
      </c>
      <c r="S536" s="342">
        <v>228.73</v>
      </c>
      <c r="T536" s="341" t="s">
        <v>296</v>
      </c>
      <c r="U536" s="342">
        <v>66021201</v>
      </c>
      <c r="V536" s="342"/>
    </row>
    <row r="537" customHeight="1" spans="1:22">
      <c r="A537" s="343" t="s">
        <v>195</v>
      </c>
      <c r="B537" s="343">
        <v>100531</v>
      </c>
      <c r="C537" s="343" t="s">
        <v>681</v>
      </c>
      <c r="D537" s="344">
        <v>1</v>
      </c>
      <c r="E537" s="343" t="s">
        <v>682</v>
      </c>
      <c r="F537" s="345">
        <v>45321</v>
      </c>
      <c r="G537" s="345">
        <v>45321</v>
      </c>
      <c r="H537" s="343">
        <v>202402</v>
      </c>
      <c r="I537" s="344">
        <v>36</v>
      </c>
      <c r="J537" s="342">
        <v>9</v>
      </c>
      <c r="K537" s="346">
        <v>2919.47</v>
      </c>
      <c r="L537" s="346"/>
      <c r="M537" s="346"/>
      <c r="N537" s="346">
        <f t="shared" si="8"/>
        <v>2919.47</v>
      </c>
      <c r="O537" s="342">
        <v>308.18</v>
      </c>
      <c r="P537" s="347">
        <v>2080.1</v>
      </c>
      <c r="Q537" s="342">
        <v>839.37</v>
      </c>
      <c r="R537" s="342">
        <v>0</v>
      </c>
      <c r="S537" s="342">
        <v>839.37</v>
      </c>
      <c r="T537" s="341" t="s">
        <v>362</v>
      </c>
      <c r="U537" s="342">
        <v>66021201</v>
      </c>
      <c r="V537" s="342"/>
    </row>
    <row r="538" customHeight="1" spans="1:22">
      <c r="A538" s="343" t="s">
        <v>195</v>
      </c>
      <c r="B538" s="343">
        <v>100532</v>
      </c>
      <c r="C538" s="343" t="s">
        <v>545</v>
      </c>
      <c r="D538" s="344">
        <v>1</v>
      </c>
      <c r="E538" s="343" t="s">
        <v>683</v>
      </c>
      <c r="F538" s="345">
        <v>45316</v>
      </c>
      <c r="G538" s="345">
        <v>45316</v>
      </c>
      <c r="H538" s="343">
        <v>202402</v>
      </c>
      <c r="I538" s="344">
        <v>36</v>
      </c>
      <c r="J538" s="342">
        <v>9</v>
      </c>
      <c r="K538" s="346">
        <v>4468.14</v>
      </c>
      <c r="L538" s="346"/>
      <c r="M538" s="346"/>
      <c r="N538" s="346">
        <f t="shared" si="8"/>
        <v>4468.14</v>
      </c>
      <c r="O538" s="342">
        <v>471.64</v>
      </c>
      <c r="P538" s="347">
        <v>3183.57</v>
      </c>
      <c r="Q538" s="347">
        <v>1284.57</v>
      </c>
      <c r="R538" s="342">
        <v>0</v>
      </c>
      <c r="S538" s="347">
        <v>1284.57</v>
      </c>
      <c r="T538" s="341" t="s">
        <v>532</v>
      </c>
      <c r="U538" s="342">
        <v>5301010301</v>
      </c>
      <c r="V538" s="342"/>
    </row>
    <row r="539" customHeight="1" spans="1:22">
      <c r="A539" s="343" t="s">
        <v>195</v>
      </c>
      <c r="B539" s="343">
        <v>100533</v>
      </c>
      <c r="C539" s="343" t="s">
        <v>684</v>
      </c>
      <c r="D539" s="344">
        <v>1</v>
      </c>
      <c r="E539" s="343" t="s">
        <v>685</v>
      </c>
      <c r="F539" s="345">
        <v>45343</v>
      </c>
      <c r="G539" s="345">
        <v>45343</v>
      </c>
      <c r="H539" s="343">
        <v>202403</v>
      </c>
      <c r="I539" s="344">
        <v>36</v>
      </c>
      <c r="J539" s="342">
        <v>10</v>
      </c>
      <c r="K539" s="346">
        <v>5397.35</v>
      </c>
      <c r="L539" s="346"/>
      <c r="M539" s="346"/>
      <c r="N539" s="346">
        <f t="shared" si="8"/>
        <v>5397.35</v>
      </c>
      <c r="O539" s="342">
        <v>569.72</v>
      </c>
      <c r="P539" s="347">
        <v>3703.18</v>
      </c>
      <c r="Q539" s="347">
        <v>1694.17</v>
      </c>
      <c r="R539" s="342">
        <v>0</v>
      </c>
      <c r="S539" s="347">
        <v>1694.17</v>
      </c>
      <c r="T539" s="341" t="s">
        <v>362</v>
      </c>
      <c r="U539" s="342">
        <v>66021201</v>
      </c>
      <c r="V539" s="342"/>
    </row>
    <row r="540" customHeight="1" spans="1:22">
      <c r="A540" s="343" t="s">
        <v>195</v>
      </c>
      <c r="B540" s="343">
        <v>100534</v>
      </c>
      <c r="C540" s="343" t="s">
        <v>559</v>
      </c>
      <c r="D540" s="344">
        <v>1</v>
      </c>
      <c r="E540" s="343"/>
      <c r="F540" s="345">
        <v>45343</v>
      </c>
      <c r="G540" s="345">
        <v>45343</v>
      </c>
      <c r="H540" s="343">
        <v>202403</v>
      </c>
      <c r="I540" s="344">
        <v>36</v>
      </c>
      <c r="J540" s="342">
        <v>10</v>
      </c>
      <c r="K540" s="346">
        <v>1574.34</v>
      </c>
      <c r="L540" s="346"/>
      <c r="M540" s="346"/>
      <c r="N540" s="346">
        <f t="shared" si="8"/>
        <v>1574.34</v>
      </c>
      <c r="O540" s="342">
        <v>166.18</v>
      </c>
      <c r="P540" s="347">
        <v>1080.17</v>
      </c>
      <c r="Q540" s="342">
        <v>494.17</v>
      </c>
      <c r="R540" s="342">
        <v>0</v>
      </c>
      <c r="S540" s="342">
        <v>494.17</v>
      </c>
      <c r="T540" s="341" t="s">
        <v>362</v>
      </c>
      <c r="U540" s="342">
        <v>66021201</v>
      </c>
      <c r="V540" s="342"/>
    </row>
    <row r="541" customHeight="1" spans="1:22">
      <c r="A541" s="343" t="s">
        <v>195</v>
      </c>
      <c r="B541" s="343">
        <v>100535</v>
      </c>
      <c r="C541" s="343" t="s">
        <v>547</v>
      </c>
      <c r="D541" s="344">
        <v>1</v>
      </c>
      <c r="E541" s="343" t="s">
        <v>686</v>
      </c>
      <c r="F541" s="345">
        <v>45348</v>
      </c>
      <c r="G541" s="345">
        <v>45348</v>
      </c>
      <c r="H541" s="343">
        <v>202403</v>
      </c>
      <c r="I541" s="344">
        <v>36</v>
      </c>
      <c r="J541" s="342">
        <v>10</v>
      </c>
      <c r="K541" s="346">
        <v>4059.05</v>
      </c>
      <c r="L541" s="346"/>
      <c r="M541" s="346"/>
      <c r="N541" s="346">
        <f t="shared" si="8"/>
        <v>4059.05</v>
      </c>
      <c r="O541" s="342">
        <v>428.46</v>
      </c>
      <c r="P541" s="347">
        <v>2784.95</v>
      </c>
      <c r="Q541" s="347">
        <v>1274.1</v>
      </c>
      <c r="R541" s="342">
        <v>0</v>
      </c>
      <c r="S541" s="347">
        <v>1274.1</v>
      </c>
      <c r="T541" s="341" t="s">
        <v>362</v>
      </c>
      <c r="U541" s="342">
        <v>66021201</v>
      </c>
      <c r="V541" s="342"/>
    </row>
    <row r="542" customHeight="1" spans="1:22">
      <c r="A542" s="343" t="s">
        <v>195</v>
      </c>
      <c r="B542" s="343">
        <v>100536</v>
      </c>
      <c r="C542" s="343" t="s">
        <v>654</v>
      </c>
      <c r="D542" s="344">
        <v>1</v>
      </c>
      <c r="E542" s="343" t="s">
        <v>687</v>
      </c>
      <c r="F542" s="345">
        <v>45348</v>
      </c>
      <c r="G542" s="345">
        <v>45348</v>
      </c>
      <c r="H542" s="343">
        <v>202403</v>
      </c>
      <c r="I542" s="344">
        <v>36</v>
      </c>
      <c r="J542" s="342">
        <v>10</v>
      </c>
      <c r="K542" s="346">
        <v>503.54</v>
      </c>
      <c r="L542" s="346"/>
      <c r="M542" s="346"/>
      <c r="N542" s="346">
        <f t="shared" si="8"/>
        <v>503.54</v>
      </c>
      <c r="O542" s="342">
        <v>53.14</v>
      </c>
      <c r="P542" s="347">
        <v>345.51</v>
      </c>
      <c r="Q542" s="342">
        <v>158.03</v>
      </c>
      <c r="R542" s="342">
        <v>0</v>
      </c>
      <c r="S542" s="342">
        <v>158.03</v>
      </c>
      <c r="T542" s="341" t="s">
        <v>362</v>
      </c>
      <c r="U542" s="342">
        <v>66021201</v>
      </c>
      <c r="V542" s="342"/>
    </row>
    <row r="543" customHeight="1" spans="1:22">
      <c r="A543" s="343" t="s">
        <v>195</v>
      </c>
      <c r="B543" s="343">
        <v>100537</v>
      </c>
      <c r="C543" s="343" t="s">
        <v>688</v>
      </c>
      <c r="D543" s="344">
        <v>1</v>
      </c>
      <c r="E543" s="343" t="s">
        <v>689</v>
      </c>
      <c r="F543" s="345">
        <v>45371</v>
      </c>
      <c r="G543" s="345">
        <v>45371</v>
      </c>
      <c r="H543" s="343">
        <v>202404</v>
      </c>
      <c r="I543" s="344">
        <v>36</v>
      </c>
      <c r="J543" s="342">
        <v>11</v>
      </c>
      <c r="K543" s="346">
        <v>1860.04</v>
      </c>
      <c r="L543" s="346"/>
      <c r="M543" s="346"/>
      <c r="N543" s="346">
        <f t="shared" si="8"/>
        <v>1860.04</v>
      </c>
      <c r="O543" s="342">
        <v>196.34</v>
      </c>
      <c r="P543" s="347">
        <v>1227.11</v>
      </c>
      <c r="Q543" s="342">
        <v>632.93</v>
      </c>
      <c r="R543" s="342">
        <v>0</v>
      </c>
      <c r="S543" s="342">
        <v>632.93</v>
      </c>
      <c r="T543" s="341" t="s">
        <v>362</v>
      </c>
      <c r="U543" s="342">
        <v>66021201</v>
      </c>
      <c r="V543" s="342"/>
    </row>
    <row r="544" customHeight="1" spans="1:22">
      <c r="A544" s="343" t="s">
        <v>195</v>
      </c>
      <c r="B544" s="343">
        <v>100538</v>
      </c>
      <c r="C544" s="343" t="s">
        <v>690</v>
      </c>
      <c r="D544" s="344">
        <v>1</v>
      </c>
      <c r="E544" s="343" t="s">
        <v>691</v>
      </c>
      <c r="F544" s="345">
        <v>45371</v>
      </c>
      <c r="G544" s="345">
        <v>45371</v>
      </c>
      <c r="H544" s="343">
        <v>202404</v>
      </c>
      <c r="I544" s="344">
        <v>36</v>
      </c>
      <c r="J544" s="342">
        <v>11</v>
      </c>
      <c r="K544" s="346">
        <v>3141.59</v>
      </c>
      <c r="L544" s="346"/>
      <c r="M544" s="346"/>
      <c r="N544" s="346">
        <f t="shared" si="8"/>
        <v>3141.59</v>
      </c>
      <c r="O544" s="342">
        <v>331.62</v>
      </c>
      <c r="P544" s="347">
        <v>2072.56</v>
      </c>
      <c r="Q544" s="347">
        <v>1069.03</v>
      </c>
      <c r="R544" s="342">
        <v>0</v>
      </c>
      <c r="S544" s="347">
        <v>1069.03</v>
      </c>
      <c r="T544" s="341" t="s">
        <v>532</v>
      </c>
      <c r="U544" s="342">
        <v>5301010301</v>
      </c>
      <c r="V544" s="342"/>
    </row>
    <row r="545" customHeight="1" spans="1:22">
      <c r="A545" s="343" t="s">
        <v>195</v>
      </c>
      <c r="B545" s="343">
        <v>100539</v>
      </c>
      <c r="C545" s="343" t="s">
        <v>545</v>
      </c>
      <c r="D545" s="344">
        <v>1</v>
      </c>
      <c r="E545" s="343" t="s">
        <v>576</v>
      </c>
      <c r="F545" s="345">
        <v>45372</v>
      </c>
      <c r="G545" s="345">
        <v>45372</v>
      </c>
      <c r="H545" s="343">
        <v>202404</v>
      </c>
      <c r="I545" s="344">
        <v>36</v>
      </c>
      <c r="J545" s="342">
        <v>11</v>
      </c>
      <c r="K545" s="346">
        <v>5308.85</v>
      </c>
      <c r="L545" s="346"/>
      <c r="M545" s="346"/>
      <c r="N545" s="346">
        <f t="shared" si="8"/>
        <v>5308.85</v>
      </c>
      <c r="O545" s="342">
        <v>560.38</v>
      </c>
      <c r="P545" s="347">
        <v>3502.37</v>
      </c>
      <c r="Q545" s="347">
        <v>1806.48</v>
      </c>
      <c r="R545" s="342">
        <v>0</v>
      </c>
      <c r="S545" s="347">
        <v>1806.48</v>
      </c>
      <c r="T545" s="341" t="s">
        <v>532</v>
      </c>
      <c r="U545" s="342">
        <v>5301010301</v>
      </c>
      <c r="V545" s="342"/>
    </row>
    <row r="546" customHeight="1" spans="1:22">
      <c r="A546" s="343" t="s">
        <v>195</v>
      </c>
      <c r="B546" s="343">
        <v>100540</v>
      </c>
      <c r="C546" s="343" t="s">
        <v>545</v>
      </c>
      <c r="D546" s="344">
        <v>1</v>
      </c>
      <c r="E546" s="343" t="s">
        <v>692</v>
      </c>
      <c r="F546" s="345">
        <v>45377</v>
      </c>
      <c r="G546" s="345">
        <v>45377</v>
      </c>
      <c r="H546" s="343">
        <v>202404</v>
      </c>
      <c r="I546" s="344">
        <v>36</v>
      </c>
      <c r="J546" s="342">
        <v>11</v>
      </c>
      <c r="K546" s="346">
        <v>8494.69</v>
      </c>
      <c r="L546" s="346"/>
      <c r="M546" s="346"/>
      <c r="N546" s="346">
        <f t="shared" si="8"/>
        <v>8494.69</v>
      </c>
      <c r="O546" s="342">
        <v>896.66</v>
      </c>
      <c r="P546" s="347">
        <v>5604.15</v>
      </c>
      <c r="Q546" s="347">
        <v>2890.54</v>
      </c>
      <c r="R546" s="342">
        <v>0</v>
      </c>
      <c r="S546" s="347">
        <v>2890.54</v>
      </c>
      <c r="T546" s="341" t="s">
        <v>532</v>
      </c>
      <c r="U546" s="342">
        <v>66011201</v>
      </c>
      <c r="V546" s="342"/>
    </row>
    <row r="547" customHeight="1" spans="1:22">
      <c r="A547" s="343" t="s">
        <v>195</v>
      </c>
      <c r="B547" s="343">
        <v>100541</v>
      </c>
      <c r="C547" s="343" t="s">
        <v>545</v>
      </c>
      <c r="D547" s="344">
        <v>1</v>
      </c>
      <c r="E547" s="343" t="s">
        <v>576</v>
      </c>
      <c r="F547" s="345">
        <v>45378</v>
      </c>
      <c r="G547" s="345">
        <v>45378</v>
      </c>
      <c r="H547" s="343">
        <v>202404</v>
      </c>
      <c r="I547" s="344">
        <v>36</v>
      </c>
      <c r="J547" s="342">
        <v>11</v>
      </c>
      <c r="K547" s="346">
        <v>5308.85</v>
      </c>
      <c r="L547" s="346"/>
      <c r="M547" s="346"/>
      <c r="N547" s="346">
        <f t="shared" si="8"/>
        <v>5308.85</v>
      </c>
      <c r="O547" s="342">
        <v>560.38</v>
      </c>
      <c r="P547" s="347">
        <v>3502.37</v>
      </c>
      <c r="Q547" s="347">
        <v>1806.48</v>
      </c>
      <c r="R547" s="342">
        <v>0</v>
      </c>
      <c r="S547" s="347">
        <v>1806.48</v>
      </c>
      <c r="T547" s="341" t="s">
        <v>546</v>
      </c>
      <c r="U547" s="342">
        <v>5301010301</v>
      </c>
      <c r="V547" s="342"/>
    </row>
    <row r="548" customHeight="1" spans="1:22">
      <c r="A548" s="343" t="s">
        <v>195</v>
      </c>
      <c r="B548" s="343">
        <v>100542</v>
      </c>
      <c r="C548" s="343" t="s">
        <v>557</v>
      </c>
      <c r="D548" s="344">
        <v>1</v>
      </c>
      <c r="E548" s="343" t="s">
        <v>558</v>
      </c>
      <c r="F548" s="345">
        <v>45406</v>
      </c>
      <c r="G548" s="345">
        <v>45406</v>
      </c>
      <c r="H548" s="343">
        <v>202405</v>
      </c>
      <c r="I548" s="344">
        <v>36</v>
      </c>
      <c r="J548" s="342">
        <v>12</v>
      </c>
      <c r="K548" s="346">
        <v>891.15</v>
      </c>
      <c r="L548" s="346"/>
      <c r="M548" s="346"/>
      <c r="N548" s="346">
        <f t="shared" si="8"/>
        <v>891.15</v>
      </c>
      <c r="O548" s="342">
        <v>94.06</v>
      </c>
      <c r="P548" s="347">
        <v>564.41</v>
      </c>
      <c r="Q548" s="342">
        <v>326.74</v>
      </c>
      <c r="R548" s="342">
        <v>0</v>
      </c>
      <c r="S548" s="342">
        <v>326.74</v>
      </c>
      <c r="T548" s="341" t="s">
        <v>362</v>
      </c>
      <c r="U548" s="342">
        <v>5301010301</v>
      </c>
      <c r="V548" s="342"/>
    </row>
    <row r="549" customHeight="1" spans="1:22">
      <c r="A549" s="343" t="s">
        <v>195</v>
      </c>
      <c r="B549" s="343">
        <v>100543</v>
      </c>
      <c r="C549" s="343" t="s">
        <v>693</v>
      </c>
      <c r="D549" s="344">
        <v>1</v>
      </c>
      <c r="E549" s="343"/>
      <c r="F549" s="345">
        <v>45408</v>
      </c>
      <c r="G549" s="345">
        <v>45408</v>
      </c>
      <c r="H549" s="343">
        <v>202405</v>
      </c>
      <c r="I549" s="344">
        <v>36</v>
      </c>
      <c r="J549" s="342">
        <v>12</v>
      </c>
      <c r="K549" s="346">
        <v>1139</v>
      </c>
      <c r="L549" s="346"/>
      <c r="M549" s="346"/>
      <c r="N549" s="346">
        <f t="shared" si="8"/>
        <v>1139</v>
      </c>
      <c r="O549" s="342">
        <v>120.22</v>
      </c>
      <c r="P549" s="347">
        <v>721.39</v>
      </c>
      <c r="Q549" s="342">
        <v>417.61</v>
      </c>
      <c r="R549" s="342">
        <v>0</v>
      </c>
      <c r="S549" s="342">
        <v>417.61</v>
      </c>
      <c r="T549" s="341" t="s">
        <v>550</v>
      </c>
      <c r="U549" s="342">
        <v>66021201</v>
      </c>
      <c r="V549" s="342"/>
    </row>
    <row r="550" customHeight="1" spans="1:22">
      <c r="A550" s="343" t="s">
        <v>195</v>
      </c>
      <c r="B550" s="343">
        <v>100544</v>
      </c>
      <c r="C550" s="343" t="s">
        <v>545</v>
      </c>
      <c r="D550" s="344">
        <v>1</v>
      </c>
      <c r="E550" s="343" t="s">
        <v>650</v>
      </c>
      <c r="F550" s="345">
        <v>45419</v>
      </c>
      <c r="G550" s="345">
        <v>45419</v>
      </c>
      <c r="H550" s="343">
        <v>202406</v>
      </c>
      <c r="I550" s="344">
        <v>36</v>
      </c>
      <c r="J550" s="342">
        <v>13</v>
      </c>
      <c r="K550" s="346">
        <v>5308.85</v>
      </c>
      <c r="L550" s="346"/>
      <c r="M550" s="346"/>
      <c r="N550" s="346">
        <f t="shared" si="8"/>
        <v>5308.85</v>
      </c>
      <c r="O550" s="342">
        <v>560.38</v>
      </c>
      <c r="P550" s="347">
        <v>3222.18</v>
      </c>
      <c r="Q550" s="347">
        <v>2086.67</v>
      </c>
      <c r="R550" s="342">
        <v>0</v>
      </c>
      <c r="S550" s="347">
        <v>2086.67</v>
      </c>
      <c r="T550" s="341" t="s">
        <v>362</v>
      </c>
      <c r="U550" s="342">
        <v>66011201</v>
      </c>
      <c r="V550" s="342"/>
    </row>
    <row r="551" customHeight="1" spans="1:22">
      <c r="A551" s="343" t="s">
        <v>195</v>
      </c>
      <c r="B551" s="343">
        <v>100545</v>
      </c>
      <c r="C551" s="343" t="s">
        <v>545</v>
      </c>
      <c r="D551" s="344">
        <v>1</v>
      </c>
      <c r="E551" s="343" t="s">
        <v>650</v>
      </c>
      <c r="F551" s="345">
        <v>45422</v>
      </c>
      <c r="G551" s="345">
        <v>45422</v>
      </c>
      <c r="H551" s="343">
        <v>202406</v>
      </c>
      <c r="I551" s="344">
        <v>36</v>
      </c>
      <c r="J551" s="342">
        <v>13</v>
      </c>
      <c r="K551" s="346">
        <v>5308.85</v>
      </c>
      <c r="L551" s="346"/>
      <c r="M551" s="346"/>
      <c r="N551" s="346">
        <f t="shared" si="8"/>
        <v>5308.85</v>
      </c>
      <c r="O551" s="342">
        <v>560.38</v>
      </c>
      <c r="P551" s="347">
        <v>3222.18</v>
      </c>
      <c r="Q551" s="347">
        <v>2086.67</v>
      </c>
      <c r="R551" s="342">
        <v>0</v>
      </c>
      <c r="S551" s="347">
        <v>2086.67</v>
      </c>
      <c r="T551" s="341" t="s">
        <v>546</v>
      </c>
      <c r="U551" s="342">
        <v>66011201</v>
      </c>
      <c r="V551" s="342"/>
    </row>
    <row r="552" customHeight="1" spans="1:22">
      <c r="A552" s="343" t="s">
        <v>195</v>
      </c>
      <c r="B552" s="343">
        <v>100546</v>
      </c>
      <c r="C552" s="343" t="s">
        <v>694</v>
      </c>
      <c r="D552" s="344">
        <v>1</v>
      </c>
      <c r="E552" s="343" t="s">
        <v>695</v>
      </c>
      <c r="F552" s="345">
        <v>45460</v>
      </c>
      <c r="G552" s="345">
        <v>45460</v>
      </c>
      <c r="H552" s="343">
        <v>202407</v>
      </c>
      <c r="I552" s="344">
        <v>36</v>
      </c>
      <c r="J552" s="342">
        <v>14</v>
      </c>
      <c r="K552" s="346">
        <v>14558.02</v>
      </c>
      <c r="L552" s="346"/>
      <c r="M552" s="346"/>
      <c r="N552" s="346">
        <f t="shared" si="8"/>
        <v>14558.02</v>
      </c>
      <c r="O552" s="347">
        <v>1536.68</v>
      </c>
      <c r="P552" s="347">
        <v>8451.74</v>
      </c>
      <c r="Q552" s="347">
        <v>6106.28</v>
      </c>
      <c r="R552" s="342">
        <v>0</v>
      </c>
      <c r="S552" s="347">
        <v>6106.28</v>
      </c>
      <c r="T552" s="341" t="s">
        <v>362</v>
      </c>
      <c r="U552" s="342">
        <v>66021201</v>
      </c>
      <c r="V552" s="342"/>
    </row>
    <row r="553" customHeight="1" spans="1:22">
      <c r="A553" s="343" t="s">
        <v>195</v>
      </c>
      <c r="B553" s="343">
        <v>100547</v>
      </c>
      <c r="C553" s="343" t="s">
        <v>696</v>
      </c>
      <c r="D553" s="344">
        <v>1</v>
      </c>
      <c r="E553" s="343" t="s">
        <v>697</v>
      </c>
      <c r="F553" s="345">
        <v>45460</v>
      </c>
      <c r="G553" s="345">
        <v>45460</v>
      </c>
      <c r="H553" s="343">
        <v>202407</v>
      </c>
      <c r="I553" s="344">
        <v>36</v>
      </c>
      <c r="J553" s="342">
        <v>14</v>
      </c>
      <c r="K553" s="346">
        <v>5819.15</v>
      </c>
      <c r="L553" s="346"/>
      <c r="M553" s="346"/>
      <c r="N553" s="346">
        <f t="shared" si="8"/>
        <v>5819.15</v>
      </c>
      <c r="O553" s="342">
        <v>614.24</v>
      </c>
      <c r="P553" s="347">
        <v>3378.32</v>
      </c>
      <c r="Q553" s="347">
        <v>2440.83</v>
      </c>
      <c r="R553" s="342">
        <v>0</v>
      </c>
      <c r="S553" s="347">
        <v>2440.83</v>
      </c>
      <c r="T553" s="341" t="s">
        <v>362</v>
      </c>
      <c r="U553" s="342">
        <v>66021201</v>
      </c>
      <c r="V553" s="342"/>
    </row>
    <row r="554" customHeight="1" spans="1:22">
      <c r="A554" s="343" t="s">
        <v>195</v>
      </c>
      <c r="B554" s="343">
        <v>100548</v>
      </c>
      <c r="C554" s="343" t="s">
        <v>698</v>
      </c>
      <c r="D554" s="344">
        <v>1</v>
      </c>
      <c r="E554" s="343" t="s">
        <v>699</v>
      </c>
      <c r="F554" s="345">
        <v>45460</v>
      </c>
      <c r="G554" s="345">
        <v>45460</v>
      </c>
      <c r="H554" s="343">
        <v>202407</v>
      </c>
      <c r="I554" s="344">
        <v>36</v>
      </c>
      <c r="J554" s="342">
        <v>14</v>
      </c>
      <c r="K554" s="346">
        <v>924.78</v>
      </c>
      <c r="L554" s="346"/>
      <c r="M554" s="346"/>
      <c r="N554" s="346">
        <f t="shared" si="8"/>
        <v>924.78</v>
      </c>
      <c r="O554" s="342">
        <v>97.62</v>
      </c>
      <c r="P554" s="347">
        <v>536.87</v>
      </c>
      <c r="Q554" s="342">
        <v>387.91</v>
      </c>
      <c r="R554" s="342">
        <v>0</v>
      </c>
      <c r="S554" s="342">
        <v>387.91</v>
      </c>
      <c r="T554" s="341" t="s">
        <v>362</v>
      </c>
      <c r="U554" s="342">
        <v>66021201</v>
      </c>
      <c r="V554" s="342"/>
    </row>
    <row r="555" customHeight="1" spans="1:22">
      <c r="A555" s="343" t="s">
        <v>195</v>
      </c>
      <c r="B555" s="343">
        <v>100549</v>
      </c>
      <c r="C555" s="343" t="s">
        <v>700</v>
      </c>
      <c r="D555" s="344">
        <v>1</v>
      </c>
      <c r="E555" s="343" t="s">
        <v>701</v>
      </c>
      <c r="F555" s="345">
        <v>45462</v>
      </c>
      <c r="G555" s="345">
        <v>45462</v>
      </c>
      <c r="H555" s="343">
        <v>202407</v>
      </c>
      <c r="I555" s="344">
        <v>36</v>
      </c>
      <c r="J555" s="342">
        <v>14</v>
      </c>
      <c r="K555" s="346">
        <v>4431.86</v>
      </c>
      <c r="L555" s="346"/>
      <c r="M555" s="346"/>
      <c r="N555" s="346">
        <f t="shared" si="8"/>
        <v>4431.86</v>
      </c>
      <c r="O555" s="342">
        <v>467.8</v>
      </c>
      <c r="P555" s="347">
        <v>2572.9</v>
      </c>
      <c r="Q555" s="347">
        <v>1858.96</v>
      </c>
      <c r="R555" s="342">
        <v>0</v>
      </c>
      <c r="S555" s="347">
        <v>1858.96</v>
      </c>
      <c r="T555" s="341" t="s">
        <v>362</v>
      </c>
      <c r="U555" s="342">
        <v>5301010301</v>
      </c>
      <c r="V555" s="342"/>
    </row>
    <row r="556" customHeight="1" spans="1:22">
      <c r="A556" s="343" t="s">
        <v>195</v>
      </c>
      <c r="B556" s="343">
        <v>100550</v>
      </c>
      <c r="C556" s="343" t="s">
        <v>702</v>
      </c>
      <c r="D556" s="344">
        <v>1</v>
      </c>
      <c r="E556" s="343" t="s">
        <v>703</v>
      </c>
      <c r="F556" s="345">
        <v>45461</v>
      </c>
      <c r="G556" s="345">
        <v>45461</v>
      </c>
      <c r="H556" s="343">
        <v>202407</v>
      </c>
      <c r="I556" s="344">
        <v>36</v>
      </c>
      <c r="J556" s="342">
        <v>14</v>
      </c>
      <c r="K556" s="346">
        <v>5088.5</v>
      </c>
      <c r="L556" s="346"/>
      <c r="M556" s="346"/>
      <c r="N556" s="346">
        <f t="shared" si="8"/>
        <v>5088.5</v>
      </c>
      <c r="O556" s="342">
        <v>537.12</v>
      </c>
      <c r="P556" s="347">
        <v>2954.16</v>
      </c>
      <c r="Q556" s="347">
        <v>2134.34</v>
      </c>
      <c r="R556" s="342">
        <v>0</v>
      </c>
      <c r="S556" s="347">
        <v>2134.34</v>
      </c>
      <c r="T556" s="341" t="s">
        <v>362</v>
      </c>
      <c r="U556" s="342">
        <v>5301010301</v>
      </c>
      <c r="V556" s="342"/>
    </row>
    <row r="557" customHeight="1" spans="1:22">
      <c r="A557" s="343" t="s">
        <v>195</v>
      </c>
      <c r="B557" s="343">
        <v>100551</v>
      </c>
      <c r="C557" s="343" t="s">
        <v>702</v>
      </c>
      <c r="D557" s="344">
        <v>1</v>
      </c>
      <c r="E557" s="343" t="s">
        <v>703</v>
      </c>
      <c r="F557" s="345">
        <v>45461</v>
      </c>
      <c r="G557" s="345">
        <v>45461</v>
      </c>
      <c r="H557" s="343">
        <v>202407</v>
      </c>
      <c r="I557" s="344">
        <v>36</v>
      </c>
      <c r="J557" s="342">
        <v>14</v>
      </c>
      <c r="K557" s="346">
        <v>5088.49</v>
      </c>
      <c r="L557" s="346"/>
      <c r="M557" s="346"/>
      <c r="N557" s="346">
        <f t="shared" si="8"/>
        <v>5088.49</v>
      </c>
      <c r="O557" s="342">
        <v>537.12</v>
      </c>
      <c r="P557" s="347">
        <v>2954.16</v>
      </c>
      <c r="Q557" s="347">
        <v>2134.33</v>
      </c>
      <c r="R557" s="342">
        <v>0</v>
      </c>
      <c r="S557" s="347">
        <v>2134.33</v>
      </c>
      <c r="T557" s="341" t="s">
        <v>532</v>
      </c>
      <c r="U557" s="342">
        <v>5301010301</v>
      </c>
      <c r="V557" s="342"/>
    </row>
    <row r="558" customHeight="1" spans="1:22">
      <c r="A558" s="343" t="s">
        <v>195</v>
      </c>
      <c r="B558" s="343">
        <v>100552</v>
      </c>
      <c r="C558" s="343" t="s">
        <v>545</v>
      </c>
      <c r="D558" s="344">
        <v>1</v>
      </c>
      <c r="E558" s="343" t="s">
        <v>704</v>
      </c>
      <c r="F558" s="345">
        <v>45467</v>
      </c>
      <c r="G558" s="345">
        <v>45467</v>
      </c>
      <c r="H558" s="343">
        <v>202407</v>
      </c>
      <c r="I558" s="344">
        <v>36</v>
      </c>
      <c r="J558" s="342">
        <v>14</v>
      </c>
      <c r="K558" s="346">
        <v>5308.85</v>
      </c>
      <c r="L558" s="346"/>
      <c r="M558" s="346"/>
      <c r="N558" s="346">
        <f t="shared" si="8"/>
        <v>5308.85</v>
      </c>
      <c r="O558" s="342">
        <v>560.38</v>
      </c>
      <c r="P558" s="347">
        <v>3082.08</v>
      </c>
      <c r="Q558" s="347">
        <v>2226.77</v>
      </c>
      <c r="R558" s="342">
        <v>0</v>
      </c>
      <c r="S558" s="347">
        <v>2226.77</v>
      </c>
      <c r="T558" s="341" t="s">
        <v>296</v>
      </c>
      <c r="U558" s="342">
        <v>66021201</v>
      </c>
      <c r="V558" s="342"/>
    </row>
    <row r="559" customHeight="1" spans="1:22">
      <c r="A559" s="343" t="s">
        <v>195</v>
      </c>
      <c r="B559" s="343">
        <v>100553</v>
      </c>
      <c r="C559" s="343" t="s">
        <v>545</v>
      </c>
      <c r="D559" s="344">
        <v>1</v>
      </c>
      <c r="E559" s="343" t="s">
        <v>704</v>
      </c>
      <c r="F559" s="345">
        <v>45467</v>
      </c>
      <c r="G559" s="345">
        <v>45467</v>
      </c>
      <c r="H559" s="343">
        <v>202407</v>
      </c>
      <c r="I559" s="344">
        <v>36</v>
      </c>
      <c r="J559" s="342">
        <v>14</v>
      </c>
      <c r="K559" s="346">
        <v>5308.85</v>
      </c>
      <c r="L559" s="346"/>
      <c r="M559" s="346"/>
      <c r="N559" s="346">
        <f t="shared" si="8"/>
        <v>5308.85</v>
      </c>
      <c r="O559" s="342">
        <v>560.38</v>
      </c>
      <c r="P559" s="347">
        <v>3082.08</v>
      </c>
      <c r="Q559" s="347">
        <v>2226.77</v>
      </c>
      <c r="R559" s="342">
        <v>0</v>
      </c>
      <c r="S559" s="347">
        <v>2226.77</v>
      </c>
      <c r="T559" s="341" t="s">
        <v>362</v>
      </c>
      <c r="U559" s="342">
        <v>66021201</v>
      </c>
      <c r="V559" s="342"/>
    </row>
    <row r="560" customHeight="1" spans="1:22">
      <c r="A560" s="343" t="s">
        <v>195</v>
      </c>
      <c r="B560" s="343">
        <v>100554</v>
      </c>
      <c r="C560" s="343" t="s">
        <v>545</v>
      </c>
      <c r="D560" s="344">
        <v>1</v>
      </c>
      <c r="E560" s="343" t="s">
        <v>704</v>
      </c>
      <c r="F560" s="345">
        <v>45467</v>
      </c>
      <c r="G560" s="345">
        <v>45467</v>
      </c>
      <c r="H560" s="343">
        <v>202407</v>
      </c>
      <c r="I560" s="344">
        <v>36</v>
      </c>
      <c r="J560" s="342">
        <v>14</v>
      </c>
      <c r="K560" s="346">
        <v>5308.85</v>
      </c>
      <c r="L560" s="346"/>
      <c r="M560" s="346"/>
      <c r="N560" s="346">
        <f t="shared" si="8"/>
        <v>5308.85</v>
      </c>
      <c r="O560" s="342">
        <v>560.38</v>
      </c>
      <c r="P560" s="347">
        <v>3082.08</v>
      </c>
      <c r="Q560" s="347">
        <v>2226.77</v>
      </c>
      <c r="R560" s="342">
        <v>0</v>
      </c>
      <c r="S560" s="347">
        <v>2226.77</v>
      </c>
      <c r="T560" s="341" t="s">
        <v>362</v>
      </c>
      <c r="U560" s="342">
        <v>66021201</v>
      </c>
      <c r="V560" s="342"/>
    </row>
    <row r="561" customHeight="1" spans="1:22">
      <c r="A561" s="343" t="s">
        <v>195</v>
      </c>
      <c r="B561" s="343">
        <v>100555</v>
      </c>
      <c r="C561" s="343" t="s">
        <v>545</v>
      </c>
      <c r="D561" s="344">
        <v>1</v>
      </c>
      <c r="E561" s="343" t="s">
        <v>591</v>
      </c>
      <c r="F561" s="345">
        <v>45471</v>
      </c>
      <c r="G561" s="345">
        <v>45471</v>
      </c>
      <c r="H561" s="343">
        <v>202407</v>
      </c>
      <c r="I561" s="344">
        <v>36</v>
      </c>
      <c r="J561" s="342">
        <v>14</v>
      </c>
      <c r="K561" s="346">
        <v>5220.35</v>
      </c>
      <c r="L561" s="346"/>
      <c r="M561" s="346"/>
      <c r="N561" s="346">
        <f t="shared" si="8"/>
        <v>5220.35</v>
      </c>
      <c r="O561" s="342">
        <v>551.04</v>
      </c>
      <c r="P561" s="347">
        <v>3030.72</v>
      </c>
      <c r="Q561" s="347">
        <v>2189.63</v>
      </c>
      <c r="R561" s="342">
        <v>0</v>
      </c>
      <c r="S561" s="347">
        <v>2189.63</v>
      </c>
      <c r="T561" s="341" t="s">
        <v>362</v>
      </c>
      <c r="U561" s="342">
        <v>66021201</v>
      </c>
      <c r="V561" s="342"/>
    </row>
    <row r="562" customHeight="1" spans="1:22">
      <c r="A562" s="343" t="s">
        <v>195</v>
      </c>
      <c r="B562" s="343">
        <v>100556</v>
      </c>
      <c r="C562" s="343" t="s">
        <v>705</v>
      </c>
      <c r="D562" s="344">
        <v>1</v>
      </c>
      <c r="E562" s="343"/>
      <c r="F562" s="345">
        <v>45486</v>
      </c>
      <c r="G562" s="345">
        <v>45486</v>
      </c>
      <c r="H562" s="343">
        <v>202408</v>
      </c>
      <c r="I562" s="344">
        <v>36</v>
      </c>
      <c r="J562" s="342">
        <v>15</v>
      </c>
      <c r="K562" s="346">
        <v>1326.55</v>
      </c>
      <c r="L562" s="346"/>
      <c r="M562" s="346"/>
      <c r="N562" s="346">
        <f t="shared" si="8"/>
        <v>1326.55</v>
      </c>
      <c r="O562" s="342">
        <v>140.02</v>
      </c>
      <c r="P562" s="347">
        <v>735.15</v>
      </c>
      <c r="Q562" s="342">
        <v>591.4</v>
      </c>
      <c r="R562" s="342">
        <v>0</v>
      </c>
      <c r="S562" s="342">
        <v>591.4</v>
      </c>
      <c r="T562" s="341" t="s">
        <v>532</v>
      </c>
      <c r="U562" s="342">
        <v>66011201</v>
      </c>
      <c r="V562" s="342"/>
    </row>
    <row r="563" customHeight="1" spans="1:22">
      <c r="A563" s="343" t="s">
        <v>195</v>
      </c>
      <c r="B563" s="343">
        <v>100557</v>
      </c>
      <c r="C563" s="343" t="s">
        <v>559</v>
      </c>
      <c r="D563" s="344">
        <v>1</v>
      </c>
      <c r="E563" s="343" t="s">
        <v>564</v>
      </c>
      <c r="F563" s="345">
        <v>45482</v>
      </c>
      <c r="G563" s="345">
        <v>45482</v>
      </c>
      <c r="H563" s="343">
        <v>202408</v>
      </c>
      <c r="I563" s="344">
        <v>36</v>
      </c>
      <c r="J563" s="342">
        <v>15</v>
      </c>
      <c r="K563" s="346">
        <v>836.28</v>
      </c>
      <c r="L563" s="346"/>
      <c r="M563" s="346"/>
      <c r="N563" s="346">
        <f t="shared" si="8"/>
        <v>836.28</v>
      </c>
      <c r="O563" s="342">
        <v>88.28</v>
      </c>
      <c r="P563" s="347">
        <v>463.47</v>
      </c>
      <c r="Q563" s="342">
        <v>372.81</v>
      </c>
      <c r="R563" s="342">
        <v>0</v>
      </c>
      <c r="S563" s="342">
        <v>372.81</v>
      </c>
      <c r="T563" s="341" t="s">
        <v>362</v>
      </c>
      <c r="U563" s="342">
        <v>66021201</v>
      </c>
      <c r="V563" s="342"/>
    </row>
    <row r="564" customHeight="1" spans="1:22">
      <c r="A564" s="343" t="s">
        <v>195</v>
      </c>
      <c r="B564" s="343">
        <v>100558</v>
      </c>
      <c r="C564" s="343" t="s">
        <v>545</v>
      </c>
      <c r="D564" s="344">
        <v>1</v>
      </c>
      <c r="E564" s="343" t="s">
        <v>576</v>
      </c>
      <c r="F564" s="345">
        <v>45491</v>
      </c>
      <c r="G564" s="345">
        <v>45491</v>
      </c>
      <c r="H564" s="343">
        <v>202408</v>
      </c>
      <c r="I564" s="344">
        <v>36</v>
      </c>
      <c r="J564" s="342">
        <v>15</v>
      </c>
      <c r="K564" s="346">
        <v>4777.88</v>
      </c>
      <c r="L564" s="346"/>
      <c r="M564" s="346"/>
      <c r="N564" s="346">
        <f t="shared" si="8"/>
        <v>4777.88</v>
      </c>
      <c r="O564" s="342">
        <v>504.34</v>
      </c>
      <c r="P564" s="347">
        <v>2647.72</v>
      </c>
      <c r="Q564" s="347">
        <v>2130.16</v>
      </c>
      <c r="R564" s="342">
        <v>0</v>
      </c>
      <c r="S564" s="347">
        <v>2130.16</v>
      </c>
      <c r="T564" s="341" t="s">
        <v>546</v>
      </c>
      <c r="U564" s="342">
        <v>66021201</v>
      </c>
      <c r="V564" s="342"/>
    </row>
    <row r="565" customHeight="1" spans="1:22">
      <c r="A565" s="343" t="s">
        <v>195</v>
      </c>
      <c r="B565" s="343">
        <v>100559</v>
      </c>
      <c r="C565" s="343" t="s">
        <v>556</v>
      </c>
      <c r="D565" s="344">
        <v>1</v>
      </c>
      <c r="E565" s="343"/>
      <c r="F565" s="345">
        <v>45495</v>
      </c>
      <c r="G565" s="345">
        <v>45495</v>
      </c>
      <c r="H565" s="343">
        <v>202408</v>
      </c>
      <c r="I565" s="344">
        <v>36</v>
      </c>
      <c r="J565" s="342">
        <v>15</v>
      </c>
      <c r="K565" s="346">
        <v>2969.31</v>
      </c>
      <c r="L565" s="346"/>
      <c r="M565" s="346"/>
      <c r="N565" s="346">
        <f t="shared" si="8"/>
        <v>2969.31</v>
      </c>
      <c r="O565" s="342">
        <v>313.42</v>
      </c>
      <c r="P565" s="347">
        <v>1645.52</v>
      </c>
      <c r="Q565" s="347">
        <v>1323.79</v>
      </c>
      <c r="R565" s="342">
        <v>0</v>
      </c>
      <c r="S565" s="347">
        <v>1323.79</v>
      </c>
      <c r="T565" s="341" t="s">
        <v>296</v>
      </c>
      <c r="U565" s="342">
        <v>66021201</v>
      </c>
      <c r="V565" s="342"/>
    </row>
    <row r="566" customHeight="1" spans="1:22">
      <c r="A566" s="343" t="s">
        <v>195</v>
      </c>
      <c r="B566" s="343">
        <v>100002</v>
      </c>
      <c r="C566" s="343" t="s">
        <v>582</v>
      </c>
      <c r="D566" s="344">
        <v>1</v>
      </c>
      <c r="E566" s="343"/>
      <c r="F566" s="345">
        <v>43986</v>
      </c>
      <c r="G566" s="345">
        <v>43986</v>
      </c>
      <c r="H566" s="343">
        <v>202007</v>
      </c>
      <c r="I566" s="344">
        <v>36</v>
      </c>
      <c r="J566" s="342">
        <v>0</v>
      </c>
      <c r="K566" s="346">
        <v>1399</v>
      </c>
      <c r="L566" s="346"/>
      <c r="M566" s="346"/>
      <c r="N566" s="346">
        <f t="shared" si="8"/>
        <v>1399</v>
      </c>
      <c r="O566" s="342">
        <v>0</v>
      </c>
      <c r="P566" s="347">
        <v>1329.05</v>
      </c>
      <c r="Q566" s="342">
        <v>69.95</v>
      </c>
      <c r="R566" s="342">
        <v>0</v>
      </c>
      <c r="S566" s="342">
        <v>69.95</v>
      </c>
      <c r="T566" s="341" t="s">
        <v>296</v>
      </c>
      <c r="U566" s="342">
        <v>66021201</v>
      </c>
      <c r="V566" s="342"/>
    </row>
    <row r="567" customHeight="1" spans="1:22">
      <c r="A567" s="343" t="s">
        <v>195</v>
      </c>
      <c r="B567" s="343">
        <v>100003</v>
      </c>
      <c r="C567" s="343" t="s">
        <v>545</v>
      </c>
      <c r="D567" s="344">
        <v>1</v>
      </c>
      <c r="E567" s="343"/>
      <c r="F567" s="345">
        <v>44026</v>
      </c>
      <c r="G567" s="345">
        <v>44026</v>
      </c>
      <c r="H567" s="343">
        <v>202007</v>
      </c>
      <c r="I567" s="344">
        <v>36</v>
      </c>
      <c r="J567" s="342">
        <v>0</v>
      </c>
      <c r="K567" s="346">
        <v>8988</v>
      </c>
      <c r="L567" s="346"/>
      <c r="M567" s="346"/>
      <c r="N567" s="346">
        <f t="shared" si="8"/>
        <v>8988</v>
      </c>
      <c r="O567" s="342">
        <v>0</v>
      </c>
      <c r="P567" s="347">
        <v>8538.6</v>
      </c>
      <c r="Q567" s="342">
        <v>449.4</v>
      </c>
      <c r="R567" s="342">
        <v>0</v>
      </c>
      <c r="S567" s="342">
        <v>449.4</v>
      </c>
      <c r="T567" s="341" t="s">
        <v>550</v>
      </c>
      <c r="U567" s="342">
        <v>66011201</v>
      </c>
      <c r="V567" s="342"/>
    </row>
    <row r="568" customHeight="1" spans="1:22">
      <c r="A568" s="343" t="s">
        <v>195</v>
      </c>
      <c r="B568" s="343">
        <v>100009</v>
      </c>
      <c r="C568" s="343" t="s">
        <v>688</v>
      </c>
      <c r="D568" s="344">
        <v>1</v>
      </c>
      <c r="E568" s="343"/>
      <c r="F568" s="345">
        <v>44186</v>
      </c>
      <c r="G568" s="345">
        <v>44186</v>
      </c>
      <c r="H568" s="343">
        <v>202101</v>
      </c>
      <c r="I568" s="344">
        <v>36</v>
      </c>
      <c r="J568" s="342">
        <v>0</v>
      </c>
      <c r="K568" s="346">
        <v>3198.98</v>
      </c>
      <c r="L568" s="346"/>
      <c r="M568" s="346"/>
      <c r="N568" s="346">
        <f t="shared" si="8"/>
        <v>3198.98</v>
      </c>
      <c r="O568" s="342">
        <v>0</v>
      </c>
      <c r="P568" s="347">
        <v>3039.03</v>
      </c>
      <c r="Q568" s="342">
        <v>159.95</v>
      </c>
      <c r="R568" s="342">
        <v>0</v>
      </c>
      <c r="S568" s="342">
        <v>159.95</v>
      </c>
      <c r="T568" s="341" t="s">
        <v>362</v>
      </c>
      <c r="U568" s="342">
        <v>66021201</v>
      </c>
      <c r="V568" s="342"/>
    </row>
    <row r="569" customHeight="1" spans="1:22">
      <c r="A569" s="343" t="s">
        <v>195</v>
      </c>
      <c r="B569" s="343">
        <v>100010</v>
      </c>
      <c r="C569" s="343" t="s">
        <v>706</v>
      </c>
      <c r="D569" s="344">
        <v>1</v>
      </c>
      <c r="E569" s="343"/>
      <c r="F569" s="345">
        <v>44186</v>
      </c>
      <c r="G569" s="345">
        <v>44186</v>
      </c>
      <c r="H569" s="343">
        <v>202101</v>
      </c>
      <c r="I569" s="344">
        <v>36</v>
      </c>
      <c r="J569" s="342">
        <v>0</v>
      </c>
      <c r="K569" s="346">
        <v>498.98</v>
      </c>
      <c r="L569" s="346"/>
      <c r="M569" s="346"/>
      <c r="N569" s="346">
        <f t="shared" si="8"/>
        <v>498.98</v>
      </c>
      <c r="O569" s="342">
        <v>0</v>
      </c>
      <c r="P569" s="347">
        <v>474.03</v>
      </c>
      <c r="Q569" s="342">
        <v>24.95</v>
      </c>
      <c r="R569" s="342">
        <v>0</v>
      </c>
      <c r="S569" s="342">
        <v>24.95</v>
      </c>
      <c r="T569" s="341" t="s">
        <v>296</v>
      </c>
      <c r="U569" s="342">
        <v>66021201</v>
      </c>
      <c r="V569" s="342"/>
    </row>
    <row r="570" customHeight="1" spans="1:22">
      <c r="A570" s="343" t="s">
        <v>195</v>
      </c>
      <c r="B570" s="343">
        <v>100011</v>
      </c>
      <c r="C570" s="343" t="s">
        <v>554</v>
      </c>
      <c r="D570" s="344">
        <v>1</v>
      </c>
      <c r="E570" s="343"/>
      <c r="F570" s="345">
        <v>44220</v>
      </c>
      <c r="G570" s="345">
        <v>44220</v>
      </c>
      <c r="H570" s="343">
        <v>202102</v>
      </c>
      <c r="I570" s="344">
        <v>36</v>
      </c>
      <c r="J570" s="342">
        <v>0</v>
      </c>
      <c r="K570" s="346">
        <v>6902.65</v>
      </c>
      <c r="L570" s="346"/>
      <c r="M570" s="346"/>
      <c r="N570" s="346">
        <f t="shared" si="8"/>
        <v>6902.65</v>
      </c>
      <c r="O570" s="342">
        <v>0</v>
      </c>
      <c r="P570" s="347">
        <v>6557.52</v>
      </c>
      <c r="Q570" s="342">
        <v>345.13</v>
      </c>
      <c r="R570" s="342">
        <v>0</v>
      </c>
      <c r="S570" s="342">
        <v>345.13</v>
      </c>
      <c r="T570" s="341" t="s">
        <v>296</v>
      </c>
      <c r="U570" s="342">
        <v>66021201</v>
      </c>
      <c r="V570" s="342"/>
    </row>
    <row r="571" customHeight="1" spans="1:22">
      <c r="A571" s="343" t="s">
        <v>195</v>
      </c>
      <c r="B571" s="343">
        <v>100016</v>
      </c>
      <c r="C571" s="343" t="s">
        <v>589</v>
      </c>
      <c r="D571" s="344">
        <v>1</v>
      </c>
      <c r="E571" s="343"/>
      <c r="F571" s="345">
        <v>44217</v>
      </c>
      <c r="G571" s="345">
        <v>44217</v>
      </c>
      <c r="H571" s="343">
        <v>202102</v>
      </c>
      <c r="I571" s="344">
        <v>36</v>
      </c>
      <c r="J571" s="342">
        <v>0</v>
      </c>
      <c r="K571" s="346">
        <v>359</v>
      </c>
      <c r="L571" s="346"/>
      <c r="M571" s="346"/>
      <c r="N571" s="346">
        <f t="shared" si="8"/>
        <v>359</v>
      </c>
      <c r="O571" s="342">
        <v>0</v>
      </c>
      <c r="P571" s="347">
        <v>341.05</v>
      </c>
      <c r="Q571" s="342">
        <v>17.95</v>
      </c>
      <c r="R571" s="342">
        <v>0</v>
      </c>
      <c r="S571" s="342">
        <v>17.95</v>
      </c>
      <c r="T571" s="341" t="s">
        <v>296</v>
      </c>
      <c r="U571" s="342">
        <v>66021201</v>
      </c>
      <c r="V571" s="342"/>
    </row>
    <row r="572" customHeight="1" spans="1:22">
      <c r="A572" s="343" t="s">
        <v>195</v>
      </c>
      <c r="B572" s="343">
        <v>100017</v>
      </c>
      <c r="C572" s="343" t="s">
        <v>545</v>
      </c>
      <c r="D572" s="344">
        <v>1</v>
      </c>
      <c r="E572" s="343"/>
      <c r="F572" s="345">
        <v>44252</v>
      </c>
      <c r="G572" s="345">
        <v>44252</v>
      </c>
      <c r="H572" s="343">
        <v>202103</v>
      </c>
      <c r="I572" s="344">
        <v>36</v>
      </c>
      <c r="J572" s="342">
        <v>0</v>
      </c>
      <c r="K572" s="346">
        <v>4069.92</v>
      </c>
      <c r="L572" s="346"/>
      <c r="M572" s="346"/>
      <c r="N572" s="346">
        <f t="shared" si="8"/>
        <v>4069.92</v>
      </c>
      <c r="O572" s="342">
        <v>0</v>
      </c>
      <c r="P572" s="347">
        <v>3866.42</v>
      </c>
      <c r="Q572" s="342">
        <v>203.5</v>
      </c>
      <c r="R572" s="342">
        <v>0</v>
      </c>
      <c r="S572" s="342">
        <v>203.5</v>
      </c>
      <c r="T572" s="341" t="s">
        <v>296</v>
      </c>
      <c r="U572" s="342">
        <v>66021201</v>
      </c>
      <c r="V572" s="342"/>
    </row>
    <row r="573" customHeight="1" spans="1:22">
      <c r="A573" s="343" t="s">
        <v>195</v>
      </c>
      <c r="B573" s="343">
        <v>100018</v>
      </c>
      <c r="C573" s="343" t="s">
        <v>654</v>
      </c>
      <c r="D573" s="344">
        <v>1</v>
      </c>
      <c r="E573" s="343"/>
      <c r="F573" s="345">
        <v>44251</v>
      </c>
      <c r="G573" s="345">
        <v>44251</v>
      </c>
      <c r="H573" s="343">
        <v>202103</v>
      </c>
      <c r="I573" s="344">
        <v>36</v>
      </c>
      <c r="J573" s="342">
        <v>0</v>
      </c>
      <c r="K573" s="346">
        <v>599</v>
      </c>
      <c r="L573" s="346"/>
      <c r="M573" s="346"/>
      <c r="N573" s="346">
        <f t="shared" si="8"/>
        <v>599</v>
      </c>
      <c r="O573" s="342">
        <v>0</v>
      </c>
      <c r="P573" s="347">
        <v>569.05</v>
      </c>
      <c r="Q573" s="342">
        <v>29.95</v>
      </c>
      <c r="R573" s="342">
        <v>0</v>
      </c>
      <c r="S573" s="342">
        <v>29.95</v>
      </c>
      <c r="T573" s="341" t="s">
        <v>362</v>
      </c>
      <c r="U573" s="342">
        <v>5301010301</v>
      </c>
      <c r="V573" s="342"/>
    </row>
    <row r="574" customHeight="1" spans="1:22">
      <c r="A574" s="343" t="s">
        <v>195</v>
      </c>
      <c r="B574" s="343">
        <v>100019</v>
      </c>
      <c r="C574" s="343" t="s">
        <v>582</v>
      </c>
      <c r="D574" s="344">
        <v>1</v>
      </c>
      <c r="E574" s="343"/>
      <c r="F574" s="345">
        <v>44252</v>
      </c>
      <c r="G574" s="345">
        <v>44252</v>
      </c>
      <c r="H574" s="343">
        <v>202103</v>
      </c>
      <c r="I574" s="344">
        <v>36</v>
      </c>
      <c r="J574" s="342">
        <v>0</v>
      </c>
      <c r="K574" s="346">
        <v>3166.37</v>
      </c>
      <c r="L574" s="346"/>
      <c r="M574" s="346"/>
      <c r="N574" s="346">
        <f t="shared" si="8"/>
        <v>3166.37</v>
      </c>
      <c r="O574" s="342">
        <v>0</v>
      </c>
      <c r="P574" s="347">
        <v>3008.05</v>
      </c>
      <c r="Q574" s="342">
        <v>158.32</v>
      </c>
      <c r="R574" s="342">
        <v>0</v>
      </c>
      <c r="S574" s="342">
        <v>158.32</v>
      </c>
      <c r="T574" s="341" t="s">
        <v>362</v>
      </c>
      <c r="U574" s="342">
        <v>66021201</v>
      </c>
      <c r="V574" s="342"/>
    </row>
    <row r="575" customHeight="1" spans="1:22">
      <c r="A575" s="343" t="s">
        <v>195</v>
      </c>
      <c r="B575" s="343">
        <v>100021</v>
      </c>
      <c r="C575" s="343" t="s">
        <v>554</v>
      </c>
      <c r="D575" s="344">
        <v>1</v>
      </c>
      <c r="E575" s="343"/>
      <c r="F575" s="345">
        <v>44259</v>
      </c>
      <c r="G575" s="345">
        <v>44259</v>
      </c>
      <c r="H575" s="343">
        <v>202104</v>
      </c>
      <c r="I575" s="344">
        <v>36</v>
      </c>
      <c r="J575" s="342">
        <v>0</v>
      </c>
      <c r="K575" s="346">
        <v>18849.56</v>
      </c>
      <c r="L575" s="346"/>
      <c r="M575" s="346"/>
      <c r="N575" s="346">
        <f t="shared" si="8"/>
        <v>18849.56</v>
      </c>
      <c r="O575" s="342">
        <v>0</v>
      </c>
      <c r="P575" s="347">
        <v>17907.08</v>
      </c>
      <c r="Q575" s="342">
        <v>942.48</v>
      </c>
      <c r="R575" s="342">
        <v>0</v>
      </c>
      <c r="S575" s="342">
        <v>942.48</v>
      </c>
      <c r="T575" s="341" t="s">
        <v>362</v>
      </c>
      <c r="U575" s="342">
        <v>5301010301</v>
      </c>
      <c r="V575" s="342"/>
    </row>
    <row r="576" customHeight="1" spans="1:22">
      <c r="A576" s="343" t="s">
        <v>195</v>
      </c>
      <c r="B576" s="343">
        <v>100026</v>
      </c>
      <c r="C576" s="343" t="s">
        <v>565</v>
      </c>
      <c r="D576" s="344">
        <v>1</v>
      </c>
      <c r="E576" s="343"/>
      <c r="F576" s="345">
        <v>44267</v>
      </c>
      <c r="G576" s="345">
        <v>44267</v>
      </c>
      <c r="H576" s="343">
        <v>202104</v>
      </c>
      <c r="I576" s="344">
        <v>36</v>
      </c>
      <c r="J576" s="342">
        <v>0</v>
      </c>
      <c r="K576" s="346">
        <v>4857.52</v>
      </c>
      <c r="L576" s="346"/>
      <c r="M576" s="346"/>
      <c r="N576" s="346">
        <f t="shared" si="8"/>
        <v>4857.52</v>
      </c>
      <c r="O576" s="342">
        <v>0</v>
      </c>
      <c r="P576" s="347">
        <v>4614.64</v>
      </c>
      <c r="Q576" s="342">
        <v>242.88</v>
      </c>
      <c r="R576" s="342">
        <v>0</v>
      </c>
      <c r="S576" s="342">
        <v>242.88</v>
      </c>
      <c r="T576" s="341" t="s">
        <v>362</v>
      </c>
      <c r="U576" s="342">
        <v>66021201</v>
      </c>
      <c r="V576" s="342"/>
    </row>
    <row r="577" customHeight="1" spans="1:22">
      <c r="A577" s="343" t="s">
        <v>195</v>
      </c>
      <c r="B577" s="343">
        <v>100030</v>
      </c>
      <c r="C577" s="343" t="s">
        <v>545</v>
      </c>
      <c r="D577" s="344">
        <v>1</v>
      </c>
      <c r="E577" s="343"/>
      <c r="F577" s="345">
        <v>44230</v>
      </c>
      <c r="G577" s="345">
        <v>44230</v>
      </c>
      <c r="H577" s="343">
        <v>202103</v>
      </c>
      <c r="I577" s="344">
        <v>36</v>
      </c>
      <c r="J577" s="342">
        <v>0</v>
      </c>
      <c r="K577" s="346">
        <v>8599</v>
      </c>
      <c r="L577" s="346"/>
      <c r="M577" s="346"/>
      <c r="N577" s="346">
        <f t="shared" si="8"/>
        <v>8599</v>
      </c>
      <c r="O577" s="342">
        <v>0</v>
      </c>
      <c r="P577" s="347">
        <v>8169.05</v>
      </c>
      <c r="Q577" s="342">
        <v>429.95</v>
      </c>
      <c r="R577" s="342">
        <v>0</v>
      </c>
      <c r="S577" s="342">
        <v>429.95</v>
      </c>
      <c r="T577" s="341" t="s">
        <v>362</v>
      </c>
      <c r="U577" s="342">
        <v>66021201</v>
      </c>
      <c r="V577" s="342"/>
    </row>
    <row r="578" customHeight="1" spans="1:22">
      <c r="A578" s="343" t="s">
        <v>195</v>
      </c>
      <c r="B578" s="343">
        <v>100034</v>
      </c>
      <c r="C578" s="343" t="s">
        <v>565</v>
      </c>
      <c r="D578" s="344">
        <v>1</v>
      </c>
      <c r="E578" s="343"/>
      <c r="F578" s="345">
        <v>44295</v>
      </c>
      <c r="G578" s="345">
        <v>44295</v>
      </c>
      <c r="H578" s="343">
        <v>202105</v>
      </c>
      <c r="I578" s="344">
        <v>36</v>
      </c>
      <c r="J578" s="342">
        <v>0</v>
      </c>
      <c r="K578" s="346">
        <v>3817.61</v>
      </c>
      <c r="L578" s="346"/>
      <c r="M578" s="346"/>
      <c r="N578" s="346">
        <f t="shared" si="8"/>
        <v>3817.61</v>
      </c>
      <c r="O578" s="342">
        <v>0</v>
      </c>
      <c r="P578" s="347">
        <v>3626.73</v>
      </c>
      <c r="Q578" s="342">
        <v>190.88</v>
      </c>
      <c r="R578" s="342">
        <v>0</v>
      </c>
      <c r="S578" s="342">
        <v>190.88</v>
      </c>
      <c r="T578" s="341" t="s">
        <v>296</v>
      </c>
      <c r="U578" s="342">
        <v>66011201</v>
      </c>
      <c r="V578" s="342"/>
    </row>
    <row r="579" customHeight="1" spans="1:22">
      <c r="A579" s="343" t="s">
        <v>195</v>
      </c>
      <c r="B579" s="343">
        <v>100035</v>
      </c>
      <c r="C579" s="343" t="s">
        <v>681</v>
      </c>
      <c r="D579" s="344">
        <v>1</v>
      </c>
      <c r="E579" s="343"/>
      <c r="F579" s="345">
        <v>44301</v>
      </c>
      <c r="G579" s="345">
        <v>44301</v>
      </c>
      <c r="H579" s="343">
        <v>202105</v>
      </c>
      <c r="I579" s="344">
        <v>36</v>
      </c>
      <c r="J579" s="342">
        <v>0</v>
      </c>
      <c r="K579" s="346">
        <v>1134.36</v>
      </c>
      <c r="L579" s="346"/>
      <c r="M579" s="346"/>
      <c r="N579" s="346">
        <f t="shared" ref="N579:N642" si="9">K579+L579-M579</f>
        <v>1134.36</v>
      </c>
      <c r="O579" s="342">
        <v>0</v>
      </c>
      <c r="P579" s="347">
        <v>1077.64</v>
      </c>
      <c r="Q579" s="342">
        <v>56.72</v>
      </c>
      <c r="R579" s="342">
        <v>0</v>
      </c>
      <c r="S579" s="342">
        <v>56.72</v>
      </c>
      <c r="T579" s="341" t="s">
        <v>296</v>
      </c>
      <c r="U579" s="342">
        <v>66021201</v>
      </c>
      <c r="V579" s="342"/>
    </row>
    <row r="580" customHeight="1" spans="1:22">
      <c r="A580" s="343" t="s">
        <v>195</v>
      </c>
      <c r="B580" s="343">
        <v>100036</v>
      </c>
      <c r="C580" s="343" t="s">
        <v>654</v>
      </c>
      <c r="D580" s="344">
        <v>1</v>
      </c>
      <c r="E580" s="343"/>
      <c r="F580" s="345">
        <v>44301</v>
      </c>
      <c r="G580" s="345">
        <v>44301</v>
      </c>
      <c r="H580" s="343">
        <v>202105</v>
      </c>
      <c r="I580" s="344">
        <v>36</v>
      </c>
      <c r="J580" s="342">
        <v>0</v>
      </c>
      <c r="K580" s="346">
        <v>430.09</v>
      </c>
      <c r="L580" s="346"/>
      <c r="M580" s="346"/>
      <c r="N580" s="346">
        <f t="shared" si="9"/>
        <v>430.09</v>
      </c>
      <c r="O580" s="342">
        <v>0</v>
      </c>
      <c r="P580" s="347">
        <v>408.59</v>
      </c>
      <c r="Q580" s="342">
        <v>21.5</v>
      </c>
      <c r="R580" s="342">
        <v>0</v>
      </c>
      <c r="S580" s="342">
        <v>21.5</v>
      </c>
      <c r="T580" s="341" t="s">
        <v>296</v>
      </c>
      <c r="U580" s="342">
        <v>66021201</v>
      </c>
      <c r="V580" s="342"/>
    </row>
    <row r="581" customHeight="1" spans="1:22">
      <c r="A581" s="343" t="s">
        <v>195</v>
      </c>
      <c r="B581" s="343">
        <v>100037</v>
      </c>
      <c r="C581" s="343" t="s">
        <v>707</v>
      </c>
      <c r="D581" s="344">
        <v>1</v>
      </c>
      <c r="E581" s="343"/>
      <c r="F581" s="345">
        <v>44301</v>
      </c>
      <c r="G581" s="345">
        <v>44301</v>
      </c>
      <c r="H581" s="343">
        <v>202105</v>
      </c>
      <c r="I581" s="344">
        <v>36</v>
      </c>
      <c r="J581" s="342">
        <v>0</v>
      </c>
      <c r="K581" s="346">
        <v>382.3</v>
      </c>
      <c r="L581" s="346"/>
      <c r="M581" s="346"/>
      <c r="N581" s="346">
        <f t="shared" si="9"/>
        <v>382.3</v>
      </c>
      <c r="O581" s="342">
        <v>0</v>
      </c>
      <c r="P581" s="347">
        <v>363.18</v>
      </c>
      <c r="Q581" s="342">
        <v>19.12</v>
      </c>
      <c r="R581" s="342">
        <v>0</v>
      </c>
      <c r="S581" s="342">
        <v>19.12</v>
      </c>
      <c r="T581" s="341" t="s">
        <v>296</v>
      </c>
      <c r="U581" s="342">
        <v>66021201</v>
      </c>
      <c r="V581" s="342"/>
    </row>
    <row r="582" customHeight="1" spans="1:22">
      <c r="A582" s="343" t="s">
        <v>195</v>
      </c>
      <c r="B582" s="343">
        <v>100039</v>
      </c>
      <c r="C582" s="343" t="s">
        <v>545</v>
      </c>
      <c r="D582" s="344">
        <v>1</v>
      </c>
      <c r="E582" s="343"/>
      <c r="F582" s="345">
        <v>44302</v>
      </c>
      <c r="G582" s="345">
        <v>44302</v>
      </c>
      <c r="H582" s="343">
        <v>202105</v>
      </c>
      <c r="I582" s="344">
        <v>36</v>
      </c>
      <c r="J582" s="342">
        <v>0</v>
      </c>
      <c r="K582" s="346">
        <v>4687.61</v>
      </c>
      <c r="L582" s="346"/>
      <c r="M582" s="346"/>
      <c r="N582" s="346">
        <f t="shared" si="9"/>
        <v>4687.61</v>
      </c>
      <c r="O582" s="342">
        <v>0</v>
      </c>
      <c r="P582" s="347">
        <v>4453.23</v>
      </c>
      <c r="Q582" s="342">
        <v>234.38</v>
      </c>
      <c r="R582" s="342">
        <v>0</v>
      </c>
      <c r="S582" s="342">
        <v>234.38</v>
      </c>
      <c r="T582" s="341" t="s">
        <v>362</v>
      </c>
      <c r="U582" s="342">
        <v>5301010301</v>
      </c>
      <c r="V582" s="342"/>
    </row>
    <row r="583" customHeight="1" spans="1:22">
      <c r="A583" s="343" t="s">
        <v>195</v>
      </c>
      <c r="B583" s="343">
        <v>100040</v>
      </c>
      <c r="C583" s="343" t="s">
        <v>708</v>
      </c>
      <c r="D583" s="344">
        <v>1</v>
      </c>
      <c r="E583" s="343"/>
      <c r="F583" s="345">
        <v>44316</v>
      </c>
      <c r="G583" s="345">
        <v>44316</v>
      </c>
      <c r="H583" s="343">
        <v>202105</v>
      </c>
      <c r="I583" s="344">
        <v>36</v>
      </c>
      <c r="J583" s="342">
        <v>0</v>
      </c>
      <c r="K583" s="346">
        <v>2432.74</v>
      </c>
      <c r="L583" s="346"/>
      <c r="M583" s="346"/>
      <c r="N583" s="346">
        <f t="shared" si="9"/>
        <v>2432.74</v>
      </c>
      <c r="O583" s="342">
        <v>0</v>
      </c>
      <c r="P583" s="347">
        <v>2311.1</v>
      </c>
      <c r="Q583" s="342">
        <v>121.64</v>
      </c>
      <c r="R583" s="342">
        <v>0</v>
      </c>
      <c r="S583" s="342">
        <v>121.64</v>
      </c>
      <c r="T583" s="341" t="s">
        <v>362</v>
      </c>
      <c r="U583" s="342">
        <v>66021201</v>
      </c>
      <c r="V583" s="342"/>
    </row>
    <row r="584" customHeight="1" spans="1:22">
      <c r="A584" s="343" t="s">
        <v>195</v>
      </c>
      <c r="B584" s="343">
        <v>100041</v>
      </c>
      <c r="C584" s="343" t="s">
        <v>708</v>
      </c>
      <c r="D584" s="344">
        <v>1</v>
      </c>
      <c r="E584" s="343"/>
      <c r="F584" s="345">
        <v>44329</v>
      </c>
      <c r="G584" s="345">
        <v>44329</v>
      </c>
      <c r="H584" s="343">
        <v>202106</v>
      </c>
      <c r="I584" s="344">
        <v>36</v>
      </c>
      <c r="J584" s="342">
        <v>0</v>
      </c>
      <c r="K584" s="346">
        <v>2432.74</v>
      </c>
      <c r="L584" s="346"/>
      <c r="M584" s="346"/>
      <c r="N584" s="346">
        <f t="shared" si="9"/>
        <v>2432.74</v>
      </c>
      <c r="O584" s="342">
        <v>0</v>
      </c>
      <c r="P584" s="347">
        <v>2311.1</v>
      </c>
      <c r="Q584" s="342">
        <v>121.64</v>
      </c>
      <c r="R584" s="342">
        <v>0</v>
      </c>
      <c r="S584" s="342">
        <v>121.64</v>
      </c>
      <c r="T584" s="341" t="s">
        <v>362</v>
      </c>
      <c r="U584" s="342">
        <v>5301010301</v>
      </c>
      <c r="V584" s="342"/>
    </row>
    <row r="585" customHeight="1" spans="1:22">
      <c r="A585" s="343" t="s">
        <v>195</v>
      </c>
      <c r="B585" s="343">
        <v>100042</v>
      </c>
      <c r="C585" s="343" t="s">
        <v>559</v>
      </c>
      <c r="D585" s="344">
        <v>2</v>
      </c>
      <c r="E585" s="343"/>
      <c r="F585" s="345">
        <v>44330</v>
      </c>
      <c r="G585" s="345">
        <v>44330</v>
      </c>
      <c r="H585" s="343">
        <v>202106</v>
      </c>
      <c r="I585" s="344">
        <v>36</v>
      </c>
      <c r="J585" s="342">
        <v>0</v>
      </c>
      <c r="K585" s="346">
        <v>2644.25</v>
      </c>
      <c r="L585" s="346"/>
      <c r="M585" s="346"/>
      <c r="N585" s="346">
        <f t="shared" si="9"/>
        <v>2644.25</v>
      </c>
      <c r="O585" s="342">
        <v>0</v>
      </c>
      <c r="P585" s="347">
        <v>2512.04</v>
      </c>
      <c r="Q585" s="342">
        <v>132.21</v>
      </c>
      <c r="R585" s="342">
        <v>0</v>
      </c>
      <c r="S585" s="342">
        <v>132.21</v>
      </c>
      <c r="T585" s="341" t="s">
        <v>362</v>
      </c>
      <c r="U585" s="342">
        <v>5301010301</v>
      </c>
      <c r="V585" s="342"/>
    </row>
    <row r="586" customHeight="1" spans="1:22">
      <c r="A586" s="343" t="s">
        <v>195</v>
      </c>
      <c r="B586" s="343">
        <v>100043</v>
      </c>
      <c r="C586" s="343" t="s">
        <v>559</v>
      </c>
      <c r="D586" s="344">
        <v>9</v>
      </c>
      <c r="E586" s="343"/>
      <c r="F586" s="345">
        <v>44344</v>
      </c>
      <c r="G586" s="345">
        <v>44344</v>
      </c>
      <c r="H586" s="343">
        <v>202106</v>
      </c>
      <c r="I586" s="344">
        <v>36</v>
      </c>
      <c r="J586" s="342">
        <v>0</v>
      </c>
      <c r="K586" s="346">
        <v>11850.44</v>
      </c>
      <c r="L586" s="346"/>
      <c r="M586" s="346"/>
      <c r="N586" s="346">
        <f t="shared" si="9"/>
        <v>11850.44</v>
      </c>
      <c r="O586" s="342">
        <v>0</v>
      </c>
      <c r="P586" s="347">
        <v>11257.92</v>
      </c>
      <c r="Q586" s="342">
        <v>592.52</v>
      </c>
      <c r="R586" s="342">
        <v>0</v>
      </c>
      <c r="S586" s="342">
        <v>592.52</v>
      </c>
      <c r="T586" s="341" t="s">
        <v>362</v>
      </c>
      <c r="U586" s="342">
        <v>5301010301</v>
      </c>
      <c r="V586" s="342"/>
    </row>
    <row r="587" customHeight="1" spans="1:22">
      <c r="A587" s="343" t="s">
        <v>195</v>
      </c>
      <c r="B587" s="343">
        <v>100044</v>
      </c>
      <c r="C587" s="343" t="s">
        <v>195</v>
      </c>
      <c r="D587" s="344">
        <v>1</v>
      </c>
      <c r="E587" s="343"/>
      <c r="F587" s="345">
        <v>44266</v>
      </c>
      <c r="G587" s="345">
        <v>44266</v>
      </c>
      <c r="H587" s="343">
        <v>202104</v>
      </c>
      <c r="I587" s="344">
        <v>36</v>
      </c>
      <c r="J587" s="342">
        <v>0</v>
      </c>
      <c r="K587" s="346">
        <v>8848.67</v>
      </c>
      <c r="L587" s="346"/>
      <c r="M587" s="346"/>
      <c r="N587" s="346">
        <f t="shared" si="9"/>
        <v>8848.67</v>
      </c>
      <c r="O587" s="342">
        <v>0</v>
      </c>
      <c r="P587" s="347">
        <v>8406.24</v>
      </c>
      <c r="Q587" s="342">
        <v>442.43</v>
      </c>
      <c r="R587" s="342">
        <v>0</v>
      </c>
      <c r="S587" s="342">
        <v>442.43</v>
      </c>
      <c r="T587" s="341" t="s">
        <v>532</v>
      </c>
      <c r="U587" s="342">
        <v>66011201</v>
      </c>
      <c r="V587" s="342"/>
    </row>
    <row r="588" customHeight="1" spans="1:22">
      <c r="A588" s="343" t="s">
        <v>195</v>
      </c>
      <c r="B588" s="343">
        <v>100045</v>
      </c>
      <c r="C588" s="343" t="s">
        <v>709</v>
      </c>
      <c r="D588" s="344">
        <v>1</v>
      </c>
      <c r="E588" s="343"/>
      <c r="F588" s="345">
        <v>44356</v>
      </c>
      <c r="G588" s="345">
        <v>44356</v>
      </c>
      <c r="H588" s="343">
        <v>202107</v>
      </c>
      <c r="I588" s="344">
        <v>36</v>
      </c>
      <c r="J588" s="342">
        <v>0</v>
      </c>
      <c r="K588" s="346">
        <v>1238.05</v>
      </c>
      <c r="L588" s="346"/>
      <c r="M588" s="346"/>
      <c r="N588" s="346">
        <f t="shared" si="9"/>
        <v>1238.05</v>
      </c>
      <c r="O588" s="342">
        <v>0</v>
      </c>
      <c r="P588" s="347">
        <v>1176.15</v>
      </c>
      <c r="Q588" s="342">
        <v>61.9</v>
      </c>
      <c r="R588" s="342">
        <v>0</v>
      </c>
      <c r="S588" s="342">
        <v>61.9</v>
      </c>
      <c r="T588" s="341" t="s">
        <v>362</v>
      </c>
      <c r="U588" s="342">
        <v>66021201</v>
      </c>
      <c r="V588" s="342"/>
    </row>
    <row r="589" customHeight="1" spans="1:22">
      <c r="A589" s="343" t="s">
        <v>195</v>
      </c>
      <c r="B589" s="343">
        <v>100046</v>
      </c>
      <c r="C589" s="343" t="s">
        <v>559</v>
      </c>
      <c r="D589" s="344">
        <v>3</v>
      </c>
      <c r="E589" s="343"/>
      <c r="F589" s="345">
        <v>44357</v>
      </c>
      <c r="G589" s="345">
        <v>44357</v>
      </c>
      <c r="H589" s="343">
        <v>202107</v>
      </c>
      <c r="I589" s="344">
        <v>36</v>
      </c>
      <c r="J589" s="342">
        <v>0</v>
      </c>
      <c r="K589" s="346">
        <v>4023.89</v>
      </c>
      <c r="L589" s="346"/>
      <c r="M589" s="346"/>
      <c r="N589" s="346">
        <f t="shared" si="9"/>
        <v>4023.89</v>
      </c>
      <c r="O589" s="342">
        <v>0</v>
      </c>
      <c r="P589" s="347">
        <v>3822.7</v>
      </c>
      <c r="Q589" s="342">
        <v>201.19</v>
      </c>
      <c r="R589" s="342">
        <v>0</v>
      </c>
      <c r="S589" s="342">
        <v>201.19</v>
      </c>
      <c r="T589" s="341" t="s">
        <v>362</v>
      </c>
      <c r="U589" s="342">
        <v>5301010301</v>
      </c>
      <c r="V589" s="342"/>
    </row>
    <row r="590" customHeight="1" spans="1:22">
      <c r="A590" s="343" t="s">
        <v>195</v>
      </c>
      <c r="B590" s="343">
        <v>100047</v>
      </c>
      <c r="C590" s="343" t="s">
        <v>545</v>
      </c>
      <c r="D590" s="344">
        <v>1</v>
      </c>
      <c r="E590" s="343"/>
      <c r="F590" s="345">
        <v>44359</v>
      </c>
      <c r="G590" s="345">
        <v>44359</v>
      </c>
      <c r="H590" s="343">
        <v>202107</v>
      </c>
      <c r="I590" s="344">
        <v>36</v>
      </c>
      <c r="J590" s="342">
        <v>0</v>
      </c>
      <c r="K590" s="346">
        <v>6459.3</v>
      </c>
      <c r="L590" s="346"/>
      <c r="M590" s="346"/>
      <c r="N590" s="346">
        <f t="shared" si="9"/>
        <v>6459.3</v>
      </c>
      <c r="O590" s="342">
        <v>0</v>
      </c>
      <c r="P590" s="347">
        <v>6136.33</v>
      </c>
      <c r="Q590" s="342">
        <v>322.97</v>
      </c>
      <c r="R590" s="342">
        <v>0</v>
      </c>
      <c r="S590" s="342">
        <v>322.97</v>
      </c>
      <c r="T590" s="341" t="s">
        <v>546</v>
      </c>
      <c r="U590" s="342">
        <v>66011201</v>
      </c>
      <c r="V590" s="342"/>
    </row>
    <row r="591" customHeight="1" spans="1:22">
      <c r="A591" s="343" t="s">
        <v>195</v>
      </c>
      <c r="B591" s="343">
        <v>100048</v>
      </c>
      <c r="C591" s="343" t="s">
        <v>559</v>
      </c>
      <c r="D591" s="344">
        <v>1</v>
      </c>
      <c r="E591" s="343"/>
      <c r="F591" s="345">
        <v>44366</v>
      </c>
      <c r="G591" s="345">
        <v>44366</v>
      </c>
      <c r="H591" s="343">
        <v>202107</v>
      </c>
      <c r="I591" s="344">
        <v>36</v>
      </c>
      <c r="J591" s="342">
        <v>0</v>
      </c>
      <c r="K591" s="346">
        <v>1149.56</v>
      </c>
      <c r="L591" s="346"/>
      <c r="M591" s="346"/>
      <c r="N591" s="346">
        <f t="shared" si="9"/>
        <v>1149.56</v>
      </c>
      <c r="O591" s="342">
        <v>0</v>
      </c>
      <c r="P591" s="347">
        <v>1092.08</v>
      </c>
      <c r="Q591" s="342">
        <v>57.48</v>
      </c>
      <c r="R591" s="342">
        <v>0</v>
      </c>
      <c r="S591" s="342">
        <v>57.48</v>
      </c>
      <c r="T591" s="341" t="s">
        <v>362</v>
      </c>
      <c r="U591" s="342">
        <v>66021201</v>
      </c>
      <c r="V591" s="342"/>
    </row>
    <row r="592" customHeight="1" spans="1:22">
      <c r="A592" s="343" t="s">
        <v>195</v>
      </c>
      <c r="B592" s="343">
        <v>100052</v>
      </c>
      <c r="C592" s="343" t="s">
        <v>710</v>
      </c>
      <c r="D592" s="344">
        <v>1</v>
      </c>
      <c r="E592" s="343"/>
      <c r="F592" s="345">
        <v>44404</v>
      </c>
      <c r="G592" s="345">
        <v>44404</v>
      </c>
      <c r="H592" s="343">
        <v>202108</v>
      </c>
      <c r="I592" s="344">
        <v>36</v>
      </c>
      <c r="J592" s="342">
        <v>0</v>
      </c>
      <c r="K592" s="346">
        <v>361.94</v>
      </c>
      <c r="L592" s="346"/>
      <c r="M592" s="346"/>
      <c r="N592" s="346">
        <f t="shared" si="9"/>
        <v>361.94</v>
      </c>
      <c r="O592" s="342">
        <v>0</v>
      </c>
      <c r="P592" s="347">
        <v>343.84</v>
      </c>
      <c r="Q592" s="342">
        <v>18.1</v>
      </c>
      <c r="R592" s="342">
        <v>0</v>
      </c>
      <c r="S592" s="342">
        <v>18.1</v>
      </c>
      <c r="T592" s="341" t="s">
        <v>296</v>
      </c>
      <c r="U592" s="342">
        <v>66021201</v>
      </c>
      <c r="V592" s="342"/>
    </row>
    <row r="593" customHeight="1" spans="1:22">
      <c r="A593" s="343" t="s">
        <v>195</v>
      </c>
      <c r="B593" s="343">
        <v>100053</v>
      </c>
      <c r="C593" s="343" t="s">
        <v>545</v>
      </c>
      <c r="D593" s="344">
        <v>1</v>
      </c>
      <c r="E593" s="343"/>
      <c r="F593" s="345">
        <v>44406</v>
      </c>
      <c r="G593" s="345">
        <v>44406</v>
      </c>
      <c r="H593" s="343">
        <v>202108</v>
      </c>
      <c r="I593" s="344">
        <v>36</v>
      </c>
      <c r="J593" s="342">
        <v>0</v>
      </c>
      <c r="K593" s="346">
        <v>3229.2</v>
      </c>
      <c r="L593" s="346"/>
      <c r="M593" s="346"/>
      <c r="N593" s="346">
        <f t="shared" si="9"/>
        <v>3229.2</v>
      </c>
      <c r="O593" s="342">
        <v>0</v>
      </c>
      <c r="P593" s="347">
        <v>3067.74</v>
      </c>
      <c r="Q593" s="342">
        <v>161.46</v>
      </c>
      <c r="R593" s="342">
        <v>0</v>
      </c>
      <c r="S593" s="342">
        <v>161.46</v>
      </c>
      <c r="T593" s="341" t="s">
        <v>296</v>
      </c>
      <c r="U593" s="342">
        <v>66021201</v>
      </c>
      <c r="V593" s="342"/>
    </row>
    <row r="594" customHeight="1" spans="1:22">
      <c r="A594" s="343" t="s">
        <v>195</v>
      </c>
      <c r="B594" s="343">
        <v>100056</v>
      </c>
      <c r="C594" s="343" t="s">
        <v>195</v>
      </c>
      <c r="D594" s="344">
        <v>1</v>
      </c>
      <c r="E594" s="343"/>
      <c r="F594" s="345">
        <v>44542</v>
      </c>
      <c r="G594" s="345">
        <v>44542</v>
      </c>
      <c r="H594" s="343">
        <v>202201</v>
      </c>
      <c r="I594" s="344">
        <v>36</v>
      </c>
      <c r="J594" s="342">
        <v>0</v>
      </c>
      <c r="K594" s="346">
        <v>4600.89</v>
      </c>
      <c r="L594" s="346"/>
      <c r="M594" s="346"/>
      <c r="N594" s="346">
        <f t="shared" si="9"/>
        <v>4600.89</v>
      </c>
      <c r="O594" s="342">
        <v>0</v>
      </c>
      <c r="P594" s="347">
        <v>4370.85</v>
      </c>
      <c r="Q594" s="342">
        <v>230.04</v>
      </c>
      <c r="R594" s="342">
        <v>0</v>
      </c>
      <c r="S594" s="342">
        <v>230.04</v>
      </c>
      <c r="T594" s="341" t="s">
        <v>296</v>
      </c>
      <c r="U594" s="342">
        <v>66011201</v>
      </c>
      <c r="V594" s="342"/>
    </row>
    <row r="595" customHeight="1" spans="1:22">
      <c r="A595" s="343" t="s">
        <v>195</v>
      </c>
      <c r="B595" s="343">
        <v>100057</v>
      </c>
      <c r="C595" s="343" t="s">
        <v>545</v>
      </c>
      <c r="D595" s="344">
        <v>2</v>
      </c>
      <c r="E595" s="343"/>
      <c r="F595" s="345">
        <v>44548</v>
      </c>
      <c r="G595" s="345">
        <v>44548</v>
      </c>
      <c r="H595" s="343">
        <v>202201</v>
      </c>
      <c r="I595" s="344">
        <v>36</v>
      </c>
      <c r="J595" s="342">
        <v>0</v>
      </c>
      <c r="K595" s="346">
        <v>6192.92</v>
      </c>
      <c r="L595" s="346"/>
      <c r="M595" s="346"/>
      <c r="N595" s="346">
        <f t="shared" si="9"/>
        <v>6192.92</v>
      </c>
      <c r="O595" s="342">
        <v>0</v>
      </c>
      <c r="P595" s="347">
        <v>5883.27</v>
      </c>
      <c r="Q595" s="342">
        <v>309.65</v>
      </c>
      <c r="R595" s="342">
        <v>0</v>
      </c>
      <c r="S595" s="342">
        <v>309.65</v>
      </c>
      <c r="T595" s="341" t="s">
        <v>296</v>
      </c>
      <c r="U595" s="342">
        <v>66021201</v>
      </c>
      <c r="V595" s="342"/>
    </row>
    <row r="596" customHeight="1" spans="1:22">
      <c r="A596" s="343" t="s">
        <v>195</v>
      </c>
      <c r="B596" s="343">
        <v>100058</v>
      </c>
      <c r="C596" s="343" t="s">
        <v>582</v>
      </c>
      <c r="D596" s="344">
        <v>1</v>
      </c>
      <c r="E596" s="343"/>
      <c r="F596" s="345">
        <v>44543</v>
      </c>
      <c r="G596" s="345">
        <v>44543</v>
      </c>
      <c r="H596" s="343">
        <v>202201</v>
      </c>
      <c r="I596" s="344">
        <v>36</v>
      </c>
      <c r="J596" s="342">
        <v>0</v>
      </c>
      <c r="K596" s="346">
        <v>5442.48</v>
      </c>
      <c r="L596" s="346"/>
      <c r="M596" s="346"/>
      <c r="N596" s="346">
        <f t="shared" si="9"/>
        <v>5442.48</v>
      </c>
      <c r="O596" s="342">
        <v>0</v>
      </c>
      <c r="P596" s="347">
        <v>5170.36</v>
      </c>
      <c r="Q596" s="342">
        <v>272.12</v>
      </c>
      <c r="R596" s="342">
        <v>0</v>
      </c>
      <c r="S596" s="342">
        <v>272.12</v>
      </c>
      <c r="T596" s="341" t="s">
        <v>362</v>
      </c>
      <c r="U596" s="342">
        <v>5301010301</v>
      </c>
      <c r="V596" s="342"/>
    </row>
    <row r="597" customHeight="1" spans="1:22">
      <c r="A597" s="343" t="s">
        <v>195</v>
      </c>
      <c r="B597" s="343">
        <v>100059</v>
      </c>
      <c r="C597" s="343" t="s">
        <v>711</v>
      </c>
      <c r="D597" s="344">
        <v>1</v>
      </c>
      <c r="E597" s="343"/>
      <c r="F597" s="345">
        <v>44558</v>
      </c>
      <c r="G597" s="345">
        <v>44558</v>
      </c>
      <c r="H597" s="343">
        <v>202201</v>
      </c>
      <c r="I597" s="344">
        <v>36</v>
      </c>
      <c r="J597" s="342">
        <v>0</v>
      </c>
      <c r="K597" s="346">
        <v>9114.16</v>
      </c>
      <c r="L597" s="346"/>
      <c r="M597" s="346"/>
      <c r="N597" s="346">
        <f t="shared" si="9"/>
        <v>9114.16</v>
      </c>
      <c r="O597" s="342">
        <v>0</v>
      </c>
      <c r="P597" s="347">
        <v>8658.45</v>
      </c>
      <c r="Q597" s="342">
        <v>455.71</v>
      </c>
      <c r="R597" s="342">
        <v>0</v>
      </c>
      <c r="S597" s="342">
        <v>455.71</v>
      </c>
      <c r="T597" s="341" t="s">
        <v>362</v>
      </c>
      <c r="U597" s="342">
        <v>66011201</v>
      </c>
      <c r="V597" s="342"/>
    </row>
    <row r="598" customHeight="1" spans="1:22">
      <c r="A598" s="343" t="s">
        <v>195</v>
      </c>
      <c r="B598" s="343">
        <v>100060</v>
      </c>
      <c r="C598" s="343" t="s">
        <v>545</v>
      </c>
      <c r="D598" s="344">
        <v>1</v>
      </c>
      <c r="E598" s="343"/>
      <c r="F598" s="345">
        <v>44269</v>
      </c>
      <c r="G598" s="345">
        <v>44269</v>
      </c>
      <c r="H598" s="343">
        <v>202104</v>
      </c>
      <c r="I598" s="344">
        <v>36</v>
      </c>
      <c r="J598" s="342">
        <v>0</v>
      </c>
      <c r="K598" s="346">
        <v>11968</v>
      </c>
      <c r="L598" s="346"/>
      <c r="M598" s="346"/>
      <c r="N598" s="346">
        <f t="shared" si="9"/>
        <v>11968</v>
      </c>
      <c r="O598" s="342">
        <v>0</v>
      </c>
      <c r="P598" s="347">
        <v>11369.6</v>
      </c>
      <c r="Q598" s="342">
        <v>598.4</v>
      </c>
      <c r="R598" s="342">
        <v>0</v>
      </c>
      <c r="S598" s="342">
        <v>598.4</v>
      </c>
      <c r="T598" s="341" t="s">
        <v>532</v>
      </c>
      <c r="U598" s="342">
        <v>66011201</v>
      </c>
      <c r="V598" s="342"/>
    </row>
    <row r="599" customHeight="1" spans="1:22">
      <c r="A599" s="343" t="s">
        <v>195</v>
      </c>
      <c r="B599" s="343">
        <v>100061</v>
      </c>
      <c r="C599" s="343" t="s">
        <v>545</v>
      </c>
      <c r="D599" s="344">
        <v>1</v>
      </c>
      <c r="E599" s="343"/>
      <c r="F599" s="345">
        <v>44264</v>
      </c>
      <c r="G599" s="345">
        <v>44264</v>
      </c>
      <c r="H599" s="343">
        <v>202104</v>
      </c>
      <c r="I599" s="344">
        <v>36</v>
      </c>
      <c r="J599" s="342">
        <v>0</v>
      </c>
      <c r="K599" s="346">
        <v>10969</v>
      </c>
      <c r="L599" s="346"/>
      <c r="M599" s="346"/>
      <c r="N599" s="346">
        <f t="shared" si="9"/>
        <v>10969</v>
      </c>
      <c r="O599" s="342">
        <v>0</v>
      </c>
      <c r="P599" s="347">
        <v>10420.55</v>
      </c>
      <c r="Q599" s="342">
        <v>548.45</v>
      </c>
      <c r="R599" s="342">
        <v>0</v>
      </c>
      <c r="S599" s="342">
        <v>548.45</v>
      </c>
      <c r="T599" s="341" t="s">
        <v>362</v>
      </c>
      <c r="U599" s="342">
        <v>66021201</v>
      </c>
      <c r="V599" s="342"/>
    </row>
    <row r="600" customHeight="1" spans="1:22">
      <c r="A600" s="343" t="s">
        <v>195</v>
      </c>
      <c r="B600" s="343">
        <v>100063</v>
      </c>
      <c r="C600" s="343" t="s">
        <v>559</v>
      </c>
      <c r="D600" s="344">
        <v>1</v>
      </c>
      <c r="E600" s="343"/>
      <c r="F600" s="345">
        <v>44280</v>
      </c>
      <c r="G600" s="345">
        <v>44280</v>
      </c>
      <c r="H600" s="343">
        <v>202104</v>
      </c>
      <c r="I600" s="344">
        <v>36</v>
      </c>
      <c r="J600" s="342">
        <v>0</v>
      </c>
      <c r="K600" s="346">
        <v>1485</v>
      </c>
      <c r="L600" s="346"/>
      <c r="M600" s="346"/>
      <c r="N600" s="346">
        <f t="shared" si="9"/>
        <v>1485</v>
      </c>
      <c r="O600" s="342">
        <v>0</v>
      </c>
      <c r="P600" s="347">
        <v>1410.75</v>
      </c>
      <c r="Q600" s="342">
        <v>74.25</v>
      </c>
      <c r="R600" s="342">
        <v>0</v>
      </c>
      <c r="S600" s="342">
        <v>74.25</v>
      </c>
      <c r="T600" s="341" t="s">
        <v>362</v>
      </c>
      <c r="U600" s="342">
        <v>5301010301</v>
      </c>
      <c r="V600" s="342"/>
    </row>
    <row r="601" customHeight="1" spans="1:22">
      <c r="A601" s="343" t="s">
        <v>195</v>
      </c>
      <c r="B601" s="343">
        <v>100064</v>
      </c>
      <c r="C601" s="343" t="s">
        <v>535</v>
      </c>
      <c r="D601" s="344">
        <v>1</v>
      </c>
      <c r="E601" s="343"/>
      <c r="F601" s="345">
        <v>44584</v>
      </c>
      <c r="G601" s="345">
        <v>44584</v>
      </c>
      <c r="H601" s="343">
        <v>202202</v>
      </c>
      <c r="I601" s="344">
        <v>36</v>
      </c>
      <c r="J601" s="342">
        <v>0</v>
      </c>
      <c r="K601" s="346">
        <v>7609.73</v>
      </c>
      <c r="L601" s="346"/>
      <c r="M601" s="346"/>
      <c r="N601" s="346">
        <f t="shared" si="9"/>
        <v>7609.73</v>
      </c>
      <c r="O601" s="342">
        <v>0</v>
      </c>
      <c r="P601" s="347">
        <v>7229.24</v>
      </c>
      <c r="Q601" s="342">
        <v>380.49</v>
      </c>
      <c r="R601" s="342">
        <v>0</v>
      </c>
      <c r="S601" s="342">
        <v>380.49</v>
      </c>
      <c r="T601" s="341" t="s">
        <v>362</v>
      </c>
      <c r="U601" s="342">
        <v>66021201</v>
      </c>
      <c r="V601" s="342"/>
    </row>
    <row r="602" customHeight="1" spans="1:22">
      <c r="A602" s="343" t="s">
        <v>195</v>
      </c>
      <c r="B602" s="343">
        <v>100066</v>
      </c>
      <c r="C602" s="343" t="s">
        <v>712</v>
      </c>
      <c r="D602" s="344">
        <v>1</v>
      </c>
      <c r="E602" s="343"/>
      <c r="F602" s="345">
        <v>44605</v>
      </c>
      <c r="G602" s="345">
        <v>44605</v>
      </c>
      <c r="H602" s="343">
        <v>202203</v>
      </c>
      <c r="I602" s="344">
        <v>36</v>
      </c>
      <c r="J602" s="342">
        <v>0</v>
      </c>
      <c r="K602" s="346">
        <v>1345.89</v>
      </c>
      <c r="L602" s="346"/>
      <c r="M602" s="346"/>
      <c r="N602" s="346">
        <f t="shared" si="9"/>
        <v>1345.89</v>
      </c>
      <c r="O602" s="342">
        <v>0</v>
      </c>
      <c r="P602" s="347">
        <v>1278.6</v>
      </c>
      <c r="Q602" s="342">
        <v>67.29</v>
      </c>
      <c r="R602" s="342">
        <v>0</v>
      </c>
      <c r="S602" s="342">
        <v>67.29</v>
      </c>
      <c r="T602" s="341" t="s">
        <v>550</v>
      </c>
      <c r="U602" s="342">
        <v>66011201</v>
      </c>
      <c r="V602" s="342"/>
    </row>
    <row r="603" customHeight="1" spans="1:22">
      <c r="A603" s="343" t="s">
        <v>195</v>
      </c>
      <c r="B603" s="343">
        <v>100067</v>
      </c>
      <c r="C603" s="343" t="s">
        <v>545</v>
      </c>
      <c r="D603" s="344">
        <v>1</v>
      </c>
      <c r="E603" s="343"/>
      <c r="F603" s="345">
        <v>44601</v>
      </c>
      <c r="G603" s="345">
        <v>44601</v>
      </c>
      <c r="H603" s="343">
        <v>202203</v>
      </c>
      <c r="I603" s="344">
        <v>36</v>
      </c>
      <c r="J603" s="342">
        <v>0</v>
      </c>
      <c r="K603" s="346">
        <v>4600.89</v>
      </c>
      <c r="L603" s="346"/>
      <c r="M603" s="346"/>
      <c r="N603" s="346">
        <f t="shared" si="9"/>
        <v>4600.89</v>
      </c>
      <c r="O603" s="342">
        <v>0</v>
      </c>
      <c r="P603" s="347">
        <v>4370.85</v>
      </c>
      <c r="Q603" s="342">
        <v>230.04</v>
      </c>
      <c r="R603" s="342">
        <v>0</v>
      </c>
      <c r="S603" s="342">
        <v>230.04</v>
      </c>
      <c r="T603" s="341" t="s">
        <v>532</v>
      </c>
      <c r="U603" s="342">
        <v>66011201</v>
      </c>
      <c r="V603" s="342"/>
    </row>
    <row r="604" customHeight="1" spans="1:22">
      <c r="A604" s="343" t="s">
        <v>195</v>
      </c>
      <c r="B604" s="343">
        <v>100068</v>
      </c>
      <c r="C604" s="343" t="s">
        <v>713</v>
      </c>
      <c r="D604" s="344">
        <v>10</v>
      </c>
      <c r="E604" s="343"/>
      <c r="F604" s="345">
        <v>44604</v>
      </c>
      <c r="G604" s="345">
        <v>44604</v>
      </c>
      <c r="H604" s="343">
        <v>202203</v>
      </c>
      <c r="I604" s="344">
        <v>36</v>
      </c>
      <c r="J604" s="342">
        <v>0</v>
      </c>
      <c r="K604" s="346">
        <v>22557.52</v>
      </c>
      <c r="L604" s="346"/>
      <c r="M604" s="346"/>
      <c r="N604" s="346">
        <f t="shared" si="9"/>
        <v>22557.52</v>
      </c>
      <c r="O604" s="342">
        <v>0</v>
      </c>
      <c r="P604" s="347">
        <v>21429.64</v>
      </c>
      <c r="Q604" s="347">
        <v>1127.88</v>
      </c>
      <c r="R604" s="342">
        <v>0</v>
      </c>
      <c r="S604" s="347">
        <v>1127.88</v>
      </c>
      <c r="T604" s="341" t="s">
        <v>362</v>
      </c>
      <c r="U604" s="342">
        <v>5301010301</v>
      </c>
      <c r="V604" s="342"/>
    </row>
    <row r="605" customHeight="1" spans="1:22">
      <c r="A605" s="343" t="s">
        <v>195</v>
      </c>
      <c r="B605" s="343">
        <v>100069</v>
      </c>
      <c r="C605" s="343" t="s">
        <v>559</v>
      </c>
      <c r="D605" s="344">
        <v>10</v>
      </c>
      <c r="E605" s="343"/>
      <c r="F605" s="345">
        <v>44604</v>
      </c>
      <c r="G605" s="345">
        <v>44604</v>
      </c>
      <c r="H605" s="343">
        <v>202203</v>
      </c>
      <c r="I605" s="344">
        <v>36</v>
      </c>
      <c r="J605" s="342">
        <v>0</v>
      </c>
      <c r="K605" s="346">
        <v>13681.41</v>
      </c>
      <c r="L605" s="346"/>
      <c r="M605" s="346"/>
      <c r="N605" s="346">
        <f t="shared" si="9"/>
        <v>13681.41</v>
      </c>
      <c r="O605" s="342">
        <v>0</v>
      </c>
      <c r="P605" s="347">
        <v>12997.34</v>
      </c>
      <c r="Q605" s="342">
        <v>684.07</v>
      </c>
      <c r="R605" s="342">
        <v>0</v>
      </c>
      <c r="S605" s="342">
        <v>684.07</v>
      </c>
      <c r="T605" s="341" t="s">
        <v>362</v>
      </c>
      <c r="U605" s="342">
        <v>5301010301</v>
      </c>
      <c r="V605" s="342"/>
    </row>
    <row r="606" customHeight="1" spans="1:22">
      <c r="A606" s="343" t="s">
        <v>195</v>
      </c>
      <c r="B606" s="343">
        <v>100070</v>
      </c>
      <c r="C606" s="343" t="s">
        <v>545</v>
      </c>
      <c r="D606" s="344">
        <v>1</v>
      </c>
      <c r="E606" s="343"/>
      <c r="F606" s="345">
        <v>44600</v>
      </c>
      <c r="G606" s="345">
        <v>44600</v>
      </c>
      <c r="H606" s="343">
        <v>202203</v>
      </c>
      <c r="I606" s="344">
        <v>36</v>
      </c>
      <c r="J606" s="342">
        <v>0</v>
      </c>
      <c r="K606" s="346">
        <v>4777.88</v>
      </c>
      <c r="L606" s="346"/>
      <c r="M606" s="346"/>
      <c r="N606" s="346">
        <f t="shared" si="9"/>
        <v>4777.88</v>
      </c>
      <c r="O606" s="342">
        <v>0</v>
      </c>
      <c r="P606" s="347">
        <v>4538.99</v>
      </c>
      <c r="Q606" s="342">
        <v>238.89</v>
      </c>
      <c r="R606" s="342">
        <v>0</v>
      </c>
      <c r="S606" s="342">
        <v>238.89</v>
      </c>
      <c r="T606" s="341" t="s">
        <v>532</v>
      </c>
      <c r="U606" s="342">
        <v>66021201</v>
      </c>
      <c r="V606" s="342"/>
    </row>
    <row r="607" customHeight="1" spans="1:22">
      <c r="A607" s="343" t="s">
        <v>195</v>
      </c>
      <c r="B607" s="343">
        <v>100071</v>
      </c>
      <c r="C607" s="343" t="s">
        <v>545</v>
      </c>
      <c r="D607" s="344">
        <v>1</v>
      </c>
      <c r="E607" s="343"/>
      <c r="F607" s="345">
        <v>44607</v>
      </c>
      <c r="G607" s="345">
        <v>44607</v>
      </c>
      <c r="H607" s="343">
        <v>202203</v>
      </c>
      <c r="I607" s="344">
        <v>36</v>
      </c>
      <c r="J607" s="342">
        <v>0</v>
      </c>
      <c r="K607" s="346">
        <v>4777.88</v>
      </c>
      <c r="L607" s="346"/>
      <c r="M607" s="346"/>
      <c r="N607" s="346">
        <f t="shared" si="9"/>
        <v>4777.88</v>
      </c>
      <c r="O607" s="342">
        <v>0</v>
      </c>
      <c r="P607" s="347">
        <v>4538.99</v>
      </c>
      <c r="Q607" s="342">
        <v>238.89</v>
      </c>
      <c r="R607" s="342">
        <v>0</v>
      </c>
      <c r="S607" s="342">
        <v>238.89</v>
      </c>
      <c r="T607" s="341" t="s">
        <v>362</v>
      </c>
      <c r="U607" s="342">
        <v>5301010301</v>
      </c>
      <c r="V607" s="342"/>
    </row>
    <row r="608" customHeight="1" spans="1:22">
      <c r="A608" s="343" t="s">
        <v>195</v>
      </c>
      <c r="B608" s="343">
        <v>100072</v>
      </c>
      <c r="C608" s="343" t="s">
        <v>545</v>
      </c>
      <c r="D608" s="344">
        <v>1</v>
      </c>
      <c r="E608" s="343"/>
      <c r="F608" s="345">
        <v>44607</v>
      </c>
      <c r="G608" s="345">
        <v>44607</v>
      </c>
      <c r="H608" s="343">
        <v>202203</v>
      </c>
      <c r="I608" s="344">
        <v>36</v>
      </c>
      <c r="J608" s="342">
        <v>0</v>
      </c>
      <c r="K608" s="346">
        <v>4777.88</v>
      </c>
      <c r="L608" s="346"/>
      <c r="M608" s="346"/>
      <c r="N608" s="346">
        <f t="shared" si="9"/>
        <v>4777.88</v>
      </c>
      <c r="O608" s="342">
        <v>0</v>
      </c>
      <c r="P608" s="347">
        <v>4538.99</v>
      </c>
      <c r="Q608" s="342">
        <v>238.89</v>
      </c>
      <c r="R608" s="342">
        <v>0</v>
      </c>
      <c r="S608" s="342">
        <v>238.89</v>
      </c>
      <c r="T608" s="341" t="s">
        <v>362</v>
      </c>
      <c r="U608" s="342">
        <v>5301010301</v>
      </c>
      <c r="V608" s="342"/>
    </row>
    <row r="609" customHeight="1" spans="1:22">
      <c r="A609" s="343" t="s">
        <v>195</v>
      </c>
      <c r="B609" s="343">
        <v>100073</v>
      </c>
      <c r="C609" s="343" t="s">
        <v>545</v>
      </c>
      <c r="D609" s="344">
        <v>1</v>
      </c>
      <c r="E609" s="343"/>
      <c r="F609" s="345">
        <v>44600</v>
      </c>
      <c r="G609" s="345">
        <v>44600</v>
      </c>
      <c r="H609" s="343">
        <v>202203</v>
      </c>
      <c r="I609" s="344">
        <v>36</v>
      </c>
      <c r="J609" s="342">
        <v>0</v>
      </c>
      <c r="K609" s="346">
        <v>4777.88</v>
      </c>
      <c r="L609" s="346"/>
      <c r="M609" s="346"/>
      <c r="N609" s="346">
        <f t="shared" si="9"/>
        <v>4777.88</v>
      </c>
      <c r="O609" s="342">
        <v>0</v>
      </c>
      <c r="P609" s="347">
        <v>4538.99</v>
      </c>
      <c r="Q609" s="342">
        <v>238.89</v>
      </c>
      <c r="R609" s="342">
        <v>0</v>
      </c>
      <c r="S609" s="342">
        <v>238.89</v>
      </c>
      <c r="T609" s="341" t="s">
        <v>296</v>
      </c>
      <c r="U609" s="342">
        <v>66011201</v>
      </c>
      <c r="V609" s="342"/>
    </row>
    <row r="610" customHeight="1" spans="1:22">
      <c r="A610" s="343" t="s">
        <v>195</v>
      </c>
      <c r="B610" s="343">
        <v>100074</v>
      </c>
      <c r="C610" s="343" t="s">
        <v>545</v>
      </c>
      <c r="D610" s="344">
        <v>1</v>
      </c>
      <c r="E610" s="343"/>
      <c r="F610" s="345">
        <v>44600</v>
      </c>
      <c r="G610" s="345">
        <v>44600</v>
      </c>
      <c r="H610" s="343">
        <v>202203</v>
      </c>
      <c r="I610" s="344">
        <v>36</v>
      </c>
      <c r="J610" s="342">
        <v>0</v>
      </c>
      <c r="K610" s="346">
        <v>4777.88</v>
      </c>
      <c r="L610" s="346"/>
      <c r="M610" s="346"/>
      <c r="N610" s="346">
        <f t="shared" si="9"/>
        <v>4777.88</v>
      </c>
      <c r="O610" s="342">
        <v>0</v>
      </c>
      <c r="P610" s="347">
        <v>4538.99</v>
      </c>
      <c r="Q610" s="342">
        <v>238.89</v>
      </c>
      <c r="R610" s="342">
        <v>0</v>
      </c>
      <c r="S610" s="342">
        <v>238.89</v>
      </c>
      <c r="T610" s="341" t="s">
        <v>362</v>
      </c>
      <c r="U610" s="342">
        <v>66021201</v>
      </c>
      <c r="V610" s="342"/>
    </row>
    <row r="611" customHeight="1" spans="1:22">
      <c r="A611" s="343" t="s">
        <v>195</v>
      </c>
      <c r="B611" s="343">
        <v>100075</v>
      </c>
      <c r="C611" s="343" t="s">
        <v>545</v>
      </c>
      <c r="D611" s="344">
        <v>1</v>
      </c>
      <c r="E611" s="343"/>
      <c r="F611" s="345">
        <v>44598</v>
      </c>
      <c r="G611" s="345">
        <v>44598</v>
      </c>
      <c r="H611" s="343">
        <v>202203</v>
      </c>
      <c r="I611" s="344">
        <v>36</v>
      </c>
      <c r="J611" s="342">
        <v>0</v>
      </c>
      <c r="K611" s="346">
        <v>4777.88</v>
      </c>
      <c r="L611" s="346"/>
      <c r="M611" s="346"/>
      <c r="N611" s="346">
        <f t="shared" si="9"/>
        <v>4777.88</v>
      </c>
      <c r="O611" s="342">
        <v>0</v>
      </c>
      <c r="P611" s="347">
        <v>4538.99</v>
      </c>
      <c r="Q611" s="342">
        <v>238.89</v>
      </c>
      <c r="R611" s="342">
        <v>0</v>
      </c>
      <c r="S611" s="342">
        <v>238.89</v>
      </c>
      <c r="T611" s="341" t="s">
        <v>362</v>
      </c>
      <c r="U611" s="342">
        <v>5301010301</v>
      </c>
      <c r="V611" s="342"/>
    </row>
    <row r="612" customHeight="1" spans="1:22">
      <c r="A612" s="343" t="s">
        <v>195</v>
      </c>
      <c r="B612" s="343">
        <v>100076</v>
      </c>
      <c r="C612" s="343" t="s">
        <v>714</v>
      </c>
      <c r="D612" s="344">
        <v>1</v>
      </c>
      <c r="E612" s="343"/>
      <c r="F612" s="345">
        <v>44608</v>
      </c>
      <c r="G612" s="345">
        <v>44608</v>
      </c>
      <c r="H612" s="343">
        <v>202203</v>
      </c>
      <c r="I612" s="344">
        <v>36</v>
      </c>
      <c r="J612" s="342">
        <v>0</v>
      </c>
      <c r="K612" s="346">
        <v>353.1</v>
      </c>
      <c r="L612" s="346"/>
      <c r="M612" s="346"/>
      <c r="N612" s="346">
        <f t="shared" si="9"/>
        <v>353.1</v>
      </c>
      <c r="O612" s="342">
        <v>0</v>
      </c>
      <c r="P612" s="347">
        <v>335.44</v>
      </c>
      <c r="Q612" s="342">
        <v>17.66</v>
      </c>
      <c r="R612" s="342">
        <v>0</v>
      </c>
      <c r="S612" s="342">
        <v>17.66</v>
      </c>
      <c r="T612" s="341" t="s">
        <v>362</v>
      </c>
      <c r="U612" s="342">
        <v>66021201</v>
      </c>
      <c r="V612" s="342"/>
    </row>
    <row r="613" customHeight="1" spans="1:22">
      <c r="A613" s="343" t="s">
        <v>195</v>
      </c>
      <c r="B613" s="343">
        <v>100077</v>
      </c>
      <c r="C613" s="343" t="s">
        <v>559</v>
      </c>
      <c r="D613" s="344">
        <v>1</v>
      </c>
      <c r="E613" s="343"/>
      <c r="F613" s="345">
        <v>44608</v>
      </c>
      <c r="G613" s="345">
        <v>44608</v>
      </c>
      <c r="H613" s="343">
        <v>202203</v>
      </c>
      <c r="I613" s="344">
        <v>36</v>
      </c>
      <c r="J613" s="342">
        <v>0</v>
      </c>
      <c r="K613" s="346">
        <v>1769.02</v>
      </c>
      <c r="L613" s="346"/>
      <c r="M613" s="346"/>
      <c r="N613" s="346">
        <f t="shared" si="9"/>
        <v>1769.02</v>
      </c>
      <c r="O613" s="342">
        <v>0</v>
      </c>
      <c r="P613" s="347">
        <v>1680.57</v>
      </c>
      <c r="Q613" s="342">
        <v>88.45</v>
      </c>
      <c r="R613" s="342">
        <v>0</v>
      </c>
      <c r="S613" s="342">
        <v>88.45</v>
      </c>
      <c r="T613" s="341" t="s">
        <v>362</v>
      </c>
      <c r="U613" s="342">
        <v>66021201</v>
      </c>
      <c r="V613" s="342"/>
    </row>
    <row r="614" customHeight="1" spans="1:22">
      <c r="A614" s="343" t="s">
        <v>195</v>
      </c>
      <c r="B614" s="343">
        <v>100078</v>
      </c>
      <c r="C614" s="343" t="s">
        <v>535</v>
      </c>
      <c r="D614" s="344">
        <v>1</v>
      </c>
      <c r="E614" s="343"/>
      <c r="F614" s="345">
        <v>44576</v>
      </c>
      <c r="G614" s="345">
        <v>44576</v>
      </c>
      <c r="H614" s="343">
        <v>202202</v>
      </c>
      <c r="I614" s="344">
        <v>36</v>
      </c>
      <c r="J614" s="342">
        <v>0</v>
      </c>
      <c r="K614" s="346">
        <v>3007.96</v>
      </c>
      <c r="L614" s="346"/>
      <c r="M614" s="346"/>
      <c r="N614" s="346">
        <f t="shared" si="9"/>
        <v>3007.96</v>
      </c>
      <c r="O614" s="342">
        <v>0</v>
      </c>
      <c r="P614" s="347">
        <v>2857.56</v>
      </c>
      <c r="Q614" s="342">
        <v>150.4</v>
      </c>
      <c r="R614" s="342">
        <v>0</v>
      </c>
      <c r="S614" s="342">
        <v>150.4</v>
      </c>
      <c r="T614" s="341" t="s">
        <v>296</v>
      </c>
      <c r="U614" s="342">
        <v>66021201</v>
      </c>
      <c r="V614" s="342"/>
    </row>
    <row r="615" customHeight="1" spans="1:22">
      <c r="A615" s="343" t="s">
        <v>195</v>
      </c>
      <c r="B615" s="343">
        <v>100080</v>
      </c>
      <c r="C615" s="343" t="s">
        <v>715</v>
      </c>
      <c r="D615" s="344">
        <v>1</v>
      </c>
      <c r="E615" s="343"/>
      <c r="F615" s="345">
        <v>44642</v>
      </c>
      <c r="G615" s="345">
        <v>44642</v>
      </c>
      <c r="H615" s="343">
        <v>202204</v>
      </c>
      <c r="I615" s="344">
        <v>36</v>
      </c>
      <c r="J615" s="342">
        <v>0</v>
      </c>
      <c r="K615" s="346">
        <v>1397.34</v>
      </c>
      <c r="L615" s="346"/>
      <c r="M615" s="346"/>
      <c r="N615" s="346">
        <f t="shared" si="9"/>
        <v>1397.34</v>
      </c>
      <c r="O615" s="342">
        <v>0</v>
      </c>
      <c r="P615" s="347">
        <v>1327.47</v>
      </c>
      <c r="Q615" s="342">
        <v>69.87</v>
      </c>
      <c r="R615" s="342">
        <v>0</v>
      </c>
      <c r="S615" s="342">
        <v>69.87</v>
      </c>
      <c r="T615" s="341" t="s">
        <v>362</v>
      </c>
      <c r="U615" s="342">
        <v>5301010301</v>
      </c>
      <c r="V615" s="342"/>
    </row>
    <row r="616" customHeight="1" spans="1:22">
      <c r="A616" s="343" t="s">
        <v>195</v>
      </c>
      <c r="B616" s="343">
        <v>100081</v>
      </c>
      <c r="C616" s="343" t="s">
        <v>715</v>
      </c>
      <c r="D616" s="344">
        <v>1</v>
      </c>
      <c r="E616" s="343"/>
      <c r="F616" s="345">
        <v>44642</v>
      </c>
      <c r="G616" s="345">
        <v>44642</v>
      </c>
      <c r="H616" s="343">
        <v>202204</v>
      </c>
      <c r="I616" s="344">
        <v>36</v>
      </c>
      <c r="J616" s="342">
        <v>0</v>
      </c>
      <c r="K616" s="346">
        <v>1397.34</v>
      </c>
      <c r="L616" s="346"/>
      <c r="M616" s="346"/>
      <c r="N616" s="346">
        <f t="shared" si="9"/>
        <v>1397.34</v>
      </c>
      <c r="O616" s="342">
        <v>0</v>
      </c>
      <c r="P616" s="347">
        <v>1327.47</v>
      </c>
      <c r="Q616" s="342">
        <v>69.87</v>
      </c>
      <c r="R616" s="342">
        <v>0</v>
      </c>
      <c r="S616" s="342">
        <v>69.87</v>
      </c>
      <c r="T616" s="341" t="s">
        <v>362</v>
      </c>
      <c r="U616" s="342">
        <v>5301010301</v>
      </c>
      <c r="V616" s="342"/>
    </row>
    <row r="617" customHeight="1" spans="1:22">
      <c r="A617" s="343" t="s">
        <v>195</v>
      </c>
      <c r="B617" s="343">
        <v>100082</v>
      </c>
      <c r="C617" s="343" t="s">
        <v>715</v>
      </c>
      <c r="D617" s="344">
        <v>1</v>
      </c>
      <c r="E617" s="343"/>
      <c r="F617" s="345">
        <v>44642</v>
      </c>
      <c r="G617" s="345">
        <v>44642</v>
      </c>
      <c r="H617" s="343">
        <v>202204</v>
      </c>
      <c r="I617" s="344">
        <v>36</v>
      </c>
      <c r="J617" s="342">
        <v>0</v>
      </c>
      <c r="K617" s="346">
        <v>1397.34</v>
      </c>
      <c r="L617" s="346"/>
      <c r="M617" s="346"/>
      <c r="N617" s="346">
        <f t="shared" si="9"/>
        <v>1397.34</v>
      </c>
      <c r="O617" s="342">
        <v>0</v>
      </c>
      <c r="P617" s="347">
        <v>1327.47</v>
      </c>
      <c r="Q617" s="342">
        <v>69.87</v>
      </c>
      <c r="R617" s="342">
        <v>0</v>
      </c>
      <c r="S617" s="342">
        <v>69.87</v>
      </c>
      <c r="T617" s="341" t="s">
        <v>362</v>
      </c>
      <c r="U617" s="342">
        <v>5301010301</v>
      </c>
      <c r="V617" s="342"/>
    </row>
    <row r="618" customHeight="1" spans="1:22">
      <c r="A618" s="343" t="s">
        <v>195</v>
      </c>
      <c r="B618" s="343">
        <v>100083</v>
      </c>
      <c r="C618" s="343" t="s">
        <v>715</v>
      </c>
      <c r="D618" s="344">
        <v>1</v>
      </c>
      <c r="E618" s="343"/>
      <c r="F618" s="345">
        <v>44642</v>
      </c>
      <c r="G618" s="345">
        <v>44642</v>
      </c>
      <c r="H618" s="343">
        <v>202204</v>
      </c>
      <c r="I618" s="344">
        <v>36</v>
      </c>
      <c r="J618" s="342">
        <v>0</v>
      </c>
      <c r="K618" s="346">
        <v>1397.34</v>
      </c>
      <c r="L618" s="346"/>
      <c r="M618" s="346"/>
      <c r="N618" s="346">
        <f t="shared" si="9"/>
        <v>1397.34</v>
      </c>
      <c r="O618" s="342">
        <v>0</v>
      </c>
      <c r="P618" s="347">
        <v>1327.47</v>
      </c>
      <c r="Q618" s="342">
        <v>69.87</v>
      </c>
      <c r="R618" s="342">
        <v>0</v>
      </c>
      <c r="S618" s="342">
        <v>69.87</v>
      </c>
      <c r="T618" s="341" t="s">
        <v>362</v>
      </c>
      <c r="U618" s="342">
        <v>66021201</v>
      </c>
      <c r="V618" s="342"/>
    </row>
    <row r="619" customHeight="1" spans="1:22">
      <c r="A619" s="343" t="s">
        <v>195</v>
      </c>
      <c r="B619" s="343">
        <v>100084</v>
      </c>
      <c r="C619" s="343" t="s">
        <v>715</v>
      </c>
      <c r="D619" s="344">
        <v>1</v>
      </c>
      <c r="E619" s="343"/>
      <c r="F619" s="345">
        <v>44642</v>
      </c>
      <c r="G619" s="345">
        <v>44642</v>
      </c>
      <c r="H619" s="343">
        <v>202204</v>
      </c>
      <c r="I619" s="344">
        <v>36</v>
      </c>
      <c r="J619" s="342">
        <v>0</v>
      </c>
      <c r="K619" s="346">
        <v>1397.34</v>
      </c>
      <c r="L619" s="346"/>
      <c r="M619" s="346"/>
      <c r="N619" s="346">
        <f t="shared" si="9"/>
        <v>1397.34</v>
      </c>
      <c r="O619" s="342">
        <v>0</v>
      </c>
      <c r="P619" s="347">
        <v>1327.47</v>
      </c>
      <c r="Q619" s="342">
        <v>69.87</v>
      </c>
      <c r="R619" s="342">
        <v>0</v>
      </c>
      <c r="S619" s="342">
        <v>69.87</v>
      </c>
      <c r="T619" s="341" t="s">
        <v>362</v>
      </c>
      <c r="U619" s="342">
        <v>5301010301</v>
      </c>
      <c r="V619" s="342"/>
    </row>
    <row r="620" customHeight="1" spans="1:22">
      <c r="A620" s="343" t="s">
        <v>195</v>
      </c>
      <c r="B620" s="343">
        <v>100085</v>
      </c>
      <c r="C620" s="343" t="s">
        <v>715</v>
      </c>
      <c r="D620" s="344">
        <v>1</v>
      </c>
      <c r="E620" s="343"/>
      <c r="F620" s="345">
        <v>44642</v>
      </c>
      <c r="G620" s="345">
        <v>44642</v>
      </c>
      <c r="H620" s="343">
        <v>202204</v>
      </c>
      <c r="I620" s="344">
        <v>36</v>
      </c>
      <c r="J620" s="342">
        <v>0</v>
      </c>
      <c r="K620" s="346">
        <v>1397.34</v>
      </c>
      <c r="L620" s="346"/>
      <c r="M620" s="346"/>
      <c r="N620" s="346">
        <f t="shared" si="9"/>
        <v>1397.34</v>
      </c>
      <c r="O620" s="342">
        <v>0</v>
      </c>
      <c r="P620" s="347">
        <v>1327.47</v>
      </c>
      <c r="Q620" s="342">
        <v>69.87</v>
      </c>
      <c r="R620" s="342">
        <v>0</v>
      </c>
      <c r="S620" s="342">
        <v>69.87</v>
      </c>
      <c r="T620" s="341" t="s">
        <v>362</v>
      </c>
      <c r="U620" s="342">
        <v>5301010301</v>
      </c>
      <c r="V620" s="342"/>
    </row>
    <row r="621" customHeight="1" spans="1:22">
      <c r="A621" s="343" t="s">
        <v>195</v>
      </c>
      <c r="B621" s="343">
        <v>100086</v>
      </c>
      <c r="C621" s="343" t="s">
        <v>715</v>
      </c>
      <c r="D621" s="344">
        <v>1</v>
      </c>
      <c r="E621" s="343"/>
      <c r="F621" s="345">
        <v>44642</v>
      </c>
      <c r="G621" s="345">
        <v>44642</v>
      </c>
      <c r="H621" s="343">
        <v>202204</v>
      </c>
      <c r="I621" s="344">
        <v>36</v>
      </c>
      <c r="J621" s="342">
        <v>0</v>
      </c>
      <c r="K621" s="346">
        <v>1397.34</v>
      </c>
      <c r="L621" s="346"/>
      <c r="M621" s="346"/>
      <c r="N621" s="346">
        <f t="shared" si="9"/>
        <v>1397.34</v>
      </c>
      <c r="O621" s="342">
        <v>0</v>
      </c>
      <c r="P621" s="347">
        <v>1327.47</v>
      </c>
      <c r="Q621" s="342">
        <v>69.87</v>
      </c>
      <c r="R621" s="342">
        <v>0</v>
      </c>
      <c r="S621" s="342">
        <v>69.87</v>
      </c>
      <c r="T621" s="341" t="s">
        <v>362</v>
      </c>
      <c r="U621" s="342">
        <v>5301010301</v>
      </c>
      <c r="V621" s="342"/>
    </row>
    <row r="622" customHeight="1" spans="1:22">
      <c r="A622" s="343" t="s">
        <v>195</v>
      </c>
      <c r="B622" s="343">
        <v>100087</v>
      </c>
      <c r="C622" s="343" t="s">
        <v>715</v>
      </c>
      <c r="D622" s="344">
        <v>1</v>
      </c>
      <c r="E622" s="343"/>
      <c r="F622" s="345">
        <v>44642</v>
      </c>
      <c r="G622" s="345">
        <v>44642</v>
      </c>
      <c r="H622" s="343">
        <v>202204</v>
      </c>
      <c r="I622" s="344">
        <v>36</v>
      </c>
      <c r="J622" s="342">
        <v>0</v>
      </c>
      <c r="K622" s="346">
        <v>1397.34</v>
      </c>
      <c r="L622" s="346"/>
      <c r="M622" s="346"/>
      <c r="N622" s="346">
        <f t="shared" si="9"/>
        <v>1397.34</v>
      </c>
      <c r="O622" s="342">
        <v>0</v>
      </c>
      <c r="P622" s="347">
        <v>1327.47</v>
      </c>
      <c r="Q622" s="342">
        <v>69.87</v>
      </c>
      <c r="R622" s="342">
        <v>0</v>
      </c>
      <c r="S622" s="342">
        <v>69.87</v>
      </c>
      <c r="T622" s="341" t="s">
        <v>362</v>
      </c>
      <c r="U622" s="342">
        <v>5301010301</v>
      </c>
      <c r="V622" s="342"/>
    </row>
    <row r="623" customHeight="1" spans="1:22">
      <c r="A623" s="343" t="s">
        <v>195</v>
      </c>
      <c r="B623" s="343">
        <v>100088</v>
      </c>
      <c r="C623" s="343" t="s">
        <v>715</v>
      </c>
      <c r="D623" s="344">
        <v>1</v>
      </c>
      <c r="E623" s="343"/>
      <c r="F623" s="345">
        <v>44642</v>
      </c>
      <c r="G623" s="345">
        <v>44642</v>
      </c>
      <c r="H623" s="343">
        <v>202204</v>
      </c>
      <c r="I623" s="344">
        <v>36</v>
      </c>
      <c r="J623" s="342">
        <v>0</v>
      </c>
      <c r="K623" s="346">
        <v>1397.34</v>
      </c>
      <c r="L623" s="346"/>
      <c r="M623" s="346"/>
      <c r="N623" s="346">
        <f t="shared" si="9"/>
        <v>1397.34</v>
      </c>
      <c r="O623" s="342">
        <v>0</v>
      </c>
      <c r="P623" s="347">
        <v>1327.47</v>
      </c>
      <c r="Q623" s="342">
        <v>69.87</v>
      </c>
      <c r="R623" s="342">
        <v>0</v>
      </c>
      <c r="S623" s="342">
        <v>69.87</v>
      </c>
      <c r="T623" s="341" t="s">
        <v>362</v>
      </c>
      <c r="U623" s="342">
        <v>5301010301</v>
      </c>
      <c r="V623" s="342"/>
    </row>
    <row r="624" customHeight="1" spans="1:22">
      <c r="A624" s="343" t="s">
        <v>195</v>
      </c>
      <c r="B624" s="343">
        <v>100089</v>
      </c>
      <c r="C624" s="343" t="s">
        <v>715</v>
      </c>
      <c r="D624" s="344">
        <v>1</v>
      </c>
      <c r="E624" s="343"/>
      <c r="F624" s="345">
        <v>44642</v>
      </c>
      <c r="G624" s="345">
        <v>44642</v>
      </c>
      <c r="H624" s="343">
        <v>202204</v>
      </c>
      <c r="I624" s="344">
        <v>36</v>
      </c>
      <c r="J624" s="342">
        <v>0</v>
      </c>
      <c r="K624" s="346">
        <v>1397.34</v>
      </c>
      <c r="L624" s="346"/>
      <c r="M624" s="346"/>
      <c r="N624" s="346">
        <f t="shared" si="9"/>
        <v>1397.34</v>
      </c>
      <c r="O624" s="342">
        <v>0</v>
      </c>
      <c r="P624" s="347">
        <v>1327.47</v>
      </c>
      <c r="Q624" s="342">
        <v>69.87</v>
      </c>
      <c r="R624" s="342">
        <v>0</v>
      </c>
      <c r="S624" s="342">
        <v>69.87</v>
      </c>
      <c r="T624" s="341" t="s">
        <v>362</v>
      </c>
      <c r="U624" s="342">
        <v>5301010301</v>
      </c>
      <c r="V624" s="342"/>
    </row>
    <row r="625" customHeight="1" spans="1:22">
      <c r="A625" s="343" t="s">
        <v>195</v>
      </c>
      <c r="B625" s="343">
        <v>100090</v>
      </c>
      <c r="C625" s="343" t="s">
        <v>715</v>
      </c>
      <c r="D625" s="344">
        <v>1</v>
      </c>
      <c r="E625" s="343"/>
      <c r="F625" s="345">
        <v>44642</v>
      </c>
      <c r="G625" s="345">
        <v>44642</v>
      </c>
      <c r="H625" s="343">
        <v>202204</v>
      </c>
      <c r="I625" s="344">
        <v>36</v>
      </c>
      <c r="J625" s="342">
        <v>0</v>
      </c>
      <c r="K625" s="346">
        <v>1397.34</v>
      </c>
      <c r="L625" s="346"/>
      <c r="M625" s="346"/>
      <c r="N625" s="346">
        <f t="shared" si="9"/>
        <v>1397.34</v>
      </c>
      <c r="O625" s="342">
        <v>0</v>
      </c>
      <c r="P625" s="347">
        <v>1327.47</v>
      </c>
      <c r="Q625" s="342">
        <v>69.87</v>
      </c>
      <c r="R625" s="342">
        <v>0</v>
      </c>
      <c r="S625" s="342">
        <v>69.87</v>
      </c>
      <c r="T625" s="341" t="s">
        <v>362</v>
      </c>
      <c r="U625" s="342">
        <v>5301010301</v>
      </c>
      <c r="V625" s="342"/>
    </row>
    <row r="626" customHeight="1" spans="1:22">
      <c r="A626" s="343" t="s">
        <v>195</v>
      </c>
      <c r="B626" s="343">
        <v>100091</v>
      </c>
      <c r="C626" s="343" t="s">
        <v>715</v>
      </c>
      <c r="D626" s="344">
        <v>1</v>
      </c>
      <c r="E626" s="343"/>
      <c r="F626" s="345">
        <v>44642</v>
      </c>
      <c r="G626" s="345">
        <v>44642</v>
      </c>
      <c r="H626" s="343">
        <v>202204</v>
      </c>
      <c r="I626" s="344">
        <v>36</v>
      </c>
      <c r="J626" s="342">
        <v>0</v>
      </c>
      <c r="K626" s="346">
        <v>1397.34</v>
      </c>
      <c r="L626" s="346"/>
      <c r="M626" s="346"/>
      <c r="N626" s="346">
        <f t="shared" si="9"/>
        <v>1397.34</v>
      </c>
      <c r="O626" s="342">
        <v>0</v>
      </c>
      <c r="P626" s="347">
        <v>1327.47</v>
      </c>
      <c r="Q626" s="342">
        <v>69.87</v>
      </c>
      <c r="R626" s="342">
        <v>0</v>
      </c>
      <c r="S626" s="342">
        <v>69.87</v>
      </c>
      <c r="T626" s="341" t="s">
        <v>362</v>
      </c>
      <c r="U626" s="342">
        <v>5301010301</v>
      </c>
      <c r="V626" s="342"/>
    </row>
    <row r="627" customHeight="1" spans="1:22">
      <c r="A627" s="343" t="s">
        <v>195</v>
      </c>
      <c r="B627" s="343">
        <v>100092</v>
      </c>
      <c r="C627" s="343" t="s">
        <v>715</v>
      </c>
      <c r="D627" s="344">
        <v>1</v>
      </c>
      <c r="E627" s="343"/>
      <c r="F627" s="345">
        <v>44642</v>
      </c>
      <c r="G627" s="345">
        <v>44642</v>
      </c>
      <c r="H627" s="343">
        <v>202204</v>
      </c>
      <c r="I627" s="344">
        <v>36</v>
      </c>
      <c r="J627" s="342">
        <v>0</v>
      </c>
      <c r="K627" s="346">
        <v>1397.34</v>
      </c>
      <c r="L627" s="346"/>
      <c r="M627" s="346"/>
      <c r="N627" s="346">
        <f t="shared" si="9"/>
        <v>1397.34</v>
      </c>
      <c r="O627" s="342">
        <v>0</v>
      </c>
      <c r="P627" s="347">
        <v>1327.47</v>
      </c>
      <c r="Q627" s="342">
        <v>69.87</v>
      </c>
      <c r="R627" s="342">
        <v>0</v>
      </c>
      <c r="S627" s="342">
        <v>69.87</v>
      </c>
      <c r="T627" s="341" t="s">
        <v>362</v>
      </c>
      <c r="U627" s="342">
        <v>66021201</v>
      </c>
      <c r="V627" s="342"/>
    </row>
    <row r="628" customHeight="1" spans="1:22">
      <c r="A628" s="343" t="s">
        <v>195</v>
      </c>
      <c r="B628" s="343">
        <v>100093</v>
      </c>
      <c r="C628" s="343" t="s">
        <v>715</v>
      </c>
      <c r="D628" s="344">
        <v>1</v>
      </c>
      <c r="E628" s="343"/>
      <c r="F628" s="345">
        <v>44642</v>
      </c>
      <c r="G628" s="345">
        <v>44642</v>
      </c>
      <c r="H628" s="343">
        <v>202204</v>
      </c>
      <c r="I628" s="344">
        <v>36</v>
      </c>
      <c r="J628" s="342">
        <v>0</v>
      </c>
      <c r="K628" s="346">
        <v>1397.34</v>
      </c>
      <c r="L628" s="346"/>
      <c r="M628" s="346"/>
      <c r="N628" s="346">
        <f t="shared" si="9"/>
        <v>1397.34</v>
      </c>
      <c r="O628" s="342">
        <v>0</v>
      </c>
      <c r="P628" s="347">
        <v>1327.47</v>
      </c>
      <c r="Q628" s="342">
        <v>69.87</v>
      </c>
      <c r="R628" s="342">
        <v>0</v>
      </c>
      <c r="S628" s="342">
        <v>69.87</v>
      </c>
      <c r="T628" s="341" t="s">
        <v>362</v>
      </c>
      <c r="U628" s="342">
        <v>5301010301</v>
      </c>
      <c r="V628" s="342"/>
    </row>
    <row r="629" customHeight="1" spans="1:22">
      <c r="A629" s="343" t="s">
        <v>195</v>
      </c>
      <c r="B629" s="343">
        <v>100096</v>
      </c>
      <c r="C629" s="343" t="s">
        <v>545</v>
      </c>
      <c r="D629" s="344">
        <v>1</v>
      </c>
      <c r="E629" s="343"/>
      <c r="F629" s="345">
        <v>44642</v>
      </c>
      <c r="G629" s="345">
        <v>44642</v>
      </c>
      <c r="H629" s="343">
        <v>202204</v>
      </c>
      <c r="I629" s="344">
        <v>36</v>
      </c>
      <c r="J629" s="342">
        <v>0</v>
      </c>
      <c r="K629" s="346">
        <v>4819.47</v>
      </c>
      <c r="L629" s="346"/>
      <c r="M629" s="346"/>
      <c r="N629" s="346">
        <f t="shared" si="9"/>
        <v>4819.47</v>
      </c>
      <c r="O629" s="342">
        <v>0</v>
      </c>
      <c r="P629" s="347">
        <v>4578.5</v>
      </c>
      <c r="Q629" s="342">
        <v>240.97</v>
      </c>
      <c r="R629" s="342">
        <v>0</v>
      </c>
      <c r="S629" s="342">
        <v>240.97</v>
      </c>
      <c r="T629" s="341" t="s">
        <v>362</v>
      </c>
      <c r="U629" s="342">
        <v>5301010301</v>
      </c>
      <c r="V629" s="342"/>
    </row>
    <row r="630" customHeight="1" spans="1:22">
      <c r="A630" s="343" t="s">
        <v>195</v>
      </c>
      <c r="B630" s="343">
        <v>100097</v>
      </c>
      <c r="C630" s="343" t="s">
        <v>716</v>
      </c>
      <c r="D630" s="344">
        <v>1</v>
      </c>
      <c r="E630" s="343"/>
      <c r="F630" s="345">
        <v>44642</v>
      </c>
      <c r="G630" s="345">
        <v>44642</v>
      </c>
      <c r="H630" s="343">
        <v>202204</v>
      </c>
      <c r="I630" s="344">
        <v>36</v>
      </c>
      <c r="J630" s="342">
        <v>0</v>
      </c>
      <c r="K630" s="346">
        <v>2388.54</v>
      </c>
      <c r="L630" s="346"/>
      <c r="M630" s="346"/>
      <c r="N630" s="346">
        <f t="shared" si="9"/>
        <v>2388.54</v>
      </c>
      <c r="O630" s="342">
        <v>0</v>
      </c>
      <c r="P630" s="347">
        <v>2269.11</v>
      </c>
      <c r="Q630" s="342">
        <v>119.43</v>
      </c>
      <c r="R630" s="342">
        <v>0</v>
      </c>
      <c r="S630" s="342">
        <v>119.43</v>
      </c>
      <c r="T630" s="341" t="s">
        <v>296</v>
      </c>
      <c r="U630" s="342">
        <v>66021201</v>
      </c>
      <c r="V630" s="342"/>
    </row>
    <row r="631" customHeight="1" spans="1:22">
      <c r="A631" s="343" t="s">
        <v>195</v>
      </c>
      <c r="B631" s="343">
        <v>100098</v>
      </c>
      <c r="C631" s="343" t="s">
        <v>716</v>
      </c>
      <c r="D631" s="344">
        <v>1</v>
      </c>
      <c r="E631" s="343"/>
      <c r="F631" s="345">
        <v>44642</v>
      </c>
      <c r="G631" s="345">
        <v>44642</v>
      </c>
      <c r="H631" s="343">
        <v>202204</v>
      </c>
      <c r="I631" s="344">
        <v>36</v>
      </c>
      <c r="J631" s="342">
        <v>0</v>
      </c>
      <c r="K631" s="346">
        <v>2388.49</v>
      </c>
      <c r="L631" s="346"/>
      <c r="M631" s="346"/>
      <c r="N631" s="346">
        <f t="shared" si="9"/>
        <v>2388.49</v>
      </c>
      <c r="O631" s="342">
        <v>0</v>
      </c>
      <c r="P631" s="347">
        <v>2269.07</v>
      </c>
      <c r="Q631" s="342">
        <v>119.42</v>
      </c>
      <c r="R631" s="342">
        <v>0</v>
      </c>
      <c r="S631" s="342">
        <v>119.42</v>
      </c>
      <c r="T631" s="341" t="s">
        <v>362</v>
      </c>
      <c r="U631" s="342">
        <v>5301010301</v>
      </c>
      <c r="V631" s="342"/>
    </row>
    <row r="632" customHeight="1" spans="1:22">
      <c r="A632" s="343" t="s">
        <v>195</v>
      </c>
      <c r="B632" s="343">
        <v>100099</v>
      </c>
      <c r="C632" s="343" t="s">
        <v>716</v>
      </c>
      <c r="D632" s="344">
        <v>1</v>
      </c>
      <c r="E632" s="343"/>
      <c r="F632" s="345">
        <v>44642</v>
      </c>
      <c r="G632" s="345">
        <v>44642</v>
      </c>
      <c r="H632" s="343">
        <v>202204</v>
      </c>
      <c r="I632" s="344">
        <v>36</v>
      </c>
      <c r="J632" s="342">
        <v>0</v>
      </c>
      <c r="K632" s="346">
        <v>2388.49</v>
      </c>
      <c r="L632" s="346"/>
      <c r="M632" s="346"/>
      <c r="N632" s="346">
        <f t="shared" si="9"/>
        <v>2388.49</v>
      </c>
      <c r="O632" s="342">
        <v>0</v>
      </c>
      <c r="P632" s="347">
        <v>2269.07</v>
      </c>
      <c r="Q632" s="342">
        <v>119.42</v>
      </c>
      <c r="R632" s="342">
        <v>0</v>
      </c>
      <c r="S632" s="342">
        <v>119.42</v>
      </c>
      <c r="T632" s="341" t="s">
        <v>362</v>
      </c>
      <c r="U632" s="342">
        <v>5301010301</v>
      </c>
      <c r="V632" s="342"/>
    </row>
    <row r="633" customHeight="1" spans="1:22">
      <c r="A633" s="343" t="s">
        <v>195</v>
      </c>
      <c r="B633" s="343">
        <v>100100</v>
      </c>
      <c r="C633" s="343" t="s">
        <v>716</v>
      </c>
      <c r="D633" s="344">
        <v>1</v>
      </c>
      <c r="E633" s="343"/>
      <c r="F633" s="345">
        <v>44642</v>
      </c>
      <c r="G633" s="345">
        <v>44642</v>
      </c>
      <c r="H633" s="343">
        <v>202204</v>
      </c>
      <c r="I633" s="344">
        <v>36</v>
      </c>
      <c r="J633" s="342">
        <v>0</v>
      </c>
      <c r="K633" s="346">
        <v>2388.49</v>
      </c>
      <c r="L633" s="346"/>
      <c r="M633" s="346"/>
      <c r="N633" s="346">
        <f t="shared" si="9"/>
        <v>2388.49</v>
      </c>
      <c r="O633" s="342">
        <v>0</v>
      </c>
      <c r="P633" s="347">
        <v>2269.07</v>
      </c>
      <c r="Q633" s="342">
        <v>119.42</v>
      </c>
      <c r="R633" s="342">
        <v>0</v>
      </c>
      <c r="S633" s="342">
        <v>119.42</v>
      </c>
      <c r="T633" s="341" t="s">
        <v>362</v>
      </c>
      <c r="U633" s="342">
        <v>5301010301</v>
      </c>
      <c r="V633" s="342"/>
    </row>
    <row r="634" customHeight="1" spans="1:22">
      <c r="A634" s="343" t="s">
        <v>195</v>
      </c>
      <c r="B634" s="343">
        <v>100101</v>
      </c>
      <c r="C634" s="343" t="s">
        <v>716</v>
      </c>
      <c r="D634" s="344">
        <v>1</v>
      </c>
      <c r="E634" s="343"/>
      <c r="F634" s="345">
        <v>44642</v>
      </c>
      <c r="G634" s="345">
        <v>44642</v>
      </c>
      <c r="H634" s="343">
        <v>202204</v>
      </c>
      <c r="I634" s="344">
        <v>36</v>
      </c>
      <c r="J634" s="342">
        <v>0</v>
      </c>
      <c r="K634" s="346">
        <v>2388.49</v>
      </c>
      <c r="L634" s="346"/>
      <c r="M634" s="346"/>
      <c r="N634" s="346">
        <f t="shared" si="9"/>
        <v>2388.49</v>
      </c>
      <c r="O634" s="342">
        <v>0</v>
      </c>
      <c r="P634" s="347">
        <v>2269.07</v>
      </c>
      <c r="Q634" s="342">
        <v>119.42</v>
      </c>
      <c r="R634" s="342">
        <v>0</v>
      </c>
      <c r="S634" s="342">
        <v>119.42</v>
      </c>
      <c r="T634" s="341" t="s">
        <v>362</v>
      </c>
      <c r="U634" s="342">
        <v>5301010301</v>
      </c>
      <c r="V634" s="342"/>
    </row>
    <row r="635" customHeight="1" spans="1:22">
      <c r="A635" s="343" t="s">
        <v>195</v>
      </c>
      <c r="B635" s="343">
        <v>100102</v>
      </c>
      <c r="C635" s="343" t="s">
        <v>716</v>
      </c>
      <c r="D635" s="344">
        <v>1</v>
      </c>
      <c r="E635" s="343"/>
      <c r="F635" s="345">
        <v>44642</v>
      </c>
      <c r="G635" s="345">
        <v>44642</v>
      </c>
      <c r="H635" s="343">
        <v>202204</v>
      </c>
      <c r="I635" s="344">
        <v>36</v>
      </c>
      <c r="J635" s="342">
        <v>0</v>
      </c>
      <c r="K635" s="346">
        <v>2388.49</v>
      </c>
      <c r="L635" s="346"/>
      <c r="M635" s="346"/>
      <c r="N635" s="346">
        <f t="shared" si="9"/>
        <v>2388.49</v>
      </c>
      <c r="O635" s="342">
        <v>0</v>
      </c>
      <c r="P635" s="347">
        <v>2269.07</v>
      </c>
      <c r="Q635" s="342">
        <v>119.42</v>
      </c>
      <c r="R635" s="342">
        <v>0</v>
      </c>
      <c r="S635" s="342">
        <v>119.42</v>
      </c>
      <c r="T635" s="341" t="s">
        <v>362</v>
      </c>
      <c r="U635" s="342">
        <v>5301010301</v>
      </c>
      <c r="V635" s="342"/>
    </row>
    <row r="636" customHeight="1" spans="1:22">
      <c r="A636" s="343" t="s">
        <v>195</v>
      </c>
      <c r="B636" s="343">
        <v>100103</v>
      </c>
      <c r="C636" s="343" t="s">
        <v>716</v>
      </c>
      <c r="D636" s="344">
        <v>1</v>
      </c>
      <c r="E636" s="343"/>
      <c r="F636" s="345">
        <v>44642</v>
      </c>
      <c r="G636" s="345">
        <v>44642</v>
      </c>
      <c r="H636" s="343">
        <v>202204</v>
      </c>
      <c r="I636" s="344">
        <v>36</v>
      </c>
      <c r="J636" s="342">
        <v>0</v>
      </c>
      <c r="K636" s="346">
        <v>2388.49</v>
      </c>
      <c r="L636" s="346"/>
      <c r="M636" s="346"/>
      <c r="N636" s="346">
        <f t="shared" si="9"/>
        <v>2388.49</v>
      </c>
      <c r="O636" s="342">
        <v>0</v>
      </c>
      <c r="P636" s="347">
        <v>2269.07</v>
      </c>
      <c r="Q636" s="342">
        <v>119.42</v>
      </c>
      <c r="R636" s="342">
        <v>0</v>
      </c>
      <c r="S636" s="342">
        <v>119.42</v>
      </c>
      <c r="T636" s="341" t="s">
        <v>362</v>
      </c>
      <c r="U636" s="342">
        <v>5301010301</v>
      </c>
      <c r="V636" s="342"/>
    </row>
    <row r="637" customHeight="1" spans="1:22">
      <c r="A637" s="343" t="s">
        <v>195</v>
      </c>
      <c r="B637" s="343">
        <v>100104</v>
      </c>
      <c r="C637" s="343" t="s">
        <v>716</v>
      </c>
      <c r="D637" s="344">
        <v>1</v>
      </c>
      <c r="E637" s="343"/>
      <c r="F637" s="345">
        <v>44642</v>
      </c>
      <c r="G637" s="345">
        <v>44642</v>
      </c>
      <c r="H637" s="343">
        <v>202204</v>
      </c>
      <c r="I637" s="344">
        <v>36</v>
      </c>
      <c r="J637" s="342">
        <v>0</v>
      </c>
      <c r="K637" s="346">
        <v>2388.49</v>
      </c>
      <c r="L637" s="346"/>
      <c r="M637" s="346"/>
      <c r="N637" s="346">
        <f t="shared" si="9"/>
        <v>2388.49</v>
      </c>
      <c r="O637" s="342">
        <v>0</v>
      </c>
      <c r="P637" s="347">
        <v>2269.07</v>
      </c>
      <c r="Q637" s="342">
        <v>119.42</v>
      </c>
      <c r="R637" s="342">
        <v>0</v>
      </c>
      <c r="S637" s="342">
        <v>119.42</v>
      </c>
      <c r="T637" s="341" t="s">
        <v>362</v>
      </c>
      <c r="U637" s="342">
        <v>5301010301</v>
      </c>
      <c r="V637" s="342"/>
    </row>
    <row r="638" customHeight="1" spans="1:22">
      <c r="A638" s="343" t="s">
        <v>195</v>
      </c>
      <c r="B638" s="343">
        <v>100105</v>
      </c>
      <c r="C638" s="343" t="s">
        <v>716</v>
      </c>
      <c r="D638" s="344">
        <v>1</v>
      </c>
      <c r="E638" s="343"/>
      <c r="F638" s="345">
        <v>44642</v>
      </c>
      <c r="G638" s="345">
        <v>44642</v>
      </c>
      <c r="H638" s="343">
        <v>202204</v>
      </c>
      <c r="I638" s="344">
        <v>36</v>
      </c>
      <c r="J638" s="342">
        <v>0</v>
      </c>
      <c r="K638" s="346">
        <v>2388.49</v>
      </c>
      <c r="L638" s="346"/>
      <c r="M638" s="346"/>
      <c r="N638" s="346">
        <f t="shared" si="9"/>
        <v>2388.49</v>
      </c>
      <c r="O638" s="342">
        <v>0</v>
      </c>
      <c r="P638" s="347">
        <v>2269.07</v>
      </c>
      <c r="Q638" s="342">
        <v>119.42</v>
      </c>
      <c r="R638" s="342">
        <v>0</v>
      </c>
      <c r="S638" s="342">
        <v>119.42</v>
      </c>
      <c r="T638" s="341" t="s">
        <v>362</v>
      </c>
      <c r="U638" s="342">
        <v>5301010301</v>
      </c>
      <c r="V638" s="342"/>
    </row>
    <row r="639" customHeight="1" spans="1:22">
      <c r="A639" s="343" t="s">
        <v>195</v>
      </c>
      <c r="B639" s="343">
        <v>100106</v>
      </c>
      <c r="C639" s="343" t="s">
        <v>716</v>
      </c>
      <c r="D639" s="344">
        <v>1</v>
      </c>
      <c r="E639" s="343"/>
      <c r="F639" s="345">
        <v>44642</v>
      </c>
      <c r="G639" s="345">
        <v>44642</v>
      </c>
      <c r="H639" s="343">
        <v>202204</v>
      </c>
      <c r="I639" s="344">
        <v>36</v>
      </c>
      <c r="J639" s="342">
        <v>0</v>
      </c>
      <c r="K639" s="346">
        <v>2123.08</v>
      </c>
      <c r="L639" s="346"/>
      <c r="M639" s="346"/>
      <c r="N639" s="346">
        <f t="shared" si="9"/>
        <v>2123.08</v>
      </c>
      <c r="O639" s="342">
        <v>0</v>
      </c>
      <c r="P639" s="347">
        <v>2016.93</v>
      </c>
      <c r="Q639" s="342">
        <v>106.15</v>
      </c>
      <c r="R639" s="342">
        <v>0</v>
      </c>
      <c r="S639" s="342">
        <v>106.15</v>
      </c>
      <c r="T639" s="341" t="s">
        <v>362</v>
      </c>
      <c r="U639" s="342">
        <v>5301010301</v>
      </c>
      <c r="V639" s="342"/>
    </row>
    <row r="640" customHeight="1" spans="1:22">
      <c r="A640" s="343" t="s">
        <v>195</v>
      </c>
      <c r="B640" s="343">
        <v>100107</v>
      </c>
      <c r="C640" s="343" t="s">
        <v>716</v>
      </c>
      <c r="D640" s="344">
        <v>1</v>
      </c>
      <c r="E640" s="343"/>
      <c r="F640" s="345">
        <v>44642</v>
      </c>
      <c r="G640" s="345">
        <v>44642</v>
      </c>
      <c r="H640" s="343">
        <v>202204</v>
      </c>
      <c r="I640" s="344">
        <v>36</v>
      </c>
      <c r="J640" s="342">
        <v>0</v>
      </c>
      <c r="K640" s="346">
        <v>2123</v>
      </c>
      <c r="L640" s="346"/>
      <c r="M640" s="346"/>
      <c r="N640" s="346">
        <f t="shared" si="9"/>
        <v>2123</v>
      </c>
      <c r="O640" s="342">
        <v>0</v>
      </c>
      <c r="P640" s="347">
        <v>2016.85</v>
      </c>
      <c r="Q640" s="342">
        <v>106.15</v>
      </c>
      <c r="R640" s="342">
        <v>0</v>
      </c>
      <c r="S640" s="342">
        <v>106.15</v>
      </c>
      <c r="T640" s="341" t="s">
        <v>362</v>
      </c>
      <c r="U640" s="342">
        <v>5301010301</v>
      </c>
      <c r="V640" s="342"/>
    </row>
    <row r="641" customHeight="1" spans="1:22">
      <c r="A641" s="343" t="s">
        <v>195</v>
      </c>
      <c r="B641" s="343">
        <v>100108</v>
      </c>
      <c r="C641" s="343" t="s">
        <v>716</v>
      </c>
      <c r="D641" s="344">
        <v>1</v>
      </c>
      <c r="E641" s="343"/>
      <c r="F641" s="345">
        <v>44642</v>
      </c>
      <c r="G641" s="345">
        <v>44642</v>
      </c>
      <c r="H641" s="343">
        <v>202204</v>
      </c>
      <c r="I641" s="344">
        <v>36</v>
      </c>
      <c r="J641" s="342">
        <v>0</v>
      </c>
      <c r="K641" s="346">
        <v>2123</v>
      </c>
      <c r="L641" s="346"/>
      <c r="M641" s="346"/>
      <c r="N641" s="346">
        <f t="shared" si="9"/>
        <v>2123</v>
      </c>
      <c r="O641" s="342">
        <v>0</v>
      </c>
      <c r="P641" s="347">
        <v>2016.85</v>
      </c>
      <c r="Q641" s="342">
        <v>106.15</v>
      </c>
      <c r="R641" s="342">
        <v>0</v>
      </c>
      <c r="S641" s="342">
        <v>106.15</v>
      </c>
      <c r="T641" s="341" t="s">
        <v>362</v>
      </c>
      <c r="U641" s="342">
        <v>5301010301</v>
      </c>
      <c r="V641" s="342"/>
    </row>
    <row r="642" customHeight="1" spans="1:22">
      <c r="A642" s="343" t="s">
        <v>195</v>
      </c>
      <c r="B642" s="343">
        <v>100109</v>
      </c>
      <c r="C642" s="343" t="s">
        <v>716</v>
      </c>
      <c r="D642" s="344">
        <v>1</v>
      </c>
      <c r="E642" s="343"/>
      <c r="F642" s="345">
        <v>44642</v>
      </c>
      <c r="G642" s="345">
        <v>44642</v>
      </c>
      <c r="H642" s="343">
        <v>202204</v>
      </c>
      <c r="I642" s="344">
        <v>36</v>
      </c>
      <c r="J642" s="342">
        <v>0</v>
      </c>
      <c r="K642" s="346">
        <v>2123</v>
      </c>
      <c r="L642" s="346"/>
      <c r="M642" s="346"/>
      <c r="N642" s="346">
        <f t="shared" si="9"/>
        <v>2123</v>
      </c>
      <c r="O642" s="342">
        <v>0</v>
      </c>
      <c r="P642" s="347">
        <v>2016.85</v>
      </c>
      <c r="Q642" s="342">
        <v>106.15</v>
      </c>
      <c r="R642" s="342">
        <v>0</v>
      </c>
      <c r="S642" s="342">
        <v>106.15</v>
      </c>
      <c r="T642" s="341" t="s">
        <v>362</v>
      </c>
      <c r="U642" s="342">
        <v>5301010301</v>
      </c>
      <c r="V642" s="342"/>
    </row>
    <row r="643" customHeight="1" spans="1:22">
      <c r="A643" s="343" t="s">
        <v>195</v>
      </c>
      <c r="B643" s="343">
        <v>100110</v>
      </c>
      <c r="C643" s="343" t="s">
        <v>716</v>
      </c>
      <c r="D643" s="344">
        <v>1</v>
      </c>
      <c r="E643" s="343"/>
      <c r="F643" s="345">
        <v>44642</v>
      </c>
      <c r="G643" s="345">
        <v>44642</v>
      </c>
      <c r="H643" s="343">
        <v>202204</v>
      </c>
      <c r="I643" s="344">
        <v>36</v>
      </c>
      <c r="J643" s="342">
        <v>0</v>
      </c>
      <c r="K643" s="346">
        <v>2123</v>
      </c>
      <c r="L643" s="346"/>
      <c r="M643" s="346"/>
      <c r="N643" s="346">
        <f t="shared" ref="N643:N706" si="10">K643+L643-M643</f>
        <v>2123</v>
      </c>
      <c r="O643" s="342">
        <v>0</v>
      </c>
      <c r="P643" s="347">
        <v>2016.85</v>
      </c>
      <c r="Q643" s="342">
        <v>106.15</v>
      </c>
      <c r="R643" s="342">
        <v>0</v>
      </c>
      <c r="S643" s="342">
        <v>106.15</v>
      </c>
      <c r="T643" s="341" t="s">
        <v>362</v>
      </c>
      <c r="U643" s="342">
        <v>5301010301</v>
      </c>
      <c r="V643" s="342"/>
    </row>
    <row r="644" customHeight="1" spans="1:22">
      <c r="A644" s="343" t="s">
        <v>195</v>
      </c>
      <c r="B644" s="343">
        <v>100111</v>
      </c>
      <c r="C644" s="343" t="s">
        <v>716</v>
      </c>
      <c r="D644" s="344">
        <v>1</v>
      </c>
      <c r="E644" s="343"/>
      <c r="F644" s="345">
        <v>44642</v>
      </c>
      <c r="G644" s="345">
        <v>44642</v>
      </c>
      <c r="H644" s="343">
        <v>202204</v>
      </c>
      <c r="I644" s="344">
        <v>36</v>
      </c>
      <c r="J644" s="342">
        <v>0</v>
      </c>
      <c r="K644" s="346">
        <v>2123</v>
      </c>
      <c r="L644" s="346"/>
      <c r="M644" s="346"/>
      <c r="N644" s="346">
        <f t="shared" si="10"/>
        <v>2123</v>
      </c>
      <c r="O644" s="342">
        <v>0</v>
      </c>
      <c r="P644" s="347">
        <v>2016.85</v>
      </c>
      <c r="Q644" s="342">
        <v>106.15</v>
      </c>
      <c r="R644" s="342">
        <v>0</v>
      </c>
      <c r="S644" s="342">
        <v>106.15</v>
      </c>
      <c r="T644" s="341" t="s">
        <v>362</v>
      </c>
      <c r="U644" s="342">
        <v>5301010301</v>
      </c>
      <c r="V644" s="342"/>
    </row>
    <row r="645" customHeight="1" spans="1:22">
      <c r="A645" s="343" t="s">
        <v>195</v>
      </c>
      <c r="B645" s="343">
        <v>100112</v>
      </c>
      <c r="C645" s="343" t="s">
        <v>716</v>
      </c>
      <c r="D645" s="344">
        <v>1</v>
      </c>
      <c r="E645" s="343"/>
      <c r="F645" s="345">
        <v>44642</v>
      </c>
      <c r="G645" s="345">
        <v>44642</v>
      </c>
      <c r="H645" s="343">
        <v>202204</v>
      </c>
      <c r="I645" s="344">
        <v>36</v>
      </c>
      <c r="J645" s="342">
        <v>0</v>
      </c>
      <c r="K645" s="346">
        <v>2123</v>
      </c>
      <c r="L645" s="346"/>
      <c r="M645" s="346"/>
      <c r="N645" s="346">
        <f t="shared" si="10"/>
        <v>2123</v>
      </c>
      <c r="O645" s="342">
        <v>0</v>
      </c>
      <c r="P645" s="347">
        <v>2016.85</v>
      </c>
      <c r="Q645" s="342">
        <v>106.15</v>
      </c>
      <c r="R645" s="342">
        <v>0</v>
      </c>
      <c r="S645" s="342">
        <v>106.15</v>
      </c>
      <c r="T645" s="341" t="s">
        <v>362</v>
      </c>
      <c r="U645" s="342">
        <v>5301010301</v>
      </c>
      <c r="V645" s="342"/>
    </row>
    <row r="646" customHeight="1" spans="1:22">
      <c r="A646" s="343" t="s">
        <v>195</v>
      </c>
      <c r="B646" s="343">
        <v>100113</v>
      </c>
      <c r="C646" s="343" t="s">
        <v>716</v>
      </c>
      <c r="D646" s="344">
        <v>1</v>
      </c>
      <c r="E646" s="343"/>
      <c r="F646" s="345">
        <v>44642</v>
      </c>
      <c r="G646" s="345">
        <v>44642</v>
      </c>
      <c r="H646" s="343">
        <v>202204</v>
      </c>
      <c r="I646" s="344">
        <v>36</v>
      </c>
      <c r="J646" s="342">
        <v>0</v>
      </c>
      <c r="K646" s="346">
        <v>2123</v>
      </c>
      <c r="L646" s="346"/>
      <c r="M646" s="346"/>
      <c r="N646" s="346">
        <f t="shared" si="10"/>
        <v>2123</v>
      </c>
      <c r="O646" s="342">
        <v>0</v>
      </c>
      <c r="P646" s="347">
        <v>2016.85</v>
      </c>
      <c r="Q646" s="342">
        <v>106.15</v>
      </c>
      <c r="R646" s="342">
        <v>0</v>
      </c>
      <c r="S646" s="342">
        <v>106.15</v>
      </c>
      <c r="T646" s="341" t="s">
        <v>362</v>
      </c>
      <c r="U646" s="342">
        <v>5301010301</v>
      </c>
      <c r="V646" s="342"/>
    </row>
    <row r="647" customHeight="1" spans="1:22">
      <c r="A647" s="343" t="s">
        <v>195</v>
      </c>
      <c r="B647" s="343">
        <v>100114</v>
      </c>
      <c r="C647" s="343" t="s">
        <v>716</v>
      </c>
      <c r="D647" s="344">
        <v>1</v>
      </c>
      <c r="E647" s="343"/>
      <c r="F647" s="345">
        <v>44642</v>
      </c>
      <c r="G647" s="345">
        <v>44642</v>
      </c>
      <c r="H647" s="343">
        <v>202204</v>
      </c>
      <c r="I647" s="344">
        <v>36</v>
      </c>
      <c r="J647" s="342">
        <v>0</v>
      </c>
      <c r="K647" s="346">
        <v>2123</v>
      </c>
      <c r="L647" s="346"/>
      <c r="M647" s="346"/>
      <c r="N647" s="346">
        <f t="shared" si="10"/>
        <v>2123</v>
      </c>
      <c r="O647" s="342">
        <v>0</v>
      </c>
      <c r="P647" s="347">
        <v>2016.85</v>
      </c>
      <c r="Q647" s="342">
        <v>106.15</v>
      </c>
      <c r="R647" s="342">
        <v>0</v>
      </c>
      <c r="S647" s="342">
        <v>106.15</v>
      </c>
      <c r="T647" s="341" t="s">
        <v>362</v>
      </c>
      <c r="U647" s="342">
        <v>5301010301</v>
      </c>
      <c r="V647" s="342"/>
    </row>
    <row r="648" customHeight="1" spans="1:22">
      <c r="A648" s="343" t="s">
        <v>195</v>
      </c>
      <c r="B648" s="343">
        <v>100115</v>
      </c>
      <c r="C648" s="343" t="s">
        <v>715</v>
      </c>
      <c r="D648" s="344">
        <v>1</v>
      </c>
      <c r="E648" s="343"/>
      <c r="F648" s="345">
        <v>44642</v>
      </c>
      <c r="G648" s="345">
        <v>44642</v>
      </c>
      <c r="H648" s="343">
        <v>202204</v>
      </c>
      <c r="I648" s="344">
        <v>36</v>
      </c>
      <c r="J648" s="342">
        <v>0</v>
      </c>
      <c r="K648" s="346">
        <v>1397.44</v>
      </c>
      <c r="L648" s="346"/>
      <c r="M648" s="346"/>
      <c r="N648" s="346">
        <f t="shared" si="10"/>
        <v>1397.44</v>
      </c>
      <c r="O648" s="342">
        <v>0</v>
      </c>
      <c r="P648" s="347">
        <v>1327.57</v>
      </c>
      <c r="Q648" s="342">
        <v>69.87</v>
      </c>
      <c r="R648" s="342">
        <v>0</v>
      </c>
      <c r="S648" s="342">
        <v>69.87</v>
      </c>
      <c r="T648" s="341" t="s">
        <v>362</v>
      </c>
      <c r="U648" s="342">
        <v>5301010301</v>
      </c>
      <c r="V648" s="342"/>
    </row>
    <row r="649" customHeight="1" spans="1:22">
      <c r="A649" s="343" t="s">
        <v>195</v>
      </c>
      <c r="B649" s="343">
        <v>100116</v>
      </c>
      <c r="C649" s="343" t="s">
        <v>715</v>
      </c>
      <c r="D649" s="344">
        <v>1</v>
      </c>
      <c r="E649" s="343"/>
      <c r="F649" s="345">
        <v>44642</v>
      </c>
      <c r="G649" s="345">
        <v>44642</v>
      </c>
      <c r="H649" s="343">
        <v>202204</v>
      </c>
      <c r="I649" s="344">
        <v>36</v>
      </c>
      <c r="J649" s="342">
        <v>0</v>
      </c>
      <c r="K649" s="346">
        <v>1397.34</v>
      </c>
      <c r="L649" s="346"/>
      <c r="M649" s="346"/>
      <c r="N649" s="346">
        <f t="shared" si="10"/>
        <v>1397.34</v>
      </c>
      <c r="O649" s="342">
        <v>0</v>
      </c>
      <c r="P649" s="347">
        <v>1327.47</v>
      </c>
      <c r="Q649" s="342">
        <v>69.87</v>
      </c>
      <c r="R649" s="342">
        <v>0</v>
      </c>
      <c r="S649" s="342">
        <v>69.87</v>
      </c>
      <c r="T649" s="341" t="s">
        <v>362</v>
      </c>
      <c r="U649" s="342">
        <v>5301010301</v>
      </c>
      <c r="V649" s="342"/>
    </row>
    <row r="650" customHeight="1" spans="1:22">
      <c r="A650" s="343" t="s">
        <v>195</v>
      </c>
      <c r="B650" s="343">
        <v>100117</v>
      </c>
      <c r="C650" s="343" t="s">
        <v>545</v>
      </c>
      <c r="D650" s="344">
        <v>1</v>
      </c>
      <c r="E650" s="343"/>
      <c r="F650" s="345">
        <v>44712</v>
      </c>
      <c r="G650" s="345">
        <v>44712</v>
      </c>
      <c r="H650" s="343">
        <v>202206</v>
      </c>
      <c r="I650" s="344">
        <v>36</v>
      </c>
      <c r="J650" s="342">
        <v>0</v>
      </c>
      <c r="K650" s="346">
        <v>5131.86</v>
      </c>
      <c r="L650" s="346"/>
      <c r="M650" s="346"/>
      <c r="N650" s="346">
        <f t="shared" si="10"/>
        <v>5131.86</v>
      </c>
      <c r="O650" s="342">
        <v>0</v>
      </c>
      <c r="P650" s="347">
        <v>4875.27</v>
      </c>
      <c r="Q650" s="342">
        <v>256.59</v>
      </c>
      <c r="R650" s="342">
        <v>0</v>
      </c>
      <c r="S650" s="342">
        <v>256.59</v>
      </c>
      <c r="T650" s="341" t="s">
        <v>296</v>
      </c>
      <c r="U650" s="342">
        <v>66021201</v>
      </c>
      <c r="V650" s="342"/>
    </row>
    <row r="651" customHeight="1" spans="1:22">
      <c r="A651" s="343" t="s">
        <v>195</v>
      </c>
      <c r="B651" s="343">
        <v>100118</v>
      </c>
      <c r="C651" s="343" t="s">
        <v>545</v>
      </c>
      <c r="D651" s="344">
        <v>1</v>
      </c>
      <c r="E651" s="343"/>
      <c r="F651" s="345">
        <v>44712</v>
      </c>
      <c r="G651" s="345">
        <v>44712</v>
      </c>
      <c r="H651" s="343">
        <v>202206</v>
      </c>
      <c r="I651" s="344">
        <v>36</v>
      </c>
      <c r="J651" s="342">
        <v>0</v>
      </c>
      <c r="K651" s="346">
        <v>5131.86</v>
      </c>
      <c r="L651" s="346"/>
      <c r="M651" s="346"/>
      <c r="N651" s="346">
        <f t="shared" si="10"/>
        <v>5131.86</v>
      </c>
      <c r="O651" s="342">
        <v>0</v>
      </c>
      <c r="P651" s="347">
        <v>4875.27</v>
      </c>
      <c r="Q651" s="342">
        <v>256.59</v>
      </c>
      <c r="R651" s="342">
        <v>0</v>
      </c>
      <c r="S651" s="342">
        <v>256.59</v>
      </c>
      <c r="T651" s="341" t="s">
        <v>362</v>
      </c>
      <c r="U651" s="342">
        <v>5301010301</v>
      </c>
      <c r="V651" s="342"/>
    </row>
    <row r="652" customHeight="1" spans="1:22">
      <c r="A652" s="343" t="s">
        <v>195</v>
      </c>
      <c r="B652" s="343">
        <v>100119</v>
      </c>
      <c r="C652" s="343" t="s">
        <v>545</v>
      </c>
      <c r="D652" s="344">
        <v>1</v>
      </c>
      <c r="E652" s="343"/>
      <c r="F652" s="345">
        <v>44698</v>
      </c>
      <c r="G652" s="345">
        <v>44698</v>
      </c>
      <c r="H652" s="343">
        <v>202206</v>
      </c>
      <c r="I652" s="344">
        <v>36</v>
      </c>
      <c r="J652" s="342">
        <v>0</v>
      </c>
      <c r="K652" s="346">
        <v>5308.85</v>
      </c>
      <c r="L652" s="346"/>
      <c r="M652" s="346"/>
      <c r="N652" s="346">
        <f t="shared" si="10"/>
        <v>5308.85</v>
      </c>
      <c r="O652" s="342">
        <v>0</v>
      </c>
      <c r="P652" s="347">
        <v>5043.41</v>
      </c>
      <c r="Q652" s="342">
        <v>265.44</v>
      </c>
      <c r="R652" s="342">
        <v>0</v>
      </c>
      <c r="S652" s="342">
        <v>265.44</v>
      </c>
      <c r="T652" s="341" t="s">
        <v>532</v>
      </c>
      <c r="U652" s="342">
        <v>66011201</v>
      </c>
      <c r="V652" s="342"/>
    </row>
    <row r="653" customHeight="1" spans="1:22">
      <c r="A653" s="343" t="s">
        <v>195</v>
      </c>
      <c r="B653" s="343">
        <v>100120</v>
      </c>
      <c r="C653" s="343" t="s">
        <v>715</v>
      </c>
      <c r="D653" s="344">
        <v>1</v>
      </c>
      <c r="E653" s="343"/>
      <c r="F653" s="345">
        <v>44710</v>
      </c>
      <c r="G653" s="345">
        <v>44710</v>
      </c>
      <c r="H653" s="343">
        <v>202206</v>
      </c>
      <c r="I653" s="344">
        <v>36</v>
      </c>
      <c r="J653" s="342">
        <v>0</v>
      </c>
      <c r="K653" s="346">
        <v>1260.18</v>
      </c>
      <c r="L653" s="346"/>
      <c r="M653" s="346"/>
      <c r="N653" s="346">
        <f t="shared" si="10"/>
        <v>1260.18</v>
      </c>
      <c r="O653" s="342">
        <v>0</v>
      </c>
      <c r="P653" s="347">
        <v>1197.17</v>
      </c>
      <c r="Q653" s="342">
        <v>63.01</v>
      </c>
      <c r="R653" s="342">
        <v>0</v>
      </c>
      <c r="S653" s="342">
        <v>63.01</v>
      </c>
      <c r="T653" s="341" t="s">
        <v>362</v>
      </c>
      <c r="U653" s="342">
        <v>5301010301</v>
      </c>
      <c r="V653" s="342"/>
    </row>
    <row r="654" customHeight="1" spans="1:22">
      <c r="A654" s="343" t="s">
        <v>195</v>
      </c>
      <c r="B654" s="343">
        <v>100121</v>
      </c>
      <c r="C654" s="343" t="s">
        <v>715</v>
      </c>
      <c r="D654" s="344">
        <v>1</v>
      </c>
      <c r="E654" s="343"/>
      <c r="F654" s="345">
        <v>44710</v>
      </c>
      <c r="G654" s="345">
        <v>44710</v>
      </c>
      <c r="H654" s="343">
        <v>202206</v>
      </c>
      <c r="I654" s="344">
        <v>36</v>
      </c>
      <c r="J654" s="342">
        <v>0</v>
      </c>
      <c r="K654" s="346">
        <v>1260.18</v>
      </c>
      <c r="L654" s="346"/>
      <c r="M654" s="346"/>
      <c r="N654" s="346">
        <f t="shared" si="10"/>
        <v>1260.18</v>
      </c>
      <c r="O654" s="342">
        <v>0</v>
      </c>
      <c r="P654" s="347">
        <v>1197.17</v>
      </c>
      <c r="Q654" s="342">
        <v>63.01</v>
      </c>
      <c r="R654" s="342">
        <v>0</v>
      </c>
      <c r="S654" s="342">
        <v>63.01</v>
      </c>
      <c r="T654" s="341" t="s">
        <v>362</v>
      </c>
      <c r="U654" s="342">
        <v>5301010301</v>
      </c>
      <c r="V654" s="342"/>
    </row>
    <row r="655" customHeight="1" spans="1:22">
      <c r="A655" s="343" t="s">
        <v>195</v>
      </c>
      <c r="B655" s="343">
        <v>100122</v>
      </c>
      <c r="C655" s="343" t="s">
        <v>717</v>
      </c>
      <c r="D655" s="344">
        <v>1</v>
      </c>
      <c r="E655" s="343"/>
      <c r="F655" s="345">
        <v>44650</v>
      </c>
      <c r="G655" s="345">
        <v>44650</v>
      </c>
      <c r="H655" s="343">
        <v>202204</v>
      </c>
      <c r="I655" s="344">
        <v>36</v>
      </c>
      <c r="J655" s="342">
        <v>0</v>
      </c>
      <c r="K655" s="346">
        <v>1680.53</v>
      </c>
      <c r="L655" s="346"/>
      <c r="M655" s="346"/>
      <c r="N655" s="346">
        <f t="shared" si="10"/>
        <v>1680.53</v>
      </c>
      <c r="O655" s="342">
        <v>0</v>
      </c>
      <c r="P655" s="347">
        <v>1596.5</v>
      </c>
      <c r="Q655" s="342">
        <v>84.03</v>
      </c>
      <c r="R655" s="342">
        <v>0</v>
      </c>
      <c r="S655" s="342">
        <v>84.03</v>
      </c>
      <c r="T655" s="341" t="s">
        <v>362</v>
      </c>
      <c r="U655" s="342">
        <v>5301010301</v>
      </c>
      <c r="V655" s="342"/>
    </row>
    <row r="656" customHeight="1" spans="1:22">
      <c r="A656" s="343" t="s">
        <v>195</v>
      </c>
      <c r="B656" s="343">
        <v>100094</v>
      </c>
      <c r="C656" s="343" t="s">
        <v>715</v>
      </c>
      <c r="D656" s="344">
        <v>1</v>
      </c>
      <c r="E656" s="343"/>
      <c r="F656" s="345">
        <v>44642</v>
      </c>
      <c r="G656" s="345">
        <v>44642</v>
      </c>
      <c r="H656" s="343">
        <v>202204</v>
      </c>
      <c r="I656" s="344">
        <v>36</v>
      </c>
      <c r="J656" s="342">
        <v>0</v>
      </c>
      <c r="K656" s="346">
        <v>1397.34</v>
      </c>
      <c r="L656" s="346"/>
      <c r="M656" s="346"/>
      <c r="N656" s="346">
        <f t="shared" si="10"/>
        <v>1397.34</v>
      </c>
      <c r="O656" s="342">
        <v>0</v>
      </c>
      <c r="P656" s="347">
        <v>1327.47</v>
      </c>
      <c r="Q656" s="342">
        <v>69.87</v>
      </c>
      <c r="R656" s="342">
        <v>0</v>
      </c>
      <c r="S656" s="342">
        <v>69.87</v>
      </c>
      <c r="T656" s="341" t="s">
        <v>362</v>
      </c>
      <c r="U656" s="342">
        <v>5301010301</v>
      </c>
      <c r="V656" s="342"/>
    </row>
    <row r="657" customHeight="1" spans="1:22">
      <c r="A657" s="343" t="s">
        <v>195</v>
      </c>
      <c r="B657" s="343">
        <v>100095</v>
      </c>
      <c r="C657" s="343" t="s">
        <v>715</v>
      </c>
      <c r="D657" s="344">
        <v>1</v>
      </c>
      <c r="E657" s="343"/>
      <c r="F657" s="345">
        <v>44642</v>
      </c>
      <c r="G657" s="345">
        <v>44642</v>
      </c>
      <c r="H657" s="343">
        <v>202204</v>
      </c>
      <c r="I657" s="344">
        <v>36</v>
      </c>
      <c r="J657" s="342">
        <v>0</v>
      </c>
      <c r="K657" s="346">
        <v>1397.34</v>
      </c>
      <c r="L657" s="346"/>
      <c r="M657" s="346"/>
      <c r="N657" s="346">
        <f t="shared" si="10"/>
        <v>1397.34</v>
      </c>
      <c r="O657" s="342">
        <v>0</v>
      </c>
      <c r="P657" s="347">
        <v>1327.47</v>
      </c>
      <c r="Q657" s="342">
        <v>69.87</v>
      </c>
      <c r="R657" s="342">
        <v>0</v>
      </c>
      <c r="S657" s="342">
        <v>69.87</v>
      </c>
      <c r="T657" s="341" t="s">
        <v>532</v>
      </c>
      <c r="U657" s="342">
        <v>66011201</v>
      </c>
      <c r="V657" s="342"/>
    </row>
    <row r="658" customHeight="1" spans="1:22">
      <c r="A658" s="343" t="s">
        <v>195</v>
      </c>
      <c r="B658" s="343">
        <v>100123</v>
      </c>
      <c r="C658" s="343" t="s">
        <v>554</v>
      </c>
      <c r="D658" s="344">
        <v>1</v>
      </c>
      <c r="E658" s="343"/>
      <c r="F658" s="345">
        <v>44670</v>
      </c>
      <c r="G658" s="345">
        <v>44670</v>
      </c>
      <c r="H658" s="343">
        <v>202205</v>
      </c>
      <c r="I658" s="344">
        <v>36</v>
      </c>
      <c r="J658" s="342">
        <v>0</v>
      </c>
      <c r="K658" s="346">
        <v>5813.27</v>
      </c>
      <c r="L658" s="346"/>
      <c r="M658" s="346"/>
      <c r="N658" s="346">
        <f t="shared" si="10"/>
        <v>5813.27</v>
      </c>
      <c r="O658" s="342">
        <v>0</v>
      </c>
      <c r="P658" s="347">
        <v>5522.61</v>
      </c>
      <c r="Q658" s="342">
        <v>290.66</v>
      </c>
      <c r="R658" s="342">
        <v>0</v>
      </c>
      <c r="S658" s="342">
        <v>290.66</v>
      </c>
      <c r="T658" s="341" t="s">
        <v>362</v>
      </c>
      <c r="U658" s="342">
        <v>5301010301</v>
      </c>
      <c r="V658" s="342"/>
    </row>
    <row r="659" customHeight="1" spans="1:22">
      <c r="A659" s="343" t="s">
        <v>195</v>
      </c>
      <c r="B659" s="343">
        <v>100124</v>
      </c>
      <c r="C659" s="343" t="s">
        <v>718</v>
      </c>
      <c r="D659" s="344">
        <v>1</v>
      </c>
      <c r="E659" s="343"/>
      <c r="F659" s="345">
        <v>44694</v>
      </c>
      <c r="G659" s="345">
        <v>44694</v>
      </c>
      <c r="H659" s="343">
        <v>202206</v>
      </c>
      <c r="I659" s="344">
        <v>36</v>
      </c>
      <c r="J659" s="342">
        <v>0</v>
      </c>
      <c r="K659" s="346">
        <v>5486.72</v>
      </c>
      <c r="L659" s="346"/>
      <c r="M659" s="346"/>
      <c r="N659" s="346">
        <f t="shared" si="10"/>
        <v>5486.72</v>
      </c>
      <c r="O659" s="342">
        <v>0</v>
      </c>
      <c r="P659" s="347">
        <v>5212.38</v>
      </c>
      <c r="Q659" s="342">
        <v>274.34</v>
      </c>
      <c r="R659" s="342">
        <v>0</v>
      </c>
      <c r="S659" s="342">
        <v>274.34</v>
      </c>
      <c r="T659" s="341" t="s">
        <v>296</v>
      </c>
      <c r="U659" s="342">
        <v>66011201</v>
      </c>
      <c r="V659" s="342"/>
    </row>
    <row r="660" customHeight="1" spans="1:22">
      <c r="A660" s="343" t="s">
        <v>195</v>
      </c>
      <c r="B660" s="343">
        <v>100125</v>
      </c>
      <c r="C660" s="343" t="s">
        <v>718</v>
      </c>
      <c r="D660" s="344">
        <v>1</v>
      </c>
      <c r="E660" s="343"/>
      <c r="F660" s="345">
        <v>44694</v>
      </c>
      <c r="G660" s="345">
        <v>44694</v>
      </c>
      <c r="H660" s="343">
        <v>202206</v>
      </c>
      <c r="I660" s="344">
        <v>36</v>
      </c>
      <c r="J660" s="342">
        <v>0</v>
      </c>
      <c r="K660" s="346">
        <v>5486.73</v>
      </c>
      <c r="L660" s="346"/>
      <c r="M660" s="346"/>
      <c r="N660" s="346">
        <f t="shared" si="10"/>
        <v>5486.73</v>
      </c>
      <c r="O660" s="342">
        <v>0</v>
      </c>
      <c r="P660" s="347">
        <v>5212.39</v>
      </c>
      <c r="Q660" s="342">
        <v>274.34</v>
      </c>
      <c r="R660" s="342">
        <v>0</v>
      </c>
      <c r="S660" s="342">
        <v>274.34</v>
      </c>
      <c r="T660" s="341" t="s">
        <v>296</v>
      </c>
      <c r="U660" s="342">
        <v>66011201</v>
      </c>
      <c r="V660" s="342"/>
    </row>
    <row r="661" customHeight="1" spans="1:22">
      <c r="A661" s="343" t="s">
        <v>195</v>
      </c>
      <c r="B661" s="343">
        <v>100126</v>
      </c>
      <c r="C661" s="343" t="s">
        <v>719</v>
      </c>
      <c r="D661" s="344">
        <v>1</v>
      </c>
      <c r="E661" s="343"/>
      <c r="F661" s="345">
        <v>44694</v>
      </c>
      <c r="G661" s="345">
        <v>44694</v>
      </c>
      <c r="H661" s="343">
        <v>202206</v>
      </c>
      <c r="I661" s="344">
        <v>36</v>
      </c>
      <c r="J661" s="342">
        <v>0</v>
      </c>
      <c r="K661" s="346">
        <v>3805.31</v>
      </c>
      <c r="L661" s="346"/>
      <c r="M661" s="346"/>
      <c r="N661" s="346">
        <f t="shared" si="10"/>
        <v>3805.31</v>
      </c>
      <c r="O661" s="342">
        <v>0</v>
      </c>
      <c r="P661" s="347">
        <v>3615.04</v>
      </c>
      <c r="Q661" s="342">
        <v>190.27</v>
      </c>
      <c r="R661" s="342">
        <v>0</v>
      </c>
      <c r="S661" s="342">
        <v>190.27</v>
      </c>
      <c r="T661" s="341" t="s">
        <v>296</v>
      </c>
      <c r="U661" s="342">
        <v>66011201</v>
      </c>
      <c r="V661" s="342"/>
    </row>
    <row r="662" customHeight="1" spans="1:22">
      <c r="A662" s="343" t="s">
        <v>195</v>
      </c>
      <c r="B662" s="343">
        <v>100127</v>
      </c>
      <c r="C662" s="343" t="s">
        <v>720</v>
      </c>
      <c r="D662" s="344">
        <v>1</v>
      </c>
      <c r="E662" s="343"/>
      <c r="F662" s="345">
        <v>44694</v>
      </c>
      <c r="G662" s="345">
        <v>44694</v>
      </c>
      <c r="H662" s="343">
        <v>202206</v>
      </c>
      <c r="I662" s="344">
        <v>36</v>
      </c>
      <c r="J662" s="342">
        <v>0</v>
      </c>
      <c r="K662" s="346">
        <v>3805.31</v>
      </c>
      <c r="L662" s="346"/>
      <c r="M662" s="346"/>
      <c r="N662" s="346">
        <f t="shared" si="10"/>
        <v>3805.31</v>
      </c>
      <c r="O662" s="342">
        <v>0</v>
      </c>
      <c r="P662" s="347">
        <v>3615.04</v>
      </c>
      <c r="Q662" s="342">
        <v>190.27</v>
      </c>
      <c r="R662" s="342">
        <v>0</v>
      </c>
      <c r="S662" s="342">
        <v>190.27</v>
      </c>
      <c r="T662" s="341" t="s">
        <v>296</v>
      </c>
      <c r="U662" s="342">
        <v>66011201</v>
      </c>
      <c r="V662" s="342"/>
    </row>
    <row r="663" customHeight="1" spans="1:22">
      <c r="A663" s="343" t="s">
        <v>195</v>
      </c>
      <c r="B663" s="343">
        <v>100128</v>
      </c>
      <c r="C663" s="343" t="s">
        <v>545</v>
      </c>
      <c r="D663" s="344">
        <v>1</v>
      </c>
      <c r="E663" s="343"/>
      <c r="F663" s="345">
        <v>44719</v>
      </c>
      <c r="G663" s="345">
        <v>44719</v>
      </c>
      <c r="H663" s="343">
        <v>202207</v>
      </c>
      <c r="I663" s="344">
        <v>36</v>
      </c>
      <c r="J663" s="342">
        <v>0</v>
      </c>
      <c r="K663" s="346">
        <v>4379.64</v>
      </c>
      <c r="L663" s="346"/>
      <c r="M663" s="346"/>
      <c r="N663" s="346">
        <f t="shared" si="10"/>
        <v>4379.64</v>
      </c>
      <c r="O663" s="342">
        <v>0</v>
      </c>
      <c r="P663" s="347">
        <v>4160.66</v>
      </c>
      <c r="Q663" s="342">
        <v>218.98</v>
      </c>
      <c r="R663" s="342">
        <v>0</v>
      </c>
      <c r="S663" s="342">
        <v>218.98</v>
      </c>
      <c r="T663" s="341" t="s">
        <v>532</v>
      </c>
      <c r="U663" s="342">
        <v>66021201</v>
      </c>
      <c r="V663" s="342"/>
    </row>
    <row r="664" customHeight="1" spans="1:22">
      <c r="A664" s="343" t="s">
        <v>195</v>
      </c>
      <c r="B664" s="343">
        <v>100129</v>
      </c>
      <c r="C664" s="343" t="s">
        <v>715</v>
      </c>
      <c r="D664" s="344">
        <v>1</v>
      </c>
      <c r="E664" s="343"/>
      <c r="F664" s="345">
        <v>44725</v>
      </c>
      <c r="G664" s="345">
        <v>44725</v>
      </c>
      <c r="H664" s="343">
        <v>202207</v>
      </c>
      <c r="I664" s="344">
        <v>36</v>
      </c>
      <c r="J664" s="342">
        <v>0</v>
      </c>
      <c r="K664" s="346">
        <v>1149.55</v>
      </c>
      <c r="L664" s="346"/>
      <c r="M664" s="346"/>
      <c r="N664" s="346">
        <f t="shared" si="10"/>
        <v>1149.55</v>
      </c>
      <c r="O664" s="342">
        <v>0</v>
      </c>
      <c r="P664" s="347">
        <v>1092.07</v>
      </c>
      <c r="Q664" s="342">
        <v>57.48</v>
      </c>
      <c r="R664" s="342">
        <v>0</v>
      </c>
      <c r="S664" s="342">
        <v>57.48</v>
      </c>
      <c r="T664" s="341" t="s">
        <v>362</v>
      </c>
      <c r="U664" s="342">
        <v>5301010301</v>
      </c>
      <c r="V664" s="342"/>
    </row>
    <row r="665" customHeight="1" spans="1:22">
      <c r="A665" s="343" t="s">
        <v>195</v>
      </c>
      <c r="B665" s="343">
        <v>100130</v>
      </c>
      <c r="C665" s="343" t="s">
        <v>721</v>
      </c>
      <c r="D665" s="344">
        <v>1</v>
      </c>
      <c r="E665" s="343"/>
      <c r="F665" s="345">
        <v>44730</v>
      </c>
      <c r="G665" s="345">
        <v>44730</v>
      </c>
      <c r="H665" s="343">
        <v>202207</v>
      </c>
      <c r="I665" s="344">
        <v>36</v>
      </c>
      <c r="J665" s="342">
        <v>0</v>
      </c>
      <c r="K665" s="346">
        <v>4069.91</v>
      </c>
      <c r="L665" s="346"/>
      <c r="M665" s="346"/>
      <c r="N665" s="346">
        <f t="shared" si="10"/>
        <v>4069.91</v>
      </c>
      <c r="O665" s="342">
        <v>0</v>
      </c>
      <c r="P665" s="347">
        <v>3866.41</v>
      </c>
      <c r="Q665" s="342">
        <v>203.5</v>
      </c>
      <c r="R665" s="342">
        <v>0</v>
      </c>
      <c r="S665" s="342">
        <v>203.5</v>
      </c>
      <c r="T665" s="341" t="s">
        <v>362</v>
      </c>
      <c r="U665" s="342">
        <v>66021201</v>
      </c>
      <c r="V665" s="342"/>
    </row>
    <row r="666" customHeight="1" spans="1:22">
      <c r="A666" s="343" t="s">
        <v>195</v>
      </c>
      <c r="B666" s="343">
        <v>100131</v>
      </c>
      <c r="C666" s="343" t="s">
        <v>545</v>
      </c>
      <c r="D666" s="344">
        <v>1</v>
      </c>
      <c r="E666" s="343"/>
      <c r="F666" s="345">
        <v>44730</v>
      </c>
      <c r="G666" s="345">
        <v>44730</v>
      </c>
      <c r="H666" s="343">
        <v>202207</v>
      </c>
      <c r="I666" s="344">
        <v>36</v>
      </c>
      <c r="J666" s="342">
        <v>0</v>
      </c>
      <c r="K666" s="346">
        <v>4423.89</v>
      </c>
      <c r="L666" s="346"/>
      <c r="M666" s="346"/>
      <c r="N666" s="346">
        <f t="shared" si="10"/>
        <v>4423.89</v>
      </c>
      <c r="O666" s="342">
        <v>0</v>
      </c>
      <c r="P666" s="347">
        <v>4202.7</v>
      </c>
      <c r="Q666" s="342">
        <v>221.19</v>
      </c>
      <c r="R666" s="342">
        <v>0</v>
      </c>
      <c r="S666" s="342">
        <v>221.19</v>
      </c>
      <c r="T666" s="341" t="s">
        <v>362</v>
      </c>
      <c r="U666" s="342">
        <v>66011201</v>
      </c>
      <c r="V666" s="342"/>
    </row>
    <row r="667" customHeight="1" spans="1:22">
      <c r="A667" s="343" t="s">
        <v>195</v>
      </c>
      <c r="B667" s="343">
        <v>100132</v>
      </c>
      <c r="C667" s="343" t="s">
        <v>722</v>
      </c>
      <c r="D667" s="344">
        <v>1</v>
      </c>
      <c r="E667" s="343"/>
      <c r="F667" s="345">
        <v>44763</v>
      </c>
      <c r="G667" s="345">
        <v>44763</v>
      </c>
      <c r="H667" s="343">
        <v>202208</v>
      </c>
      <c r="I667" s="344">
        <v>36</v>
      </c>
      <c r="J667" s="342">
        <v>0</v>
      </c>
      <c r="K667" s="346">
        <v>6016.81</v>
      </c>
      <c r="L667" s="346"/>
      <c r="M667" s="346"/>
      <c r="N667" s="346">
        <f t="shared" si="10"/>
        <v>6016.81</v>
      </c>
      <c r="O667" s="342">
        <v>0</v>
      </c>
      <c r="P667" s="347">
        <v>5715.97</v>
      </c>
      <c r="Q667" s="342">
        <v>300.84</v>
      </c>
      <c r="R667" s="342">
        <v>0</v>
      </c>
      <c r="S667" s="342">
        <v>300.84</v>
      </c>
      <c r="T667" s="341" t="s">
        <v>296</v>
      </c>
      <c r="U667" s="342">
        <v>66021201</v>
      </c>
      <c r="V667" s="342"/>
    </row>
    <row r="668" customHeight="1" spans="1:22">
      <c r="A668" s="343" t="s">
        <v>195</v>
      </c>
      <c r="B668" s="343">
        <v>100133</v>
      </c>
      <c r="C668" s="343" t="s">
        <v>723</v>
      </c>
      <c r="D668" s="344">
        <v>1</v>
      </c>
      <c r="E668" s="343"/>
      <c r="F668" s="345">
        <v>44750</v>
      </c>
      <c r="G668" s="345">
        <v>44750</v>
      </c>
      <c r="H668" s="343">
        <v>202208</v>
      </c>
      <c r="I668" s="344">
        <v>36</v>
      </c>
      <c r="J668" s="342">
        <v>0</v>
      </c>
      <c r="K668" s="346">
        <v>4154.16</v>
      </c>
      <c r="L668" s="346"/>
      <c r="M668" s="346"/>
      <c r="N668" s="346">
        <f t="shared" si="10"/>
        <v>4154.16</v>
      </c>
      <c r="O668" s="342">
        <v>0</v>
      </c>
      <c r="P668" s="347">
        <v>3946.45</v>
      </c>
      <c r="Q668" s="342">
        <v>207.71</v>
      </c>
      <c r="R668" s="342">
        <v>0</v>
      </c>
      <c r="S668" s="342">
        <v>207.71</v>
      </c>
      <c r="T668" s="341" t="s">
        <v>362</v>
      </c>
      <c r="U668" s="342">
        <v>66021201</v>
      </c>
      <c r="V668" s="342"/>
    </row>
    <row r="669" customHeight="1" spans="1:22">
      <c r="A669" s="343" t="s">
        <v>195</v>
      </c>
      <c r="B669" s="343">
        <v>100134</v>
      </c>
      <c r="C669" s="343" t="s">
        <v>724</v>
      </c>
      <c r="D669" s="344">
        <v>1</v>
      </c>
      <c r="E669" s="343"/>
      <c r="F669" s="345">
        <v>44753</v>
      </c>
      <c r="G669" s="345">
        <v>44753</v>
      </c>
      <c r="H669" s="343">
        <v>202208</v>
      </c>
      <c r="I669" s="344">
        <v>36</v>
      </c>
      <c r="J669" s="342">
        <v>0</v>
      </c>
      <c r="K669" s="346">
        <v>7177.88</v>
      </c>
      <c r="L669" s="346"/>
      <c r="M669" s="346"/>
      <c r="N669" s="346">
        <f t="shared" si="10"/>
        <v>7177.88</v>
      </c>
      <c r="O669" s="342">
        <v>0</v>
      </c>
      <c r="P669" s="347">
        <v>6818.99</v>
      </c>
      <c r="Q669" s="342">
        <v>358.89</v>
      </c>
      <c r="R669" s="342">
        <v>0</v>
      </c>
      <c r="S669" s="342">
        <v>358.89</v>
      </c>
      <c r="T669" s="341" t="s">
        <v>362</v>
      </c>
      <c r="U669" s="342">
        <v>66021201</v>
      </c>
      <c r="V669" s="342"/>
    </row>
    <row r="670" customHeight="1" spans="1:22">
      <c r="A670" s="343" t="s">
        <v>195</v>
      </c>
      <c r="B670" s="343">
        <v>100135</v>
      </c>
      <c r="C670" s="343" t="s">
        <v>715</v>
      </c>
      <c r="D670" s="344">
        <v>1</v>
      </c>
      <c r="E670" s="343"/>
      <c r="F670" s="345">
        <v>44740</v>
      </c>
      <c r="G670" s="345">
        <v>44740</v>
      </c>
      <c r="H670" s="343">
        <v>202207</v>
      </c>
      <c r="I670" s="344">
        <v>36</v>
      </c>
      <c r="J670" s="342">
        <v>0</v>
      </c>
      <c r="K670" s="346">
        <v>1272.09</v>
      </c>
      <c r="L670" s="346"/>
      <c r="M670" s="346"/>
      <c r="N670" s="346">
        <f t="shared" si="10"/>
        <v>1272.09</v>
      </c>
      <c r="O670" s="342">
        <v>0</v>
      </c>
      <c r="P670" s="347">
        <v>1208.49</v>
      </c>
      <c r="Q670" s="342">
        <v>63.6</v>
      </c>
      <c r="R670" s="342">
        <v>0</v>
      </c>
      <c r="S670" s="342">
        <v>63.6</v>
      </c>
      <c r="T670" s="341" t="s">
        <v>362</v>
      </c>
      <c r="U670" s="342">
        <v>5301010301</v>
      </c>
      <c r="V670" s="342"/>
    </row>
    <row r="671" customHeight="1" spans="1:22">
      <c r="A671" s="343" t="s">
        <v>195</v>
      </c>
      <c r="B671" s="343">
        <v>100136</v>
      </c>
      <c r="C671" s="343" t="s">
        <v>715</v>
      </c>
      <c r="D671" s="344">
        <v>1</v>
      </c>
      <c r="E671" s="343"/>
      <c r="F671" s="345">
        <v>44740</v>
      </c>
      <c r="G671" s="345">
        <v>44740</v>
      </c>
      <c r="H671" s="343">
        <v>202207</v>
      </c>
      <c r="I671" s="344">
        <v>36</v>
      </c>
      <c r="J671" s="342">
        <v>0</v>
      </c>
      <c r="K671" s="346">
        <v>1272.09</v>
      </c>
      <c r="L671" s="346"/>
      <c r="M671" s="346"/>
      <c r="N671" s="346">
        <f t="shared" si="10"/>
        <v>1272.09</v>
      </c>
      <c r="O671" s="342">
        <v>0</v>
      </c>
      <c r="P671" s="347">
        <v>1208.49</v>
      </c>
      <c r="Q671" s="342">
        <v>63.6</v>
      </c>
      <c r="R671" s="342">
        <v>0</v>
      </c>
      <c r="S671" s="342">
        <v>63.6</v>
      </c>
      <c r="T671" s="341" t="s">
        <v>362</v>
      </c>
      <c r="U671" s="342">
        <v>5301010301</v>
      </c>
      <c r="V671" s="342"/>
    </row>
    <row r="672" customHeight="1" spans="1:22">
      <c r="A672" s="343" t="s">
        <v>195</v>
      </c>
      <c r="B672" s="343">
        <v>100137</v>
      </c>
      <c r="C672" s="343" t="s">
        <v>715</v>
      </c>
      <c r="D672" s="344">
        <v>1</v>
      </c>
      <c r="E672" s="343"/>
      <c r="F672" s="345">
        <v>44740</v>
      </c>
      <c r="G672" s="345">
        <v>44740</v>
      </c>
      <c r="H672" s="343">
        <v>202207</v>
      </c>
      <c r="I672" s="344">
        <v>36</v>
      </c>
      <c r="J672" s="342">
        <v>0</v>
      </c>
      <c r="K672" s="346">
        <v>1272.09</v>
      </c>
      <c r="L672" s="346"/>
      <c r="M672" s="346"/>
      <c r="N672" s="346">
        <f t="shared" si="10"/>
        <v>1272.09</v>
      </c>
      <c r="O672" s="342">
        <v>0</v>
      </c>
      <c r="P672" s="347">
        <v>1208.49</v>
      </c>
      <c r="Q672" s="342">
        <v>63.6</v>
      </c>
      <c r="R672" s="342">
        <v>0</v>
      </c>
      <c r="S672" s="342">
        <v>63.6</v>
      </c>
      <c r="T672" s="341" t="s">
        <v>362</v>
      </c>
      <c r="U672" s="342">
        <v>5301010301</v>
      </c>
      <c r="V672" s="342"/>
    </row>
    <row r="673" customHeight="1" spans="1:22">
      <c r="A673" s="343" t="s">
        <v>195</v>
      </c>
      <c r="B673" s="343">
        <v>100138</v>
      </c>
      <c r="C673" s="343" t="s">
        <v>715</v>
      </c>
      <c r="D673" s="344">
        <v>1</v>
      </c>
      <c r="E673" s="343"/>
      <c r="F673" s="345">
        <v>44740</v>
      </c>
      <c r="G673" s="345">
        <v>44740</v>
      </c>
      <c r="H673" s="343">
        <v>202207</v>
      </c>
      <c r="I673" s="344">
        <v>36</v>
      </c>
      <c r="J673" s="342">
        <v>0</v>
      </c>
      <c r="K673" s="346">
        <v>1272.09</v>
      </c>
      <c r="L673" s="346"/>
      <c r="M673" s="346"/>
      <c r="N673" s="346">
        <f t="shared" si="10"/>
        <v>1272.09</v>
      </c>
      <c r="O673" s="342">
        <v>0</v>
      </c>
      <c r="P673" s="347">
        <v>1208.49</v>
      </c>
      <c r="Q673" s="342">
        <v>63.6</v>
      </c>
      <c r="R673" s="342">
        <v>0</v>
      </c>
      <c r="S673" s="342">
        <v>63.6</v>
      </c>
      <c r="T673" s="341" t="s">
        <v>362</v>
      </c>
      <c r="U673" s="342">
        <v>5301010301</v>
      </c>
      <c r="V673" s="342"/>
    </row>
    <row r="674" customHeight="1" spans="1:22">
      <c r="A674" s="343" t="s">
        <v>195</v>
      </c>
      <c r="B674" s="343">
        <v>100139</v>
      </c>
      <c r="C674" s="343" t="s">
        <v>715</v>
      </c>
      <c r="D674" s="344">
        <v>1</v>
      </c>
      <c r="E674" s="343"/>
      <c r="F674" s="345">
        <v>44740</v>
      </c>
      <c r="G674" s="345">
        <v>44740</v>
      </c>
      <c r="H674" s="343">
        <v>202207</v>
      </c>
      <c r="I674" s="344">
        <v>36</v>
      </c>
      <c r="J674" s="342">
        <v>0</v>
      </c>
      <c r="K674" s="346">
        <v>1272.09</v>
      </c>
      <c r="L674" s="346"/>
      <c r="M674" s="346"/>
      <c r="N674" s="346">
        <f t="shared" si="10"/>
        <v>1272.09</v>
      </c>
      <c r="O674" s="342">
        <v>0</v>
      </c>
      <c r="P674" s="347">
        <v>1208.49</v>
      </c>
      <c r="Q674" s="342">
        <v>63.6</v>
      </c>
      <c r="R674" s="342">
        <v>0</v>
      </c>
      <c r="S674" s="342">
        <v>63.6</v>
      </c>
      <c r="T674" s="341" t="s">
        <v>362</v>
      </c>
      <c r="U674" s="342">
        <v>66021201</v>
      </c>
      <c r="V674" s="342"/>
    </row>
    <row r="675" customHeight="1" spans="1:22">
      <c r="A675" s="343" t="s">
        <v>195</v>
      </c>
      <c r="B675" s="343">
        <v>100140</v>
      </c>
      <c r="C675" s="343" t="s">
        <v>715</v>
      </c>
      <c r="D675" s="344">
        <v>1</v>
      </c>
      <c r="E675" s="343"/>
      <c r="F675" s="345">
        <v>44740</v>
      </c>
      <c r="G675" s="345">
        <v>44740</v>
      </c>
      <c r="H675" s="343">
        <v>202207</v>
      </c>
      <c r="I675" s="344">
        <v>36</v>
      </c>
      <c r="J675" s="342">
        <v>0</v>
      </c>
      <c r="K675" s="346">
        <v>1272.09</v>
      </c>
      <c r="L675" s="346"/>
      <c r="M675" s="346"/>
      <c r="N675" s="346">
        <f t="shared" si="10"/>
        <v>1272.09</v>
      </c>
      <c r="O675" s="342">
        <v>0</v>
      </c>
      <c r="P675" s="347">
        <v>1208.49</v>
      </c>
      <c r="Q675" s="342">
        <v>63.6</v>
      </c>
      <c r="R675" s="342">
        <v>0</v>
      </c>
      <c r="S675" s="342">
        <v>63.6</v>
      </c>
      <c r="T675" s="341" t="s">
        <v>362</v>
      </c>
      <c r="U675" s="342">
        <v>66011201</v>
      </c>
      <c r="V675" s="342"/>
    </row>
    <row r="676" customHeight="1" spans="1:22">
      <c r="A676" s="343" t="s">
        <v>195</v>
      </c>
      <c r="B676" s="343">
        <v>100141</v>
      </c>
      <c r="C676" s="343" t="s">
        <v>715</v>
      </c>
      <c r="D676" s="344">
        <v>1</v>
      </c>
      <c r="E676" s="343"/>
      <c r="F676" s="345">
        <v>44740</v>
      </c>
      <c r="G676" s="345">
        <v>44740</v>
      </c>
      <c r="H676" s="343">
        <v>202207</v>
      </c>
      <c r="I676" s="344">
        <v>36</v>
      </c>
      <c r="J676" s="342">
        <v>0</v>
      </c>
      <c r="K676" s="346">
        <v>1272.09</v>
      </c>
      <c r="L676" s="346"/>
      <c r="M676" s="346"/>
      <c r="N676" s="346">
        <f t="shared" si="10"/>
        <v>1272.09</v>
      </c>
      <c r="O676" s="342">
        <v>0</v>
      </c>
      <c r="P676" s="347">
        <v>1208.49</v>
      </c>
      <c r="Q676" s="342">
        <v>63.6</v>
      </c>
      <c r="R676" s="342">
        <v>0</v>
      </c>
      <c r="S676" s="342">
        <v>63.6</v>
      </c>
      <c r="T676" s="341" t="s">
        <v>362</v>
      </c>
      <c r="U676" s="342">
        <v>66021201</v>
      </c>
      <c r="V676" s="342"/>
    </row>
    <row r="677" customHeight="1" spans="1:22">
      <c r="A677" s="343" t="s">
        <v>195</v>
      </c>
      <c r="B677" s="343">
        <v>100142</v>
      </c>
      <c r="C677" s="343" t="s">
        <v>715</v>
      </c>
      <c r="D677" s="344">
        <v>1</v>
      </c>
      <c r="E677" s="343"/>
      <c r="F677" s="345">
        <v>44740</v>
      </c>
      <c r="G677" s="345">
        <v>44740</v>
      </c>
      <c r="H677" s="343">
        <v>202207</v>
      </c>
      <c r="I677" s="344">
        <v>36</v>
      </c>
      <c r="J677" s="342">
        <v>0</v>
      </c>
      <c r="K677" s="346">
        <v>1272.09</v>
      </c>
      <c r="L677" s="346"/>
      <c r="M677" s="346"/>
      <c r="N677" s="346">
        <f t="shared" si="10"/>
        <v>1272.09</v>
      </c>
      <c r="O677" s="342">
        <v>0</v>
      </c>
      <c r="P677" s="347">
        <v>1208.49</v>
      </c>
      <c r="Q677" s="342">
        <v>63.6</v>
      </c>
      <c r="R677" s="342">
        <v>0</v>
      </c>
      <c r="S677" s="342">
        <v>63.6</v>
      </c>
      <c r="T677" s="341" t="s">
        <v>362</v>
      </c>
      <c r="U677" s="342">
        <v>66021201</v>
      </c>
      <c r="V677" s="342"/>
    </row>
    <row r="678" customHeight="1" spans="1:22">
      <c r="A678" s="343" t="s">
        <v>195</v>
      </c>
      <c r="B678" s="343">
        <v>100143</v>
      </c>
      <c r="C678" s="343" t="s">
        <v>715</v>
      </c>
      <c r="D678" s="344">
        <v>1</v>
      </c>
      <c r="E678" s="343"/>
      <c r="F678" s="345">
        <v>44740</v>
      </c>
      <c r="G678" s="345">
        <v>44740</v>
      </c>
      <c r="H678" s="343">
        <v>202207</v>
      </c>
      <c r="I678" s="344">
        <v>36</v>
      </c>
      <c r="J678" s="342">
        <v>0</v>
      </c>
      <c r="K678" s="346">
        <v>1272.09</v>
      </c>
      <c r="L678" s="346"/>
      <c r="M678" s="346"/>
      <c r="N678" s="346">
        <f t="shared" si="10"/>
        <v>1272.09</v>
      </c>
      <c r="O678" s="342">
        <v>0</v>
      </c>
      <c r="P678" s="347">
        <v>1208.49</v>
      </c>
      <c r="Q678" s="342">
        <v>63.6</v>
      </c>
      <c r="R678" s="342">
        <v>0</v>
      </c>
      <c r="S678" s="342">
        <v>63.6</v>
      </c>
      <c r="T678" s="341" t="s">
        <v>362</v>
      </c>
      <c r="U678" s="342">
        <v>5301010301</v>
      </c>
      <c r="V678" s="342"/>
    </row>
    <row r="679" customHeight="1" spans="1:22">
      <c r="A679" s="343" t="s">
        <v>195</v>
      </c>
      <c r="B679" s="343">
        <v>100144</v>
      </c>
      <c r="C679" s="343" t="s">
        <v>715</v>
      </c>
      <c r="D679" s="344">
        <v>1</v>
      </c>
      <c r="E679" s="343"/>
      <c r="F679" s="345">
        <v>44740</v>
      </c>
      <c r="G679" s="345">
        <v>44740</v>
      </c>
      <c r="H679" s="343">
        <v>202207</v>
      </c>
      <c r="I679" s="344">
        <v>36</v>
      </c>
      <c r="J679" s="342">
        <v>0</v>
      </c>
      <c r="K679" s="346">
        <v>1272.09</v>
      </c>
      <c r="L679" s="346"/>
      <c r="M679" s="346"/>
      <c r="N679" s="346">
        <f t="shared" si="10"/>
        <v>1272.09</v>
      </c>
      <c r="O679" s="342">
        <v>0</v>
      </c>
      <c r="P679" s="347">
        <v>1208.49</v>
      </c>
      <c r="Q679" s="342">
        <v>63.6</v>
      </c>
      <c r="R679" s="342">
        <v>0</v>
      </c>
      <c r="S679" s="342">
        <v>63.6</v>
      </c>
      <c r="T679" s="341" t="s">
        <v>362</v>
      </c>
      <c r="U679" s="342">
        <v>5301010301</v>
      </c>
      <c r="V679" s="342"/>
    </row>
    <row r="680" customHeight="1" spans="1:22">
      <c r="A680" s="343" t="s">
        <v>195</v>
      </c>
      <c r="B680" s="343">
        <v>100145</v>
      </c>
      <c r="C680" s="343" t="s">
        <v>715</v>
      </c>
      <c r="D680" s="344">
        <v>1</v>
      </c>
      <c r="E680" s="343"/>
      <c r="F680" s="345">
        <v>44740</v>
      </c>
      <c r="G680" s="345">
        <v>44740</v>
      </c>
      <c r="H680" s="343">
        <v>202207</v>
      </c>
      <c r="I680" s="344">
        <v>36</v>
      </c>
      <c r="J680" s="342">
        <v>0</v>
      </c>
      <c r="K680" s="346">
        <v>1272.09</v>
      </c>
      <c r="L680" s="346"/>
      <c r="M680" s="346"/>
      <c r="N680" s="346">
        <f t="shared" si="10"/>
        <v>1272.09</v>
      </c>
      <c r="O680" s="342">
        <v>0</v>
      </c>
      <c r="P680" s="347">
        <v>1208.49</v>
      </c>
      <c r="Q680" s="342">
        <v>63.6</v>
      </c>
      <c r="R680" s="342">
        <v>0</v>
      </c>
      <c r="S680" s="342">
        <v>63.6</v>
      </c>
      <c r="T680" s="341" t="s">
        <v>362</v>
      </c>
      <c r="U680" s="342">
        <v>5301010301</v>
      </c>
      <c r="V680" s="342"/>
    </row>
    <row r="681" customHeight="1" spans="1:22">
      <c r="A681" s="343" t="s">
        <v>195</v>
      </c>
      <c r="B681" s="343">
        <v>100146</v>
      </c>
      <c r="C681" s="343" t="s">
        <v>715</v>
      </c>
      <c r="D681" s="344">
        <v>1</v>
      </c>
      <c r="E681" s="343"/>
      <c r="F681" s="345">
        <v>44740</v>
      </c>
      <c r="G681" s="345">
        <v>44740</v>
      </c>
      <c r="H681" s="343">
        <v>202207</v>
      </c>
      <c r="I681" s="344">
        <v>36</v>
      </c>
      <c r="J681" s="342">
        <v>0</v>
      </c>
      <c r="K681" s="346">
        <v>1272.09</v>
      </c>
      <c r="L681" s="346"/>
      <c r="M681" s="346"/>
      <c r="N681" s="346">
        <f t="shared" si="10"/>
        <v>1272.09</v>
      </c>
      <c r="O681" s="342">
        <v>0</v>
      </c>
      <c r="P681" s="347">
        <v>1208.49</v>
      </c>
      <c r="Q681" s="342">
        <v>63.6</v>
      </c>
      <c r="R681" s="342">
        <v>0</v>
      </c>
      <c r="S681" s="342">
        <v>63.6</v>
      </c>
      <c r="T681" s="341" t="s">
        <v>362</v>
      </c>
      <c r="U681" s="342">
        <v>5301010301</v>
      </c>
      <c r="V681" s="342"/>
    </row>
    <row r="682" customHeight="1" spans="1:22">
      <c r="A682" s="343" t="s">
        <v>195</v>
      </c>
      <c r="B682" s="343">
        <v>100147</v>
      </c>
      <c r="C682" s="343" t="s">
        <v>715</v>
      </c>
      <c r="D682" s="344">
        <v>1</v>
      </c>
      <c r="E682" s="343"/>
      <c r="F682" s="345">
        <v>44740</v>
      </c>
      <c r="G682" s="345">
        <v>44740</v>
      </c>
      <c r="H682" s="343">
        <v>202207</v>
      </c>
      <c r="I682" s="344">
        <v>36</v>
      </c>
      <c r="J682" s="342">
        <v>0</v>
      </c>
      <c r="K682" s="346">
        <v>1272.09</v>
      </c>
      <c r="L682" s="346"/>
      <c r="M682" s="346"/>
      <c r="N682" s="346">
        <f t="shared" si="10"/>
        <v>1272.09</v>
      </c>
      <c r="O682" s="342">
        <v>0</v>
      </c>
      <c r="P682" s="347">
        <v>1208.49</v>
      </c>
      <c r="Q682" s="342">
        <v>63.6</v>
      </c>
      <c r="R682" s="342">
        <v>0</v>
      </c>
      <c r="S682" s="342">
        <v>63.6</v>
      </c>
      <c r="T682" s="341" t="s">
        <v>362</v>
      </c>
      <c r="U682" s="342">
        <v>5301010301</v>
      </c>
      <c r="V682" s="342"/>
    </row>
    <row r="683" customHeight="1" spans="1:22">
      <c r="A683" s="343" t="s">
        <v>195</v>
      </c>
      <c r="B683" s="343">
        <v>100148</v>
      </c>
      <c r="C683" s="343" t="s">
        <v>545</v>
      </c>
      <c r="D683" s="344">
        <v>1</v>
      </c>
      <c r="E683" s="343"/>
      <c r="F683" s="345">
        <v>44740</v>
      </c>
      <c r="G683" s="345">
        <v>44740</v>
      </c>
      <c r="H683" s="343">
        <v>202207</v>
      </c>
      <c r="I683" s="344">
        <v>36</v>
      </c>
      <c r="J683" s="342">
        <v>0</v>
      </c>
      <c r="K683" s="346">
        <v>4424</v>
      </c>
      <c r="L683" s="346"/>
      <c r="M683" s="346"/>
      <c r="N683" s="346">
        <f t="shared" si="10"/>
        <v>4424</v>
      </c>
      <c r="O683" s="342">
        <v>0</v>
      </c>
      <c r="P683" s="347">
        <v>4202.8</v>
      </c>
      <c r="Q683" s="342">
        <v>221.2</v>
      </c>
      <c r="R683" s="342">
        <v>0</v>
      </c>
      <c r="S683" s="342">
        <v>221.2</v>
      </c>
      <c r="T683" s="341" t="s">
        <v>362</v>
      </c>
      <c r="U683" s="342">
        <v>66021201</v>
      </c>
      <c r="V683" s="342"/>
    </row>
    <row r="684" customHeight="1" spans="1:22">
      <c r="A684" s="343" t="s">
        <v>195</v>
      </c>
      <c r="B684" s="343">
        <v>100149</v>
      </c>
      <c r="C684" s="343" t="s">
        <v>545</v>
      </c>
      <c r="D684" s="344">
        <v>1</v>
      </c>
      <c r="E684" s="343"/>
      <c r="F684" s="345">
        <v>44740</v>
      </c>
      <c r="G684" s="345">
        <v>44740</v>
      </c>
      <c r="H684" s="343">
        <v>202207</v>
      </c>
      <c r="I684" s="344">
        <v>36</v>
      </c>
      <c r="J684" s="342">
        <v>0</v>
      </c>
      <c r="K684" s="346">
        <v>4423.79</v>
      </c>
      <c r="L684" s="346"/>
      <c r="M684" s="346"/>
      <c r="N684" s="346">
        <f t="shared" si="10"/>
        <v>4423.79</v>
      </c>
      <c r="O684" s="342">
        <v>0</v>
      </c>
      <c r="P684" s="347">
        <v>4202.6</v>
      </c>
      <c r="Q684" s="342">
        <v>221.19</v>
      </c>
      <c r="R684" s="342">
        <v>0</v>
      </c>
      <c r="S684" s="342">
        <v>221.19</v>
      </c>
      <c r="T684" s="341" t="s">
        <v>362</v>
      </c>
      <c r="U684" s="342">
        <v>66021201</v>
      </c>
      <c r="V684" s="342"/>
    </row>
    <row r="685" customHeight="1" spans="1:22">
      <c r="A685" s="343" t="s">
        <v>195</v>
      </c>
      <c r="B685" s="343">
        <v>100150</v>
      </c>
      <c r="C685" s="343" t="s">
        <v>545</v>
      </c>
      <c r="D685" s="344">
        <v>1</v>
      </c>
      <c r="E685" s="343"/>
      <c r="F685" s="345">
        <v>44740</v>
      </c>
      <c r="G685" s="345">
        <v>44740</v>
      </c>
      <c r="H685" s="343">
        <v>202207</v>
      </c>
      <c r="I685" s="344">
        <v>36</v>
      </c>
      <c r="J685" s="342">
        <v>0</v>
      </c>
      <c r="K685" s="346">
        <v>5131.86</v>
      </c>
      <c r="L685" s="346"/>
      <c r="M685" s="346"/>
      <c r="N685" s="346">
        <f t="shared" si="10"/>
        <v>5131.86</v>
      </c>
      <c r="O685" s="342">
        <v>0</v>
      </c>
      <c r="P685" s="347">
        <v>4875.27</v>
      </c>
      <c r="Q685" s="342">
        <v>256.59</v>
      </c>
      <c r="R685" s="342">
        <v>0</v>
      </c>
      <c r="S685" s="342">
        <v>256.59</v>
      </c>
      <c r="T685" s="341" t="s">
        <v>362</v>
      </c>
      <c r="U685" s="342">
        <v>5301010301</v>
      </c>
      <c r="V685" s="342"/>
    </row>
    <row r="686" customHeight="1" spans="1:22">
      <c r="A686" s="343" t="s">
        <v>195</v>
      </c>
      <c r="B686" s="343">
        <v>100151</v>
      </c>
      <c r="C686" s="343" t="s">
        <v>716</v>
      </c>
      <c r="D686" s="344">
        <v>1</v>
      </c>
      <c r="E686" s="343"/>
      <c r="F686" s="345">
        <v>44740</v>
      </c>
      <c r="G686" s="345">
        <v>44740</v>
      </c>
      <c r="H686" s="343">
        <v>202207</v>
      </c>
      <c r="I686" s="344">
        <v>36</v>
      </c>
      <c r="J686" s="342">
        <v>0</v>
      </c>
      <c r="K686" s="346">
        <v>2388.49</v>
      </c>
      <c r="L686" s="346"/>
      <c r="M686" s="346"/>
      <c r="N686" s="346">
        <f t="shared" si="10"/>
        <v>2388.49</v>
      </c>
      <c r="O686" s="342">
        <v>0</v>
      </c>
      <c r="P686" s="347">
        <v>2269.07</v>
      </c>
      <c r="Q686" s="342">
        <v>119.42</v>
      </c>
      <c r="R686" s="342">
        <v>0</v>
      </c>
      <c r="S686" s="342">
        <v>119.42</v>
      </c>
      <c r="T686" s="341" t="s">
        <v>362</v>
      </c>
      <c r="U686" s="342">
        <v>5301010301</v>
      </c>
      <c r="V686" s="342"/>
    </row>
    <row r="687" customHeight="1" spans="1:22">
      <c r="A687" s="343" t="s">
        <v>195</v>
      </c>
      <c r="B687" s="343">
        <v>100152</v>
      </c>
      <c r="C687" s="343" t="s">
        <v>716</v>
      </c>
      <c r="D687" s="344">
        <v>1</v>
      </c>
      <c r="E687" s="343"/>
      <c r="F687" s="345">
        <v>44740</v>
      </c>
      <c r="G687" s="345">
        <v>44740</v>
      </c>
      <c r="H687" s="343">
        <v>202207</v>
      </c>
      <c r="I687" s="344">
        <v>36</v>
      </c>
      <c r="J687" s="342">
        <v>0</v>
      </c>
      <c r="K687" s="346">
        <v>2388.5</v>
      </c>
      <c r="L687" s="346"/>
      <c r="M687" s="346"/>
      <c r="N687" s="346">
        <f t="shared" si="10"/>
        <v>2388.5</v>
      </c>
      <c r="O687" s="342">
        <v>0</v>
      </c>
      <c r="P687" s="347">
        <v>2269.07</v>
      </c>
      <c r="Q687" s="342">
        <v>119.43</v>
      </c>
      <c r="R687" s="342">
        <v>0</v>
      </c>
      <c r="S687" s="342">
        <v>119.43</v>
      </c>
      <c r="T687" s="341" t="s">
        <v>362</v>
      </c>
      <c r="U687" s="342">
        <v>5301010301</v>
      </c>
      <c r="V687" s="342"/>
    </row>
    <row r="688" customHeight="1" spans="1:22">
      <c r="A688" s="343" t="s">
        <v>195</v>
      </c>
      <c r="B688" s="343">
        <v>100153</v>
      </c>
      <c r="C688" s="343" t="s">
        <v>716</v>
      </c>
      <c r="D688" s="344">
        <v>1</v>
      </c>
      <c r="E688" s="343"/>
      <c r="F688" s="345">
        <v>44740</v>
      </c>
      <c r="G688" s="345">
        <v>44740</v>
      </c>
      <c r="H688" s="343">
        <v>202207</v>
      </c>
      <c r="I688" s="344">
        <v>36</v>
      </c>
      <c r="J688" s="342">
        <v>0</v>
      </c>
      <c r="K688" s="346">
        <v>2388.5</v>
      </c>
      <c r="L688" s="346"/>
      <c r="M688" s="346"/>
      <c r="N688" s="346">
        <f t="shared" si="10"/>
        <v>2388.5</v>
      </c>
      <c r="O688" s="342">
        <v>0</v>
      </c>
      <c r="P688" s="347">
        <v>2269.07</v>
      </c>
      <c r="Q688" s="342">
        <v>119.43</v>
      </c>
      <c r="R688" s="342">
        <v>0</v>
      </c>
      <c r="S688" s="342">
        <v>119.43</v>
      </c>
      <c r="T688" s="341" t="s">
        <v>362</v>
      </c>
      <c r="U688" s="342">
        <v>5301010301</v>
      </c>
      <c r="V688" s="342"/>
    </row>
    <row r="689" customHeight="1" spans="1:22">
      <c r="A689" s="343" t="s">
        <v>195</v>
      </c>
      <c r="B689" s="343">
        <v>100154</v>
      </c>
      <c r="C689" s="343" t="s">
        <v>716</v>
      </c>
      <c r="D689" s="344">
        <v>1</v>
      </c>
      <c r="E689" s="343"/>
      <c r="F689" s="345">
        <v>44740</v>
      </c>
      <c r="G689" s="345">
        <v>44740</v>
      </c>
      <c r="H689" s="343">
        <v>202207</v>
      </c>
      <c r="I689" s="344">
        <v>36</v>
      </c>
      <c r="J689" s="342">
        <v>0</v>
      </c>
      <c r="K689" s="346">
        <v>2123.04</v>
      </c>
      <c r="L689" s="346"/>
      <c r="M689" s="346"/>
      <c r="N689" s="346">
        <f t="shared" si="10"/>
        <v>2123.04</v>
      </c>
      <c r="O689" s="342">
        <v>0</v>
      </c>
      <c r="P689" s="347">
        <v>2016.89</v>
      </c>
      <c r="Q689" s="342">
        <v>106.15</v>
      </c>
      <c r="R689" s="342">
        <v>0</v>
      </c>
      <c r="S689" s="342">
        <v>106.15</v>
      </c>
      <c r="T689" s="341" t="s">
        <v>532</v>
      </c>
      <c r="U689" s="342">
        <v>66011201</v>
      </c>
      <c r="V689" s="342"/>
    </row>
    <row r="690" customHeight="1" spans="1:22">
      <c r="A690" s="343" t="s">
        <v>195</v>
      </c>
      <c r="B690" s="343">
        <v>100155</v>
      </c>
      <c r="C690" s="343" t="s">
        <v>716</v>
      </c>
      <c r="D690" s="344">
        <v>1</v>
      </c>
      <c r="E690" s="343"/>
      <c r="F690" s="345">
        <v>44740</v>
      </c>
      <c r="G690" s="345">
        <v>44740</v>
      </c>
      <c r="H690" s="343">
        <v>202207</v>
      </c>
      <c r="I690" s="344">
        <v>36</v>
      </c>
      <c r="J690" s="342">
        <v>0</v>
      </c>
      <c r="K690" s="346">
        <v>2123</v>
      </c>
      <c r="L690" s="346"/>
      <c r="M690" s="346"/>
      <c r="N690" s="346">
        <f t="shared" si="10"/>
        <v>2123</v>
      </c>
      <c r="O690" s="342">
        <v>0</v>
      </c>
      <c r="P690" s="347">
        <v>2016.85</v>
      </c>
      <c r="Q690" s="342">
        <v>106.15</v>
      </c>
      <c r="R690" s="342">
        <v>0</v>
      </c>
      <c r="S690" s="342">
        <v>106.15</v>
      </c>
      <c r="T690" s="341" t="s">
        <v>362</v>
      </c>
      <c r="U690" s="342">
        <v>5301010301</v>
      </c>
      <c r="V690" s="342"/>
    </row>
    <row r="691" customHeight="1" spans="1:22">
      <c r="A691" s="343" t="s">
        <v>195</v>
      </c>
      <c r="B691" s="343">
        <v>100156</v>
      </c>
      <c r="C691" s="343" t="s">
        <v>716</v>
      </c>
      <c r="D691" s="344">
        <v>1</v>
      </c>
      <c r="E691" s="343"/>
      <c r="F691" s="345">
        <v>44740</v>
      </c>
      <c r="G691" s="345">
        <v>44740</v>
      </c>
      <c r="H691" s="343">
        <v>202207</v>
      </c>
      <c r="I691" s="344">
        <v>36</v>
      </c>
      <c r="J691" s="342">
        <v>0</v>
      </c>
      <c r="K691" s="346">
        <v>2123</v>
      </c>
      <c r="L691" s="346"/>
      <c r="M691" s="346"/>
      <c r="N691" s="346">
        <f t="shared" si="10"/>
        <v>2123</v>
      </c>
      <c r="O691" s="342">
        <v>0</v>
      </c>
      <c r="P691" s="347">
        <v>2016.85</v>
      </c>
      <c r="Q691" s="342">
        <v>106.15</v>
      </c>
      <c r="R691" s="342">
        <v>0</v>
      </c>
      <c r="S691" s="342">
        <v>106.15</v>
      </c>
      <c r="T691" s="341" t="s">
        <v>296</v>
      </c>
      <c r="U691" s="342">
        <v>66021201</v>
      </c>
      <c r="V691" s="342"/>
    </row>
    <row r="692" customHeight="1" spans="1:22">
      <c r="A692" s="343" t="s">
        <v>195</v>
      </c>
      <c r="B692" s="343">
        <v>100157</v>
      </c>
      <c r="C692" s="343" t="s">
        <v>716</v>
      </c>
      <c r="D692" s="344">
        <v>1</v>
      </c>
      <c r="E692" s="343"/>
      <c r="F692" s="345">
        <v>44740</v>
      </c>
      <c r="G692" s="345">
        <v>44740</v>
      </c>
      <c r="H692" s="343">
        <v>202207</v>
      </c>
      <c r="I692" s="344">
        <v>36</v>
      </c>
      <c r="J692" s="342">
        <v>0</v>
      </c>
      <c r="K692" s="346">
        <v>2123</v>
      </c>
      <c r="L692" s="346"/>
      <c r="M692" s="346"/>
      <c r="N692" s="346">
        <f t="shared" si="10"/>
        <v>2123</v>
      </c>
      <c r="O692" s="342">
        <v>0</v>
      </c>
      <c r="P692" s="347">
        <v>2016.85</v>
      </c>
      <c r="Q692" s="342">
        <v>106.15</v>
      </c>
      <c r="R692" s="342">
        <v>0</v>
      </c>
      <c r="S692" s="342">
        <v>106.15</v>
      </c>
      <c r="T692" s="341" t="s">
        <v>532</v>
      </c>
      <c r="U692" s="342">
        <v>66011201</v>
      </c>
      <c r="V692" s="342"/>
    </row>
    <row r="693" customHeight="1" spans="1:22">
      <c r="A693" s="343" t="s">
        <v>195</v>
      </c>
      <c r="B693" s="343">
        <v>100158</v>
      </c>
      <c r="C693" s="343" t="s">
        <v>716</v>
      </c>
      <c r="D693" s="344">
        <v>1</v>
      </c>
      <c r="E693" s="343"/>
      <c r="F693" s="345">
        <v>44740</v>
      </c>
      <c r="G693" s="345">
        <v>44740</v>
      </c>
      <c r="H693" s="343">
        <v>202207</v>
      </c>
      <c r="I693" s="344">
        <v>36</v>
      </c>
      <c r="J693" s="342">
        <v>0</v>
      </c>
      <c r="K693" s="346">
        <v>2123</v>
      </c>
      <c r="L693" s="346"/>
      <c r="M693" s="346"/>
      <c r="N693" s="346">
        <f t="shared" si="10"/>
        <v>2123</v>
      </c>
      <c r="O693" s="342">
        <v>0</v>
      </c>
      <c r="P693" s="347">
        <v>2016.85</v>
      </c>
      <c r="Q693" s="342">
        <v>106.15</v>
      </c>
      <c r="R693" s="342">
        <v>0</v>
      </c>
      <c r="S693" s="342">
        <v>106.15</v>
      </c>
      <c r="T693" s="341" t="s">
        <v>362</v>
      </c>
      <c r="U693" s="342">
        <v>66021201</v>
      </c>
      <c r="V693" s="342"/>
    </row>
    <row r="694" customHeight="1" spans="1:22">
      <c r="A694" s="343" t="s">
        <v>195</v>
      </c>
      <c r="B694" s="343">
        <v>100162</v>
      </c>
      <c r="C694" s="343" t="s">
        <v>578</v>
      </c>
      <c r="D694" s="344">
        <v>1</v>
      </c>
      <c r="E694" s="343"/>
      <c r="F694" s="345">
        <v>44279</v>
      </c>
      <c r="G694" s="345">
        <v>44279</v>
      </c>
      <c r="H694" s="343">
        <v>202104</v>
      </c>
      <c r="I694" s="344">
        <v>36</v>
      </c>
      <c r="J694" s="342">
        <v>0</v>
      </c>
      <c r="K694" s="346">
        <v>983.84</v>
      </c>
      <c r="L694" s="346"/>
      <c r="M694" s="346"/>
      <c r="N694" s="346">
        <f t="shared" si="10"/>
        <v>983.84</v>
      </c>
      <c r="O694" s="342">
        <v>0</v>
      </c>
      <c r="P694" s="347">
        <v>934.65</v>
      </c>
      <c r="Q694" s="342">
        <v>49.19</v>
      </c>
      <c r="R694" s="342">
        <v>0</v>
      </c>
      <c r="S694" s="342">
        <v>49.19</v>
      </c>
      <c r="T694" s="341" t="s">
        <v>362</v>
      </c>
      <c r="U694" s="342">
        <v>5301010301</v>
      </c>
      <c r="V694" s="342"/>
    </row>
    <row r="695" customHeight="1" spans="1:22">
      <c r="A695" s="343" t="s">
        <v>195</v>
      </c>
      <c r="B695" s="343">
        <v>100164</v>
      </c>
      <c r="C695" s="343" t="s">
        <v>578</v>
      </c>
      <c r="D695" s="344">
        <v>1</v>
      </c>
      <c r="E695" s="343"/>
      <c r="F695" s="345">
        <v>44279</v>
      </c>
      <c r="G695" s="345">
        <v>44279</v>
      </c>
      <c r="H695" s="343">
        <v>202104</v>
      </c>
      <c r="I695" s="344">
        <v>36</v>
      </c>
      <c r="J695" s="342">
        <v>0</v>
      </c>
      <c r="K695" s="346">
        <v>870.28</v>
      </c>
      <c r="L695" s="346"/>
      <c r="M695" s="346"/>
      <c r="N695" s="346">
        <f t="shared" si="10"/>
        <v>870.28</v>
      </c>
      <c r="O695" s="342">
        <v>0</v>
      </c>
      <c r="P695" s="347">
        <v>826.77</v>
      </c>
      <c r="Q695" s="342">
        <v>43.51</v>
      </c>
      <c r="R695" s="342">
        <v>0</v>
      </c>
      <c r="S695" s="342">
        <v>43.51</v>
      </c>
      <c r="T695" s="341" t="s">
        <v>362</v>
      </c>
      <c r="U695" s="342">
        <v>5301010301</v>
      </c>
      <c r="V695" s="342"/>
    </row>
    <row r="696" customHeight="1" spans="1:22">
      <c r="A696" s="343" t="s">
        <v>195</v>
      </c>
      <c r="B696" s="343">
        <v>100165</v>
      </c>
      <c r="C696" s="343" t="s">
        <v>578</v>
      </c>
      <c r="D696" s="344">
        <v>1</v>
      </c>
      <c r="E696" s="343"/>
      <c r="F696" s="345">
        <v>44279</v>
      </c>
      <c r="G696" s="345">
        <v>44279</v>
      </c>
      <c r="H696" s="343">
        <v>202104</v>
      </c>
      <c r="I696" s="344">
        <v>36</v>
      </c>
      <c r="J696" s="342">
        <v>0</v>
      </c>
      <c r="K696" s="346">
        <v>870.28</v>
      </c>
      <c r="L696" s="346"/>
      <c r="M696" s="346"/>
      <c r="N696" s="346">
        <f t="shared" si="10"/>
        <v>870.28</v>
      </c>
      <c r="O696" s="342">
        <v>0</v>
      </c>
      <c r="P696" s="347">
        <v>826.77</v>
      </c>
      <c r="Q696" s="342">
        <v>43.51</v>
      </c>
      <c r="R696" s="342">
        <v>0</v>
      </c>
      <c r="S696" s="342">
        <v>43.51</v>
      </c>
      <c r="T696" s="341" t="s">
        <v>532</v>
      </c>
      <c r="U696" s="342">
        <v>5301010301</v>
      </c>
      <c r="V696" s="342"/>
    </row>
    <row r="697" customHeight="1" spans="1:22">
      <c r="A697" s="343" t="s">
        <v>195</v>
      </c>
      <c r="B697" s="343">
        <v>100167</v>
      </c>
      <c r="C697" s="343" t="s">
        <v>578</v>
      </c>
      <c r="D697" s="344">
        <v>1</v>
      </c>
      <c r="E697" s="343"/>
      <c r="F697" s="345">
        <v>44279</v>
      </c>
      <c r="G697" s="345">
        <v>44279</v>
      </c>
      <c r="H697" s="343">
        <v>202104</v>
      </c>
      <c r="I697" s="344">
        <v>36</v>
      </c>
      <c r="J697" s="342">
        <v>0</v>
      </c>
      <c r="K697" s="346">
        <v>870.28</v>
      </c>
      <c r="L697" s="346"/>
      <c r="M697" s="346"/>
      <c r="N697" s="346">
        <f t="shared" si="10"/>
        <v>870.28</v>
      </c>
      <c r="O697" s="342">
        <v>0</v>
      </c>
      <c r="P697" s="347">
        <v>826.77</v>
      </c>
      <c r="Q697" s="342">
        <v>43.51</v>
      </c>
      <c r="R697" s="342">
        <v>0</v>
      </c>
      <c r="S697" s="342">
        <v>43.51</v>
      </c>
      <c r="T697" s="341" t="s">
        <v>362</v>
      </c>
      <c r="U697" s="342">
        <v>5301010301</v>
      </c>
      <c r="V697" s="342"/>
    </row>
    <row r="698" customHeight="1" spans="1:22">
      <c r="A698" s="343" t="s">
        <v>195</v>
      </c>
      <c r="B698" s="343">
        <v>100170</v>
      </c>
      <c r="C698" s="343" t="s">
        <v>578</v>
      </c>
      <c r="D698" s="344">
        <v>1</v>
      </c>
      <c r="E698" s="343"/>
      <c r="F698" s="345">
        <v>44279</v>
      </c>
      <c r="G698" s="345">
        <v>44279</v>
      </c>
      <c r="H698" s="343">
        <v>202104</v>
      </c>
      <c r="I698" s="344">
        <v>36</v>
      </c>
      <c r="J698" s="342">
        <v>0</v>
      </c>
      <c r="K698" s="346">
        <v>983.84</v>
      </c>
      <c r="L698" s="346"/>
      <c r="M698" s="346"/>
      <c r="N698" s="346">
        <f t="shared" si="10"/>
        <v>983.84</v>
      </c>
      <c r="O698" s="342">
        <v>0</v>
      </c>
      <c r="P698" s="347">
        <v>934.65</v>
      </c>
      <c r="Q698" s="342">
        <v>49.19</v>
      </c>
      <c r="R698" s="342">
        <v>0</v>
      </c>
      <c r="S698" s="342">
        <v>49.19</v>
      </c>
      <c r="T698" s="341" t="s">
        <v>362</v>
      </c>
      <c r="U698" s="342">
        <v>5301010301</v>
      </c>
      <c r="V698" s="342"/>
    </row>
    <row r="699" customHeight="1" spans="1:22">
      <c r="A699" s="343" t="s">
        <v>195</v>
      </c>
      <c r="B699" s="343">
        <v>100172</v>
      </c>
      <c r="C699" s="343" t="s">
        <v>578</v>
      </c>
      <c r="D699" s="344">
        <v>1</v>
      </c>
      <c r="E699" s="343"/>
      <c r="F699" s="345">
        <v>44279</v>
      </c>
      <c r="G699" s="345">
        <v>44279</v>
      </c>
      <c r="H699" s="343">
        <v>202104</v>
      </c>
      <c r="I699" s="344">
        <v>36</v>
      </c>
      <c r="J699" s="342">
        <v>0</v>
      </c>
      <c r="K699" s="346">
        <v>870.28</v>
      </c>
      <c r="L699" s="346"/>
      <c r="M699" s="346"/>
      <c r="N699" s="346">
        <f t="shared" si="10"/>
        <v>870.28</v>
      </c>
      <c r="O699" s="342">
        <v>0</v>
      </c>
      <c r="P699" s="347">
        <v>826.77</v>
      </c>
      <c r="Q699" s="342">
        <v>43.51</v>
      </c>
      <c r="R699" s="342">
        <v>0</v>
      </c>
      <c r="S699" s="342">
        <v>43.51</v>
      </c>
      <c r="T699" s="341" t="s">
        <v>362</v>
      </c>
      <c r="U699" s="342">
        <v>5301010301</v>
      </c>
      <c r="V699" s="342"/>
    </row>
    <row r="700" customHeight="1" spans="1:22">
      <c r="A700" s="343" t="s">
        <v>195</v>
      </c>
      <c r="B700" s="343">
        <v>100173</v>
      </c>
      <c r="C700" s="343" t="s">
        <v>578</v>
      </c>
      <c r="D700" s="344">
        <v>1</v>
      </c>
      <c r="E700" s="343"/>
      <c r="F700" s="345">
        <v>44279</v>
      </c>
      <c r="G700" s="345">
        <v>44279</v>
      </c>
      <c r="H700" s="343">
        <v>202104</v>
      </c>
      <c r="I700" s="344">
        <v>36</v>
      </c>
      <c r="J700" s="342">
        <v>0</v>
      </c>
      <c r="K700" s="346">
        <v>870.28</v>
      </c>
      <c r="L700" s="346"/>
      <c r="M700" s="346"/>
      <c r="N700" s="346">
        <f t="shared" si="10"/>
        <v>870.28</v>
      </c>
      <c r="O700" s="342">
        <v>0</v>
      </c>
      <c r="P700" s="347">
        <v>826.77</v>
      </c>
      <c r="Q700" s="342">
        <v>43.51</v>
      </c>
      <c r="R700" s="342">
        <v>0</v>
      </c>
      <c r="S700" s="342">
        <v>43.51</v>
      </c>
      <c r="T700" s="341" t="s">
        <v>362</v>
      </c>
      <c r="U700" s="342">
        <v>66021201</v>
      </c>
      <c r="V700" s="342"/>
    </row>
    <row r="701" customHeight="1" spans="1:22">
      <c r="A701" s="343" t="s">
        <v>195</v>
      </c>
      <c r="B701" s="343">
        <v>100177</v>
      </c>
      <c r="C701" s="343" t="s">
        <v>578</v>
      </c>
      <c r="D701" s="344">
        <v>1</v>
      </c>
      <c r="E701" s="343"/>
      <c r="F701" s="345">
        <v>44279</v>
      </c>
      <c r="G701" s="345">
        <v>44279</v>
      </c>
      <c r="H701" s="343">
        <v>202104</v>
      </c>
      <c r="I701" s="344">
        <v>36</v>
      </c>
      <c r="J701" s="342">
        <v>0</v>
      </c>
      <c r="K701" s="346">
        <v>870.28</v>
      </c>
      <c r="L701" s="346"/>
      <c r="M701" s="346"/>
      <c r="N701" s="346">
        <f t="shared" si="10"/>
        <v>870.28</v>
      </c>
      <c r="O701" s="342">
        <v>0</v>
      </c>
      <c r="P701" s="347">
        <v>826.77</v>
      </c>
      <c r="Q701" s="342">
        <v>43.51</v>
      </c>
      <c r="R701" s="342">
        <v>0</v>
      </c>
      <c r="S701" s="342">
        <v>43.51</v>
      </c>
      <c r="T701" s="341" t="s">
        <v>362</v>
      </c>
      <c r="U701" s="342">
        <v>5301010301</v>
      </c>
      <c r="V701" s="342"/>
    </row>
    <row r="702" customHeight="1" spans="1:22">
      <c r="A702" s="343" t="s">
        <v>195</v>
      </c>
      <c r="B702" s="343">
        <v>100178</v>
      </c>
      <c r="C702" s="343" t="s">
        <v>559</v>
      </c>
      <c r="D702" s="344">
        <v>1</v>
      </c>
      <c r="E702" s="343"/>
      <c r="F702" s="345">
        <v>44279</v>
      </c>
      <c r="G702" s="345">
        <v>44279</v>
      </c>
      <c r="H702" s="343">
        <v>202104</v>
      </c>
      <c r="I702" s="344">
        <v>36</v>
      </c>
      <c r="J702" s="342">
        <v>0</v>
      </c>
      <c r="K702" s="346">
        <v>531.1</v>
      </c>
      <c r="L702" s="346"/>
      <c r="M702" s="346"/>
      <c r="N702" s="346">
        <f t="shared" si="10"/>
        <v>531.1</v>
      </c>
      <c r="O702" s="342">
        <v>0</v>
      </c>
      <c r="P702" s="347">
        <v>504.54</v>
      </c>
      <c r="Q702" s="342">
        <v>26.56</v>
      </c>
      <c r="R702" s="342">
        <v>0</v>
      </c>
      <c r="S702" s="342">
        <v>26.56</v>
      </c>
      <c r="T702" s="341" t="s">
        <v>362</v>
      </c>
      <c r="U702" s="342">
        <v>5301010301</v>
      </c>
      <c r="V702" s="342"/>
    </row>
    <row r="703" customHeight="1" spans="1:22">
      <c r="A703" s="343" t="s">
        <v>195</v>
      </c>
      <c r="B703" s="343">
        <v>100179</v>
      </c>
      <c r="C703" s="343" t="s">
        <v>559</v>
      </c>
      <c r="D703" s="344">
        <v>1</v>
      </c>
      <c r="E703" s="343"/>
      <c r="F703" s="345">
        <v>44279</v>
      </c>
      <c r="G703" s="345">
        <v>44279</v>
      </c>
      <c r="H703" s="343">
        <v>202104</v>
      </c>
      <c r="I703" s="344">
        <v>36</v>
      </c>
      <c r="J703" s="342">
        <v>0</v>
      </c>
      <c r="K703" s="346">
        <v>531.1</v>
      </c>
      <c r="L703" s="346"/>
      <c r="M703" s="346"/>
      <c r="N703" s="346">
        <f t="shared" si="10"/>
        <v>531.1</v>
      </c>
      <c r="O703" s="342">
        <v>0</v>
      </c>
      <c r="P703" s="347">
        <v>504.54</v>
      </c>
      <c r="Q703" s="342">
        <v>26.56</v>
      </c>
      <c r="R703" s="342">
        <v>0</v>
      </c>
      <c r="S703" s="342">
        <v>26.56</v>
      </c>
      <c r="T703" s="341" t="s">
        <v>362</v>
      </c>
      <c r="U703" s="342">
        <v>5301010301</v>
      </c>
      <c r="V703" s="342"/>
    </row>
    <row r="704" customHeight="1" spans="1:22">
      <c r="A704" s="343" t="s">
        <v>195</v>
      </c>
      <c r="B704" s="343">
        <v>100180</v>
      </c>
      <c r="C704" s="343" t="s">
        <v>559</v>
      </c>
      <c r="D704" s="344">
        <v>1</v>
      </c>
      <c r="E704" s="343"/>
      <c r="F704" s="345">
        <v>44279</v>
      </c>
      <c r="G704" s="345">
        <v>44279</v>
      </c>
      <c r="H704" s="343">
        <v>202104</v>
      </c>
      <c r="I704" s="344">
        <v>36</v>
      </c>
      <c r="J704" s="342">
        <v>0</v>
      </c>
      <c r="K704" s="346">
        <v>531.1</v>
      </c>
      <c r="L704" s="346"/>
      <c r="M704" s="346"/>
      <c r="N704" s="346">
        <f t="shared" si="10"/>
        <v>531.1</v>
      </c>
      <c r="O704" s="342">
        <v>0</v>
      </c>
      <c r="P704" s="347">
        <v>504.54</v>
      </c>
      <c r="Q704" s="342">
        <v>26.56</v>
      </c>
      <c r="R704" s="342">
        <v>0</v>
      </c>
      <c r="S704" s="342">
        <v>26.56</v>
      </c>
      <c r="T704" s="341" t="s">
        <v>362</v>
      </c>
      <c r="U704" s="342">
        <v>5301010301</v>
      </c>
      <c r="V704" s="342"/>
    </row>
    <row r="705" customHeight="1" spans="1:22">
      <c r="A705" s="343" t="s">
        <v>195</v>
      </c>
      <c r="B705" s="343">
        <v>100181</v>
      </c>
      <c r="C705" s="343" t="s">
        <v>578</v>
      </c>
      <c r="D705" s="344">
        <v>1</v>
      </c>
      <c r="E705" s="343"/>
      <c r="F705" s="345">
        <v>44279</v>
      </c>
      <c r="G705" s="345">
        <v>44279</v>
      </c>
      <c r="H705" s="343">
        <v>202104</v>
      </c>
      <c r="I705" s="344">
        <v>36</v>
      </c>
      <c r="J705" s="342">
        <v>0</v>
      </c>
      <c r="K705" s="346">
        <v>983.84</v>
      </c>
      <c r="L705" s="346"/>
      <c r="M705" s="346"/>
      <c r="N705" s="346">
        <f t="shared" si="10"/>
        <v>983.84</v>
      </c>
      <c r="O705" s="342">
        <v>0</v>
      </c>
      <c r="P705" s="347">
        <v>934.65</v>
      </c>
      <c r="Q705" s="342">
        <v>49.19</v>
      </c>
      <c r="R705" s="342">
        <v>0</v>
      </c>
      <c r="S705" s="342">
        <v>49.19</v>
      </c>
      <c r="T705" s="341" t="s">
        <v>296</v>
      </c>
      <c r="U705" s="342">
        <v>66021201</v>
      </c>
      <c r="V705" s="342"/>
    </row>
    <row r="706" customHeight="1" spans="1:22">
      <c r="A706" s="343" t="s">
        <v>195</v>
      </c>
      <c r="B706" s="343">
        <v>100182</v>
      </c>
      <c r="C706" s="343" t="s">
        <v>559</v>
      </c>
      <c r="D706" s="344">
        <v>1</v>
      </c>
      <c r="E706" s="343"/>
      <c r="F706" s="345">
        <v>44279</v>
      </c>
      <c r="G706" s="345">
        <v>44279</v>
      </c>
      <c r="H706" s="343">
        <v>202104</v>
      </c>
      <c r="I706" s="344">
        <v>36</v>
      </c>
      <c r="J706" s="342">
        <v>0</v>
      </c>
      <c r="K706" s="346">
        <v>531.1</v>
      </c>
      <c r="L706" s="346"/>
      <c r="M706" s="346"/>
      <c r="N706" s="346">
        <f t="shared" si="10"/>
        <v>531.1</v>
      </c>
      <c r="O706" s="342">
        <v>0</v>
      </c>
      <c r="P706" s="347">
        <v>504.54</v>
      </c>
      <c r="Q706" s="342">
        <v>26.56</v>
      </c>
      <c r="R706" s="342">
        <v>0</v>
      </c>
      <c r="S706" s="342">
        <v>26.56</v>
      </c>
      <c r="T706" s="341" t="s">
        <v>362</v>
      </c>
      <c r="U706" s="342">
        <v>5301010301</v>
      </c>
      <c r="V706" s="342"/>
    </row>
    <row r="707" customHeight="1" spans="1:22">
      <c r="A707" s="343" t="s">
        <v>195</v>
      </c>
      <c r="B707" s="343">
        <v>100183</v>
      </c>
      <c r="C707" s="343" t="s">
        <v>559</v>
      </c>
      <c r="D707" s="344">
        <v>1</v>
      </c>
      <c r="E707" s="343"/>
      <c r="F707" s="345">
        <v>44279</v>
      </c>
      <c r="G707" s="345">
        <v>44279</v>
      </c>
      <c r="H707" s="343">
        <v>202104</v>
      </c>
      <c r="I707" s="344">
        <v>36</v>
      </c>
      <c r="J707" s="342">
        <v>0</v>
      </c>
      <c r="K707" s="346">
        <v>531.1</v>
      </c>
      <c r="L707" s="346"/>
      <c r="M707" s="346"/>
      <c r="N707" s="346">
        <f t="shared" ref="N707:N770" si="11">K707+L707-M707</f>
        <v>531.1</v>
      </c>
      <c r="O707" s="342">
        <v>0</v>
      </c>
      <c r="P707" s="347">
        <v>504.54</v>
      </c>
      <c r="Q707" s="342">
        <v>26.56</v>
      </c>
      <c r="R707" s="342">
        <v>0</v>
      </c>
      <c r="S707" s="342">
        <v>26.56</v>
      </c>
      <c r="T707" s="341" t="s">
        <v>362</v>
      </c>
      <c r="U707" s="342">
        <v>5301010301</v>
      </c>
      <c r="V707" s="342"/>
    </row>
    <row r="708" customHeight="1" spans="1:22">
      <c r="A708" s="343" t="s">
        <v>195</v>
      </c>
      <c r="B708" s="343">
        <v>100184</v>
      </c>
      <c r="C708" s="343" t="s">
        <v>559</v>
      </c>
      <c r="D708" s="344">
        <v>1</v>
      </c>
      <c r="E708" s="343"/>
      <c r="F708" s="345">
        <v>44279</v>
      </c>
      <c r="G708" s="345">
        <v>44279</v>
      </c>
      <c r="H708" s="343">
        <v>202104</v>
      </c>
      <c r="I708" s="344">
        <v>36</v>
      </c>
      <c r="J708" s="342">
        <v>0</v>
      </c>
      <c r="K708" s="346">
        <v>531.1</v>
      </c>
      <c r="L708" s="346"/>
      <c r="M708" s="346"/>
      <c r="N708" s="346">
        <f t="shared" si="11"/>
        <v>531.1</v>
      </c>
      <c r="O708" s="342">
        <v>0</v>
      </c>
      <c r="P708" s="347">
        <v>504.54</v>
      </c>
      <c r="Q708" s="342">
        <v>26.56</v>
      </c>
      <c r="R708" s="342">
        <v>0</v>
      </c>
      <c r="S708" s="342">
        <v>26.56</v>
      </c>
      <c r="T708" s="341" t="s">
        <v>362</v>
      </c>
      <c r="U708" s="342">
        <v>5301010301</v>
      </c>
      <c r="V708" s="342"/>
    </row>
    <row r="709" customHeight="1" spans="1:22">
      <c r="A709" s="343" t="s">
        <v>195</v>
      </c>
      <c r="B709" s="343">
        <v>100185</v>
      </c>
      <c r="C709" s="343" t="s">
        <v>559</v>
      </c>
      <c r="D709" s="344">
        <v>1</v>
      </c>
      <c r="E709" s="343"/>
      <c r="F709" s="345">
        <v>44279</v>
      </c>
      <c r="G709" s="345">
        <v>44279</v>
      </c>
      <c r="H709" s="343">
        <v>202104</v>
      </c>
      <c r="I709" s="344">
        <v>36</v>
      </c>
      <c r="J709" s="342">
        <v>0</v>
      </c>
      <c r="K709" s="346">
        <v>531.1</v>
      </c>
      <c r="L709" s="346"/>
      <c r="M709" s="346"/>
      <c r="N709" s="346">
        <f t="shared" si="11"/>
        <v>531.1</v>
      </c>
      <c r="O709" s="342">
        <v>0</v>
      </c>
      <c r="P709" s="347">
        <v>504.54</v>
      </c>
      <c r="Q709" s="342">
        <v>26.56</v>
      </c>
      <c r="R709" s="342">
        <v>0</v>
      </c>
      <c r="S709" s="342">
        <v>26.56</v>
      </c>
      <c r="T709" s="341" t="s">
        <v>362</v>
      </c>
      <c r="U709" s="342">
        <v>5301010301</v>
      </c>
      <c r="V709" s="342"/>
    </row>
    <row r="710" customHeight="1" spans="1:22">
      <c r="A710" s="343" t="s">
        <v>195</v>
      </c>
      <c r="B710" s="343">
        <v>100186</v>
      </c>
      <c r="C710" s="343" t="s">
        <v>559</v>
      </c>
      <c r="D710" s="344">
        <v>1</v>
      </c>
      <c r="E710" s="343"/>
      <c r="F710" s="345">
        <v>44279</v>
      </c>
      <c r="G710" s="345">
        <v>44279</v>
      </c>
      <c r="H710" s="343">
        <v>202104</v>
      </c>
      <c r="I710" s="344">
        <v>36</v>
      </c>
      <c r="J710" s="342">
        <v>0</v>
      </c>
      <c r="K710" s="346">
        <v>531.1</v>
      </c>
      <c r="L710" s="346"/>
      <c r="M710" s="346"/>
      <c r="N710" s="346">
        <f t="shared" si="11"/>
        <v>531.1</v>
      </c>
      <c r="O710" s="342">
        <v>0</v>
      </c>
      <c r="P710" s="347">
        <v>504.54</v>
      </c>
      <c r="Q710" s="342">
        <v>26.56</v>
      </c>
      <c r="R710" s="342">
        <v>0</v>
      </c>
      <c r="S710" s="342">
        <v>26.56</v>
      </c>
      <c r="T710" s="341" t="s">
        <v>362</v>
      </c>
      <c r="U710" s="342">
        <v>5301010301</v>
      </c>
      <c r="V710" s="342"/>
    </row>
    <row r="711" customHeight="1" spans="1:22">
      <c r="A711" s="343" t="s">
        <v>195</v>
      </c>
      <c r="B711" s="343">
        <v>100187</v>
      </c>
      <c r="C711" s="343" t="s">
        <v>559</v>
      </c>
      <c r="D711" s="344">
        <v>1</v>
      </c>
      <c r="E711" s="343"/>
      <c r="F711" s="345">
        <v>44279</v>
      </c>
      <c r="G711" s="345">
        <v>44279</v>
      </c>
      <c r="H711" s="343">
        <v>202104</v>
      </c>
      <c r="I711" s="344">
        <v>36</v>
      </c>
      <c r="J711" s="342">
        <v>0</v>
      </c>
      <c r="K711" s="346">
        <v>531.1</v>
      </c>
      <c r="L711" s="346"/>
      <c r="M711" s="346"/>
      <c r="N711" s="346">
        <f t="shared" si="11"/>
        <v>531.1</v>
      </c>
      <c r="O711" s="342">
        <v>0</v>
      </c>
      <c r="P711" s="347">
        <v>504.54</v>
      </c>
      <c r="Q711" s="342">
        <v>26.56</v>
      </c>
      <c r="R711" s="342">
        <v>0</v>
      </c>
      <c r="S711" s="342">
        <v>26.56</v>
      </c>
      <c r="T711" s="341" t="s">
        <v>362</v>
      </c>
      <c r="U711" s="342">
        <v>5301010301</v>
      </c>
      <c r="V711" s="342"/>
    </row>
    <row r="712" customHeight="1" spans="1:22">
      <c r="A712" s="343" t="s">
        <v>195</v>
      </c>
      <c r="B712" s="343">
        <v>100188</v>
      </c>
      <c r="C712" s="343" t="s">
        <v>559</v>
      </c>
      <c r="D712" s="344">
        <v>1</v>
      </c>
      <c r="E712" s="343"/>
      <c r="F712" s="345">
        <v>44279</v>
      </c>
      <c r="G712" s="345">
        <v>44279</v>
      </c>
      <c r="H712" s="343">
        <v>202104</v>
      </c>
      <c r="I712" s="344">
        <v>36</v>
      </c>
      <c r="J712" s="342">
        <v>0</v>
      </c>
      <c r="K712" s="346">
        <v>531.1</v>
      </c>
      <c r="L712" s="346"/>
      <c r="M712" s="346"/>
      <c r="N712" s="346">
        <f t="shared" si="11"/>
        <v>531.1</v>
      </c>
      <c r="O712" s="342">
        <v>0</v>
      </c>
      <c r="P712" s="347">
        <v>504.54</v>
      </c>
      <c r="Q712" s="342">
        <v>26.56</v>
      </c>
      <c r="R712" s="342">
        <v>0</v>
      </c>
      <c r="S712" s="342">
        <v>26.56</v>
      </c>
      <c r="T712" s="341" t="s">
        <v>362</v>
      </c>
      <c r="U712" s="342">
        <v>5301010301</v>
      </c>
      <c r="V712" s="342"/>
    </row>
    <row r="713" customHeight="1" spans="1:22">
      <c r="A713" s="343" t="s">
        <v>195</v>
      </c>
      <c r="B713" s="343">
        <v>100189</v>
      </c>
      <c r="C713" s="343" t="s">
        <v>559</v>
      </c>
      <c r="D713" s="344">
        <v>1</v>
      </c>
      <c r="E713" s="343"/>
      <c r="F713" s="345">
        <v>44279</v>
      </c>
      <c r="G713" s="345">
        <v>44279</v>
      </c>
      <c r="H713" s="343">
        <v>202104</v>
      </c>
      <c r="I713" s="344">
        <v>36</v>
      </c>
      <c r="J713" s="342">
        <v>0</v>
      </c>
      <c r="K713" s="346">
        <v>531.1</v>
      </c>
      <c r="L713" s="346"/>
      <c r="M713" s="346"/>
      <c r="N713" s="346">
        <f t="shared" si="11"/>
        <v>531.1</v>
      </c>
      <c r="O713" s="342">
        <v>0</v>
      </c>
      <c r="P713" s="347">
        <v>504.54</v>
      </c>
      <c r="Q713" s="342">
        <v>26.56</v>
      </c>
      <c r="R713" s="342">
        <v>0</v>
      </c>
      <c r="S713" s="342">
        <v>26.56</v>
      </c>
      <c r="T713" s="341" t="s">
        <v>362</v>
      </c>
      <c r="U713" s="342">
        <v>5301010301</v>
      </c>
      <c r="V713" s="342"/>
    </row>
    <row r="714" customHeight="1" spans="1:22">
      <c r="A714" s="343" t="s">
        <v>195</v>
      </c>
      <c r="B714" s="343">
        <v>100190</v>
      </c>
      <c r="C714" s="343" t="s">
        <v>559</v>
      </c>
      <c r="D714" s="344">
        <v>1</v>
      </c>
      <c r="E714" s="343"/>
      <c r="F714" s="345">
        <v>44279</v>
      </c>
      <c r="G714" s="345">
        <v>44279</v>
      </c>
      <c r="H714" s="343">
        <v>202104</v>
      </c>
      <c r="I714" s="344">
        <v>36</v>
      </c>
      <c r="J714" s="342">
        <v>0</v>
      </c>
      <c r="K714" s="346">
        <v>531.1</v>
      </c>
      <c r="L714" s="346"/>
      <c r="M714" s="346"/>
      <c r="N714" s="346">
        <f t="shared" si="11"/>
        <v>531.1</v>
      </c>
      <c r="O714" s="342">
        <v>0</v>
      </c>
      <c r="P714" s="347">
        <v>504.54</v>
      </c>
      <c r="Q714" s="342">
        <v>26.56</v>
      </c>
      <c r="R714" s="342">
        <v>0</v>
      </c>
      <c r="S714" s="342">
        <v>26.56</v>
      </c>
      <c r="T714" s="341" t="s">
        <v>362</v>
      </c>
      <c r="U714" s="342">
        <v>5301010301</v>
      </c>
      <c r="V714" s="342"/>
    </row>
    <row r="715" customHeight="1" spans="1:22">
      <c r="A715" s="343" t="s">
        <v>195</v>
      </c>
      <c r="B715" s="343">
        <v>100191</v>
      </c>
      <c r="C715" s="343" t="s">
        <v>559</v>
      </c>
      <c r="D715" s="344">
        <v>1</v>
      </c>
      <c r="E715" s="343"/>
      <c r="F715" s="345">
        <v>44279</v>
      </c>
      <c r="G715" s="345">
        <v>44279</v>
      </c>
      <c r="H715" s="343">
        <v>202104</v>
      </c>
      <c r="I715" s="344">
        <v>36</v>
      </c>
      <c r="J715" s="342">
        <v>0</v>
      </c>
      <c r="K715" s="346">
        <v>531.1</v>
      </c>
      <c r="L715" s="346"/>
      <c r="M715" s="346"/>
      <c r="N715" s="346">
        <f t="shared" si="11"/>
        <v>531.1</v>
      </c>
      <c r="O715" s="342">
        <v>0</v>
      </c>
      <c r="P715" s="347">
        <v>504.54</v>
      </c>
      <c r="Q715" s="342">
        <v>26.56</v>
      </c>
      <c r="R715" s="342">
        <v>0</v>
      </c>
      <c r="S715" s="342">
        <v>26.56</v>
      </c>
      <c r="T715" s="341" t="s">
        <v>362</v>
      </c>
      <c r="U715" s="342">
        <v>5301010301</v>
      </c>
      <c r="V715" s="342"/>
    </row>
    <row r="716" customHeight="1" spans="1:22">
      <c r="A716" s="343" t="s">
        <v>195</v>
      </c>
      <c r="B716" s="343">
        <v>100193</v>
      </c>
      <c r="C716" s="343" t="s">
        <v>559</v>
      </c>
      <c r="D716" s="344">
        <v>1</v>
      </c>
      <c r="E716" s="343"/>
      <c r="F716" s="345">
        <v>44279</v>
      </c>
      <c r="G716" s="345">
        <v>44279</v>
      </c>
      <c r="H716" s="343">
        <v>202104</v>
      </c>
      <c r="I716" s="344">
        <v>36</v>
      </c>
      <c r="J716" s="342">
        <v>0</v>
      </c>
      <c r="K716" s="346">
        <v>531.09</v>
      </c>
      <c r="L716" s="346"/>
      <c r="M716" s="346"/>
      <c r="N716" s="346">
        <f t="shared" si="11"/>
        <v>531.09</v>
      </c>
      <c r="O716" s="342">
        <v>0</v>
      </c>
      <c r="P716" s="347">
        <v>504.54</v>
      </c>
      <c r="Q716" s="342">
        <v>26.55</v>
      </c>
      <c r="R716" s="342">
        <v>0</v>
      </c>
      <c r="S716" s="342">
        <v>26.55</v>
      </c>
      <c r="T716" s="341" t="s">
        <v>362</v>
      </c>
      <c r="U716" s="342">
        <v>66021201</v>
      </c>
      <c r="V716" s="342"/>
    </row>
    <row r="717" customHeight="1" spans="1:22">
      <c r="A717" s="343" t="s">
        <v>195</v>
      </c>
      <c r="B717" s="343">
        <v>100194</v>
      </c>
      <c r="C717" s="343" t="s">
        <v>559</v>
      </c>
      <c r="D717" s="344">
        <v>1</v>
      </c>
      <c r="E717" s="343"/>
      <c r="F717" s="345">
        <v>44279</v>
      </c>
      <c r="G717" s="345">
        <v>44279</v>
      </c>
      <c r="H717" s="343">
        <v>202104</v>
      </c>
      <c r="I717" s="344">
        <v>36</v>
      </c>
      <c r="J717" s="342">
        <v>0</v>
      </c>
      <c r="K717" s="346">
        <v>945.99</v>
      </c>
      <c r="L717" s="346"/>
      <c r="M717" s="346"/>
      <c r="N717" s="346">
        <f t="shared" si="11"/>
        <v>945.99</v>
      </c>
      <c r="O717" s="342">
        <v>0</v>
      </c>
      <c r="P717" s="347">
        <v>898.69</v>
      </c>
      <c r="Q717" s="342">
        <v>47.3</v>
      </c>
      <c r="R717" s="342">
        <v>0</v>
      </c>
      <c r="S717" s="342">
        <v>47.3</v>
      </c>
      <c r="T717" s="341" t="s">
        <v>362</v>
      </c>
      <c r="U717" s="342">
        <v>66021201</v>
      </c>
      <c r="V717" s="342"/>
    </row>
    <row r="718" customHeight="1" spans="1:22">
      <c r="A718" s="343" t="s">
        <v>195</v>
      </c>
      <c r="B718" s="343">
        <v>100195</v>
      </c>
      <c r="C718" s="343" t="s">
        <v>578</v>
      </c>
      <c r="D718" s="344">
        <v>1</v>
      </c>
      <c r="E718" s="343"/>
      <c r="F718" s="345">
        <v>44279</v>
      </c>
      <c r="G718" s="345">
        <v>44279</v>
      </c>
      <c r="H718" s="343">
        <v>202104</v>
      </c>
      <c r="I718" s="344">
        <v>36</v>
      </c>
      <c r="J718" s="342">
        <v>0</v>
      </c>
      <c r="K718" s="346">
        <v>870.28</v>
      </c>
      <c r="L718" s="346"/>
      <c r="M718" s="346"/>
      <c r="N718" s="346">
        <f t="shared" si="11"/>
        <v>870.28</v>
      </c>
      <c r="O718" s="342">
        <v>0</v>
      </c>
      <c r="P718" s="347">
        <v>826.77</v>
      </c>
      <c r="Q718" s="342">
        <v>43.51</v>
      </c>
      <c r="R718" s="342">
        <v>0</v>
      </c>
      <c r="S718" s="342">
        <v>43.51</v>
      </c>
      <c r="T718" s="341" t="s">
        <v>362</v>
      </c>
      <c r="U718" s="342">
        <v>5301010301</v>
      </c>
      <c r="V718" s="342"/>
    </row>
    <row r="719" customHeight="1" spans="1:22">
      <c r="A719" s="343" t="s">
        <v>195</v>
      </c>
      <c r="B719" s="343">
        <v>100196</v>
      </c>
      <c r="C719" s="343" t="s">
        <v>578</v>
      </c>
      <c r="D719" s="344">
        <v>1</v>
      </c>
      <c r="E719" s="343"/>
      <c r="F719" s="345">
        <v>44279</v>
      </c>
      <c r="G719" s="345">
        <v>44279</v>
      </c>
      <c r="H719" s="343">
        <v>202104</v>
      </c>
      <c r="I719" s="344">
        <v>36</v>
      </c>
      <c r="J719" s="342">
        <v>0</v>
      </c>
      <c r="K719" s="346">
        <v>983.84</v>
      </c>
      <c r="L719" s="346"/>
      <c r="M719" s="346"/>
      <c r="N719" s="346">
        <f t="shared" si="11"/>
        <v>983.84</v>
      </c>
      <c r="O719" s="342">
        <v>0</v>
      </c>
      <c r="P719" s="347">
        <v>934.65</v>
      </c>
      <c r="Q719" s="342">
        <v>49.19</v>
      </c>
      <c r="R719" s="342">
        <v>0</v>
      </c>
      <c r="S719" s="342">
        <v>49.19</v>
      </c>
      <c r="T719" s="341" t="s">
        <v>362</v>
      </c>
      <c r="U719" s="342">
        <v>5301010301</v>
      </c>
      <c r="V719" s="342"/>
    </row>
    <row r="720" customHeight="1" spans="1:22">
      <c r="A720" s="343" t="s">
        <v>195</v>
      </c>
      <c r="B720" s="343">
        <v>100199</v>
      </c>
      <c r="C720" s="343" t="s">
        <v>578</v>
      </c>
      <c r="D720" s="344">
        <v>1</v>
      </c>
      <c r="E720" s="343"/>
      <c r="F720" s="345">
        <v>44279</v>
      </c>
      <c r="G720" s="345">
        <v>44279</v>
      </c>
      <c r="H720" s="343">
        <v>202104</v>
      </c>
      <c r="I720" s="344">
        <v>36</v>
      </c>
      <c r="J720" s="342">
        <v>0</v>
      </c>
      <c r="K720" s="346">
        <v>983.84</v>
      </c>
      <c r="L720" s="346"/>
      <c r="M720" s="346"/>
      <c r="N720" s="346">
        <f t="shared" si="11"/>
        <v>983.84</v>
      </c>
      <c r="O720" s="342">
        <v>0</v>
      </c>
      <c r="P720" s="347">
        <v>934.65</v>
      </c>
      <c r="Q720" s="342">
        <v>49.19</v>
      </c>
      <c r="R720" s="342">
        <v>0</v>
      </c>
      <c r="S720" s="342">
        <v>49.19</v>
      </c>
      <c r="T720" s="341" t="s">
        <v>362</v>
      </c>
      <c r="U720" s="342">
        <v>5301010301</v>
      </c>
      <c r="V720" s="342"/>
    </row>
    <row r="721" customHeight="1" spans="1:22">
      <c r="A721" s="343" t="s">
        <v>195</v>
      </c>
      <c r="B721" s="343">
        <v>100200</v>
      </c>
      <c r="C721" s="343" t="s">
        <v>578</v>
      </c>
      <c r="D721" s="344">
        <v>1</v>
      </c>
      <c r="E721" s="343"/>
      <c r="F721" s="345">
        <v>44279</v>
      </c>
      <c r="G721" s="345">
        <v>44279</v>
      </c>
      <c r="H721" s="343">
        <v>202104</v>
      </c>
      <c r="I721" s="344">
        <v>36</v>
      </c>
      <c r="J721" s="342">
        <v>0</v>
      </c>
      <c r="K721" s="346">
        <v>983.84</v>
      </c>
      <c r="L721" s="346"/>
      <c r="M721" s="346"/>
      <c r="N721" s="346">
        <f t="shared" si="11"/>
        <v>983.84</v>
      </c>
      <c r="O721" s="342">
        <v>0</v>
      </c>
      <c r="P721" s="347">
        <v>934.65</v>
      </c>
      <c r="Q721" s="342">
        <v>49.19</v>
      </c>
      <c r="R721" s="342">
        <v>0</v>
      </c>
      <c r="S721" s="342">
        <v>49.19</v>
      </c>
      <c r="T721" s="341" t="s">
        <v>362</v>
      </c>
      <c r="U721" s="342">
        <v>5301010301</v>
      </c>
      <c r="V721" s="342"/>
    </row>
    <row r="722" customHeight="1" spans="1:22">
      <c r="A722" s="343" t="s">
        <v>195</v>
      </c>
      <c r="B722" s="343">
        <v>100203</v>
      </c>
      <c r="C722" s="343" t="s">
        <v>725</v>
      </c>
      <c r="D722" s="344">
        <v>1</v>
      </c>
      <c r="E722" s="343"/>
      <c r="F722" s="345">
        <v>44279</v>
      </c>
      <c r="G722" s="345">
        <v>44279</v>
      </c>
      <c r="H722" s="343">
        <v>202104</v>
      </c>
      <c r="I722" s="344">
        <v>36</v>
      </c>
      <c r="J722" s="342">
        <v>0</v>
      </c>
      <c r="K722" s="346">
        <v>33645.5</v>
      </c>
      <c r="L722" s="346"/>
      <c r="M722" s="346"/>
      <c r="N722" s="346">
        <f t="shared" si="11"/>
        <v>33645.5</v>
      </c>
      <c r="O722" s="342">
        <v>0</v>
      </c>
      <c r="P722" s="347">
        <v>31963.22</v>
      </c>
      <c r="Q722" s="347">
        <v>1682.28</v>
      </c>
      <c r="R722" s="342">
        <v>0</v>
      </c>
      <c r="S722" s="347">
        <v>1682.28</v>
      </c>
      <c r="T722" s="341" t="s">
        <v>362</v>
      </c>
      <c r="U722" s="342">
        <v>5301010301</v>
      </c>
      <c r="V722" s="342"/>
    </row>
    <row r="723" customHeight="1" spans="1:22">
      <c r="A723" s="343" t="s">
        <v>195</v>
      </c>
      <c r="B723" s="343">
        <v>100205</v>
      </c>
      <c r="C723" s="343" t="s">
        <v>726</v>
      </c>
      <c r="D723" s="344">
        <v>1</v>
      </c>
      <c r="E723" s="343"/>
      <c r="F723" s="345">
        <v>44769</v>
      </c>
      <c r="G723" s="345">
        <v>44769</v>
      </c>
      <c r="H723" s="343">
        <v>202208</v>
      </c>
      <c r="I723" s="344">
        <v>36</v>
      </c>
      <c r="J723" s="342">
        <v>0</v>
      </c>
      <c r="K723" s="346">
        <v>3069.91</v>
      </c>
      <c r="L723" s="346"/>
      <c r="M723" s="346"/>
      <c r="N723" s="346">
        <f t="shared" si="11"/>
        <v>3069.91</v>
      </c>
      <c r="O723" s="342">
        <v>0</v>
      </c>
      <c r="P723" s="347">
        <v>2916.41</v>
      </c>
      <c r="Q723" s="342">
        <v>153.5</v>
      </c>
      <c r="R723" s="342">
        <v>0</v>
      </c>
      <c r="S723" s="342">
        <v>153.5</v>
      </c>
      <c r="T723" s="341" t="s">
        <v>362</v>
      </c>
      <c r="U723" s="342">
        <v>66021201</v>
      </c>
      <c r="V723" s="342"/>
    </row>
    <row r="724" customHeight="1" spans="1:22">
      <c r="A724" s="343" t="s">
        <v>195</v>
      </c>
      <c r="B724" s="343">
        <v>100734</v>
      </c>
      <c r="C724" s="343" t="s">
        <v>727</v>
      </c>
      <c r="D724" s="344">
        <v>1</v>
      </c>
      <c r="E724" s="343" t="s">
        <v>728</v>
      </c>
      <c r="F724" s="345">
        <v>46135</v>
      </c>
      <c r="G724" s="345">
        <v>46135</v>
      </c>
      <c r="H724" s="343">
        <v>202605</v>
      </c>
      <c r="I724" s="344">
        <v>36</v>
      </c>
      <c r="J724" s="342">
        <v>36</v>
      </c>
      <c r="K724" s="346">
        <v>0</v>
      </c>
      <c r="L724" s="346">
        <v>851.62</v>
      </c>
      <c r="M724" s="346"/>
      <c r="N724" s="346">
        <f t="shared" si="11"/>
        <v>851.62</v>
      </c>
      <c r="O724" s="342">
        <v>0</v>
      </c>
      <c r="P724" s="347">
        <v>0</v>
      </c>
      <c r="Q724" s="342">
        <v>851.62</v>
      </c>
      <c r="R724" s="342">
        <v>0</v>
      </c>
      <c r="S724" s="342">
        <v>851.62</v>
      </c>
      <c r="T724" s="341" t="s">
        <v>362</v>
      </c>
      <c r="U724" s="342">
        <v>5301010301</v>
      </c>
      <c r="V724" s="342" t="s">
        <v>729</v>
      </c>
    </row>
    <row r="725" customHeight="1" spans="1:22">
      <c r="A725" s="343" t="s">
        <v>195</v>
      </c>
      <c r="B725" s="343">
        <v>100735</v>
      </c>
      <c r="C725" s="343" t="s">
        <v>727</v>
      </c>
      <c r="D725" s="344">
        <v>1</v>
      </c>
      <c r="E725" s="343" t="s">
        <v>728</v>
      </c>
      <c r="F725" s="345">
        <v>46135</v>
      </c>
      <c r="G725" s="345">
        <v>46135</v>
      </c>
      <c r="H725" s="343">
        <v>202605</v>
      </c>
      <c r="I725" s="344">
        <v>36</v>
      </c>
      <c r="J725" s="342">
        <v>36</v>
      </c>
      <c r="K725" s="346">
        <v>0</v>
      </c>
      <c r="L725" s="346">
        <v>851.62</v>
      </c>
      <c r="M725" s="346"/>
      <c r="N725" s="346">
        <f t="shared" si="11"/>
        <v>851.62</v>
      </c>
      <c r="O725" s="342">
        <v>0</v>
      </c>
      <c r="P725" s="347">
        <v>0</v>
      </c>
      <c r="Q725" s="342">
        <v>851.62</v>
      </c>
      <c r="R725" s="342">
        <v>0</v>
      </c>
      <c r="S725" s="342">
        <v>851.62</v>
      </c>
      <c r="T725" s="341" t="s">
        <v>362</v>
      </c>
      <c r="U725" s="342">
        <v>5301010301</v>
      </c>
      <c r="V725" s="342" t="s">
        <v>729</v>
      </c>
    </row>
    <row r="726" customHeight="1" spans="1:22">
      <c r="A726" s="343" t="s">
        <v>195</v>
      </c>
      <c r="B726" s="343">
        <v>100736</v>
      </c>
      <c r="C726" s="343" t="s">
        <v>727</v>
      </c>
      <c r="D726" s="344">
        <v>1</v>
      </c>
      <c r="E726" s="343" t="s">
        <v>728</v>
      </c>
      <c r="F726" s="345">
        <v>46135</v>
      </c>
      <c r="G726" s="345">
        <v>46135</v>
      </c>
      <c r="H726" s="343">
        <v>202605</v>
      </c>
      <c r="I726" s="344">
        <v>36</v>
      </c>
      <c r="J726" s="342">
        <v>36</v>
      </c>
      <c r="K726" s="346">
        <v>0</v>
      </c>
      <c r="L726" s="346">
        <v>851.62</v>
      </c>
      <c r="M726" s="346"/>
      <c r="N726" s="346">
        <f t="shared" si="11"/>
        <v>851.62</v>
      </c>
      <c r="O726" s="342">
        <v>0</v>
      </c>
      <c r="P726" s="347">
        <v>0</v>
      </c>
      <c r="Q726" s="342">
        <v>851.62</v>
      </c>
      <c r="R726" s="342">
        <v>0</v>
      </c>
      <c r="S726" s="342">
        <v>851.62</v>
      </c>
      <c r="T726" s="341" t="s">
        <v>362</v>
      </c>
      <c r="U726" s="342">
        <v>5301010301</v>
      </c>
      <c r="V726" s="342" t="s">
        <v>729</v>
      </c>
    </row>
    <row r="727" customHeight="1" spans="1:22">
      <c r="A727" s="343" t="s">
        <v>195</v>
      </c>
      <c r="B727" s="343">
        <v>100737</v>
      </c>
      <c r="C727" s="343" t="s">
        <v>730</v>
      </c>
      <c r="D727" s="344">
        <v>1</v>
      </c>
      <c r="E727" s="343" t="s">
        <v>731</v>
      </c>
      <c r="F727" s="345">
        <v>46141</v>
      </c>
      <c r="G727" s="345">
        <v>46141</v>
      </c>
      <c r="H727" s="343">
        <v>202605</v>
      </c>
      <c r="I727" s="344">
        <v>36</v>
      </c>
      <c r="J727" s="342">
        <v>36</v>
      </c>
      <c r="K727" s="346">
        <v>0</v>
      </c>
      <c r="L727" s="346">
        <v>6623.89</v>
      </c>
      <c r="M727" s="346"/>
      <c r="N727" s="346">
        <f t="shared" si="11"/>
        <v>6623.89</v>
      </c>
      <c r="O727" s="342">
        <v>0</v>
      </c>
      <c r="P727" s="347">
        <v>0</v>
      </c>
      <c r="Q727" s="347">
        <v>6623.89</v>
      </c>
      <c r="R727" s="342">
        <v>0</v>
      </c>
      <c r="S727" s="347">
        <v>6623.89</v>
      </c>
      <c r="T727" s="341" t="s">
        <v>362</v>
      </c>
      <c r="U727" s="342">
        <v>5301010301</v>
      </c>
      <c r="V727" s="342" t="s">
        <v>732</v>
      </c>
    </row>
    <row r="728" customHeight="1" spans="1:22">
      <c r="A728" s="343" t="s">
        <v>195</v>
      </c>
      <c r="B728" s="343">
        <v>200009</v>
      </c>
      <c r="C728" s="343" t="s">
        <v>545</v>
      </c>
      <c r="D728" s="344">
        <v>2</v>
      </c>
      <c r="E728" s="343"/>
      <c r="F728" s="345">
        <v>44541</v>
      </c>
      <c r="G728" s="345">
        <v>44541</v>
      </c>
      <c r="H728" s="343">
        <v>202201</v>
      </c>
      <c r="I728" s="344">
        <v>60</v>
      </c>
      <c r="J728" s="342">
        <v>8</v>
      </c>
      <c r="K728" s="346">
        <v>9538.05</v>
      </c>
      <c r="L728" s="346"/>
      <c r="M728" s="346"/>
      <c r="N728" s="346">
        <f t="shared" si="11"/>
        <v>9538.05</v>
      </c>
      <c r="O728" s="342">
        <v>604.07</v>
      </c>
      <c r="P728" s="347">
        <v>7853.03</v>
      </c>
      <c r="Q728" s="347">
        <v>1685.02</v>
      </c>
      <c r="R728" s="342">
        <v>0</v>
      </c>
      <c r="S728" s="347">
        <v>1685.02</v>
      </c>
      <c r="T728" s="341" t="s">
        <v>362</v>
      </c>
      <c r="U728" s="342">
        <v>66021201</v>
      </c>
      <c r="V728" s="342"/>
    </row>
    <row r="729" customHeight="1" spans="1:22">
      <c r="A729" s="343" t="s">
        <v>195</v>
      </c>
      <c r="B729" s="343">
        <v>200010</v>
      </c>
      <c r="C729" s="343" t="s">
        <v>545</v>
      </c>
      <c r="D729" s="344">
        <v>1</v>
      </c>
      <c r="E729" s="343"/>
      <c r="F729" s="345">
        <v>44539</v>
      </c>
      <c r="G729" s="345">
        <v>44539</v>
      </c>
      <c r="H729" s="343">
        <v>202201</v>
      </c>
      <c r="I729" s="344">
        <v>60</v>
      </c>
      <c r="J729" s="342">
        <v>8</v>
      </c>
      <c r="K729" s="346">
        <v>4769.03</v>
      </c>
      <c r="L729" s="346"/>
      <c r="M729" s="346"/>
      <c r="N729" s="346">
        <f t="shared" si="11"/>
        <v>4769.03</v>
      </c>
      <c r="O729" s="342">
        <v>302.04</v>
      </c>
      <c r="P729" s="347">
        <v>3926.52</v>
      </c>
      <c r="Q729" s="342">
        <v>842.51</v>
      </c>
      <c r="R729" s="342">
        <v>0</v>
      </c>
      <c r="S729" s="342">
        <v>842.51</v>
      </c>
      <c r="T729" s="341" t="s">
        <v>296</v>
      </c>
      <c r="U729" s="342">
        <v>66021201</v>
      </c>
      <c r="V729" s="342"/>
    </row>
    <row r="730" customHeight="1" spans="1:22">
      <c r="A730" s="343" t="s">
        <v>196</v>
      </c>
      <c r="B730" s="343">
        <v>100024</v>
      </c>
      <c r="C730" s="343" t="s">
        <v>725</v>
      </c>
      <c r="D730" s="344">
        <v>1</v>
      </c>
      <c r="E730" s="343"/>
      <c r="F730" s="345">
        <v>44265</v>
      </c>
      <c r="G730" s="345">
        <v>44265</v>
      </c>
      <c r="H730" s="343">
        <v>202104</v>
      </c>
      <c r="I730" s="344">
        <v>36</v>
      </c>
      <c r="J730" s="342">
        <v>0</v>
      </c>
      <c r="K730" s="346">
        <v>10619.47</v>
      </c>
      <c r="L730" s="346"/>
      <c r="M730" s="346"/>
      <c r="N730" s="346">
        <f t="shared" si="11"/>
        <v>10619.47</v>
      </c>
      <c r="O730" s="342">
        <v>0</v>
      </c>
      <c r="P730" s="347">
        <v>10088.5</v>
      </c>
      <c r="Q730" s="342">
        <v>530.97</v>
      </c>
      <c r="R730" s="342">
        <v>0</v>
      </c>
      <c r="S730" s="342">
        <v>530.97</v>
      </c>
      <c r="T730" s="341" t="s">
        <v>362</v>
      </c>
      <c r="U730" s="342">
        <v>5301010301</v>
      </c>
      <c r="V730" s="342"/>
    </row>
    <row r="731" customHeight="1" spans="1:22">
      <c r="A731" s="343" t="s">
        <v>196</v>
      </c>
      <c r="B731" s="343">
        <v>100051</v>
      </c>
      <c r="C731" s="343" t="s">
        <v>733</v>
      </c>
      <c r="D731" s="344">
        <v>1</v>
      </c>
      <c r="E731" s="343"/>
      <c r="F731" s="345">
        <v>44386</v>
      </c>
      <c r="G731" s="345">
        <v>44386</v>
      </c>
      <c r="H731" s="343">
        <v>202108</v>
      </c>
      <c r="I731" s="344">
        <v>36</v>
      </c>
      <c r="J731" s="342">
        <v>0</v>
      </c>
      <c r="K731" s="346">
        <v>4141.59</v>
      </c>
      <c r="L731" s="346"/>
      <c r="M731" s="346"/>
      <c r="N731" s="346">
        <f t="shared" si="11"/>
        <v>4141.59</v>
      </c>
      <c r="O731" s="342">
        <v>0</v>
      </c>
      <c r="P731" s="347">
        <v>3934.51</v>
      </c>
      <c r="Q731" s="342">
        <v>207.08</v>
      </c>
      <c r="R731" s="342">
        <v>0</v>
      </c>
      <c r="S731" s="342">
        <v>207.08</v>
      </c>
      <c r="T731" s="341" t="s">
        <v>362</v>
      </c>
      <c r="U731" s="342">
        <v>5301010301</v>
      </c>
      <c r="V731" s="342"/>
    </row>
    <row r="732" customHeight="1" spans="1:22">
      <c r="A732" s="343" t="s">
        <v>196</v>
      </c>
      <c r="B732" s="343">
        <v>200001</v>
      </c>
      <c r="C732" s="343" t="s">
        <v>734</v>
      </c>
      <c r="D732" s="344">
        <v>1</v>
      </c>
      <c r="E732" s="343"/>
      <c r="F732" s="345">
        <v>44193</v>
      </c>
      <c r="G732" s="345">
        <v>44193</v>
      </c>
      <c r="H732" s="343">
        <v>202101</v>
      </c>
      <c r="I732" s="344">
        <v>60</v>
      </c>
      <c r="J732" s="342">
        <v>0</v>
      </c>
      <c r="K732" s="346">
        <v>54867.26</v>
      </c>
      <c r="L732" s="346"/>
      <c r="M732" s="346"/>
      <c r="N732" s="346">
        <f t="shared" si="11"/>
        <v>54867.26</v>
      </c>
      <c r="O732" s="342">
        <v>0</v>
      </c>
      <c r="P732" s="347">
        <v>52123.9</v>
      </c>
      <c r="Q732" s="347">
        <v>2743.36</v>
      </c>
      <c r="R732" s="342">
        <v>0</v>
      </c>
      <c r="S732" s="347">
        <v>2743.36</v>
      </c>
      <c r="T732" s="341" t="s">
        <v>362</v>
      </c>
      <c r="U732" s="342">
        <v>5301010301</v>
      </c>
      <c r="V732" s="342"/>
    </row>
    <row r="733" customHeight="1" spans="1:22">
      <c r="A733" s="343" t="s">
        <v>196</v>
      </c>
      <c r="B733" s="343">
        <v>200002</v>
      </c>
      <c r="C733" s="343" t="s">
        <v>735</v>
      </c>
      <c r="D733" s="344">
        <v>1</v>
      </c>
      <c r="E733" s="343"/>
      <c r="F733" s="345">
        <v>44161</v>
      </c>
      <c r="G733" s="345">
        <v>44161</v>
      </c>
      <c r="H733" s="343">
        <v>202012</v>
      </c>
      <c r="I733" s="344">
        <v>60</v>
      </c>
      <c r="J733" s="342">
        <v>0</v>
      </c>
      <c r="K733" s="346">
        <v>6430.13</v>
      </c>
      <c r="L733" s="346"/>
      <c r="M733" s="346"/>
      <c r="N733" s="346">
        <f t="shared" si="11"/>
        <v>6430.13</v>
      </c>
      <c r="O733" s="342">
        <v>0</v>
      </c>
      <c r="P733" s="347">
        <v>6108.62</v>
      </c>
      <c r="Q733" s="342">
        <v>321.51</v>
      </c>
      <c r="R733" s="342">
        <v>0</v>
      </c>
      <c r="S733" s="342">
        <v>321.51</v>
      </c>
      <c r="T733" s="341" t="s">
        <v>362</v>
      </c>
      <c r="U733" s="342">
        <v>66021202</v>
      </c>
      <c r="V733" s="342"/>
    </row>
    <row r="734" customHeight="1" spans="1:22">
      <c r="A734" s="343" t="s">
        <v>196</v>
      </c>
      <c r="B734" s="343">
        <v>200004</v>
      </c>
      <c r="C734" s="343" t="s">
        <v>733</v>
      </c>
      <c r="D734" s="344">
        <v>1</v>
      </c>
      <c r="E734" s="343"/>
      <c r="F734" s="345">
        <v>44247</v>
      </c>
      <c r="G734" s="345">
        <v>44247</v>
      </c>
      <c r="H734" s="343">
        <v>202103</v>
      </c>
      <c r="I734" s="344">
        <v>60</v>
      </c>
      <c r="J734" s="342">
        <v>0</v>
      </c>
      <c r="K734" s="346">
        <v>9447.23</v>
      </c>
      <c r="L734" s="346"/>
      <c r="M734" s="346"/>
      <c r="N734" s="346">
        <f t="shared" si="11"/>
        <v>9447.23</v>
      </c>
      <c r="O734" s="342">
        <v>299.17</v>
      </c>
      <c r="P734" s="347">
        <v>8974.87</v>
      </c>
      <c r="Q734" s="342">
        <v>472.36</v>
      </c>
      <c r="R734" s="342">
        <v>0</v>
      </c>
      <c r="S734" s="342">
        <v>472.36</v>
      </c>
      <c r="T734" s="341" t="s">
        <v>362</v>
      </c>
      <c r="U734" s="342">
        <v>66011202</v>
      </c>
      <c r="V734" s="342"/>
    </row>
    <row r="735" customHeight="1" spans="1:22">
      <c r="A735" s="343" t="s">
        <v>196</v>
      </c>
      <c r="B735" s="343">
        <v>200005</v>
      </c>
      <c r="C735" s="343" t="s">
        <v>736</v>
      </c>
      <c r="D735" s="344">
        <v>1</v>
      </c>
      <c r="E735" s="343"/>
      <c r="F735" s="345">
        <v>44231</v>
      </c>
      <c r="G735" s="345">
        <v>44231</v>
      </c>
      <c r="H735" s="343">
        <v>202103</v>
      </c>
      <c r="I735" s="344">
        <v>60</v>
      </c>
      <c r="J735" s="342">
        <v>0</v>
      </c>
      <c r="K735" s="346">
        <v>5888</v>
      </c>
      <c r="L735" s="346"/>
      <c r="M735" s="346"/>
      <c r="N735" s="346">
        <f t="shared" si="11"/>
        <v>5888</v>
      </c>
      <c r="O735" s="342">
        <v>186.45</v>
      </c>
      <c r="P735" s="347">
        <v>5593.6</v>
      </c>
      <c r="Q735" s="342">
        <v>294.4</v>
      </c>
      <c r="R735" s="342">
        <v>0</v>
      </c>
      <c r="S735" s="342">
        <v>294.4</v>
      </c>
      <c r="T735" s="341" t="s">
        <v>532</v>
      </c>
      <c r="U735" s="342">
        <v>66011202</v>
      </c>
      <c r="V735" s="342"/>
    </row>
    <row r="736" customHeight="1" spans="1:22">
      <c r="A736" s="343" t="s">
        <v>196</v>
      </c>
      <c r="B736" s="343">
        <v>200007</v>
      </c>
      <c r="C736" s="343" t="s">
        <v>734</v>
      </c>
      <c r="D736" s="344">
        <v>1</v>
      </c>
      <c r="E736" s="343"/>
      <c r="F736" s="345">
        <v>44369</v>
      </c>
      <c r="G736" s="345">
        <v>44369</v>
      </c>
      <c r="H736" s="343">
        <v>202107</v>
      </c>
      <c r="I736" s="344">
        <v>60</v>
      </c>
      <c r="J736" s="342">
        <v>2</v>
      </c>
      <c r="K736" s="346">
        <v>77433.63</v>
      </c>
      <c r="L736" s="346"/>
      <c r="M736" s="346"/>
      <c r="N736" s="346">
        <f t="shared" si="11"/>
        <v>77433.63</v>
      </c>
      <c r="O736" s="347">
        <v>4904.14</v>
      </c>
      <c r="P736" s="347">
        <v>71109.88</v>
      </c>
      <c r="Q736" s="347">
        <v>6323.75</v>
      </c>
      <c r="R736" s="342">
        <v>0</v>
      </c>
      <c r="S736" s="347">
        <v>6323.75</v>
      </c>
      <c r="T736" s="341" t="s">
        <v>362</v>
      </c>
      <c r="U736" s="342">
        <v>5301010301</v>
      </c>
      <c r="V736" s="342"/>
    </row>
    <row r="737" customHeight="1" spans="1:22">
      <c r="A737" s="343" t="s">
        <v>196</v>
      </c>
      <c r="B737" s="343">
        <v>200008</v>
      </c>
      <c r="C737" s="343" t="s">
        <v>734</v>
      </c>
      <c r="D737" s="344">
        <v>1</v>
      </c>
      <c r="E737" s="343"/>
      <c r="F737" s="345">
        <v>44545</v>
      </c>
      <c r="G737" s="345">
        <v>44545</v>
      </c>
      <c r="H737" s="343">
        <v>202201</v>
      </c>
      <c r="I737" s="344">
        <v>60</v>
      </c>
      <c r="J737" s="342">
        <v>8</v>
      </c>
      <c r="K737" s="346">
        <v>87168.14</v>
      </c>
      <c r="L737" s="346"/>
      <c r="M737" s="346"/>
      <c r="N737" s="346">
        <f t="shared" si="11"/>
        <v>87168.14</v>
      </c>
      <c r="O737" s="347">
        <v>5520.66</v>
      </c>
      <c r="P737" s="347">
        <v>71768.41</v>
      </c>
      <c r="Q737" s="347">
        <v>15399.73</v>
      </c>
      <c r="R737" s="342">
        <v>0</v>
      </c>
      <c r="S737" s="347">
        <v>15399.73</v>
      </c>
      <c r="T737" s="341" t="s">
        <v>362</v>
      </c>
      <c r="U737" s="342">
        <v>5301010301</v>
      </c>
      <c r="V737" s="342"/>
    </row>
    <row r="738" customHeight="1" spans="1:22">
      <c r="A738" s="343" t="s">
        <v>196</v>
      </c>
      <c r="B738" s="343">
        <v>200012</v>
      </c>
      <c r="C738" s="343" t="s">
        <v>737</v>
      </c>
      <c r="D738" s="344">
        <v>1</v>
      </c>
      <c r="E738" s="343"/>
      <c r="F738" s="345">
        <v>44574</v>
      </c>
      <c r="G738" s="345">
        <v>44574</v>
      </c>
      <c r="H738" s="343">
        <v>202202</v>
      </c>
      <c r="I738" s="344">
        <v>60</v>
      </c>
      <c r="J738" s="342">
        <v>9</v>
      </c>
      <c r="K738" s="346">
        <v>293041.63</v>
      </c>
      <c r="L738" s="346"/>
      <c r="M738" s="346"/>
      <c r="N738" s="346">
        <f t="shared" si="11"/>
        <v>293041.63</v>
      </c>
      <c r="O738" s="347">
        <v>18559.3</v>
      </c>
      <c r="P738" s="347">
        <v>236631.13</v>
      </c>
      <c r="Q738" s="347">
        <v>56410.5</v>
      </c>
      <c r="R738" s="342">
        <v>0</v>
      </c>
      <c r="S738" s="347">
        <v>56410.5</v>
      </c>
      <c r="T738" s="341" t="s">
        <v>362</v>
      </c>
      <c r="U738" s="342">
        <v>5301010301</v>
      </c>
      <c r="V738" s="342"/>
    </row>
    <row r="739" customHeight="1" spans="1:22">
      <c r="A739" s="343" t="s">
        <v>196</v>
      </c>
      <c r="B739" s="343">
        <v>200013</v>
      </c>
      <c r="C739" s="343" t="s">
        <v>738</v>
      </c>
      <c r="D739" s="344">
        <v>1</v>
      </c>
      <c r="E739" s="343"/>
      <c r="F739" s="345">
        <v>44984</v>
      </c>
      <c r="G739" s="345">
        <v>44984</v>
      </c>
      <c r="H739" s="343">
        <v>202303</v>
      </c>
      <c r="I739" s="344">
        <v>60</v>
      </c>
      <c r="J739" s="342">
        <v>22</v>
      </c>
      <c r="K739" s="346">
        <v>7787.61</v>
      </c>
      <c r="L739" s="346"/>
      <c r="M739" s="346"/>
      <c r="N739" s="346">
        <f t="shared" si="11"/>
        <v>7787.61</v>
      </c>
      <c r="O739" s="342">
        <v>493.22</v>
      </c>
      <c r="P739" s="347">
        <v>4685.52</v>
      </c>
      <c r="Q739" s="347">
        <v>3102.09</v>
      </c>
      <c r="R739" s="342">
        <v>0</v>
      </c>
      <c r="S739" s="347">
        <v>3102.09</v>
      </c>
      <c r="T739" s="341" t="s">
        <v>739</v>
      </c>
      <c r="U739" s="342">
        <v>66021202</v>
      </c>
      <c r="V739" s="342"/>
    </row>
    <row r="740" customHeight="1" spans="1:22">
      <c r="A740" s="343" t="s">
        <v>196</v>
      </c>
      <c r="B740" s="343">
        <v>200014</v>
      </c>
      <c r="C740" s="343" t="s">
        <v>740</v>
      </c>
      <c r="D740" s="344">
        <v>1</v>
      </c>
      <c r="E740" s="343"/>
      <c r="F740" s="345">
        <v>45001</v>
      </c>
      <c r="G740" s="345">
        <v>45001</v>
      </c>
      <c r="H740" s="343">
        <v>202304</v>
      </c>
      <c r="I740" s="344">
        <v>60</v>
      </c>
      <c r="J740" s="342">
        <v>23</v>
      </c>
      <c r="K740" s="346">
        <v>5132.74</v>
      </c>
      <c r="L740" s="346"/>
      <c r="M740" s="346"/>
      <c r="N740" s="346">
        <f t="shared" si="11"/>
        <v>5132.74</v>
      </c>
      <c r="O740" s="342">
        <v>325.08</v>
      </c>
      <c r="P740" s="347">
        <v>3006.99</v>
      </c>
      <c r="Q740" s="347">
        <v>2125.75</v>
      </c>
      <c r="R740" s="342">
        <v>0</v>
      </c>
      <c r="S740" s="347">
        <v>2125.75</v>
      </c>
      <c r="T740" s="341" t="s">
        <v>362</v>
      </c>
      <c r="U740" s="342">
        <v>66021202</v>
      </c>
      <c r="V740" s="342"/>
    </row>
    <row r="741" customHeight="1" spans="1:22">
      <c r="A741" s="343" t="s">
        <v>196</v>
      </c>
      <c r="B741" s="343">
        <v>200015</v>
      </c>
      <c r="C741" s="343" t="s">
        <v>741</v>
      </c>
      <c r="D741" s="344">
        <v>1</v>
      </c>
      <c r="E741" s="343"/>
      <c r="F741" s="345">
        <v>45021</v>
      </c>
      <c r="G741" s="345">
        <v>45021</v>
      </c>
      <c r="H741" s="343">
        <v>202305</v>
      </c>
      <c r="I741" s="344">
        <v>60</v>
      </c>
      <c r="J741" s="342">
        <v>24</v>
      </c>
      <c r="K741" s="346">
        <v>41150.45</v>
      </c>
      <c r="L741" s="346"/>
      <c r="M741" s="346"/>
      <c r="N741" s="346">
        <f t="shared" si="11"/>
        <v>41150.45</v>
      </c>
      <c r="O741" s="347">
        <v>2606.2</v>
      </c>
      <c r="P741" s="347">
        <v>23455.8</v>
      </c>
      <c r="Q741" s="347">
        <v>17694.65</v>
      </c>
      <c r="R741" s="342">
        <v>0</v>
      </c>
      <c r="S741" s="347">
        <v>17694.65</v>
      </c>
      <c r="T741" s="341" t="s">
        <v>362</v>
      </c>
      <c r="U741" s="342">
        <v>5301010301</v>
      </c>
      <c r="V741" s="342"/>
    </row>
    <row r="742" customHeight="1" spans="1:22">
      <c r="A742" s="343" t="s">
        <v>196</v>
      </c>
      <c r="B742" s="343">
        <v>200016</v>
      </c>
      <c r="C742" s="343" t="s">
        <v>742</v>
      </c>
      <c r="D742" s="344">
        <v>1</v>
      </c>
      <c r="E742" s="343"/>
      <c r="F742" s="345">
        <v>45033</v>
      </c>
      <c r="G742" s="345">
        <v>45033</v>
      </c>
      <c r="H742" s="343">
        <v>202305</v>
      </c>
      <c r="I742" s="344">
        <v>60</v>
      </c>
      <c r="J742" s="342">
        <v>24</v>
      </c>
      <c r="K742" s="346">
        <v>2876.1</v>
      </c>
      <c r="L742" s="346"/>
      <c r="M742" s="346"/>
      <c r="N742" s="346">
        <f t="shared" si="11"/>
        <v>2876.1</v>
      </c>
      <c r="O742" s="342">
        <v>182.16</v>
      </c>
      <c r="P742" s="347">
        <v>1639.44</v>
      </c>
      <c r="Q742" s="347">
        <v>1236.66</v>
      </c>
      <c r="R742" s="342">
        <v>0</v>
      </c>
      <c r="S742" s="347">
        <v>1236.66</v>
      </c>
      <c r="T742" s="341" t="s">
        <v>362</v>
      </c>
      <c r="U742" s="342">
        <v>66011202</v>
      </c>
      <c r="V742" s="342"/>
    </row>
    <row r="743" customHeight="1" spans="1:22">
      <c r="A743" s="343" t="s">
        <v>196</v>
      </c>
      <c r="B743" s="343">
        <v>200017</v>
      </c>
      <c r="C743" s="343" t="s">
        <v>742</v>
      </c>
      <c r="D743" s="344">
        <v>1</v>
      </c>
      <c r="E743" s="343"/>
      <c r="F743" s="345">
        <v>45033</v>
      </c>
      <c r="G743" s="345">
        <v>45033</v>
      </c>
      <c r="H743" s="343">
        <v>202305</v>
      </c>
      <c r="I743" s="344">
        <v>60</v>
      </c>
      <c r="J743" s="342">
        <v>24</v>
      </c>
      <c r="K743" s="346">
        <v>2876.11</v>
      </c>
      <c r="L743" s="346"/>
      <c r="M743" s="346"/>
      <c r="N743" s="346">
        <f t="shared" si="11"/>
        <v>2876.11</v>
      </c>
      <c r="O743" s="342">
        <v>182.16</v>
      </c>
      <c r="P743" s="347">
        <v>1639.44</v>
      </c>
      <c r="Q743" s="347">
        <v>1236.67</v>
      </c>
      <c r="R743" s="342">
        <v>0</v>
      </c>
      <c r="S743" s="347">
        <v>1236.67</v>
      </c>
      <c r="T743" s="341" t="s">
        <v>550</v>
      </c>
      <c r="U743" s="342">
        <v>66011202</v>
      </c>
      <c r="V743" s="342"/>
    </row>
    <row r="744" customHeight="1" spans="1:22">
      <c r="A744" s="343" t="s">
        <v>196</v>
      </c>
      <c r="B744" s="343">
        <v>200018</v>
      </c>
      <c r="C744" s="343" t="s">
        <v>743</v>
      </c>
      <c r="D744" s="344">
        <v>1</v>
      </c>
      <c r="E744" s="343"/>
      <c r="F744" s="345">
        <v>45089</v>
      </c>
      <c r="G744" s="345">
        <v>45089</v>
      </c>
      <c r="H744" s="343">
        <v>202307</v>
      </c>
      <c r="I744" s="344">
        <v>60</v>
      </c>
      <c r="J744" s="342">
        <v>26</v>
      </c>
      <c r="K744" s="346">
        <v>4292.04</v>
      </c>
      <c r="L744" s="346"/>
      <c r="M744" s="346"/>
      <c r="N744" s="346">
        <f t="shared" si="11"/>
        <v>4292.04</v>
      </c>
      <c r="O744" s="342">
        <v>271.82</v>
      </c>
      <c r="P744" s="347">
        <v>2310.61</v>
      </c>
      <c r="Q744" s="347">
        <v>1981.43</v>
      </c>
      <c r="R744" s="342">
        <v>0</v>
      </c>
      <c r="S744" s="347">
        <v>1981.43</v>
      </c>
      <c r="T744" s="341" t="s">
        <v>532</v>
      </c>
      <c r="U744" s="342">
        <v>66021202</v>
      </c>
      <c r="V744" s="342"/>
    </row>
    <row r="745" customHeight="1" spans="1:22">
      <c r="A745" s="343" t="s">
        <v>196</v>
      </c>
      <c r="B745" s="343">
        <v>200019</v>
      </c>
      <c r="C745" s="343" t="s">
        <v>743</v>
      </c>
      <c r="D745" s="344">
        <v>1</v>
      </c>
      <c r="E745" s="343"/>
      <c r="F745" s="345">
        <v>45089</v>
      </c>
      <c r="G745" s="345">
        <v>45089</v>
      </c>
      <c r="H745" s="343">
        <v>202307</v>
      </c>
      <c r="I745" s="344">
        <v>60</v>
      </c>
      <c r="J745" s="342">
        <v>26</v>
      </c>
      <c r="K745" s="346">
        <v>4292.03</v>
      </c>
      <c r="L745" s="346"/>
      <c r="M745" s="346"/>
      <c r="N745" s="346">
        <f t="shared" si="11"/>
        <v>4292.03</v>
      </c>
      <c r="O745" s="342">
        <v>271.82</v>
      </c>
      <c r="P745" s="347">
        <v>2310.6</v>
      </c>
      <c r="Q745" s="347">
        <v>1981.43</v>
      </c>
      <c r="R745" s="342">
        <v>0</v>
      </c>
      <c r="S745" s="347">
        <v>1981.43</v>
      </c>
      <c r="T745" s="341" t="s">
        <v>550</v>
      </c>
      <c r="U745" s="342">
        <v>66021202</v>
      </c>
      <c r="V745" s="342"/>
    </row>
    <row r="746" customHeight="1" spans="1:22">
      <c r="A746" s="343" t="s">
        <v>196</v>
      </c>
      <c r="B746" s="343">
        <v>200020</v>
      </c>
      <c r="C746" s="343" t="s">
        <v>744</v>
      </c>
      <c r="D746" s="344">
        <v>1</v>
      </c>
      <c r="E746" s="343" t="s">
        <v>745</v>
      </c>
      <c r="F746" s="345">
        <v>45114</v>
      </c>
      <c r="G746" s="345">
        <v>45114</v>
      </c>
      <c r="H746" s="343">
        <v>202308</v>
      </c>
      <c r="I746" s="344">
        <v>60</v>
      </c>
      <c r="J746" s="342">
        <v>27</v>
      </c>
      <c r="K746" s="346">
        <v>44247.79</v>
      </c>
      <c r="L746" s="346"/>
      <c r="M746" s="346"/>
      <c r="N746" s="346">
        <f t="shared" si="11"/>
        <v>44247.79</v>
      </c>
      <c r="O746" s="347">
        <v>2802.36</v>
      </c>
      <c r="P746" s="347">
        <v>23119.47</v>
      </c>
      <c r="Q746" s="347">
        <v>21128.32</v>
      </c>
      <c r="R746" s="342">
        <v>0</v>
      </c>
      <c r="S746" s="347">
        <v>21128.32</v>
      </c>
      <c r="T746" s="341" t="s">
        <v>362</v>
      </c>
      <c r="U746" s="342">
        <v>5301010301</v>
      </c>
      <c r="V746" s="342"/>
    </row>
    <row r="747" customHeight="1" spans="1:22">
      <c r="A747" s="343" t="s">
        <v>196</v>
      </c>
      <c r="B747" s="343">
        <v>200021</v>
      </c>
      <c r="C747" s="343" t="s">
        <v>746</v>
      </c>
      <c r="D747" s="344">
        <v>1</v>
      </c>
      <c r="E747" s="343" t="s">
        <v>747</v>
      </c>
      <c r="F747" s="345">
        <v>45114</v>
      </c>
      <c r="G747" s="345">
        <v>45114</v>
      </c>
      <c r="H747" s="343">
        <v>202308</v>
      </c>
      <c r="I747" s="344">
        <v>60</v>
      </c>
      <c r="J747" s="342">
        <v>27</v>
      </c>
      <c r="K747" s="346">
        <v>3185.84</v>
      </c>
      <c r="L747" s="346"/>
      <c r="M747" s="346"/>
      <c r="N747" s="346">
        <f t="shared" si="11"/>
        <v>3185.84</v>
      </c>
      <c r="O747" s="342">
        <v>201.78</v>
      </c>
      <c r="P747" s="347">
        <v>1664.54</v>
      </c>
      <c r="Q747" s="347">
        <v>1521.3</v>
      </c>
      <c r="R747" s="342">
        <v>0</v>
      </c>
      <c r="S747" s="347">
        <v>1521.3</v>
      </c>
      <c r="T747" s="341" t="s">
        <v>362</v>
      </c>
      <c r="U747" s="342">
        <v>5301010301</v>
      </c>
      <c r="V747" s="342"/>
    </row>
    <row r="748" customHeight="1" spans="1:22">
      <c r="A748" s="343" t="s">
        <v>196</v>
      </c>
      <c r="B748" s="343">
        <v>200022</v>
      </c>
      <c r="C748" s="343" t="s">
        <v>746</v>
      </c>
      <c r="D748" s="344">
        <v>1</v>
      </c>
      <c r="E748" s="343" t="s">
        <v>747</v>
      </c>
      <c r="F748" s="345">
        <v>45114</v>
      </c>
      <c r="G748" s="345">
        <v>45114</v>
      </c>
      <c r="H748" s="343">
        <v>202308</v>
      </c>
      <c r="I748" s="344">
        <v>60</v>
      </c>
      <c r="J748" s="342">
        <v>27</v>
      </c>
      <c r="K748" s="346">
        <v>3185.84</v>
      </c>
      <c r="L748" s="346"/>
      <c r="M748" s="346"/>
      <c r="N748" s="346">
        <f t="shared" si="11"/>
        <v>3185.84</v>
      </c>
      <c r="O748" s="342">
        <v>201.78</v>
      </c>
      <c r="P748" s="347">
        <v>1664.54</v>
      </c>
      <c r="Q748" s="347">
        <v>1521.3</v>
      </c>
      <c r="R748" s="342">
        <v>0</v>
      </c>
      <c r="S748" s="347">
        <v>1521.3</v>
      </c>
      <c r="T748" s="341" t="s">
        <v>362</v>
      </c>
      <c r="U748" s="342">
        <v>5301010301</v>
      </c>
      <c r="V748" s="342"/>
    </row>
    <row r="749" customHeight="1" spans="1:22">
      <c r="A749" s="343" t="s">
        <v>196</v>
      </c>
      <c r="B749" s="343">
        <v>200023</v>
      </c>
      <c r="C749" s="343" t="s">
        <v>725</v>
      </c>
      <c r="D749" s="344">
        <v>1</v>
      </c>
      <c r="E749" s="343" t="s">
        <v>748</v>
      </c>
      <c r="F749" s="345">
        <v>45112</v>
      </c>
      <c r="G749" s="345">
        <v>45112</v>
      </c>
      <c r="H749" s="343">
        <v>202308</v>
      </c>
      <c r="I749" s="344">
        <v>60</v>
      </c>
      <c r="J749" s="342">
        <v>27</v>
      </c>
      <c r="K749" s="346">
        <v>44070.8</v>
      </c>
      <c r="L749" s="346"/>
      <c r="M749" s="346"/>
      <c r="N749" s="346">
        <f t="shared" si="11"/>
        <v>44070.8</v>
      </c>
      <c r="O749" s="347">
        <v>2791.16</v>
      </c>
      <c r="P749" s="347">
        <v>23027.07</v>
      </c>
      <c r="Q749" s="347">
        <v>21043.73</v>
      </c>
      <c r="R749" s="342">
        <v>0</v>
      </c>
      <c r="S749" s="347">
        <v>21043.73</v>
      </c>
      <c r="T749" s="341" t="s">
        <v>362</v>
      </c>
      <c r="U749" s="342">
        <v>5301010301</v>
      </c>
      <c r="V749" s="342"/>
    </row>
    <row r="750" customHeight="1" spans="1:22">
      <c r="A750" s="343" t="s">
        <v>196</v>
      </c>
      <c r="B750" s="343">
        <v>200024</v>
      </c>
      <c r="C750" s="343" t="s">
        <v>725</v>
      </c>
      <c r="D750" s="344">
        <v>1</v>
      </c>
      <c r="E750" s="343" t="s">
        <v>749</v>
      </c>
      <c r="F750" s="345">
        <v>45138</v>
      </c>
      <c r="G750" s="345">
        <v>45138</v>
      </c>
      <c r="H750" s="343">
        <v>202308</v>
      </c>
      <c r="I750" s="344">
        <v>60</v>
      </c>
      <c r="J750" s="342">
        <v>27</v>
      </c>
      <c r="K750" s="346">
        <v>35398.23</v>
      </c>
      <c r="L750" s="346"/>
      <c r="M750" s="346"/>
      <c r="N750" s="346">
        <f t="shared" si="11"/>
        <v>35398.23</v>
      </c>
      <c r="O750" s="347">
        <v>2241.88</v>
      </c>
      <c r="P750" s="347">
        <v>18495.51</v>
      </c>
      <c r="Q750" s="347">
        <v>16902.72</v>
      </c>
      <c r="R750" s="342">
        <v>0</v>
      </c>
      <c r="S750" s="347">
        <v>16902.72</v>
      </c>
      <c r="T750" s="341" t="s">
        <v>362</v>
      </c>
      <c r="U750" s="342">
        <v>5301010301</v>
      </c>
      <c r="V750" s="342"/>
    </row>
    <row r="751" customHeight="1" spans="1:22">
      <c r="A751" s="343" t="s">
        <v>196</v>
      </c>
      <c r="B751" s="343">
        <v>200025</v>
      </c>
      <c r="C751" s="343" t="s">
        <v>750</v>
      </c>
      <c r="D751" s="344">
        <v>1</v>
      </c>
      <c r="E751" s="343" t="s">
        <v>751</v>
      </c>
      <c r="F751" s="345">
        <v>45138</v>
      </c>
      <c r="G751" s="345">
        <v>45138</v>
      </c>
      <c r="H751" s="343">
        <v>202308</v>
      </c>
      <c r="I751" s="344">
        <v>60</v>
      </c>
      <c r="J751" s="342">
        <v>27</v>
      </c>
      <c r="K751" s="346">
        <v>12345.13</v>
      </c>
      <c r="L751" s="346"/>
      <c r="M751" s="346"/>
      <c r="N751" s="346">
        <f t="shared" si="11"/>
        <v>12345.13</v>
      </c>
      <c r="O751" s="342">
        <v>781.86</v>
      </c>
      <c r="P751" s="347">
        <v>6450.32</v>
      </c>
      <c r="Q751" s="347">
        <v>5894.81</v>
      </c>
      <c r="R751" s="342">
        <v>0</v>
      </c>
      <c r="S751" s="347">
        <v>5894.81</v>
      </c>
      <c r="T751" s="341" t="s">
        <v>362</v>
      </c>
      <c r="U751" s="342">
        <v>5301010301</v>
      </c>
      <c r="V751" s="342"/>
    </row>
    <row r="752" customHeight="1" spans="1:22">
      <c r="A752" s="343" t="s">
        <v>196</v>
      </c>
      <c r="B752" s="343">
        <v>200026</v>
      </c>
      <c r="C752" s="343" t="s">
        <v>725</v>
      </c>
      <c r="D752" s="344">
        <v>1</v>
      </c>
      <c r="E752" s="343" t="s">
        <v>752</v>
      </c>
      <c r="F752" s="345">
        <v>45125</v>
      </c>
      <c r="G752" s="345">
        <v>45139</v>
      </c>
      <c r="H752" s="343">
        <v>202308</v>
      </c>
      <c r="I752" s="344">
        <v>60</v>
      </c>
      <c r="J752" s="342">
        <v>27</v>
      </c>
      <c r="K752" s="346">
        <v>12212.39</v>
      </c>
      <c r="L752" s="346"/>
      <c r="M752" s="346"/>
      <c r="N752" s="346">
        <f t="shared" si="11"/>
        <v>12212.39</v>
      </c>
      <c r="O752" s="342">
        <v>773.46</v>
      </c>
      <c r="P752" s="347">
        <v>6380.92</v>
      </c>
      <c r="Q752" s="347">
        <v>5831.47</v>
      </c>
      <c r="R752" s="342">
        <v>0</v>
      </c>
      <c r="S752" s="347">
        <v>5831.47</v>
      </c>
      <c r="T752" s="341" t="s">
        <v>362</v>
      </c>
      <c r="U752" s="342">
        <v>5301010301</v>
      </c>
      <c r="V752" s="342"/>
    </row>
    <row r="753" customHeight="1" spans="1:22">
      <c r="A753" s="343" t="s">
        <v>193</v>
      </c>
      <c r="B753" s="343">
        <v>300053</v>
      </c>
      <c r="C753" s="343" t="s">
        <v>753</v>
      </c>
      <c r="D753" s="344">
        <v>10</v>
      </c>
      <c r="E753" s="343"/>
      <c r="F753" s="345">
        <v>44536</v>
      </c>
      <c r="G753" s="345">
        <v>44536</v>
      </c>
      <c r="H753" s="343">
        <v>202201</v>
      </c>
      <c r="I753" s="344">
        <v>60</v>
      </c>
      <c r="J753" s="342">
        <v>8</v>
      </c>
      <c r="K753" s="346">
        <v>48672.57</v>
      </c>
      <c r="L753" s="346"/>
      <c r="M753" s="346"/>
      <c r="N753" s="346">
        <f t="shared" si="11"/>
        <v>48672.57</v>
      </c>
      <c r="O753" s="347">
        <v>3082.58</v>
      </c>
      <c r="P753" s="347">
        <v>40073.78</v>
      </c>
      <c r="Q753" s="347">
        <v>8598.79</v>
      </c>
      <c r="R753" s="342">
        <v>0</v>
      </c>
      <c r="S753" s="347">
        <v>8598.79</v>
      </c>
      <c r="T753" s="341" t="s">
        <v>362</v>
      </c>
      <c r="U753" s="342">
        <v>5301010301</v>
      </c>
      <c r="V753" s="342"/>
    </row>
    <row r="754" customHeight="1" spans="1:22">
      <c r="A754" s="343" t="s">
        <v>193</v>
      </c>
      <c r="B754" s="343">
        <v>300054</v>
      </c>
      <c r="C754" s="343" t="s">
        <v>754</v>
      </c>
      <c r="D754" s="344">
        <v>30</v>
      </c>
      <c r="E754" s="343"/>
      <c r="F754" s="345">
        <v>44536</v>
      </c>
      <c r="G754" s="345">
        <v>44536</v>
      </c>
      <c r="H754" s="343">
        <v>202201</v>
      </c>
      <c r="I754" s="344">
        <v>60</v>
      </c>
      <c r="J754" s="342">
        <v>8</v>
      </c>
      <c r="K754" s="346">
        <v>18053.1</v>
      </c>
      <c r="L754" s="346"/>
      <c r="M754" s="346"/>
      <c r="N754" s="346">
        <f t="shared" si="11"/>
        <v>18053.1</v>
      </c>
      <c r="O754" s="347">
        <v>1143.36</v>
      </c>
      <c r="P754" s="347">
        <v>14863.68</v>
      </c>
      <c r="Q754" s="347">
        <v>3189.42</v>
      </c>
      <c r="R754" s="342">
        <v>0</v>
      </c>
      <c r="S754" s="347">
        <v>3189.42</v>
      </c>
      <c r="T754" s="341" t="s">
        <v>362</v>
      </c>
      <c r="U754" s="342">
        <v>5301010301</v>
      </c>
      <c r="V754" s="342"/>
    </row>
    <row r="755" customHeight="1" spans="1:22">
      <c r="A755" s="343" t="s">
        <v>193</v>
      </c>
      <c r="B755" s="343">
        <v>300055</v>
      </c>
      <c r="C755" s="343" t="s">
        <v>755</v>
      </c>
      <c r="D755" s="344">
        <v>12</v>
      </c>
      <c r="E755" s="343"/>
      <c r="F755" s="345">
        <v>44536</v>
      </c>
      <c r="G755" s="345">
        <v>44536</v>
      </c>
      <c r="H755" s="343">
        <v>202201</v>
      </c>
      <c r="I755" s="344">
        <v>60</v>
      </c>
      <c r="J755" s="342">
        <v>8</v>
      </c>
      <c r="K755" s="346">
        <v>16417.7</v>
      </c>
      <c r="L755" s="346"/>
      <c r="M755" s="346"/>
      <c r="N755" s="346">
        <f t="shared" si="11"/>
        <v>16417.7</v>
      </c>
      <c r="O755" s="347">
        <v>1039.78</v>
      </c>
      <c r="P755" s="347">
        <v>13517.25</v>
      </c>
      <c r="Q755" s="347">
        <v>2900.45</v>
      </c>
      <c r="R755" s="342">
        <v>0</v>
      </c>
      <c r="S755" s="347">
        <v>2900.45</v>
      </c>
      <c r="T755" s="341" t="s">
        <v>362</v>
      </c>
      <c r="U755" s="342">
        <v>5301010301</v>
      </c>
      <c r="V755" s="342"/>
    </row>
    <row r="756" customHeight="1" spans="1:22">
      <c r="A756" s="343" t="s">
        <v>193</v>
      </c>
      <c r="B756" s="343">
        <v>300056</v>
      </c>
      <c r="C756" s="343" t="s">
        <v>377</v>
      </c>
      <c r="D756" s="344">
        <v>1</v>
      </c>
      <c r="E756" s="343"/>
      <c r="F756" s="345">
        <v>44536</v>
      </c>
      <c r="G756" s="345">
        <v>44536</v>
      </c>
      <c r="H756" s="343">
        <v>202201</v>
      </c>
      <c r="I756" s="344">
        <v>60</v>
      </c>
      <c r="J756" s="342">
        <v>8</v>
      </c>
      <c r="K756" s="346">
        <v>5566.37</v>
      </c>
      <c r="L756" s="346"/>
      <c r="M756" s="346"/>
      <c r="N756" s="346">
        <f t="shared" si="11"/>
        <v>5566.37</v>
      </c>
      <c r="O756" s="342">
        <v>352.54</v>
      </c>
      <c r="P756" s="347">
        <v>4582.97</v>
      </c>
      <c r="Q756" s="342">
        <v>983.4</v>
      </c>
      <c r="R756" s="342">
        <v>0</v>
      </c>
      <c r="S756" s="342">
        <v>983.4</v>
      </c>
      <c r="T756" s="341" t="s">
        <v>362</v>
      </c>
      <c r="U756" s="342">
        <v>5301010301</v>
      </c>
      <c r="V756" s="342"/>
    </row>
    <row r="757" customHeight="1" spans="1:22">
      <c r="A757" s="343" t="s">
        <v>193</v>
      </c>
      <c r="B757" s="343">
        <v>300057</v>
      </c>
      <c r="C757" s="343" t="s">
        <v>756</v>
      </c>
      <c r="D757" s="344">
        <v>25</v>
      </c>
      <c r="E757" s="343"/>
      <c r="F757" s="345">
        <v>44536</v>
      </c>
      <c r="G757" s="345">
        <v>44536</v>
      </c>
      <c r="H757" s="343">
        <v>202201</v>
      </c>
      <c r="I757" s="344">
        <v>60</v>
      </c>
      <c r="J757" s="342">
        <v>8</v>
      </c>
      <c r="K757" s="346">
        <v>14380.53</v>
      </c>
      <c r="L757" s="346"/>
      <c r="M757" s="346"/>
      <c r="N757" s="346">
        <f t="shared" si="11"/>
        <v>14380.53</v>
      </c>
      <c r="O757" s="342">
        <v>910.78</v>
      </c>
      <c r="P757" s="347">
        <v>11839.94</v>
      </c>
      <c r="Q757" s="347">
        <v>2540.59</v>
      </c>
      <c r="R757" s="342">
        <v>0</v>
      </c>
      <c r="S757" s="347">
        <v>2540.59</v>
      </c>
      <c r="T757" s="341" t="s">
        <v>362</v>
      </c>
      <c r="U757" s="342">
        <v>5301010301</v>
      </c>
      <c r="V757" s="342"/>
    </row>
    <row r="758" customHeight="1" spans="1:22">
      <c r="A758" s="343" t="s">
        <v>193</v>
      </c>
      <c r="B758" s="343">
        <v>300058</v>
      </c>
      <c r="C758" s="343" t="s">
        <v>757</v>
      </c>
      <c r="D758" s="344">
        <v>35</v>
      </c>
      <c r="E758" s="343"/>
      <c r="F758" s="345">
        <v>44517</v>
      </c>
      <c r="G758" s="345">
        <v>44517</v>
      </c>
      <c r="H758" s="343">
        <v>202112</v>
      </c>
      <c r="I758" s="344">
        <v>60</v>
      </c>
      <c r="J758" s="342">
        <v>7</v>
      </c>
      <c r="K758" s="346">
        <v>23539.82</v>
      </c>
      <c r="L758" s="346"/>
      <c r="M758" s="346"/>
      <c r="N758" s="346">
        <f t="shared" si="11"/>
        <v>23539.82</v>
      </c>
      <c r="O758" s="347">
        <v>1490.86</v>
      </c>
      <c r="P758" s="347">
        <v>19753.83</v>
      </c>
      <c r="Q758" s="347">
        <v>3785.99</v>
      </c>
      <c r="R758" s="342">
        <v>0</v>
      </c>
      <c r="S758" s="347">
        <v>3785.99</v>
      </c>
      <c r="T758" s="341" t="s">
        <v>362</v>
      </c>
      <c r="U758" s="342">
        <v>5301010301</v>
      </c>
      <c r="V758" s="342"/>
    </row>
    <row r="759" customHeight="1" spans="1:22">
      <c r="A759" s="343" t="s">
        <v>193</v>
      </c>
      <c r="B759" s="343">
        <v>300060</v>
      </c>
      <c r="C759" s="343" t="s">
        <v>758</v>
      </c>
      <c r="D759" s="344">
        <v>1</v>
      </c>
      <c r="E759" s="343"/>
      <c r="F759" s="345">
        <v>44670</v>
      </c>
      <c r="G759" s="345">
        <v>44670</v>
      </c>
      <c r="H759" s="343">
        <v>202205</v>
      </c>
      <c r="I759" s="344">
        <v>60</v>
      </c>
      <c r="J759" s="342">
        <v>12</v>
      </c>
      <c r="K759" s="346">
        <v>2113.27</v>
      </c>
      <c r="L759" s="346"/>
      <c r="M759" s="346"/>
      <c r="N759" s="346">
        <f t="shared" si="11"/>
        <v>2113.27</v>
      </c>
      <c r="O759" s="342">
        <v>133.84</v>
      </c>
      <c r="P759" s="347">
        <v>1606.08</v>
      </c>
      <c r="Q759" s="342">
        <v>507.19</v>
      </c>
      <c r="R759" s="342">
        <v>0</v>
      </c>
      <c r="S759" s="342">
        <v>507.19</v>
      </c>
      <c r="T759" s="341" t="s">
        <v>362</v>
      </c>
      <c r="U759" s="342">
        <v>66021203</v>
      </c>
      <c r="V759" s="342"/>
    </row>
    <row r="760" customHeight="1" spans="1:22">
      <c r="A760" s="343" t="s">
        <v>193</v>
      </c>
      <c r="B760" s="343">
        <v>300061</v>
      </c>
      <c r="C760" s="343" t="s">
        <v>759</v>
      </c>
      <c r="D760" s="344">
        <v>1</v>
      </c>
      <c r="E760" s="343"/>
      <c r="F760" s="345">
        <v>44709</v>
      </c>
      <c r="G760" s="345">
        <v>44709</v>
      </c>
      <c r="H760" s="343">
        <v>202206</v>
      </c>
      <c r="I760" s="344">
        <v>36</v>
      </c>
      <c r="J760" s="342">
        <v>0</v>
      </c>
      <c r="K760" s="346">
        <v>1061.06</v>
      </c>
      <c r="L760" s="346"/>
      <c r="M760" s="346"/>
      <c r="N760" s="346">
        <f t="shared" si="11"/>
        <v>1061.06</v>
      </c>
      <c r="O760" s="342">
        <v>0</v>
      </c>
      <c r="P760" s="347">
        <v>1008.01</v>
      </c>
      <c r="Q760" s="342">
        <v>53.05</v>
      </c>
      <c r="R760" s="342">
        <v>0</v>
      </c>
      <c r="S760" s="342">
        <v>53.05</v>
      </c>
      <c r="T760" s="341" t="s">
        <v>362</v>
      </c>
      <c r="U760" s="342">
        <v>66021203</v>
      </c>
      <c r="V760" s="342"/>
    </row>
    <row r="761" customHeight="1" spans="1:22">
      <c r="A761" s="343" t="s">
        <v>193</v>
      </c>
      <c r="B761" s="343">
        <v>300062</v>
      </c>
      <c r="C761" s="343" t="s">
        <v>453</v>
      </c>
      <c r="D761" s="344">
        <v>1</v>
      </c>
      <c r="E761" s="343"/>
      <c r="F761" s="345">
        <v>44735</v>
      </c>
      <c r="G761" s="345">
        <v>44735</v>
      </c>
      <c r="H761" s="343">
        <v>202207</v>
      </c>
      <c r="I761" s="344">
        <v>60</v>
      </c>
      <c r="J761" s="342">
        <v>14</v>
      </c>
      <c r="K761" s="346">
        <v>610.62</v>
      </c>
      <c r="L761" s="346"/>
      <c r="M761" s="346"/>
      <c r="N761" s="346">
        <f t="shared" si="11"/>
        <v>610.62</v>
      </c>
      <c r="O761" s="342">
        <v>38.66</v>
      </c>
      <c r="P761" s="347">
        <v>444.78</v>
      </c>
      <c r="Q761" s="342">
        <v>165.84</v>
      </c>
      <c r="R761" s="342">
        <v>0</v>
      </c>
      <c r="S761" s="342">
        <v>165.84</v>
      </c>
      <c r="T761" s="341" t="s">
        <v>362</v>
      </c>
      <c r="U761" s="342">
        <v>66021203</v>
      </c>
      <c r="V761" s="342"/>
    </row>
    <row r="762" customHeight="1" spans="1:22">
      <c r="A762" s="343" t="s">
        <v>193</v>
      </c>
      <c r="B762" s="343">
        <v>300072</v>
      </c>
      <c r="C762" s="343" t="s">
        <v>760</v>
      </c>
      <c r="D762" s="344">
        <v>1</v>
      </c>
      <c r="E762" s="343"/>
      <c r="F762" s="345">
        <v>44995</v>
      </c>
      <c r="G762" s="345">
        <v>44995</v>
      </c>
      <c r="H762" s="343">
        <v>202304</v>
      </c>
      <c r="I762" s="344">
        <v>60</v>
      </c>
      <c r="J762" s="342">
        <v>23</v>
      </c>
      <c r="K762" s="346">
        <v>1422.12</v>
      </c>
      <c r="L762" s="346"/>
      <c r="M762" s="346"/>
      <c r="N762" s="346">
        <f t="shared" si="11"/>
        <v>1422.12</v>
      </c>
      <c r="O762" s="342">
        <v>90.06</v>
      </c>
      <c r="P762" s="347">
        <v>833.17</v>
      </c>
      <c r="Q762" s="342">
        <v>588.95</v>
      </c>
      <c r="R762" s="342">
        <v>0</v>
      </c>
      <c r="S762" s="342">
        <v>588.95</v>
      </c>
      <c r="T762" s="341" t="s">
        <v>362</v>
      </c>
      <c r="U762" s="342">
        <v>66021203</v>
      </c>
      <c r="V762" s="342"/>
    </row>
    <row r="763" customHeight="1" spans="1:22">
      <c r="A763" s="343" t="s">
        <v>193</v>
      </c>
      <c r="B763" s="343">
        <v>300073</v>
      </c>
      <c r="C763" s="343" t="s">
        <v>760</v>
      </c>
      <c r="D763" s="344">
        <v>1</v>
      </c>
      <c r="E763" s="343"/>
      <c r="F763" s="345">
        <v>44995</v>
      </c>
      <c r="G763" s="345">
        <v>44995</v>
      </c>
      <c r="H763" s="343">
        <v>202304</v>
      </c>
      <c r="I763" s="344">
        <v>60</v>
      </c>
      <c r="J763" s="342">
        <v>23</v>
      </c>
      <c r="K763" s="346">
        <v>1422.13</v>
      </c>
      <c r="L763" s="346"/>
      <c r="M763" s="346"/>
      <c r="N763" s="346">
        <f t="shared" si="11"/>
        <v>1422.13</v>
      </c>
      <c r="O763" s="342">
        <v>90.06</v>
      </c>
      <c r="P763" s="347">
        <v>833.18</v>
      </c>
      <c r="Q763" s="342">
        <v>588.95</v>
      </c>
      <c r="R763" s="342">
        <v>0</v>
      </c>
      <c r="S763" s="342">
        <v>588.95</v>
      </c>
      <c r="T763" s="341" t="s">
        <v>362</v>
      </c>
      <c r="U763" s="342">
        <v>66021203</v>
      </c>
      <c r="V763" s="342"/>
    </row>
    <row r="764" customHeight="1" spans="1:22">
      <c r="A764" s="343" t="s">
        <v>193</v>
      </c>
      <c r="B764" s="343">
        <v>300074</v>
      </c>
      <c r="C764" s="343" t="s">
        <v>761</v>
      </c>
      <c r="D764" s="344">
        <v>1</v>
      </c>
      <c r="E764" s="343"/>
      <c r="F764" s="345">
        <v>45007</v>
      </c>
      <c r="G764" s="345">
        <v>45007</v>
      </c>
      <c r="H764" s="343">
        <v>202304</v>
      </c>
      <c r="I764" s="344">
        <v>60</v>
      </c>
      <c r="J764" s="342">
        <v>23</v>
      </c>
      <c r="K764" s="346">
        <v>1559.29</v>
      </c>
      <c r="L764" s="346"/>
      <c r="M764" s="346"/>
      <c r="N764" s="346">
        <f t="shared" si="11"/>
        <v>1559.29</v>
      </c>
      <c r="O764" s="342">
        <v>98.76</v>
      </c>
      <c r="P764" s="347">
        <v>913.53</v>
      </c>
      <c r="Q764" s="342">
        <v>645.76</v>
      </c>
      <c r="R764" s="342">
        <v>0</v>
      </c>
      <c r="S764" s="342">
        <v>645.76</v>
      </c>
      <c r="T764" s="341" t="s">
        <v>362</v>
      </c>
      <c r="U764" s="342">
        <v>5301010301</v>
      </c>
      <c r="V764" s="342"/>
    </row>
    <row r="765" customHeight="1" spans="1:22">
      <c r="A765" s="343" t="s">
        <v>193</v>
      </c>
      <c r="B765" s="343">
        <v>300075</v>
      </c>
      <c r="C765" s="343" t="s">
        <v>757</v>
      </c>
      <c r="D765" s="344">
        <v>1</v>
      </c>
      <c r="E765" s="343"/>
      <c r="F765" s="345">
        <v>45016</v>
      </c>
      <c r="G765" s="345">
        <v>45016</v>
      </c>
      <c r="H765" s="343">
        <v>202304</v>
      </c>
      <c r="I765" s="344">
        <v>60</v>
      </c>
      <c r="J765" s="342">
        <v>23</v>
      </c>
      <c r="K765" s="346">
        <v>929.2</v>
      </c>
      <c r="L765" s="346"/>
      <c r="M765" s="346"/>
      <c r="N765" s="346">
        <f t="shared" si="11"/>
        <v>929.2</v>
      </c>
      <c r="O765" s="342">
        <v>58.86</v>
      </c>
      <c r="P765" s="347">
        <v>544.3</v>
      </c>
      <c r="Q765" s="342">
        <v>384.9</v>
      </c>
      <c r="R765" s="342">
        <v>0</v>
      </c>
      <c r="S765" s="342">
        <v>384.9</v>
      </c>
      <c r="T765" s="341" t="s">
        <v>362</v>
      </c>
      <c r="U765" s="342">
        <v>5301010301</v>
      </c>
      <c r="V765" s="342"/>
    </row>
    <row r="766" customHeight="1" spans="1:22">
      <c r="A766" s="343" t="s">
        <v>193</v>
      </c>
      <c r="B766" s="343">
        <v>300076</v>
      </c>
      <c r="C766" s="343" t="s">
        <v>762</v>
      </c>
      <c r="D766" s="344">
        <v>1</v>
      </c>
      <c r="E766" s="343"/>
      <c r="F766" s="345">
        <v>45044</v>
      </c>
      <c r="G766" s="345">
        <v>45044</v>
      </c>
      <c r="H766" s="343">
        <v>202305</v>
      </c>
      <c r="I766" s="344">
        <v>60</v>
      </c>
      <c r="J766" s="342">
        <v>24</v>
      </c>
      <c r="K766" s="346">
        <v>1758.99</v>
      </c>
      <c r="L766" s="346"/>
      <c r="M766" s="346"/>
      <c r="N766" s="346">
        <f t="shared" si="11"/>
        <v>1758.99</v>
      </c>
      <c r="O766" s="342">
        <v>111.4</v>
      </c>
      <c r="P766" s="347">
        <v>1002.6</v>
      </c>
      <c r="Q766" s="342">
        <v>756.39</v>
      </c>
      <c r="R766" s="342">
        <v>0</v>
      </c>
      <c r="S766" s="342">
        <v>756.39</v>
      </c>
      <c r="T766" s="341" t="s">
        <v>532</v>
      </c>
      <c r="U766" s="342">
        <v>66011203</v>
      </c>
      <c r="V766" s="342"/>
    </row>
    <row r="767" customHeight="1" spans="1:22">
      <c r="A767" s="343" t="s">
        <v>193</v>
      </c>
      <c r="B767" s="343">
        <v>300077</v>
      </c>
      <c r="C767" s="343" t="s">
        <v>762</v>
      </c>
      <c r="D767" s="344">
        <v>1</v>
      </c>
      <c r="E767" s="343"/>
      <c r="F767" s="345">
        <v>45044</v>
      </c>
      <c r="G767" s="345">
        <v>45044</v>
      </c>
      <c r="H767" s="343">
        <v>202305</v>
      </c>
      <c r="I767" s="344">
        <v>60</v>
      </c>
      <c r="J767" s="342">
        <v>24</v>
      </c>
      <c r="K767" s="346">
        <v>1758.99</v>
      </c>
      <c r="L767" s="346"/>
      <c r="M767" s="346"/>
      <c r="N767" s="346">
        <f t="shared" si="11"/>
        <v>1758.99</v>
      </c>
      <c r="O767" s="342">
        <v>111.4</v>
      </c>
      <c r="P767" s="347">
        <v>1002.6</v>
      </c>
      <c r="Q767" s="342">
        <v>756.39</v>
      </c>
      <c r="R767" s="342">
        <v>0</v>
      </c>
      <c r="S767" s="342">
        <v>756.39</v>
      </c>
      <c r="T767" s="341" t="s">
        <v>532</v>
      </c>
      <c r="U767" s="342">
        <v>66011203</v>
      </c>
      <c r="V767" s="342"/>
    </row>
    <row r="768" customHeight="1" spans="1:22">
      <c r="A768" s="343" t="s">
        <v>193</v>
      </c>
      <c r="B768" s="343">
        <v>300078</v>
      </c>
      <c r="C768" s="343" t="s">
        <v>763</v>
      </c>
      <c r="D768" s="344">
        <v>1</v>
      </c>
      <c r="E768" s="343"/>
      <c r="F768" s="345">
        <v>45048</v>
      </c>
      <c r="G768" s="345">
        <v>45048</v>
      </c>
      <c r="H768" s="343">
        <v>202306</v>
      </c>
      <c r="I768" s="344">
        <v>60</v>
      </c>
      <c r="J768" s="342">
        <v>25</v>
      </c>
      <c r="K768" s="346">
        <v>1193.9</v>
      </c>
      <c r="L768" s="346"/>
      <c r="M768" s="346"/>
      <c r="N768" s="346">
        <f t="shared" si="11"/>
        <v>1193.9</v>
      </c>
      <c r="O768" s="342">
        <v>75.62</v>
      </c>
      <c r="P768" s="347">
        <v>661.58</v>
      </c>
      <c r="Q768" s="342">
        <v>532.32</v>
      </c>
      <c r="R768" s="342">
        <v>0</v>
      </c>
      <c r="S768" s="342">
        <v>532.32</v>
      </c>
      <c r="T768" s="341" t="s">
        <v>362</v>
      </c>
      <c r="U768" s="342">
        <v>66021203</v>
      </c>
      <c r="V768" s="342"/>
    </row>
    <row r="769" customHeight="1" spans="1:22">
      <c r="A769" s="343" t="s">
        <v>193</v>
      </c>
      <c r="B769" s="343">
        <v>300079</v>
      </c>
      <c r="C769" s="343" t="s">
        <v>764</v>
      </c>
      <c r="D769" s="344">
        <v>1</v>
      </c>
      <c r="E769" s="343"/>
      <c r="F769" s="345">
        <v>45069</v>
      </c>
      <c r="G769" s="345">
        <v>45069</v>
      </c>
      <c r="H769" s="343">
        <v>202306</v>
      </c>
      <c r="I769" s="344">
        <v>60</v>
      </c>
      <c r="J769" s="342">
        <v>25</v>
      </c>
      <c r="K769" s="346">
        <v>751.33</v>
      </c>
      <c r="L769" s="346"/>
      <c r="M769" s="346"/>
      <c r="N769" s="346">
        <f t="shared" si="11"/>
        <v>751.33</v>
      </c>
      <c r="O769" s="342">
        <v>47.58</v>
      </c>
      <c r="P769" s="347">
        <v>416.39</v>
      </c>
      <c r="Q769" s="342">
        <v>334.94</v>
      </c>
      <c r="R769" s="342">
        <v>0</v>
      </c>
      <c r="S769" s="342">
        <v>334.94</v>
      </c>
      <c r="T769" s="341" t="s">
        <v>362</v>
      </c>
      <c r="U769" s="342">
        <v>66021203</v>
      </c>
      <c r="V769" s="342"/>
    </row>
    <row r="770" customHeight="1" spans="1:22">
      <c r="A770" s="343" t="s">
        <v>193</v>
      </c>
      <c r="B770" s="343">
        <v>300080</v>
      </c>
      <c r="C770" s="343" t="s">
        <v>765</v>
      </c>
      <c r="D770" s="344">
        <v>1</v>
      </c>
      <c r="E770" s="343"/>
      <c r="F770" s="345">
        <v>45107</v>
      </c>
      <c r="G770" s="345">
        <v>45107</v>
      </c>
      <c r="H770" s="343">
        <v>202307</v>
      </c>
      <c r="I770" s="344">
        <v>60</v>
      </c>
      <c r="J770" s="342">
        <v>26</v>
      </c>
      <c r="K770" s="346">
        <v>1207.08</v>
      </c>
      <c r="L770" s="346"/>
      <c r="M770" s="346"/>
      <c r="N770" s="346">
        <f t="shared" si="11"/>
        <v>1207.08</v>
      </c>
      <c r="O770" s="342">
        <v>76.44</v>
      </c>
      <c r="P770" s="347">
        <v>649.74</v>
      </c>
      <c r="Q770" s="342">
        <v>557.34</v>
      </c>
      <c r="R770" s="342">
        <v>0</v>
      </c>
      <c r="S770" s="342">
        <v>557.34</v>
      </c>
      <c r="T770" s="341" t="s">
        <v>296</v>
      </c>
      <c r="U770" s="342">
        <v>66021203</v>
      </c>
      <c r="V770" s="342"/>
    </row>
    <row r="771" customHeight="1" spans="1:22">
      <c r="A771" s="343" t="s">
        <v>193</v>
      </c>
      <c r="B771" s="343">
        <v>300081</v>
      </c>
      <c r="C771" s="343" t="s">
        <v>432</v>
      </c>
      <c r="D771" s="344">
        <v>1</v>
      </c>
      <c r="E771" s="343" t="s">
        <v>766</v>
      </c>
      <c r="F771" s="345">
        <v>45135</v>
      </c>
      <c r="G771" s="345">
        <v>45149</v>
      </c>
      <c r="H771" s="343">
        <v>202308</v>
      </c>
      <c r="I771" s="344">
        <v>60</v>
      </c>
      <c r="J771" s="342">
        <v>27</v>
      </c>
      <c r="K771" s="346">
        <v>830</v>
      </c>
      <c r="L771" s="346"/>
      <c r="M771" s="346"/>
      <c r="N771" s="346">
        <f t="shared" ref="N771:N834" si="12">K771+L771-M771</f>
        <v>830</v>
      </c>
      <c r="O771" s="342">
        <v>52.56</v>
      </c>
      <c r="P771" s="347">
        <v>433.62</v>
      </c>
      <c r="Q771" s="342">
        <v>396.38</v>
      </c>
      <c r="R771" s="342">
        <v>0</v>
      </c>
      <c r="S771" s="342">
        <v>396.38</v>
      </c>
      <c r="T771" s="341" t="s">
        <v>362</v>
      </c>
      <c r="U771" s="342">
        <v>66011203</v>
      </c>
      <c r="V771" s="342"/>
    </row>
    <row r="772" customHeight="1" spans="1:22">
      <c r="A772" s="343" t="s">
        <v>193</v>
      </c>
      <c r="B772" s="343">
        <v>300083</v>
      </c>
      <c r="C772" s="343" t="s">
        <v>767</v>
      </c>
      <c r="D772" s="344">
        <v>1</v>
      </c>
      <c r="E772" s="343"/>
      <c r="F772" s="345">
        <v>45187</v>
      </c>
      <c r="G772" s="345">
        <v>45187</v>
      </c>
      <c r="H772" s="343">
        <v>202310</v>
      </c>
      <c r="I772" s="344">
        <v>60</v>
      </c>
      <c r="J772" s="342">
        <v>29</v>
      </c>
      <c r="K772" s="346">
        <v>787.61</v>
      </c>
      <c r="L772" s="346"/>
      <c r="M772" s="346"/>
      <c r="N772" s="346">
        <f t="shared" si="12"/>
        <v>787.61</v>
      </c>
      <c r="O772" s="342">
        <v>49.88</v>
      </c>
      <c r="P772" s="347">
        <v>386.57</v>
      </c>
      <c r="Q772" s="342">
        <v>401.04</v>
      </c>
      <c r="R772" s="342">
        <v>0</v>
      </c>
      <c r="S772" s="342">
        <v>401.04</v>
      </c>
      <c r="T772" s="341" t="s">
        <v>296</v>
      </c>
      <c r="U772" s="342">
        <v>66021203</v>
      </c>
      <c r="V772" s="342"/>
    </row>
    <row r="773" customHeight="1" spans="1:22">
      <c r="A773" s="343" t="s">
        <v>193</v>
      </c>
      <c r="B773" s="343">
        <v>300084</v>
      </c>
      <c r="C773" s="343" t="s">
        <v>768</v>
      </c>
      <c r="D773" s="344">
        <v>1</v>
      </c>
      <c r="E773" s="343"/>
      <c r="F773" s="345">
        <v>45286</v>
      </c>
      <c r="G773" s="345">
        <v>45286</v>
      </c>
      <c r="H773" s="343">
        <v>202401</v>
      </c>
      <c r="I773" s="344">
        <v>60</v>
      </c>
      <c r="J773" s="342">
        <v>32</v>
      </c>
      <c r="K773" s="346">
        <v>1782.18</v>
      </c>
      <c r="L773" s="346"/>
      <c r="M773" s="346"/>
      <c r="N773" s="346">
        <f t="shared" si="12"/>
        <v>1782.18</v>
      </c>
      <c r="O773" s="342">
        <v>112.88</v>
      </c>
      <c r="P773" s="347">
        <v>790.16</v>
      </c>
      <c r="Q773" s="342">
        <v>992.02</v>
      </c>
      <c r="R773" s="342">
        <v>0</v>
      </c>
      <c r="S773" s="342">
        <v>992.02</v>
      </c>
      <c r="T773" s="341" t="s">
        <v>362</v>
      </c>
      <c r="U773" s="342">
        <v>5301010301</v>
      </c>
      <c r="V773" s="342"/>
    </row>
    <row r="774" customHeight="1" spans="1:22">
      <c r="A774" s="343" t="s">
        <v>193</v>
      </c>
      <c r="B774" s="343">
        <v>300085</v>
      </c>
      <c r="C774" s="343" t="s">
        <v>453</v>
      </c>
      <c r="D774" s="344">
        <v>1</v>
      </c>
      <c r="E774" s="343"/>
      <c r="F774" s="345">
        <v>45288</v>
      </c>
      <c r="G774" s="345">
        <v>45288</v>
      </c>
      <c r="H774" s="343">
        <v>202401</v>
      </c>
      <c r="I774" s="344">
        <v>60</v>
      </c>
      <c r="J774" s="342">
        <v>32</v>
      </c>
      <c r="K774" s="346">
        <v>600.88</v>
      </c>
      <c r="L774" s="346"/>
      <c r="M774" s="346"/>
      <c r="N774" s="346">
        <f t="shared" si="12"/>
        <v>600.88</v>
      </c>
      <c r="O774" s="342">
        <v>38.06</v>
      </c>
      <c r="P774" s="347">
        <v>266.36</v>
      </c>
      <c r="Q774" s="342">
        <v>334.52</v>
      </c>
      <c r="R774" s="342">
        <v>0</v>
      </c>
      <c r="S774" s="342">
        <v>334.52</v>
      </c>
      <c r="T774" s="341" t="s">
        <v>362</v>
      </c>
      <c r="U774" s="342">
        <v>66021203</v>
      </c>
      <c r="V774" s="342"/>
    </row>
    <row r="775" customHeight="1" spans="1:22">
      <c r="A775" s="343" t="s">
        <v>193</v>
      </c>
      <c r="B775" s="343">
        <v>300086</v>
      </c>
      <c r="C775" s="343" t="s">
        <v>754</v>
      </c>
      <c r="D775" s="344">
        <v>64</v>
      </c>
      <c r="E775" s="343" t="s">
        <v>769</v>
      </c>
      <c r="F775" s="345">
        <v>45320</v>
      </c>
      <c r="G775" s="345">
        <v>45320</v>
      </c>
      <c r="H775" s="343">
        <v>202402</v>
      </c>
      <c r="I775" s="344">
        <v>60</v>
      </c>
      <c r="J775" s="342">
        <v>33</v>
      </c>
      <c r="K775" s="346">
        <v>24467.26</v>
      </c>
      <c r="L775" s="346"/>
      <c r="M775" s="346"/>
      <c r="N775" s="346">
        <f t="shared" si="12"/>
        <v>24467.26</v>
      </c>
      <c r="O775" s="347">
        <v>1549.6</v>
      </c>
      <c r="P775" s="347">
        <v>10459.8</v>
      </c>
      <c r="Q775" s="347">
        <v>14007.46</v>
      </c>
      <c r="R775" s="342">
        <v>0</v>
      </c>
      <c r="S775" s="347">
        <v>14007.46</v>
      </c>
      <c r="T775" s="341" t="s">
        <v>362</v>
      </c>
      <c r="U775" s="342">
        <v>66021203</v>
      </c>
      <c r="V775" s="342"/>
    </row>
    <row r="776" customHeight="1" spans="1:22">
      <c r="A776" s="343" t="s">
        <v>193</v>
      </c>
      <c r="B776" s="343">
        <v>300087</v>
      </c>
      <c r="C776" s="343" t="s">
        <v>770</v>
      </c>
      <c r="D776" s="344">
        <v>1</v>
      </c>
      <c r="E776" s="343"/>
      <c r="F776" s="345">
        <v>45320</v>
      </c>
      <c r="G776" s="345">
        <v>45320</v>
      </c>
      <c r="H776" s="343">
        <v>202402</v>
      </c>
      <c r="I776" s="344">
        <v>60</v>
      </c>
      <c r="J776" s="342">
        <v>33</v>
      </c>
      <c r="K776" s="346">
        <v>3584.07</v>
      </c>
      <c r="L776" s="346"/>
      <c r="M776" s="346"/>
      <c r="N776" s="346">
        <f t="shared" si="12"/>
        <v>3584.07</v>
      </c>
      <c r="O776" s="342">
        <v>227</v>
      </c>
      <c r="P776" s="347">
        <v>1532.25</v>
      </c>
      <c r="Q776" s="347">
        <v>2051.82</v>
      </c>
      <c r="R776" s="342">
        <v>0</v>
      </c>
      <c r="S776" s="347">
        <v>2051.82</v>
      </c>
      <c r="T776" s="341" t="s">
        <v>362</v>
      </c>
      <c r="U776" s="342">
        <v>66021203</v>
      </c>
      <c r="V776" s="342"/>
    </row>
    <row r="777" customHeight="1" spans="1:22">
      <c r="A777" s="343" t="s">
        <v>193</v>
      </c>
      <c r="B777" s="343">
        <v>300088</v>
      </c>
      <c r="C777" s="343" t="s">
        <v>398</v>
      </c>
      <c r="D777" s="344">
        <v>8</v>
      </c>
      <c r="E777" s="343"/>
      <c r="F777" s="345">
        <v>45320</v>
      </c>
      <c r="G777" s="345">
        <v>45320</v>
      </c>
      <c r="H777" s="343">
        <v>202402</v>
      </c>
      <c r="I777" s="344">
        <v>60</v>
      </c>
      <c r="J777" s="342">
        <v>33</v>
      </c>
      <c r="K777" s="346">
        <v>21196.46</v>
      </c>
      <c r="L777" s="346"/>
      <c r="M777" s="346"/>
      <c r="N777" s="346">
        <f t="shared" si="12"/>
        <v>21196.46</v>
      </c>
      <c r="O777" s="347">
        <v>1342.44</v>
      </c>
      <c r="P777" s="347">
        <v>9061.47</v>
      </c>
      <c r="Q777" s="347">
        <v>12134.99</v>
      </c>
      <c r="R777" s="342">
        <v>0</v>
      </c>
      <c r="S777" s="347">
        <v>12134.99</v>
      </c>
      <c r="T777" s="341" t="s">
        <v>362</v>
      </c>
      <c r="U777" s="342">
        <v>66021203</v>
      </c>
      <c r="V777" s="342"/>
    </row>
    <row r="778" customHeight="1" spans="1:22">
      <c r="A778" s="343" t="s">
        <v>193</v>
      </c>
      <c r="B778" s="343">
        <v>300089</v>
      </c>
      <c r="C778" s="343" t="s">
        <v>771</v>
      </c>
      <c r="D778" s="344">
        <v>2</v>
      </c>
      <c r="E778" s="343"/>
      <c r="F778" s="345">
        <v>45320</v>
      </c>
      <c r="G778" s="345">
        <v>45320</v>
      </c>
      <c r="H778" s="343">
        <v>202402</v>
      </c>
      <c r="I778" s="344">
        <v>60</v>
      </c>
      <c r="J778" s="342">
        <v>33</v>
      </c>
      <c r="K778" s="346">
        <v>1743.36</v>
      </c>
      <c r="L778" s="346"/>
      <c r="M778" s="346"/>
      <c r="N778" s="346">
        <f t="shared" si="12"/>
        <v>1743.36</v>
      </c>
      <c r="O778" s="342">
        <v>110.42</v>
      </c>
      <c r="P778" s="347">
        <v>745.23</v>
      </c>
      <c r="Q778" s="342">
        <v>998.13</v>
      </c>
      <c r="R778" s="342">
        <v>0</v>
      </c>
      <c r="S778" s="342">
        <v>998.13</v>
      </c>
      <c r="T778" s="341" t="s">
        <v>362</v>
      </c>
      <c r="U778" s="342">
        <v>66021203</v>
      </c>
      <c r="V778" s="342"/>
    </row>
    <row r="779" customHeight="1" spans="1:22">
      <c r="A779" s="343" t="s">
        <v>193</v>
      </c>
      <c r="B779" s="343">
        <v>300090</v>
      </c>
      <c r="C779" s="343" t="s">
        <v>772</v>
      </c>
      <c r="D779" s="344">
        <v>3</v>
      </c>
      <c r="E779" s="343"/>
      <c r="F779" s="345">
        <v>45320</v>
      </c>
      <c r="G779" s="345">
        <v>45320</v>
      </c>
      <c r="H779" s="343">
        <v>202402</v>
      </c>
      <c r="I779" s="344">
        <v>60</v>
      </c>
      <c r="J779" s="342">
        <v>33</v>
      </c>
      <c r="K779" s="346">
        <v>4874.34</v>
      </c>
      <c r="L779" s="346"/>
      <c r="M779" s="346"/>
      <c r="N779" s="346">
        <f t="shared" si="12"/>
        <v>4874.34</v>
      </c>
      <c r="O779" s="342">
        <v>308.71</v>
      </c>
      <c r="P779" s="347">
        <v>2083.85</v>
      </c>
      <c r="Q779" s="347">
        <v>2790.49</v>
      </c>
      <c r="R779" s="342">
        <v>0</v>
      </c>
      <c r="S779" s="347">
        <v>2790.49</v>
      </c>
      <c r="T779" s="341" t="s">
        <v>362</v>
      </c>
      <c r="U779" s="342">
        <v>66021203</v>
      </c>
      <c r="V779" s="342"/>
    </row>
    <row r="780" customHeight="1" spans="1:22">
      <c r="A780" s="343" t="s">
        <v>193</v>
      </c>
      <c r="B780" s="343">
        <v>300091</v>
      </c>
      <c r="C780" s="343" t="s">
        <v>773</v>
      </c>
      <c r="D780" s="344">
        <v>3</v>
      </c>
      <c r="E780" s="343"/>
      <c r="F780" s="345">
        <v>45320</v>
      </c>
      <c r="G780" s="345">
        <v>45320</v>
      </c>
      <c r="H780" s="343">
        <v>202402</v>
      </c>
      <c r="I780" s="344">
        <v>60</v>
      </c>
      <c r="J780" s="342">
        <v>33</v>
      </c>
      <c r="K780" s="346">
        <v>9557.52</v>
      </c>
      <c r="L780" s="346"/>
      <c r="M780" s="346"/>
      <c r="N780" s="346">
        <f t="shared" si="12"/>
        <v>9557.52</v>
      </c>
      <c r="O780" s="342">
        <v>605.32</v>
      </c>
      <c r="P780" s="347">
        <v>4085.91</v>
      </c>
      <c r="Q780" s="347">
        <v>5471.61</v>
      </c>
      <c r="R780" s="342">
        <v>0</v>
      </c>
      <c r="S780" s="347">
        <v>5471.61</v>
      </c>
      <c r="T780" s="341" t="s">
        <v>362</v>
      </c>
      <c r="U780" s="342">
        <v>66021203</v>
      </c>
      <c r="V780" s="342"/>
    </row>
    <row r="781" customHeight="1" spans="1:22">
      <c r="A781" s="343" t="s">
        <v>193</v>
      </c>
      <c r="B781" s="343">
        <v>300092</v>
      </c>
      <c r="C781" s="343" t="s">
        <v>774</v>
      </c>
      <c r="D781" s="344">
        <v>2</v>
      </c>
      <c r="E781" s="343"/>
      <c r="F781" s="345">
        <v>45320</v>
      </c>
      <c r="G781" s="345">
        <v>45320</v>
      </c>
      <c r="H781" s="343">
        <v>202402</v>
      </c>
      <c r="I781" s="344">
        <v>60</v>
      </c>
      <c r="J781" s="342">
        <v>33</v>
      </c>
      <c r="K781" s="346">
        <v>9557.52</v>
      </c>
      <c r="L781" s="346"/>
      <c r="M781" s="346"/>
      <c r="N781" s="346">
        <f t="shared" si="12"/>
        <v>9557.52</v>
      </c>
      <c r="O781" s="342">
        <v>605.32</v>
      </c>
      <c r="P781" s="347">
        <v>4085.91</v>
      </c>
      <c r="Q781" s="347">
        <v>5471.61</v>
      </c>
      <c r="R781" s="342">
        <v>0</v>
      </c>
      <c r="S781" s="347">
        <v>5471.61</v>
      </c>
      <c r="T781" s="341" t="s">
        <v>362</v>
      </c>
      <c r="U781" s="342">
        <v>66021203</v>
      </c>
      <c r="V781" s="342"/>
    </row>
    <row r="782" customHeight="1" spans="1:22">
      <c r="A782" s="343" t="s">
        <v>193</v>
      </c>
      <c r="B782" s="343">
        <v>300093</v>
      </c>
      <c r="C782" s="343" t="s">
        <v>775</v>
      </c>
      <c r="D782" s="344">
        <v>4</v>
      </c>
      <c r="E782" s="343"/>
      <c r="F782" s="345">
        <v>45320</v>
      </c>
      <c r="G782" s="345">
        <v>45320</v>
      </c>
      <c r="H782" s="343">
        <v>202402</v>
      </c>
      <c r="I782" s="344">
        <v>60</v>
      </c>
      <c r="J782" s="342">
        <v>33</v>
      </c>
      <c r="K782" s="346">
        <v>27079.65</v>
      </c>
      <c r="L782" s="346"/>
      <c r="M782" s="346"/>
      <c r="N782" s="346">
        <f t="shared" si="12"/>
        <v>27079.65</v>
      </c>
      <c r="O782" s="347">
        <v>1715.04</v>
      </c>
      <c r="P782" s="347">
        <v>11576.52</v>
      </c>
      <c r="Q782" s="347">
        <v>15503.13</v>
      </c>
      <c r="R782" s="342">
        <v>0</v>
      </c>
      <c r="S782" s="347">
        <v>15503.13</v>
      </c>
      <c r="T782" s="341" t="s">
        <v>362</v>
      </c>
      <c r="U782" s="342">
        <v>66021203</v>
      </c>
      <c r="V782" s="342"/>
    </row>
    <row r="783" customHeight="1" spans="1:22">
      <c r="A783" s="343" t="s">
        <v>193</v>
      </c>
      <c r="B783" s="343">
        <v>300094</v>
      </c>
      <c r="C783" s="343" t="s">
        <v>776</v>
      </c>
      <c r="D783" s="344">
        <v>1</v>
      </c>
      <c r="E783" s="343"/>
      <c r="F783" s="345">
        <v>45320</v>
      </c>
      <c r="G783" s="345">
        <v>45320</v>
      </c>
      <c r="H783" s="343">
        <v>202402</v>
      </c>
      <c r="I783" s="344">
        <v>60</v>
      </c>
      <c r="J783" s="342">
        <v>33</v>
      </c>
      <c r="K783" s="346">
        <v>4885.84</v>
      </c>
      <c r="L783" s="346"/>
      <c r="M783" s="346"/>
      <c r="N783" s="346">
        <f t="shared" si="12"/>
        <v>4885.84</v>
      </c>
      <c r="O783" s="342">
        <v>309.44</v>
      </c>
      <c r="P783" s="347">
        <v>2088.72</v>
      </c>
      <c r="Q783" s="347">
        <v>2797.12</v>
      </c>
      <c r="R783" s="342">
        <v>0</v>
      </c>
      <c r="S783" s="347">
        <v>2797.12</v>
      </c>
      <c r="T783" s="341" t="s">
        <v>362</v>
      </c>
      <c r="U783" s="342">
        <v>66021203</v>
      </c>
      <c r="V783" s="342"/>
    </row>
    <row r="784" customHeight="1" spans="1:22">
      <c r="A784" s="343" t="s">
        <v>196</v>
      </c>
      <c r="B784" s="343">
        <v>200027</v>
      </c>
      <c r="C784" s="343" t="s">
        <v>725</v>
      </c>
      <c r="D784" s="344">
        <v>1</v>
      </c>
      <c r="E784" s="343" t="s">
        <v>777</v>
      </c>
      <c r="F784" s="345">
        <v>45231</v>
      </c>
      <c r="G784" s="345">
        <v>45231</v>
      </c>
      <c r="H784" s="343">
        <v>202312</v>
      </c>
      <c r="I784" s="344">
        <v>60</v>
      </c>
      <c r="J784" s="342">
        <v>31</v>
      </c>
      <c r="K784" s="346">
        <v>19469.03</v>
      </c>
      <c r="L784" s="346"/>
      <c r="M784" s="346"/>
      <c r="N784" s="346">
        <f t="shared" si="12"/>
        <v>19469.03</v>
      </c>
      <c r="O784" s="347">
        <v>1233.04</v>
      </c>
      <c r="P784" s="347">
        <v>8939.54</v>
      </c>
      <c r="Q784" s="347">
        <v>10529.49</v>
      </c>
      <c r="R784" s="342">
        <v>0</v>
      </c>
      <c r="S784" s="347">
        <v>10529.49</v>
      </c>
      <c r="T784" s="341" t="s">
        <v>362</v>
      </c>
      <c r="U784" s="342">
        <v>66021202</v>
      </c>
      <c r="V784" s="342"/>
    </row>
    <row r="785" customHeight="1" spans="1:22">
      <c r="A785" s="343" t="s">
        <v>196</v>
      </c>
      <c r="B785" s="343">
        <v>200029</v>
      </c>
      <c r="C785" s="343" t="s">
        <v>778</v>
      </c>
      <c r="D785" s="344">
        <v>1</v>
      </c>
      <c r="E785" s="343" t="s">
        <v>779</v>
      </c>
      <c r="F785" s="345">
        <v>45257</v>
      </c>
      <c r="G785" s="345">
        <v>45257</v>
      </c>
      <c r="H785" s="343">
        <v>202312</v>
      </c>
      <c r="I785" s="344">
        <v>60</v>
      </c>
      <c r="J785" s="342">
        <v>31</v>
      </c>
      <c r="K785" s="346">
        <v>10840.71</v>
      </c>
      <c r="L785" s="346"/>
      <c r="M785" s="346"/>
      <c r="N785" s="346">
        <f t="shared" si="12"/>
        <v>10840.71</v>
      </c>
      <c r="O785" s="342">
        <v>686.58</v>
      </c>
      <c r="P785" s="347">
        <v>4977.68</v>
      </c>
      <c r="Q785" s="347">
        <v>5863.03</v>
      </c>
      <c r="R785" s="342">
        <v>0</v>
      </c>
      <c r="S785" s="347">
        <v>5863.03</v>
      </c>
      <c r="T785" s="341" t="s">
        <v>362</v>
      </c>
      <c r="U785" s="342">
        <v>66021202</v>
      </c>
      <c r="V785" s="342"/>
    </row>
    <row r="786" customHeight="1" spans="1:22">
      <c r="A786" s="343" t="s">
        <v>196</v>
      </c>
      <c r="B786" s="343">
        <v>200030</v>
      </c>
      <c r="C786" s="343" t="s">
        <v>780</v>
      </c>
      <c r="D786" s="344">
        <v>1</v>
      </c>
      <c r="E786" s="343" t="s">
        <v>781</v>
      </c>
      <c r="F786" s="345">
        <v>45271</v>
      </c>
      <c r="G786" s="345">
        <v>45271</v>
      </c>
      <c r="H786" s="343">
        <v>202401</v>
      </c>
      <c r="I786" s="344">
        <v>60</v>
      </c>
      <c r="J786" s="342">
        <v>32</v>
      </c>
      <c r="K786" s="346">
        <v>6573.45</v>
      </c>
      <c r="L786" s="346"/>
      <c r="M786" s="346"/>
      <c r="N786" s="346">
        <f t="shared" si="12"/>
        <v>6573.45</v>
      </c>
      <c r="O786" s="342">
        <v>416.32</v>
      </c>
      <c r="P786" s="347">
        <v>2914.24</v>
      </c>
      <c r="Q786" s="347">
        <v>3659.21</v>
      </c>
      <c r="R786" s="342">
        <v>0</v>
      </c>
      <c r="S786" s="347">
        <v>3659.21</v>
      </c>
      <c r="T786" s="341" t="s">
        <v>362</v>
      </c>
      <c r="U786" s="342">
        <v>66021202</v>
      </c>
      <c r="V786" s="342"/>
    </row>
    <row r="787" customHeight="1" spans="1:22">
      <c r="A787" s="343" t="s">
        <v>196</v>
      </c>
      <c r="B787" s="343">
        <v>200031</v>
      </c>
      <c r="C787" s="343" t="s">
        <v>782</v>
      </c>
      <c r="D787" s="344">
        <v>1</v>
      </c>
      <c r="E787" s="343" t="s">
        <v>783</v>
      </c>
      <c r="F787" s="345">
        <v>45288</v>
      </c>
      <c r="G787" s="345">
        <v>45288</v>
      </c>
      <c r="H787" s="343">
        <v>202401</v>
      </c>
      <c r="I787" s="344">
        <v>60</v>
      </c>
      <c r="J787" s="342">
        <v>32</v>
      </c>
      <c r="K787" s="346">
        <v>2404898</v>
      </c>
      <c r="L787" s="346"/>
      <c r="M787" s="346"/>
      <c r="N787" s="346">
        <f t="shared" si="12"/>
        <v>2404898</v>
      </c>
      <c r="O787" s="347">
        <v>152310.2</v>
      </c>
      <c r="P787" s="347">
        <v>1066171.4</v>
      </c>
      <c r="Q787" s="347">
        <v>1338726.6</v>
      </c>
      <c r="R787" s="342">
        <v>0</v>
      </c>
      <c r="S787" s="347">
        <v>1338726.6</v>
      </c>
      <c r="T787" s="341" t="s">
        <v>362</v>
      </c>
      <c r="U787" s="342">
        <v>5301010301</v>
      </c>
      <c r="V787" s="342"/>
    </row>
    <row r="788" customHeight="1" spans="1:22">
      <c r="A788" s="343" t="s">
        <v>196</v>
      </c>
      <c r="B788" s="343">
        <v>200032</v>
      </c>
      <c r="C788" s="343" t="s">
        <v>690</v>
      </c>
      <c r="D788" s="344">
        <v>1</v>
      </c>
      <c r="E788" s="343" t="s">
        <v>784</v>
      </c>
      <c r="F788" s="345">
        <v>45313</v>
      </c>
      <c r="G788" s="345">
        <v>45313</v>
      </c>
      <c r="H788" s="343">
        <v>202402</v>
      </c>
      <c r="I788" s="344">
        <v>60</v>
      </c>
      <c r="J788" s="342">
        <v>33</v>
      </c>
      <c r="K788" s="346">
        <v>60617.7</v>
      </c>
      <c r="L788" s="346"/>
      <c r="M788" s="346"/>
      <c r="N788" s="346">
        <f t="shared" si="12"/>
        <v>60617.7</v>
      </c>
      <c r="O788" s="347">
        <v>3839.12</v>
      </c>
      <c r="P788" s="347">
        <v>25914.06</v>
      </c>
      <c r="Q788" s="347">
        <v>34703.64</v>
      </c>
      <c r="R788" s="342">
        <v>0</v>
      </c>
      <c r="S788" s="347">
        <v>34703.64</v>
      </c>
      <c r="T788" s="341" t="s">
        <v>362</v>
      </c>
      <c r="U788" s="342">
        <v>5301010301</v>
      </c>
      <c r="V788" s="342"/>
    </row>
    <row r="789" customHeight="1" spans="1:22">
      <c r="A789" s="343" t="s">
        <v>196</v>
      </c>
      <c r="B789" s="343">
        <v>200033</v>
      </c>
      <c r="C789" s="343" t="s">
        <v>785</v>
      </c>
      <c r="D789" s="344">
        <v>1</v>
      </c>
      <c r="E789" s="343" t="s">
        <v>786</v>
      </c>
      <c r="F789" s="345">
        <v>45315</v>
      </c>
      <c r="G789" s="345">
        <v>45315</v>
      </c>
      <c r="H789" s="343">
        <v>202402</v>
      </c>
      <c r="I789" s="344">
        <v>60</v>
      </c>
      <c r="J789" s="342">
        <v>33</v>
      </c>
      <c r="K789" s="346">
        <v>92831.86</v>
      </c>
      <c r="L789" s="346"/>
      <c r="M789" s="346"/>
      <c r="N789" s="346">
        <f t="shared" si="12"/>
        <v>92831.86</v>
      </c>
      <c r="O789" s="347">
        <v>5879.36</v>
      </c>
      <c r="P789" s="347">
        <v>39685.68</v>
      </c>
      <c r="Q789" s="347">
        <v>53146.18</v>
      </c>
      <c r="R789" s="342">
        <v>0</v>
      </c>
      <c r="S789" s="347">
        <v>53146.18</v>
      </c>
      <c r="T789" s="341" t="s">
        <v>362</v>
      </c>
      <c r="U789" s="342">
        <v>66021202</v>
      </c>
      <c r="V789" s="342"/>
    </row>
    <row r="790" customHeight="1" spans="1:22">
      <c r="A790" s="343" t="s">
        <v>196</v>
      </c>
      <c r="B790" s="343">
        <v>200034</v>
      </c>
      <c r="C790" s="343" t="s">
        <v>785</v>
      </c>
      <c r="D790" s="344">
        <v>1</v>
      </c>
      <c r="E790" s="343" t="s">
        <v>786</v>
      </c>
      <c r="F790" s="345">
        <v>45315</v>
      </c>
      <c r="G790" s="345">
        <v>45315</v>
      </c>
      <c r="H790" s="343">
        <v>202402</v>
      </c>
      <c r="I790" s="344">
        <v>60</v>
      </c>
      <c r="J790" s="342">
        <v>33</v>
      </c>
      <c r="K790" s="346">
        <v>92831.86</v>
      </c>
      <c r="L790" s="346"/>
      <c r="M790" s="346"/>
      <c r="N790" s="346">
        <f t="shared" si="12"/>
        <v>92831.86</v>
      </c>
      <c r="O790" s="347">
        <v>5879.36</v>
      </c>
      <c r="P790" s="347">
        <v>39685.68</v>
      </c>
      <c r="Q790" s="347">
        <v>53146.18</v>
      </c>
      <c r="R790" s="342">
        <v>0</v>
      </c>
      <c r="S790" s="347">
        <v>53146.18</v>
      </c>
      <c r="T790" s="341" t="s">
        <v>362</v>
      </c>
      <c r="U790" s="342">
        <v>66021202</v>
      </c>
      <c r="V790" s="342"/>
    </row>
    <row r="791" customHeight="1" spans="1:22">
      <c r="A791" s="343" t="s">
        <v>196</v>
      </c>
      <c r="B791" s="343">
        <v>200035</v>
      </c>
      <c r="C791" s="343" t="s">
        <v>725</v>
      </c>
      <c r="D791" s="344">
        <v>1</v>
      </c>
      <c r="E791" s="343" t="s">
        <v>787</v>
      </c>
      <c r="F791" s="345">
        <v>45349</v>
      </c>
      <c r="G791" s="345">
        <v>45349</v>
      </c>
      <c r="H791" s="343">
        <v>202403</v>
      </c>
      <c r="I791" s="344">
        <v>60</v>
      </c>
      <c r="J791" s="342">
        <v>34</v>
      </c>
      <c r="K791" s="346">
        <v>65486.73</v>
      </c>
      <c r="L791" s="346"/>
      <c r="M791" s="346"/>
      <c r="N791" s="346">
        <f t="shared" si="12"/>
        <v>65486.73</v>
      </c>
      <c r="O791" s="347">
        <v>4147.5</v>
      </c>
      <c r="P791" s="347">
        <v>26958.64</v>
      </c>
      <c r="Q791" s="347">
        <v>38528.09</v>
      </c>
      <c r="R791" s="342">
        <v>0</v>
      </c>
      <c r="S791" s="347">
        <v>38528.09</v>
      </c>
      <c r="T791" s="341" t="s">
        <v>362</v>
      </c>
      <c r="U791" s="342">
        <v>5301010301</v>
      </c>
      <c r="V791" s="342"/>
    </row>
    <row r="792" customHeight="1" spans="1:22">
      <c r="A792" s="343" t="s">
        <v>196</v>
      </c>
      <c r="B792" s="343">
        <v>200036</v>
      </c>
      <c r="C792" s="343" t="s">
        <v>788</v>
      </c>
      <c r="D792" s="344">
        <v>1</v>
      </c>
      <c r="E792" s="343" t="s">
        <v>789</v>
      </c>
      <c r="F792" s="345">
        <v>45378</v>
      </c>
      <c r="G792" s="345">
        <v>45378</v>
      </c>
      <c r="H792" s="343">
        <v>202404</v>
      </c>
      <c r="I792" s="344">
        <v>60</v>
      </c>
      <c r="J792" s="342">
        <v>35</v>
      </c>
      <c r="K792" s="346">
        <v>84955.75</v>
      </c>
      <c r="L792" s="346"/>
      <c r="M792" s="346"/>
      <c r="N792" s="346">
        <f t="shared" si="12"/>
        <v>84955.75</v>
      </c>
      <c r="O792" s="347">
        <v>5380.52</v>
      </c>
      <c r="P792" s="347">
        <v>33628.25</v>
      </c>
      <c r="Q792" s="347">
        <v>51327.5</v>
      </c>
      <c r="R792" s="342">
        <v>0</v>
      </c>
      <c r="S792" s="347">
        <v>51327.5</v>
      </c>
      <c r="T792" s="341" t="s">
        <v>296</v>
      </c>
      <c r="U792" s="342">
        <v>66021202</v>
      </c>
      <c r="V792" s="342"/>
    </row>
    <row r="793" customHeight="1" spans="1:22">
      <c r="A793" s="343" t="s">
        <v>196</v>
      </c>
      <c r="B793" s="343">
        <v>200037</v>
      </c>
      <c r="C793" s="343" t="s">
        <v>790</v>
      </c>
      <c r="D793" s="344">
        <v>1</v>
      </c>
      <c r="E793" s="343"/>
      <c r="F793" s="345">
        <v>45406</v>
      </c>
      <c r="G793" s="345">
        <v>45406</v>
      </c>
      <c r="H793" s="343">
        <v>202405</v>
      </c>
      <c r="I793" s="344">
        <v>60</v>
      </c>
      <c r="J793" s="342">
        <v>36</v>
      </c>
      <c r="K793" s="346">
        <v>92831.86</v>
      </c>
      <c r="L793" s="346"/>
      <c r="M793" s="346"/>
      <c r="N793" s="346">
        <f t="shared" si="12"/>
        <v>92831.86</v>
      </c>
      <c r="O793" s="347">
        <v>5879.36</v>
      </c>
      <c r="P793" s="347">
        <v>35276.16</v>
      </c>
      <c r="Q793" s="347">
        <v>57555.7</v>
      </c>
      <c r="R793" s="342">
        <v>0</v>
      </c>
      <c r="S793" s="347">
        <v>57555.7</v>
      </c>
      <c r="T793" s="341" t="s">
        <v>362</v>
      </c>
      <c r="U793" s="342">
        <v>5301010301</v>
      </c>
      <c r="V793" s="342"/>
    </row>
    <row r="794" customHeight="1" spans="1:22">
      <c r="A794" s="343" t="s">
        <v>196</v>
      </c>
      <c r="B794" s="343">
        <v>200038</v>
      </c>
      <c r="C794" s="343" t="s">
        <v>788</v>
      </c>
      <c r="D794" s="344">
        <v>1</v>
      </c>
      <c r="E794" s="343" t="s">
        <v>789</v>
      </c>
      <c r="F794" s="345">
        <v>45385</v>
      </c>
      <c r="G794" s="345">
        <v>45385</v>
      </c>
      <c r="H794" s="343">
        <v>202405</v>
      </c>
      <c r="I794" s="344">
        <v>60</v>
      </c>
      <c r="J794" s="342">
        <v>36</v>
      </c>
      <c r="K794" s="346">
        <v>84955.75</v>
      </c>
      <c r="L794" s="346"/>
      <c r="M794" s="346"/>
      <c r="N794" s="346">
        <f t="shared" si="12"/>
        <v>84955.75</v>
      </c>
      <c r="O794" s="347">
        <v>5380.52</v>
      </c>
      <c r="P794" s="347">
        <v>32283.12</v>
      </c>
      <c r="Q794" s="347">
        <v>52672.63</v>
      </c>
      <c r="R794" s="342">
        <v>0</v>
      </c>
      <c r="S794" s="347">
        <v>52672.63</v>
      </c>
      <c r="T794" s="341" t="s">
        <v>296</v>
      </c>
      <c r="U794" s="342">
        <v>66021202</v>
      </c>
      <c r="V794" s="342"/>
    </row>
    <row r="795" customHeight="1" spans="1:22">
      <c r="A795" s="343" t="s">
        <v>196</v>
      </c>
      <c r="B795" s="343">
        <v>200039</v>
      </c>
      <c r="C795" s="343" t="s">
        <v>791</v>
      </c>
      <c r="D795" s="344">
        <v>1</v>
      </c>
      <c r="E795" s="343" t="s">
        <v>792</v>
      </c>
      <c r="F795" s="345">
        <v>45420</v>
      </c>
      <c r="G795" s="345">
        <v>45420</v>
      </c>
      <c r="H795" s="343">
        <v>202406</v>
      </c>
      <c r="I795" s="344">
        <v>60</v>
      </c>
      <c r="J795" s="342">
        <v>37</v>
      </c>
      <c r="K795" s="346">
        <v>81578.7</v>
      </c>
      <c r="L795" s="346"/>
      <c r="M795" s="346"/>
      <c r="N795" s="346">
        <f t="shared" si="12"/>
        <v>81578.7</v>
      </c>
      <c r="O795" s="347">
        <v>5166.64</v>
      </c>
      <c r="P795" s="347">
        <v>29708.18</v>
      </c>
      <c r="Q795" s="347">
        <v>51870.52</v>
      </c>
      <c r="R795" s="342">
        <v>0</v>
      </c>
      <c r="S795" s="347">
        <v>51870.52</v>
      </c>
      <c r="T795" s="341" t="s">
        <v>362</v>
      </c>
      <c r="U795" s="342">
        <v>5301010301</v>
      </c>
      <c r="V795" s="342"/>
    </row>
    <row r="796" customHeight="1" spans="1:22">
      <c r="A796" s="343" t="s">
        <v>196</v>
      </c>
      <c r="B796" s="343">
        <v>200040</v>
      </c>
      <c r="C796" s="343" t="s">
        <v>788</v>
      </c>
      <c r="D796" s="344">
        <v>1</v>
      </c>
      <c r="E796" s="343" t="s">
        <v>789</v>
      </c>
      <c r="F796" s="345">
        <v>45498</v>
      </c>
      <c r="G796" s="345">
        <v>45498</v>
      </c>
      <c r="H796" s="343">
        <v>202408</v>
      </c>
      <c r="I796" s="344">
        <v>60</v>
      </c>
      <c r="J796" s="342">
        <v>39</v>
      </c>
      <c r="K796" s="346">
        <v>120920</v>
      </c>
      <c r="L796" s="346"/>
      <c r="M796" s="346"/>
      <c r="N796" s="346">
        <f t="shared" si="12"/>
        <v>120920</v>
      </c>
      <c r="O796" s="347">
        <v>7658.28</v>
      </c>
      <c r="P796" s="347">
        <v>40205.97</v>
      </c>
      <c r="Q796" s="347">
        <v>80714.03</v>
      </c>
      <c r="R796" s="342">
        <v>0</v>
      </c>
      <c r="S796" s="347">
        <v>80714.03</v>
      </c>
      <c r="T796" s="341" t="s">
        <v>296</v>
      </c>
      <c r="U796" s="342">
        <v>66021202</v>
      </c>
      <c r="V796" s="342"/>
    </row>
    <row r="797" customHeight="1" spans="1:22">
      <c r="A797" s="343" t="s">
        <v>196</v>
      </c>
      <c r="B797" s="343">
        <v>200041</v>
      </c>
      <c r="C797" s="343" t="s">
        <v>788</v>
      </c>
      <c r="D797" s="344">
        <v>1</v>
      </c>
      <c r="E797" s="343" t="s">
        <v>789</v>
      </c>
      <c r="F797" s="345">
        <v>45498</v>
      </c>
      <c r="G797" s="345">
        <v>45498</v>
      </c>
      <c r="H797" s="343">
        <v>202408</v>
      </c>
      <c r="I797" s="344">
        <v>60</v>
      </c>
      <c r="J797" s="342">
        <v>39</v>
      </c>
      <c r="K797" s="346">
        <v>120920</v>
      </c>
      <c r="L797" s="346"/>
      <c r="M797" s="346"/>
      <c r="N797" s="346">
        <f t="shared" si="12"/>
        <v>120920</v>
      </c>
      <c r="O797" s="347">
        <v>7658.28</v>
      </c>
      <c r="P797" s="347">
        <v>40205.97</v>
      </c>
      <c r="Q797" s="347">
        <v>80714.03</v>
      </c>
      <c r="R797" s="342">
        <v>0</v>
      </c>
      <c r="S797" s="347">
        <v>80714.03</v>
      </c>
      <c r="T797" s="341" t="s">
        <v>296</v>
      </c>
      <c r="U797" s="342">
        <v>66021202</v>
      </c>
      <c r="V797" s="342"/>
    </row>
    <row r="798" customHeight="1" spans="1:22">
      <c r="A798" s="343" t="s">
        <v>196</v>
      </c>
      <c r="B798" s="343">
        <v>200043</v>
      </c>
      <c r="C798" s="343" t="s">
        <v>788</v>
      </c>
      <c r="D798" s="344">
        <v>1</v>
      </c>
      <c r="E798" s="343" t="s">
        <v>789</v>
      </c>
      <c r="F798" s="345">
        <v>45498</v>
      </c>
      <c r="G798" s="345">
        <v>45498</v>
      </c>
      <c r="H798" s="343">
        <v>202408</v>
      </c>
      <c r="I798" s="344">
        <v>60</v>
      </c>
      <c r="J798" s="342">
        <v>39</v>
      </c>
      <c r="K798" s="346">
        <v>120920</v>
      </c>
      <c r="L798" s="346"/>
      <c r="M798" s="346"/>
      <c r="N798" s="346">
        <f t="shared" si="12"/>
        <v>120920</v>
      </c>
      <c r="O798" s="347">
        <v>7658.28</v>
      </c>
      <c r="P798" s="347">
        <v>40205.97</v>
      </c>
      <c r="Q798" s="347">
        <v>80714.03</v>
      </c>
      <c r="R798" s="342">
        <v>0</v>
      </c>
      <c r="S798" s="347">
        <v>80714.03</v>
      </c>
      <c r="T798" s="341" t="s">
        <v>296</v>
      </c>
      <c r="U798" s="342">
        <v>66021202</v>
      </c>
      <c r="V798" s="342"/>
    </row>
    <row r="799" customHeight="1" spans="1:22">
      <c r="A799" s="343" t="s">
        <v>196</v>
      </c>
      <c r="B799" s="343">
        <v>200044</v>
      </c>
      <c r="C799" s="343" t="s">
        <v>793</v>
      </c>
      <c r="D799" s="344">
        <v>1</v>
      </c>
      <c r="E799" s="343" t="s">
        <v>794</v>
      </c>
      <c r="F799" s="345">
        <v>45509</v>
      </c>
      <c r="G799" s="345">
        <v>45509</v>
      </c>
      <c r="H799" s="343">
        <v>202409</v>
      </c>
      <c r="I799" s="344">
        <v>60</v>
      </c>
      <c r="J799" s="342">
        <v>40</v>
      </c>
      <c r="K799" s="346">
        <v>19823.01</v>
      </c>
      <c r="L799" s="346"/>
      <c r="M799" s="346"/>
      <c r="N799" s="346">
        <f t="shared" si="12"/>
        <v>19823.01</v>
      </c>
      <c r="O799" s="347">
        <v>1255.46</v>
      </c>
      <c r="P799" s="347">
        <v>6277.26</v>
      </c>
      <c r="Q799" s="347">
        <v>13545.75</v>
      </c>
      <c r="R799" s="342">
        <v>0</v>
      </c>
      <c r="S799" s="347">
        <v>13545.75</v>
      </c>
      <c r="T799" s="341" t="s">
        <v>296</v>
      </c>
      <c r="U799" s="342">
        <v>66021202</v>
      </c>
      <c r="V799" s="342"/>
    </row>
    <row r="800" customHeight="1" spans="1:22">
      <c r="A800" s="343" t="s">
        <v>196</v>
      </c>
      <c r="B800" s="343">
        <v>200045</v>
      </c>
      <c r="C800" s="343" t="s">
        <v>795</v>
      </c>
      <c r="D800" s="344">
        <v>1</v>
      </c>
      <c r="E800" s="343" t="s">
        <v>796</v>
      </c>
      <c r="F800" s="345">
        <v>45517</v>
      </c>
      <c r="G800" s="345">
        <v>45517</v>
      </c>
      <c r="H800" s="343">
        <v>202409</v>
      </c>
      <c r="I800" s="344">
        <v>60</v>
      </c>
      <c r="J800" s="342">
        <v>40</v>
      </c>
      <c r="K800" s="346">
        <v>4424.78</v>
      </c>
      <c r="L800" s="346"/>
      <c r="M800" s="346"/>
      <c r="N800" s="346">
        <f t="shared" si="12"/>
        <v>4424.78</v>
      </c>
      <c r="O800" s="342">
        <v>280.24</v>
      </c>
      <c r="P800" s="347">
        <v>1401.2</v>
      </c>
      <c r="Q800" s="347">
        <v>3023.58</v>
      </c>
      <c r="R800" s="342">
        <v>0</v>
      </c>
      <c r="S800" s="347">
        <v>3023.58</v>
      </c>
      <c r="T800" s="341" t="s">
        <v>362</v>
      </c>
      <c r="U800" s="342">
        <v>5301010301</v>
      </c>
      <c r="V800" s="342"/>
    </row>
    <row r="801" customHeight="1" spans="1:22">
      <c r="A801" s="343" t="s">
        <v>196</v>
      </c>
      <c r="B801" s="343">
        <v>200046</v>
      </c>
      <c r="C801" s="343" t="s">
        <v>797</v>
      </c>
      <c r="D801" s="344">
        <v>1</v>
      </c>
      <c r="E801" s="343" t="s">
        <v>798</v>
      </c>
      <c r="F801" s="345">
        <v>45543</v>
      </c>
      <c r="G801" s="345">
        <v>45543</v>
      </c>
      <c r="H801" s="343">
        <v>202410</v>
      </c>
      <c r="I801" s="344">
        <v>60</v>
      </c>
      <c r="J801" s="342">
        <v>41</v>
      </c>
      <c r="K801" s="346">
        <v>1973.45</v>
      </c>
      <c r="L801" s="346"/>
      <c r="M801" s="346"/>
      <c r="N801" s="346">
        <f t="shared" si="12"/>
        <v>1973.45</v>
      </c>
      <c r="O801" s="342">
        <v>124.99</v>
      </c>
      <c r="P801" s="347">
        <v>593.74</v>
      </c>
      <c r="Q801" s="347">
        <v>1379.71</v>
      </c>
      <c r="R801" s="342">
        <v>0</v>
      </c>
      <c r="S801" s="347">
        <v>1379.71</v>
      </c>
      <c r="T801" s="341" t="s">
        <v>296</v>
      </c>
      <c r="U801" s="342">
        <v>66021202</v>
      </c>
      <c r="V801" s="342"/>
    </row>
    <row r="802" customHeight="1" spans="1:22">
      <c r="A802" s="343" t="s">
        <v>196</v>
      </c>
      <c r="B802" s="343">
        <v>200047</v>
      </c>
      <c r="C802" s="343" t="s">
        <v>799</v>
      </c>
      <c r="D802" s="344">
        <v>1</v>
      </c>
      <c r="E802" s="343" t="s">
        <v>800</v>
      </c>
      <c r="F802" s="345">
        <v>45539</v>
      </c>
      <c r="G802" s="345">
        <v>45539</v>
      </c>
      <c r="H802" s="343">
        <v>202410</v>
      </c>
      <c r="I802" s="344">
        <v>60</v>
      </c>
      <c r="J802" s="342">
        <v>41</v>
      </c>
      <c r="K802" s="346">
        <v>91849.55</v>
      </c>
      <c r="L802" s="346"/>
      <c r="M802" s="346"/>
      <c r="N802" s="346">
        <f t="shared" si="12"/>
        <v>91849.55</v>
      </c>
      <c r="O802" s="347">
        <v>5817.14</v>
      </c>
      <c r="P802" s="347">
        <v>27631.39</v>
      </c>
      <c r="Q802" s="347">
        <v>64218.16</v>
      </c>
      <c r="R802" s="342">
        <v>0</v>
      </c>
      <c r="S802" s="347">
        <v>64218.16</v>
      </c>
      <c r="T802" s="341" t="s">
        <v>296</v>
      </c>
      <c r="U802" s="342">
        <v>66021202</v>
      </c>
      <c r="V802" s="342"/>
    </row>
    <row r="803" customHeight="1" spans="1:22">
      <c r="A803" s="343" t="s">
        <v>196</v>
      </c>
      <c r="B803" s="343">
        <v>200048</v>
      </c>
      <c r="C803" s="343" t="s">
        <v>801</v>
      </c>
      <c r="D803" s="344">
        <v>1</v>
      </c>
      <c r="E803" s="343" t="s">
        <v>802</v>
      </c>
      <c r="F803" s="345">
        <v>45549</v>
      </c>
      <c r="G803" s="345">
        <v>45549</v>
      </c>
      <c r="H803" s="343">
        <v>202410</v>
      </c>
      <c r="I803" s="344">
        <v>60</v>
      </c>
      <c r="J803" s="342">
        <v>41</v>
      </c>
      <c r="K803" s="346">
        <v>3484.96</v>
      </c>
      <c r="L803" s="346"/>
      <c r="M803" s="346"/>
      <c r="N803" s="346">
        <f t="shared" si="12"/>
        <v>3484.96</v>
      </c>
      <c r="O803" s="342">
        <v>220.72</v>
      </c>
      <c r="P803" s="347">
        <v>1048.42</v>
      </c>
      <c r="Q803" s="347">
        <v>2436.54</v>
      </c>
      <c r="R803" s="342">
        <v>0</v>
      </c>
      <c r="S803" s="347">
        <v>2436.54</v>
      </c>
      <c r="T803" s="341" t="s">
        <v>296</v>
      </c>
      <c r="U803" s="342">
        <v>5301010301</v>
      </c>
      <c r="V803" s="342"/>
    </row>
    <row r="804" customHeight="1" spans="1:22">
      <c r="A804" s="343" t="s">
        <v>196</v>
      </c>
      <c r="B804" s="343">
        <v>200049</v>
      </c>
      <c r="C804" s="343" t="s">
        <v>803</v>
      </c>
      <c r="D804" s="344">
        <v>1</v>
      </c>
      <c r="E804" s="343" t="s">
        <v>630</v>
      </c>
      <c r="F804" s="345">
        <v>45574</v>
      </c>
      <c r="G804" s="345">
        <v>45574</v>
      </c>
      <c r="H804" s="343">
        <v>202411</v>
      </c>
      <c r="I804" s="344">
        <v>60</v>
      </c>
      <c r="J804" s="342">
        <v>42</v>
      </c>
      <c r="K804" s="346">
        <v>2876.11</v>
      </c>
      <c r="L804" s="346"/>
      <c r="M804" s="346"/>
      <c r="N804" s="346">
        <f t="shared" si="12"/>
        <v>2876.11</v>
      </c>
      <c r="O804" s="342">
        <v>182.16</v>
      </c>
      <c r="P804" s="347">
        <v>819.72</v>
      </c>
      <c r="Q804" s="347">
        <v>2056.39</v>
      </c>
      <c r="R804" s="342">
        <v>0</v>
      </c>
      <c r="S804" s="347">
        <v>2056.39</v>
      </c>
      <c r="T804" s="341" t="s">
        <v>296</v>
      </c>
      <c r="U804" s="342">
        <v>66021202</v>
      </c>
      <c r="V804" s="342"/>
    </row>
    <row r="805" customHeight="1" spans="1:22">
      <c r="A805" s="343" t="s">
        <v>196</v>
      </c>
      <c r="B805" s="343">
        <v>200050</v>
      </c>
      <c r="C805" s="343" t="s">
        <v>803</v>
      </c>
      <c r="D805" s="344">
        <v>1</v>
      </c>
      <c r="E805" s="343" t="s">
        <v>630</v>
      </c>
      <c r="F805" s="345">
        <v>45574</v>
      </c>
      <c r="G805" s="345">
        <v>45574</v>
      </c>
      <c r="H805" s="343">
        <v>202411</v>
      </c>
      <c r="I805" s="344">
        <v>60</v>
      </c>
      <c r="J805" s="342">
        <v>42</v>
      </c>
      <c r="K805" s="346">
        <v>2876.1</v>
      </c>
      <c r="L805" s="346"/>
      <c r="M805" s="346"/>
      <c r="N805" s="346">
        <f t="shared" si="12"/>
        <v>2876.1</v>
      </c>
      <c r="O805" s="342">
        <v>182.16</v>
      </c>
      <c r="P805" s="347">
        <v>819.72</v>
      </c>
      <c r="Q805" s="347">
        <v>2056.38</v>
      </c>
      <c r="R805" s="342">
        <v>0</v>
      </c>
      <c r="S805" s="347">
        <v>2056.38</v>
      </c>
      <c r="T805" s="341" t="s">
        <v>296</v>
      </c>
      <c r="U805" s="342">
        <v>66021202</v>
      </c>
      <c r="V805" s="342"/>
    </row>
    <row r="806" customHeight="1" spans="1:22">
      <c r="A806" s="343" t="s">
        <v>196</v>
      </c>
      <c r="B806" s="343">
        <v>200051</v>
      </c>
      <c r="C806" s="343" t="s">
        <v>804</v>
      </c>
      <c r="D806" s="344">
        <v>1</v>
      </c>
      <c r="E806" s="343" t="s">
        <v>805</v>
      </c>
      <c r="F806" s="345">
        <v>45582</v>
      </c>
      <c r="G806" s="345">
        <v>45582</v>
      </c>
      <c r="H806" s="343">
        <v>202411</v>
      </c>
      <c r="I806" s="344">
        <v>60</v>
      </c>
      <c r="J806" s="342">
        <v>42</v>
      </c>
      <c r="K806" s="346">
        <v>1415.93</v>
      </c>
      <c r="L806" s="346"/>
      <c r="M806" s="346"/>
      <c r="N806" s="346">
        <f t="shared" si="12"/>
        <v>1415.93</v>
      </c>
      <c r="O806" s="342">
        <v>89.68</v>
      </c>
      <c r="P806" s="347">
        <v>403.56</v>
      </c>
      <c r="Q806" s="347">
        <v>1012.37</v>
      </c>
      <c r="R806" s="342">
        <v>0</v>
      </c>
      <c r="S806" s="347">
        <v>1012.37</v>
      </c>
      <c r="T806" s="341" t="s">
        <v>362</v>
      </c>
      <c r="U806" s="342">
        <v>5301010301</v>
      </c>
      <c r="V806" s="342"/>
    </row>
    <row r="807" customHeight="1" spans="1:22">
      <c r="A807" s="343" t="s">
        <v>196</v>
      </c>
      <c r="B807" s="343">
        <v>200052</v>
      </c>
      <c r="C807" s="343" t="s">
        <v>804</v>
      </c>
      <c r="D807" s="344">
        <v>1</v>
      </c>
      <c r="E807" s="343" t="s">
        <v>805</v>
      </c>
      <c r="F807" s="345">
        <v>45582</v>
      </c>
      <c r="G807" s="345">
        <v>45582</v>
      </c>
      <c r="H807" s="343">
        <v>202411</v>
      </c>
      <c r="I807" s="344">
        <v>60</v>
      </c>
      <c r="J807" s="342">
        <v>42</v>
      </c>
      <c r="K807" s="346">
        <v>1415.93</v>
      </c>
      <c r="L807" s="346"/>
      <c r="M807" s="346"/>
      <c r="N807" s="346">
        <f t="shared" si="12"/>
        <v>1415.93</v>
      </c>
      <c r="O807" s="342">
        <v>89.68</v>
      </c>
      <c r="P807" s="347">
        <v>403.56</v>
      </c>
      <c r="Q807" s="347">
        <v>1012.37</v>
      </c>
      <c r="R807" s="342">
        <v>0</v>
      </c>
      <c r="S807" s="347">
        <v>1012.37</v>
      </c>
      <c r="T807" s="341" t="s">
        <v>362</v>
      </c>
      <c r="U807" s="342">
        <v>5301010301</v>
      </c>
      <c r="V807" s="342"/>
    </row>
    <row r="808" customHeight="1" spans="1:22">
      <c r="A808" s="343" t="s">
        <v>196</v>
      </c>
      <c r="B808" s="343">
        <v>200053</v>
      </c>
      <c r="C808" s="343" t="s">
        <v>804</v>
      </c>
      <c r="D808" s="344">
        <v>1</v>
      </c>
      <c r="E808" s="343" t="s">
        <v>805</v>
      </c>
      <c r="F808" s="345">
        <v>45582</v>
      </c>
      <c r="G808" s="345">
        <v>45582</v>
      </c>
      <c r="H808" s="343">
        <v>202411</v>
      </c>
      <c r="I808" s="344">
        <v>60</v>
      </c>
      <c r="J808" s="342">
        <v>42</v>
      </c>
      <c r="K808" s="346">
        <v>1415.93</v>
      </c>
      <c r="L808" s="346"/>
      <c r="M808" s="346"/>
      <c r="N808" s="346">
        <f t="shared" si="12"/>
        <v>1415.93</v>
      </c>
      <c r="O808" s="342">
        <v>89.68</v>
      </c>
      <c r="P808" s="347">
        <v>403.56</v>
      </c>
      <c r="Q808" s="347">
        <v>1012.37</v>
      </c>
      <c r="R808" s="342">
        <v>0</v>
      </c>
      <c r="S808" s="347">
        <v>1012.37</v>
      </c>
      <c r="T808" s="341" t="s">
        <v>362</v>
      </c>
      <c r="U808" s="342">
        <v>5301010301</v>
      </c>
      <c r="V808" s="342"/>
    </row>
    <row r="809" customHeight="1" spans="1:22">
      <c r="A809" s="343" t="s">
        <v>196</v>
      </c>
      <c r="B809" s="343">
        <v>200054</v>
      </c>
      <c r="C809" s="343" t="s">
        <v>804</v>
      </c>
      <c r="D809" s="344">
        <v>1</v>
      </c>
      <c r="E809" s="343" t="s">
        <v>805</v>
      </c>
      <c r="F809" s="345">
        <v>45582</v>
      </c>
      <c r="G809" s="345">
        <v>45582</v>
      </c>
      <c r="H809" s="343">
        <v>202411</v>
      </c>
      <c r="I809" s="344">
        <v>60</v>
      </c>
      <c r="J809" s="342">
        <v>42</v>
      </c>
      <c r="K809" s="346">
        <v>1415.93</v>
      </c>
      <c r="L809" s="346"/>
      <c r="M809" s="346"/>
      <c r="N809" s="346">
        <f t="shared" si="12"/>
        <v>1415.93</v>
      </c>
      <c r="O809" s="342">
        <v>89.68</v>
      </c>
      <c r="P809" s="347">
        <v>403.56</v>
      </c>
      <c r="Q809" s="347">
        <v>1012.37</v>
      </c>
      <c r="R809" s="342">
        <v>0</v>
      </c>
      <c r="S809" s="347">
        <v>1012.37</v>
      </c>
      <c r="T809" s="341" t="s">
        <v>362</v>
      </c>
      <c r="U809" s="342">
        <v>5301010301</v>
      </c>
      <c r="V809" s="342"/>
    </row>
    <row r="810" customHeight="1" spans="1:22">
      <c r="A810" s="343" t="s">
        <v>196</v>
      </c>
      <c r="B810" s="343">
        <v>200055</v>
      </c>
      <c r="C810" s="343" t="s">
        <v>804</v>
      </c>
      <c r="D810" s="344">
        <v>1</v>
      </c>
      <c r="E810" s="343" t="s">
        <v>805</v>
      </c>
      <c r="F810" s="345">
        <v>45582</v>
      </c>
      <c r="G810" s="345">
        <v>45582</v>
      </c>
      <c r="H810" s="343">
        <v>202411</v>
      </c>
      <c r="I810" s="344">
        <v>60</v>
      </c>
      <c r="J810" s="342">
        <v>42</v>
      </c>
      <c r="K810" s="346">
        <v>1415.93</v>
      </c>
      <c r="L810" s="346"/>
      <c r="M810" s="346"/>
      <c r="N810" s="346">
        <f t="shared" si="12"/>
        <v>1415.93</v>
      </c>
      <c r="O810" s="342">
        <v>89.68</v>
      </c>
      <c r="P810" s="347">
        <v>403.56</v>
      </c>
      <c r="Q810" s="347">
        <v>1012.37</v>
      </c>
      <c r="R810" s="342">
        <v>0</v>
      </c>
      <c r="S810" s="347">
        <v>1012.37</v>
      </c>
      <c r="T810" s="341" t="s">
        <v>362</v>
      </c>
      <c r="U810" s="342">
        <v>5301010301</v>
      </c>
      <c r="V810" s="342"/>
    </row>
    <row r="811" customHeight="1" spans="1:22">
      <c r="A811" s="343" t="s">
        <v>196</v>
      </c>
      <c r="B811" s="343">
        <v>200056</v>
      </c>
      <c r="C811" s="343" t="s">
        <v>804</v>
      </c>
      <c r="D811" s="344">
        <v>1</v>
      </c>
      <c r="E811" s="343" t="s">
        <v>805</v>
      </c>
      <c r="F811" s="345">
        <v>45582</v>
      </c>
      <c r="G811" s="345">
        <v>45582</v>
      </c>
      <c r="H811" s="343">
        <v>202411</v>
      </c>
      <c r="I811" s="344">
        <v>60</v>
      </c>
      <c r="J811" s="342">
        <v>42</v>
      </c>
      <c r="K811" s="346">
        <v>1415.93</v>
      </c>
      <c r="L811" s="346"/>
      <c r="M811" s="346"/>
      <c r="N811" s="346">
        <f t="shared" si="12"/>
        <v>1415.93</v>
      </c>
      <c r="O811" s="342">
        <v>89.68</v>
      </c>
      <c r="P811" s="347">
        <v>403.56</v>
      </c>
      <c r="Q811" s="347">
        <v>1012.37</v>
      </c>
      <c r="R811" s="342">
        <v>0</v>
      </c>
      <c r="S811" s="347">
        <v>1012.37</v>
      </c>
      <c r="T811" s="341" t="s">
        <v>362</v>
      </c>
      <c r="U811" s="342">
        <v>5301010301</v>
      </c>
      <c r="V811" s="342"/>
    </row>
    <row r="812" customHeight="1" spans="1:22">
      <c r="A812" s="343" t="s">
        <v>196</v>
      </c>
      <c r="B812" s="343">
        <v>200057</v>
      </c>
      <c r="C812" s="343" t="s">
        <v>806</v>
      </c>
      <c r="D812" s="344">
        <v>1</v>
      </c>
      <c r="E812" s="343" t="s">
        <v>807</v>
      </c>
      <c r="F812" s="345">
        <v>45582</v>
      </c>
      <c r="G812" s="345">
        <v>45582</v>
      </c>
      <c r="H812" s="343">
        <v>202411</v>
      </c>
      <c r="I812" s="344">
        <v>60</v>
      </c>
      <c r="J812" s="342">
        <v>42</v>
      </c>
      <c r="K812" s="346">
        <v>173451.33</v>
      </c>
      <c r="L812" s="346"/>
      <c r="M812" s="346"/>
      <c r="N812" s="346">
        <f t="shared" si="12"/>
        <v>173451.33</v>
      </c>
      <c r="O812" s="347">
        <v>10985.24</v>
      </c>
      <c r="P812" s="347">
        <v>49433.58</v>
      </c>
      <c r="Q812" s="347">
        <v>124017.75</v>
      </c>
      <c r="R812" s="342">
        <v>0</v>
      </c>
      <c r="S812" s="347">
        <v>124017.75</v>
      </c>
      <c r="T812" s="341" t="s">
        <v>362</v>
      </c>
      <c r="U812" s="342">
        <v>5301010301</v>
      </c>
      <c r="V812" s="342"/>
    </row>
    <row r="813" customHeight="1" spans="1:22">
      <c r="A813" s="343" t="s">
        <v>196</v>
      </c>
      <c r="B813" s="343">
        <v>200058</v>
      </c>
      <c r="C813" s="343" t="s">
        <v>742</v>
      </c>
      <c r="D813" s="344">
        <v>1</v>
      </c>
      <c r="E813" s="343" t="s">
        <v>808</v>
      </c>
      <c r="F813" s="345">
        <v>45582</v>
      </c>
      <c r="G813" s="345">
        <v>45582</v>
      </c>
      <c r="H813" s="343">
        <v>202411</v>
      </c>
      <c r="I813" s="344">
        <v>60</v>
      </c>
      <c r="J813" s="342">
        <v>42</v>
      </c>
      <c r="K813" s="346">
        <v>14743.36</v>
      </c>
      <c r="L813" s="346"/>
      <c r="M813" s="346"/>
      <c r="N813" s="346">
        <f t="shared" si="12"/>
        <v>14743.36</v>
      </c>
      <c r="O813" s="342">
        <v>933.76</v>
      </c>
      <c r="P813" s="347">
        <v>4201.92</v>
      </c>
      <c r="Q813" s="347">
        <v>10541.44</v>
      </c>
      <c r="R813" s="342">
        <v>0</v>
      </c>
      <c r="S813" s="347">
        <v>10541.44</v>
      </c>
      <c r="T813" s="341" t="s">
        <v>362</v>
      </c>
      <c r="U813" s="342">
        <v>5301010301</v>
      </c>
      <c r="V813" s="342"/>
    </row>
    <row r="814" customHeight="1" spans="1:22">
      <c r="A814" s="343" t="s">
        <v>196</v>
      </c>
      <c r="B814" s="343">
        <v>200059</v>
      </c>
      <c r="C814" s="343" t="s">
        <v>809</v>
      </c>
      <c r="D814" s="344">
        <v>1</v>
      </c>
      <c r="E814" s="343" t="s">
        <v>810</v>
      </c>
      <c r="F814" s="345">
        <v>45582</v>
      </c>
      <c r="G814" s="345">
        <v>45582</v>
      </c>
      <c r="H814" s="343">
        <v>202411</v>
      </c>
      <c r="I814" s="344">
        <v>60</v>
      </c>
      <c r="J814" s="342">
        <v>42</v>
      </c>
      <c r="K814" s="346">
        <v>31504.42</v>
      </c>
      <c r="L814" s="346"/>
      <c r="M814" s="346"/>
      <c r="N814" s="346">
        <f t="shared" si="12"/>
        <v>31504.42</v>
      </c>
      <c r="O814" s="347">
        <v>1995.28</v>
      </c>
      <c r="P814" s="347">
        <v>8978.76</v>
      </c>
      <c r="Q814" s="347">
        <v>22525.66</v>
      </c>
      <c r="R814" s="342">
        <v>0</v>
      </c>
      <c r="S814" s="347">
        <v>22525.66</v>
      </c>
      <c r="T814" s="341" t="s">
        <v>362</v>
      </c>
      <c r="U814" s="342">
        <v>5301010301</v>
      </c>
      <c r="V814" s="342"/>
    </row>
    <row r="815" customHeight="1" spans="1:22">
      <c r="A815" s="343" t="s">
        <v>196</v>
      </c>
      <c r="B815" s="343">
        <v>200060</v>
      </c>
      <c r="C815" s="343" t="s">
        <v>811</v>
      </c>
      <c r="D815" s="344">
        <v>1</v>
      </c>
      <c r="E815" s="343" t="s">
        <v>812</v>
      </c>
      <c r="F815" s="345">
        <v>45616</v>
      </c>
      <c r="G815" s="345">
        <v>45616</v>
      </c>
      <c r="H815" s="343">
        <v>202412</v>
      </c>
      <c r="I815" s="344">
        <v>60</v>
      </c>
      <c r="J815" s="342">
        <v>43</v>
      </c>
      <c r="K815" s="346">
        <v>225663.72</v>
      </c>
      <c r="L815" s="346"/>
      <c r="M815" s="346"/>
      <c r="N815" s="346">
        <f t="shared" si="12"/>
        <v>225663.72</v>
      </c>
      <c r="O815" s="347">
        <v>14292.04</v>
      </c>
      <c r="P815" s="347">
        <v>60741.17</v>
      </c>
      <c r="Q815" s="347">
        <v>164922.55</v>
      </c>
      <c r="R815" s="342">
        <v>0</v>
      </c>
      <c r="S815" s="347">
        <v>164922.55</v>
      </c>
      <c r="T815" s="341" t="s">
        <v>362</v>
      </c>
      <c r="U815" s="342">
        <v>5301010301</v>
      </c>
      <c r="V815" s="342"/>
    </row>
    <row r="816" customHeight="1" spans="1:22">
      <c r="A816" s="343" t="s">
        <v>196</v>
      </c>
      <c r="B816" s="343">
        <v>200061</v>
      </c>
      <c r="C816" s="343" t="s">
        <v>813</v>
      </c>
      <c r="D816" s="344">
        <v>1</v>
      </c>
      <c r="E816" s="343" t="s">
        <v>814</v>
      </c>
      <c r="F816" s="345">
        <v>45616</v>
      </c>
      <c r="G816" s="345">
        <v>45616</v>
      </c>
      <c r="H816" s="343">
        <v>202412</v>
      </c>
      <c r="I816" s="344">
        <v>60</v>
      </c>
      <c r="J816" s="342">
        <v>43</v>
      </c>
      <c r="K816" s="346">
        <v>137168.14</v>
      </c>
      <c r="L816" s="346"/>
      <c r="M816" s="346"/>
      <c r="N816" s="346">
        <f t="shared" si="12"/>
        <v>137168.14</v>
      </c>
      <c r="O816" s="347">
        <v>8687.32</v>
      </c>
      <c r="P816" s="347">
        <v>36921.11</v>
      </c>
      <c r="Q816" s="347">
        <v>100247.03</v>
      </c>
      <c r="R816" s="342">
        <v>0</v>
      </c>
      <c r="S816" s="347">
        <v>100247.03</v>
      </c>
      <c r="T816" s="341" t="s">
        <v>362</v>
      </c>
      <c r="U816" s="342">
        <v>5301010301</v>
      </c>
      <c r="V816" s="342"/>
    </row>
    <row r="817" customHeight="1" spans="1:22">
      <c r="A817" s="343" t="s">
        <v>196</v>
      </c>
      <c r="B817" s="343">
        <v>200062</v>
      </c>
      <c r="C817" s="343" t="s">
        <v>815</v>
      </c>
      <c r="D817" s="344">
        <v>1</v>
      </c>
      <c r="E817" s="343" t="s">
        <v>816</v>
      </c>
      <c r="F817" s="345">
        <v>45629</v>
      </c>
      <c r="G817" s="345">
        <v>45629</v>
      </c>
      <c r="H817" s="343">
        <v>202501</v>
      </c>
      <c r="I817" s="344">
        <v>60</v>
      </c>
      <c r="J817" s="342">
        <v>44</v>
      </c>
      <c r="K817" s="346">
        <v>36191.15</v>
      </c>
      <c r="L817" s="346"/>
      <c r="M817" s="346"/>
      <c r="N817" s="346">
        <f t="shared" si="12"/>
        <v>36191.15</v>
      </c>
      <c r="O817" s="347">
        <v>2292.12</v>
      </c>
      <c r="P817" s="347">
        <v>9168.48</v>
      </c>
      <c r="Q817" s="347">
        <v>27022.67</v>
      </c>
      <c r="R817" s="342">
        <v>0</v>
      </c>
      <c r="S817" s="347">
        <v>27022.67</v>
      </c>
      <c r="T817" s="341" t="s">
        <v>362</v>
      </c>
      <c r="U817" s="342">
        <v>5301010301</v>
      </c>
      <c r="V817" s="342"/>
    </row>
    <row r="818" customHeight="1" spans="1:22">
      <c r="A818" s="343" t="s">
        <v>196</v>
      </c>
      <c r="B818" s="343">
        <v>200063</v>
      </c>
      <c r="C818" s="343" t="s">
        <v>815</v>
      </c>
      <c r="D818" s="344">
        <v>1</v>
      </c>
      <c r="E818" s="343" t="s">
        <v>816</v>
      </c>
      <c r="F818" s="345">
        <v>45629</v>
      </c>
      <c r="G818" s="345">
        <v>45629</v>
      </c>
      <c r="H818" s="343">
        <v>202501</v>
      </c>
      <c r="I818" s="344">
        <v>60</v>
      </c>
      <c r="J818" s="342">
        <v>44</v>
      </c>
      <c r="K818" s="346">
        <v>36191.15</v>
      </c>
      <c r="L818" s="346"/>
      <c r="M818" s="346"/>
      <c r="N818" s="346">
        <f t="shared" si="12"/>
        <v>36191.15</v>
      </c>
      <c r="O818" s="347">
        <v>2292.12</v>
      </c>
      <c r="P818" s="347">
        <v>9168.48</v>
      </c>
      <c r="Q818" s="347">
        <v>27022.67</v>
      </c>
      <c r="R818" s="342">
        <v>0</v>
      </c>
      <c r="S818" s="347">
        <v>27022.67</v>
      </c>
      <c r="T818" s="341" t="s">
        <v>362</v>
      </c>
      <c r="U818" s="342">
        <v>5301010301</v>
      </c>
      <c r="V818" s="342"/>
    </row>
    <row r="819" customHeight="1" spans="1:22">
      <c r="A819" s="343" t="s">
        <v>196</v>
      </c>
      <c r="B819" s="343">
        <v>200064</v>
      </c>
      <c r="C819" s="343" t="s">
        <v>817</v>
      </c>
      <c r="D819" s="344">
        <v>1</v>
      </c>
      <c r="E819" s="343" t="s">
        <v>789</v>
      </c>
      <c r="F819" s="345">
        <v>45646</v>
      </c>
      <c r="G819" s="345">
        <v>45646</v>
      </c>
      <c r="H819" s="343">
        <v>202501</v>
      </c>
      <c r="I819" s="344">
        <v>60</v>
      </c>
      <c r="J819" s="342">
        <v>44</v>
      </c>
      <c r="K819" s="346">
        <v>120920</v>
      </c>
      <c r="L819" s="346"/>
      <c r="M819" s="346"/>
      <c r="N819" s="346">
        <f t="shared" si="12"/>
        <v>120920</v>
      </c>
      <c r="O819" s="347">
        <v>7658.28</v>
      </c>
      <c r="P819" s="347">
        <v>30633.12</v>
      </c>
      <c r="Q819" s="347">
        <v>90286.88</v>
      </c>
      <c r="R819" s="342">
        <v>0</v>
      </c>
      <c r="S819" s="347">
        <v>90286.88</v>
      </c>
      <c r="T819" s="341" t="s">
        <v>296</v>
      </c>
      <c r="U819" s="342">
        <v>5301010301</v>
      </c>
      <c r="V819" s="342"/>
    </row>
    <row r="820" customHeight="1" spans="1:22">
      <c r="A820" s="343" t="s">
        <v>196</v>
      </c>
      <c r="B820" s="343">
        <v>200065</v>
      </c>
      <c r="C820" s="343" t="s">
        <v>817</v>
      </c>
      <c r="D820" s="344">
        <v>1</v>
      </c>
      <c r="E820" s="343" t="s">
        <v>789</v>
      </c>
      <c r="F820" s="345">
        <v>45646</v>
      </c>
      <c r="G820" s="345">
        <v>45646</v>
      </c>
      <c r="H820" s="343">
        <v>202501</v>
      </c>
      <c r="I820" s="344">
        <v>60</v>
      </c>
      <c r="J820" s="342">
        <v>44</v>
      </c>
      <c r="K820" s="346">
        <v>120920</v>
      </c>
      <c r="L820" s="346"/>
      <c r="M820" s="346"/>
      <c r="N820" s="346">
        <f t="shared" si="12"/>
        <v>120920</v>
      </c>
      <c r="O820" s="347">
        <v>7658.28</v>
      </c>
      <c r="P820" s="347">
        <v>30633.12</v>
      </c>
      <c r="Q820" s="347">
        <v>90286.88</v>
      </c>
      <c r="R820" s="342">
        <v>0</v>
      </c>
      <c r="S820" s="347">
        <v>90286.88</v>
      </c>
      <c r="T820" s="341" t="s">
        <v>296</v>
      </c>
      <c r="U820" s="342">
        <v>5301010301</v>
      </c>
      <c r="V820" s="342"/>
    </row>
    <row r="821" customHeight="1" spans="1:22">
      <c r="A821" s="343" t="s">
        <v>196</v>
      </c>
      <c r="B821" s="343">
        <v>200066</v>
      </c>
      <c r="C821" s="343" t="s">
        <v>817</v>
      </c>
      <c r="D821" s="344">
        <v>1</v>
      </c>
      <c r="E821" s="343" t="s">
        <v>789</v>
      </c>
      <c r="F821" s="345">
        <v>45646</v>
      </c>
      <c r="G821" s="345">
        <v>45646</v>
      </c>
      <c r="H821" s="343">
        <v>202501</v>
      </c>
      <c r="I821" s="344">
        <v>60</v>
      </c>
      <c r="J821" s="342">
        <v>44</v>
      </c>
      <c r="K821" s="346">
        <v>120920</v>
      </c>
      <c r="L821" s="346"/>
      <c r="M821" s="346"/>
      <c r="N821" s="346">
        <f t="shared" si="12"/>
        <v>120920</v>
      </c>
      <c r="O821" s="347">
        <v>7658.28</v>
      </c>
      <c r="P821" s="347">
        <v>30633.12</v>
      </c>
      <c r="Q821" s="347">
        <v>90286.88</v>
      </c>
      <c r="R821" s="342">
        <v>0</v>
      </c>
      <c r="S821" s="347">
        <v>90286.88</v>
      </c>
      <c r="T821" s="341" t="s">
        <v>296</v>
      </c>
      <c r="U821" s="342">
        <v>5301010301</v>
      </c>
      <c r="V821" s="342"/>
    </row>
    <row r="822" customHeight="1" spans="1:22">
      <c r="A822" s="343" t="s">
        <v>196</v>
      </c>
      <c r="B822" s="343">
        <v>200067</v>
      </c>
      <c r="C822" s="343" t="s">
        <v>818</v>
      </c>
      <c r="D822" s="344">
        <v>1</v>
      </c>
      <c r="E822" s="343" t="s">
        <v>819</v>
      </c>
      <c r="F822" s="345">
        <v>45657</v>
      </c>
      <c r="G822" s="345">
        <v>45657</v>
      </c>
      <c r="H822" s="343">
        <v>202501</v>
      </c>
      <c r="I822" s="344">
        <v>60</v>
      </c>
      <c r="J822" s="342">
        <v>44</v>
      </c>
      <c r="K822" s="346">
        <v>3732.74</v>
      </c>
      <c r="L822" s="346"/>
      <c r="M822" s="346"/>
      <c r="N822" s="346">
        <f t="shared" si="12"/>
        <v>3732.74</v>
      </c>
      <c r="O822" s="342">
        <v>236.4</v>
      </c>
      <c r="P822" s="347">
        <v>945.6</v>
      </c>
      <c r="Q822" s="347">
        <v>2787.14</v>
      </c>
      <c r="R822" s="342">
        <v>0</v>
      </c>
      <c r="S822" s="347">
        <v>2787.14</v>
      </c>
      <c r="T822" s="341" t="s">
        <v>296</v>
      </c>
      <c r="U822" s="342">
        <v>66021202</v>
      </c>
      <c r="V822" s="342"/>
    </row>
    <row r="823" customHeight="1" spans="1:22">
      <c r="A823" s="343" t="s">
        <v>196</v>
      </c>
      <c r="B823" s="343">
        <v>200068</v>
      </c>
      <c r="C823" s="343" t="s">
        <v>820</v>
      </c>
      <c r="D823" s="344">
        <v>1</v>
      </c>
      <c r="E823" s="343" t="s">
        <v>821</v>
      </c>
      <c r="F823" s="345">
        <v>45673</v>
      </c>
      <c r="G823" s="345">
        <v>45673</v>
      </c>
      <c r="H823" s="343">
        <v>202502</v>
      </c>
      <c r="I823" s="344">
        <v>60</v>
      </c>
      <c r="J823" s="342">
        <v>45</v>
      </c>
      <c r="K823" s="346">
        <v>36368.14</v>
      </c>
      <c r="L823" s="346"/>
      <c r="M823" s="346"/>
      <c r="N823" s="346">
        <f t="shared" si="12"/>
        <v>36368.14</v>
      </c>
      <c r="O823" s="347">
        <v>2303.32</v>
      </c>
      <c r="P823" s="347">
        <v>8637.45</v>
      </c>
      <c r="Q823" s="347">
        <v>27730.69</v>
      </c>
      <c r="R823" s="342">
        <v>0</v>
      </c>
      <c r="S823" s="347">
        <v>27730.69</v>
      </c>
      <c r="T823" s="341" t="s">
        <v>532</v>
      </c>
      <c r="U823" s="342">
        <v>5301010301</v>
      </c>
      <c r="V823" s="342"/>
    </row>
    <row r="824" customHeight="1" spans="1:22">
      <c r="A824" s="343" t="s">
        <v>196</v>
      </c>
      <c r="B824" s="343">
        <v>200069</v>
      </c>
      <c r="C824" s="343" t="s">
        <v>820</v>
      </c>
      <c r="D824" s="344">
        <v>1</v>
      </c>
      <c r="E824" s="343" t="s">
        <v>821</v>
      </c>
      <c r="F824" s="345">
        <v>45673</v>
      </c>
      <c r="G824" s="345">
        <v>45673</v>
      </c>
      <c r="H824" s="343">
        <v>202502</v>
      </c>
      <c r="I824" s="344">
        <v>60</v>
      </c>
      <c r="J824" s="342">
        <v>45</v>
      </c>
      <c r="K824" s="346">
        <v>36368.14</v>
      </c>
      <c r="L824" s="346"/>
      <c r="M824" s="346"/>
      <c r="N824" s="346">
        <f t="shared" si="12"/>
        <v>36368.14</v>
      </c>
      <c r="O824" s="347">
        <v>2303.32</v>
      </c>
      <c r="P824" s="347">
        <v>8637.45</v>
      </c>
      <c r="Q824" s="347">
        <v>27730.69</v>
      </c>
      <c r="R824" s="342">
        <v>0</v>
      </c>
      <c r="S824" s="347">
        <v>27730.69</v>
      </c>
      <c r="T824" s="341" t="s">
        <v>296</v>
      </c>
      <c r="U824" s="342">
        <v>66021202</v>
      </c>
      <c r="V824" s="342"/>
    </row>
    <row r="825" customHeight="1" spans="1:22">
      <c r="A825" s="343" t="s">
        <v>196</v>
      </c>
      <c r="B825" s="343">
        <v>200070</v>
      </c>
      <c r="C825" s="343" t="s">
        <v>822</v>
      </c>
      <c r="D825" s="344">
        <v>1</v>
      </c>
      <c r="E825" s="343" t="s">
        <v>816</v>
      </c>
      <c r="F825" s="345">
        <v>45705</v>
      </c>
      <c r="G825" s="345">
        <v>45705</v>
      </c>
      <c r="H825" s="343">
        <v>202503</v>
      </c>
      <c r="I825" s="344">
        <v>60</v>
      </c>
      <c r="J825" s="342">
        <v>46</v>
      </c>
      <c r="K825" s="346">
        <v>36191.15</v>
      </c>
      <c r="L825" s="346"/>
      <c r="M825" s="346"/>
      <c r="N825" s="346">
        <f t="shared" si="12"/>
        <v>36191.15</v>
      </c>
      <c r="O825" s="347">
        <v>2292.12</v>
      </c>
      <c r="P825" s="347">
        <v>8022.42</v>
      </c>
      <c r="Q825" s="347">
        <v>28168.73</v>
      </c>
      <c r="R825" s="342">
        <v>0</v>
      </c>
      <c r="S825" s="347">
        <v>28168.73</v>
      </c>
      <c r="T825" s="341" t="s">
        <v>532</v>
      </c>
      <c r="U825" s="342">
        <v>5301010301</v>
      </c>
      <c r="V825" s="342"/>
    </row>
    <row r="826" customHeight="1" spans="1:22">
      <c r="A826" s="343" t="s">
        <v>196</v>
      </c>
      <c r="B826" s="343">
        <v>200073</v>
      </c>
      <c r="C826" s="343" t="s">
        <v>823</v>
      </c>
      <c r="D826" s="344">
        <v>1</v>
      </c>
      <c r="E826" s="343" t="s">
        <v>824</v>
      </c>
      <c r="F826" s="345">
        <v>45736</v>
      </c>
      <c r="G826" s="345">
        <v>45736</v>
      </c>
      <c r="H826" s="343">
        <v>202504</v>
      </c>
      <c r="I826" s="344">
        <v>60</v>
      </c>
      <c r="J826" s="342">
        <v>47</v>
      </c>
      <c r="K826" s="346">
        <v>25599.12</v>
      </c>
      <c r="L826" s="346"/>
      <c r="M826" s="346"/>
      <c r="N826" s="346">
        <f t="shared" si="12"/>
        <v>25599.12</v>
      </c>
      <c r="O826" s="347">
        <v>1621.28</v>
      </c>
      <c r="P826" s="347">
        <v>5269.16</v>
      </c>
      <c r="Q826" s="347">
        <v>20329.96</v>
      </c>
      <c r="R826" s="342">
        <v>0</v>
      </c>
      <c r="S826" s="347">
        <v>20329.96</v>
      </c>
      <c r="T826" s="341" t="s">
        <v>296</v>
      </c>
      <c r="U826" s="342">
        <v>66021202</v>
      </c>
      <c r="V826" s="342"/>
    </row>
    <row r="827" customHeight="1" spans="1:22">
      <c r="A827" s="343" t="s">
        <v>196</v>
      </c>
      <c r="B827" s="343">
        <v>200074</v>
      </c>
      <c r="C827" s="343" t="s">
        <v>825</v>
      </c>
      <c r="D827" s="344">
        <v>1</v>
      </c>
      <c r="E827" s="343"/>
      <c r="F827" s="345">
        <v>45726</v>
      </c>
      <c r="G827" s="345">
        <v>45726</v>
      </c>
      <c r="H827" s="343">
        <v>202504</v>
      </c>
      <c r="I827" s="344">
        <v>60</v>
      </c>
      <c r="J827" s="342">
        <v>47</v>
      </c>
      <c r="K827" s="346">
        <v>2699.12</v>
      </c>
      <c r="L827" s="346"/>
      <c r="M827" s="346"/>
      <c r="N827" s="346">
        <f t="shared" si="12"/>
        <v>2699.12</v>
      </c>
      <c r="O827" s="342">
        <v>170.96</v>
      </c>
      <c r="P827" s="347">
        <v>555.62</v>
      </c>
      <c r="Q827" s="347">
        <v>2143.5</v>
      </c>
      <c r="R827" s="342">
        <v>0</v>
      </c>
      <c r="S827" s="347">
        <v>2143.5</v>
      </c>
      <c r="T827" s="341" t="s">
        <v>362</v>
      </c>
      <c r="U827" s="342">
        <v>5301010301</v>
      </c>
      <c r="V827" s="342"/>
    </row>
    <row r="828" customHeight="1" spans="1:22">
      <c r="A828" s="343" t="s">
        <v>196</v>
      </c>
      <c r="B828" s="343">
        <v>200075</v>
      </c>
      <c r="C828" s="343" t="s">
        <v>734</v>
      </c>
      <c r="D828" s="344">
        <v>1</v>
      </c>
      <c r="E828" s="343" t="s">
        <v>826</v>
      </c>
      <c r="F828" s="345">
        <v>45754</v>
      </c>
      <c r="G828" s="345">
        <v>45754</v>
      </c>
      <c r="H828" s="343">
        <v>202505</v>
      </c>
      <c r="I828" s="344">
        <v>60</v>
      </c>
      <c r="J828" s="342">
        <v>48</v>
      </c>
      <c r="K828" s="346">
        <v>102654.87</v>
      </c>
      <c r="L828" s="346"/>
      <c r="M828" s="346"/>
      <c r="N828" s="346">
        <f t="shared" si="12"/>
        <v>102654.87</v>
      </c>
      <c r="O828" s="347">
        <v>6501.48</v>
      </c>
      <c r="P828" s="347">
        <v>19504.44</v>
      </c>
      <c r="Q828" s="347">
        <v>83150.43</v>
      </c>
      <c r="R828" s="342">
        <v>0</v>
      </c>
      <c r="S828" s="347">
        <v>83150.43</v>
      </c>
      <c r="T828" s="341" t="s">
        <v>362</v>
      </c>
      <c r="U828" s="342">
        <v>66021202</v>
      </c>
      <c r="V828" s="342"/>
    </row>
    <row r="829" customHeight="1" spans="1:22">
      <c r="A829" s="343" t="s">
        <v>196</v>
      </c>
      <c r="B829" s="343">
        <v>200076</v>
      </c>
      <c r="C829" s="343" t="s">
        <v>734</v>
      </c>
      <c r="D829" s="344">
        <v>1</v>
      </c>
      <c r="E829" s="343" t="s">
        <v>826</v>
      </c>
      <c r="F829" s="345">
        <v>45754</v>
      </c>
      <c r="G829" s="345">
        <v>45754</v>
      </c>
      <c r="H829" s="343">
        <v>202505</v>
      </c>
      <c r="I829" s="344">
        <v>60</v>
      </c>
      <c r="J829" s="342">
        <v>48</v>
      </c>
      <c r="K829" s="346">
        <v>102654.86</v>
      </c>
      <c r="L829" s="346"/>
      <c r="M829" s="346"/>
      <c r="N829" s="346">
        <f t="shared" si="12"/>
        <v>102654.86</v>
      </c>
      <c r="O829" s="347">
        <v>6501.48</v>
      </c>
      <c r="P829" s="347">
        <v>19504.44</v>
      </c>
      <c r="Q829" s="347">
        <v>83150.42</v>
      </c>
      <c r="R829" s="342">
        <v>0</v>
      </c>
      <c r="S829" s="347">
        <v>83150.42</v>
      </c>
      <c r="T829" s="341" t="s">
        <v>362</v>
      </c>
      <c r="U829" s="342">
        <v>66021202</v>
      </c>
      <c r="V829" s="342"/>
    </row>
    <row r="830" customHeight="1" spans="1:22">
      <c r="A830" s="343" t="s">
        <v>196</v>
      </c>
      <c r="B830" s="343">
        <v>200077</v>
      </c>
      <c r="C830" s="343" t="s">
        <v>585</v>
      </c>
      <c r="D830" s="344">
        <v>1</v>
      </c>
      <c r="E830" s="343" t="s">
        <v>827</v>
      </c>
      <c r="F830" s="345">
        <v>45770</v>
      </c>
      <c r="G830" s="345">
        <v>45770</v>
      </c>
      <c r="H830" s="343">
        <v>202505</v>
      </c>
      <c r="I830" s="344">
        <v>60</v>
      </c>
      <c r="J830" s="342">
        <v>48</v>
      </c>
      <c r="K830" s="346">
        <v>92831.86</v>
      </c>
      <c r="L830" s="346"/>
      <c r="M830" s="346"/>
      <c r="N830" s="346">
        <f t="shared" si="12"/>
        <v>92831.86</v>
      </c>
      <c r="O830" s="347">
        <v>5879.36</v>
      </c>
      <c r="P830" s="347">
        <v>17638.08</v>
      </c>
      <c r="Q830" s="347">
        <v>75193.78</v>
      </c>
      <c r="R830" s="342">
        <v>0</v>
      </c>
      <c r="S830" s="347">
        <v>75193.78</v>
      </c>
      <c r="T830" s="341" t="s">
        <v>362</v>
      </c>
      <c r="U830" s="342">
        <v>5301010301</v>
      </c>
      <c r="V830" s="342"/>
    </row>
    <row r="831" customHeight="1" spans="1:22">
      <c r="A831" s="343" t="s">
        <v>196</v>
      </c>
      <c r="B831" s="343">
        <v>200078</v>
      </c>
      <c r="C831" s="343" t="s">
        <v>828</v>
      </c>
      <c r="D831" s="344">
        <v>1</v>
      </c>
      <c r="E831" s="343"/>
      <c r="F831" s="345">
        <v>45799</v>
      </c>
      <c r="G831" s="345">
        <v>45809</v>
      </c>
      <c r="H831" s="343">
        <v>202507</v>
      </c>
      <c r="I831" s="344">
        <v>60</v>
      </c>
      <c r="J831" s="342">
        <v>50</v>
      </c>
      <c r="K831" s="346">
        <v>7900</v>
      </c>
      <c r="L831" s="346"/>
      <c r="M831" s="346"/>
      <c r="N831" s="346">
        <f t="shared" si="12"/>
        <v>7900</v>
      </c>
      <c r="O831" s="342">
        <v>500.32</v>
      </c>
      <c r="P831" s="347">
        <v>1250.8</v>
      </c>
      <c r="Q831" s="347">
        <v>6649.2</v>
      </c>
      <c r="R831" s="342">
        <v>0</v>
      </c>
      <c r="S831" s="347">
        <v>6649.2</v>
      </c>
      <c r="T831" s="341" t="s">
        <v>296</v>
      </c>
      <c r="U831" s="342">
        <v>66021202</v>
      </c>
      <c r="V831" s="342"/>
    </row>
    <row r="832" customHeight="1" spans="1:22">
      <c r="A832" s="343" t="s">
        <v>196</v>
      </c>
      <c r="B832" s="343">
        <v>200079</v>
      </c>
      <c r="C832" s="343" t="s">
        <v>828</v>
      </c>
      <c r="D832" s="344">
        <v>1</v>
      </c>
      <c r="E832" s="343"/>
      <c r="F832" s="345">
        <v>45799</v>
      </c>
      <c r="G832" s="345">
        <v>45809</v>
      </c>
      <c r="H832" s="343">
        <v>202507</v>
      </c>
      <c r="I832" s="344">
        <v>60</v>
      </c>
      <c r="J832" s="342">
        <v>50</v>
      </c>
      <c r="K832" s="346">
        <v>7899.99</v>
      </c>
      <c r="L832" s="346"/>
      <c r="M832" s="346"/>
      <c r="N832" s="346">
        <f t="shared" si="12"/>
        <v>7899.99</v>
      </c>
      <c r="O832" s="342">
        <v>500.32</v>
      </c>
      <c r="P832" s="347">
        <v>1250.8</v>
      </c>
      <c r="Q832" s="347">
        <v>6649.19</v>
      </c>
      <c r="R832" s="342">
        <v>0</v>
      </c>
      <c r="S832" s="347">
        <v>6649.19</v>
      </c>
      <c r="T832" s="341" t="s">
        <v>296</v>
      </c>
      <c r="U832" s="342">
        <v>66021202</v>
      </c>
      <c r="V832" s="342"/>
    </row>
    <row r="833" customHeight="1" spans="1:22">
      <c r="A833" s="343" t="s">
        <v>196</v>
      </c>
      <c r="B833" s="343">
        <v>200080</v>
      </c>
      <c r="C833" s="343" t="s">
        <v>829</v>
      </c>
      <c r="D833" s="344">
        <v>1</v>
      </c>
      <c r="E833" s="343" t="s">
        <v>830</v>
      </c>
      <c r="F833" s="345">
        <v>45870</v>
      </c>
      <c r="G833" s="345">
        <v>45870</v>
      </c>
      <c r="H833" s="343">
        <v>202509</v>
      </c>
      <c r="I833" s="344">
        <v>60</v>
      </c>
      <c r="J833" s="342">
        <v>52</v>
      </c>
      <c r="K833" s="346">
        <v>152212.39</v>
      </c>
      <c r="L833" s="346"/>
      <c r="M833" s="346"/>
      <c r="N833" s="346">
        <f t="shared" si="12"/>
        <v>152212.39</v>
      </c>
      <c r="O833" s="347">
        <v>9640.12</v>
      </c>
      <c r="P833" s="347">
        <v>19280.24</v>
      </c>
      <c r="Q833" s="347">
        <v>132932.15</v>
      </c>
      <c r="R833" s="342">
        <v>0</v>
      </c>
      <c r="S833" s="347">
        <v>132932.15</v>
      </c>
      <c r="T833" s="341" t="s">
        <v>296</v>
      </c>
      <c r="U833" s="342">
        <v>66021202</v>
      </c>
      <c r="V833" s="342"/>
    </row>
    <row r="834" customHeight="1" spans="1:22">
      <c r="A834" s="343" t="s">
        <v>196</v>
      </c>
      <c r="B834" s="343">
        <v>200081</v>
      </c>
      <c r="C834" s="343" t="s">
        <v>828</v>
      </c>
      <c r="D834" s="344">
        <v>2</v>
      </c>
      <c r="E834" s="343" t="s">
        <v>831</v>
      </c>
      <c r="F834" s="345">
        <v>45899</v>
      </c>
      <c r="G834" s="345">
        <v>45899</v>
      </c>
      <c r="H834" s="343">
        <v>202509</v>
      </c>
      <c r="I834" s="344">
        <v>60</v>
      </c>
      <c r="J834" s="342">
        <v>52</v>
      </c>
      <c r="K834" s="346">
        <v>15799.99</v>
      </c>
      <c r="L834" s="346"/>
      <c r="M834" s="346"/>
      <c r="N834" s="346">
        <f t="shared" si="12"/>
        <v>15799.99</v>
      </c>
      <c r="O834" s="347">
        <v>1000.68</v>
      </c>
      <c r="P834" s="347">
        <v>2001.36</v>
      </c>
      <c r="Q834" s="347">
        <v>13798.63</v>
      </c>
      <c r="R834" s="342">
        <v>0</v>
      </c>
      <c r="S834" s="347">
        <v>13798.63</v>
      </c>
      <c r="T834" s="341" t="s">
        <v>296</v>
      </c>
      <c r="U834" s="342">
        <v>5301010301</v>
      </c>
      <c r="V834" s="342"/>
    </row>
    <row r="835" customHeight="1" spans="1:22">
      <c r="A835" s="343" t="s">
        <v>196</v>
      </c>
      <c r="B835" s="343">
        <v>200082</v>
      </c>
      <c r="C835" s="343" t="s">
        <v>832</v>
      </c>
      <c r="D835" s="344">
        <v>1</v>
      </c>
      <c r="E835" s="343" t="s">
        <v>833</v>
      </c>
      <c r="F835" s="345">
        <v>45917</v>
      </c>
      <c r="G835" s="345">
        <v>45917</v>
      </c>
      <c r="H835" s="343">
        <v>202510</v>
      </c>
      <c r="I835" s="344">
        <v>60</v>
      </c>
      <c r="J835" s="342">
        <v>53</v>
      </c>
      <c r="K835" s="346">
        <v>121238.94</v>
      </c>
      <c r="L835" s="346"/>
      <c r="M835" s="346"/>
      <c r="N835" s="346">
        <f t="shared" ref="N835:N898" si="13">K835+L835-M835</f>
        <v>121238.94</v>
      </c>
      <c r="O835" s="347">
        <v>7678.48</v>
      </c>
      <c r="P835" s="347">
        <v>13437.34</v>
      </c>
      <c r="Q835" s="347">
        <v>107801.6</v>
      </c>
      <c r="R835" s="342">
        <v>0</v>
      </c>
      <c r="S835" s="347">
        <v>107801.6</v>
      </c>
      <c r="T835" s="341" t="s">
        <v>362</v>
      </c>
      <c r="U835" s="342">
        <v>5301010301</v>
      </c>
      <c r="V835" s="342"/>
    </row>
    <row r="836" customHeight="1" spans="1:22">
      <c r="A836" s="343" t="s">
        <v>196</v>
      </c>
      <c r="B836" s="343">
        <v>200083</v>
      </c>
      <c r="C836" s="343" t="s">
        <v>834</v>
      </c>
      <c r="D836" s="344">
        <v>1</v>
      </c>
      <c r="E836" s="343" t="s">
        <v>835</v>
      </c>
      <c r="F836" s="345">
        <v>45964</v>
      </c>
      <c r="G836" s="345">
        <v>45964</v>
      </c>
      <c r="H836" s="343">
        <v>202512</v>
      </c>
      <c r="I836" s="344">
        <v>60</v>
      </c>
      <c r="J836" s="342">
        <v>55</v>
      </c>
      <c r="K836" s="346">
        <v>1304.6</v>
      </c>
      <c r="L836" s="346"/>
      <c r="M836" s="346"/>
      <c r="N836" s="346">
        <f t="shared" si="13"/>
        <v>1304.6</v>
      </c>
      <c r="O836" s="342">
        <v>82.64</v>
      </c>
      <c r="P836" s="347">
        <v>103.3</v>
      </c>
      <c r="Q836" s="347">
        <v>1201.3</v>
      </c>
      <c r="R836" s="342">
        <v>0</v>
      </c>
      <c r="S836" s="347">
        <v>1201.3</v>
      </c>
      <c r="T836" s="341" t="s">
        <v>362</v>
      </c>
      <c r="U836" s="342">
        <v>5301010301</v>
      </c>
      <c r="V836" s="342" t="s">
        <v>836</v>
      </c>
    </row>
    <row r="837" customHeight="1" spans="1:22">
      <c r="A837" s="343" t="s">
        <v>196</v>
      </c>
      <c r="B837" s="343">
        <v>200084</v>
      </c>
      <c r="C837" s="343" t="s">
        <v>837</v>
      </c>
      <c r="D837" s="344">
        <v>1</v>
      </c>
      <c r="E837" s="343"/>
      <c r="F837" s="345">
        <v>46048</v>
      </c>
      <c r="G837" s="345">
        <v>46048</v>
      </c>
      <c r="H837" s="343">
        <v>202602</v>
      </c>
      <c r="I837" s="344">
        <v>60</v>
      </c>
      <c r="J837" s="342">
        <v>57</v>
      </c>
      <c r="K837" s="346">
        <v>0</v>
      </c>
      <c r="L837" s="346">
        <v>60176.99</v>
      </c>
      <c r="M837" s="346"/>
      <c r="N837" s="346">
        <f t="shared" si="13"/>
        <v>60176.99</v>
      </c>
      <c r="O837" s="347">
        <v>2858.4</v>
      </c>
      <c r="P837" s="347">
        <v>2858.4</v>
      </c>
      <c r="Q837" s="347">
        <v>57318.59</v>
      </c>
      <c r="R837" s="342">
        <v>0</v>
      </c>
      <c r="S837" s="347">
        <v>57318.59</v>
      </c>
      <c r="T837" s="341" t="s">
        <v>362</v>
      </c>
      <c r="U837" s="342">
        <v>5301010301</v>
      </c>
      <c r="V837" s="342" t="s">
        <v>838</v>
      </c>
    </row>
    <row r="838" customHeight="1" spans="1:22">
      <c r="A838" s="343" t="s">
        <v>196</v>
      </c>
      <c r="B838" s="343">
        <v>200085</v>
      </c>
      <c r="C838" s="343" t="s">
        <v>839</v>
      </c>
      <c r="D838" s="344">
        <v>1</v>
      </c>
      <c r="E838" s="343" t="s">
        <v>840</v>
      </c>
      <c r="F838" s="345">
        <v>46055</v>
      </c>
      <c r="G838" s="345">
        <v>46055</v>
      </c>
      <c r="H838" s="343">
        <v>202603</v>
      </c>
      <c r="I838" s="344">
        <v>60</v>
      </c>
      <c r="J838" s="342">
        <v>58</v>
      </c>
      <c r="K838" s="346">
        <v>0</v>
      </c>
      <c r="L838" s="346">
        <v>3389.38</v>
      </c>
      <c r="M838" s="346"/>
      <c r="N838" s="346">
        <f t="shared" si="13"/>
        <v>3389.38</v>
      </c>
      <c r="O838" s="342">
        <v>107.34</v>
      </c>
      <c r="P838" s="347">
        <v>107.34</v>
      </c>
      <c r="Q838" s="347">
        <v>3282.04</v>
      </c>
      <c r="R838" s="342">
        <v>0</v>
      </c>
      <c r="S838" s="347">
        <v>3282.04</v>
      </c>
      <c r="T838" s="341" t="s">
        <v>296</v>
      </c>
      <c r="U838" s="342">
        <v>66021202</v>
      </c>
      <c r="V838" s="342" t="s">
        <v>841</v>
      </c>
    </row>
    <row r="839" customHeight="1" spans="1:22">
      <c r="A839" s="343" t="s">
        <v>196</v>
      </c>
      <c r="B839" s="343">
        <v>200086</v>
      </c>
      <c r="C839" s="343" t="s">
        <v>842</v>
      </c>
      <c r="D839" s="344">
        <v>45</v>
      </c>
      <c r="E839" s="343" t="s">
        <v>843</v>
      </c>
      <c r="F839" s="345">
        <v>46062</v>
      </c>
      <c r="G839" s="345">
        <v>46062</v>
      </c>
      <c r="H839" s="343">
        <v>202602</v>
      </c>
      <c r="I839" s="344">
        <v>60</v>
      </c>
      <c r="J839" s="342">
        <v>57</v>
      </c>
      <c r="K839" s="346">
        <v>0</v>
      </c>
      <c r="L839" s="346">
        <v>57743.36</v>
      </c>
      <c r="M839" s="346"/>
      <c r="N839" s="346">
        <f t="shared" si="13"/>
        <v>57743.36</v>
      </c>
      <c r="O839" s="347">
        <v>2742.81</v>
      </c>
      <c r="P839" s="347">
        <v>2742.81</v>
      </c>
      <c r="Q839" s="347">
        <v>55000.55</v>
      </c>
      <c r="R839" s="342">
        <v>0</v>
      </c>
      <c r="S839" s="347">
        <v>55000.55</v>
      </c>
      <c r="T839" s="341" t="s">
        <v>296</v>
      </c>
      <c r="U839" s="342">
        <v>66021202</v>
      </c>
      <c r="V839" s="342" t="s">
        <v>844</v>
      </c>
    </row>
    <row r="840" customHeight="1" spans="1:22">
      <c r="A840" s="343" t="s">
        <v>196</v>
      </c>
      <c r="B840" s="343">
        <v>200087</v>
      </c>
      <c r="C840" s="343" t="s">
        <v>842</v>
      </c>
      <c r="D840" s="344">
        <v>20</v>
      </c>
      <c r="E840" s="343" t="s">
        <v>845</v>
      </c>
      <c r="F840" s="345">
        <v>46062</v>
      </c>
      <c r="G840" s="345">
        <v>46062</v>
      </c>
      <c r="H840" s="343">
        <v>202602</v>
      </c>
      <c r="I840" s="344">
        <v>60</v>
      </c>
      <c r="J840" s="342">
        <v>57</v>
      </c>
      <c r="K840" s="346">
        <v>0</v>
      </c>
      <c r="L840" s="346">
        <v>27433.63</v>
      </c>
      <c r="M840" s="346"/>
      <c r="N840" s="346">
        <f t="shared" si="13"/>
        <v>27433.63</v>
      </c>
      <c r="O840" s="347">
        <v>1303.11</v>
      </c>
      <c r="P840" s="347">
        <v>1303.11</v>
      </c>
      <c r="Q840" s="347">
        <v>26130.52</v>
      </c>
      <c r="R840" s="342">
        <v>0</v>
      </c>
      <c r="S840" s="347">
        <v>26130.52</v>
      </c>
      <c r="T840" s="341" t="s">
        <v>296</v>
      </c>
      <c r="U840" s="342">
        <v>66021202</v>
      </c>
      <c r="V840" s="342" t="s">
        <v>844</v>
      </c>
    </row>
    <row r="841" customHeight="1" spans="1:22">
      <c r="A841" s="343" t="s">
        <v>196</v>
      </c>
      <c r="B841" s="343">
        <v>200088</v>
      </c>
      <c r="C841" s="343" t="s">
        <v>846</v>
      </c>
      <c r="D841" s="344">
        <v>65</v>
      </c>
      <c r="E841" s="343" t="s">
        <v>847</v>
      </c>
      <c r="F841" s="345">
        <v>46062</v>
      </c>
      <c r="G841" s="345">
        <v>46062</v>
      </c>
      <c r="H841" s="343">
        <v>202602</v>
      </c>
      <c r="I841" s="344">
        <v>60</v>
      </c>
      <c r="J841" s="342">
        <v>57</v>
      </c>
      <c r="K841" s="346">
        <v>0</v>
      </c>
      <c r="L841" s="346">
        <v>94911.5</v>
      </c>
      <c r="M841" s="346"/>
      <c r="N841" s="346">
        <f t="shared" si="13"/>
        <v>94911.5</v>
      </c>
      <c r="O841" s="347">
        <v>4508.31</v>
      </c>
      <c r="P841" s="347">
        <v>4508.31</v>
      </c>
      <c r="Q841" s="347">
        <v>90403.19</v>
      </c>
      <c r="R841" s="342">
        <v>0</v>
      </c>
      <c r="S841" s="347">
        <v>90403.19</v>
      </c>
      <c r="T841" s="341" t="s">
        <v>296</v>
      </c>
      <c r="U841" s="342">
        <v>66021202</v>
      </c>
      <c r="V841" s="342" t="s">
        <v>844</v>
      </c>
    </row>
    <row r="842" customHeight="1" spans="1:22">
      <c r="A842" s="343" t="s">
        <v>196</v>
      </c>
      <c r="B842" s="343">
        <v>200089</v>
      </c>
      <c r="C842" s="343" t="s">
        <v>742</v>
      </c>
      <c r="D842" s="344">
        <v>6</v>
      </c>
      <c r="E842" s="343" t="s">
        <v>848</v>
      </c>
      <c r="F842" s="345">
        <v>46062</v>
      </c>
      <c r="G842" s="345">
        <v>46062</v>
      </c>
      <c r="H842" s="343">
        <v>202602</v>
      </c>
      <c r="I842" s="344">
        <v>60</v>
      </c>
      <c r="J842" s="342">
        <v>57</v>
      </c>
      <c r="K842" s="346">
        <v>0</v>
      </c>
      <c r="L842" s="346">
        <v>1964.6</v>
      </c>
      <c r="M842" s="346"/>
      <c r="N842" s="346">
        <f t="shared" si="13"/>
        <v>1964.6</v>
      </c>
      <c r="O842" s="342">
        <v>93.33</v>
      </c>
      <c r="P842" s="347">
        <v>93.33</v>
      </c>
      <c r="Q842" s="347">
        <v>1871.27</v>
      </c>
      <c r="R842" s="342">
        <v>0</v>
      </c>
      <c r="S842" s="347">
        <v>1871.27</v>
      </c>
      <c r="T842" s="341" t="s">
        <v>296</v>
      </c>
      <c r="U842" s="342">
        <v>66021202</v>
      </c>
      <c r="V842" s="342" t="s">
        <v>844</v>
      </c>
    </row>
    <row r="843" customHeight="1" spans="1:22">
      <c r="A843" s="343" t="s">
        <v>196</v>
      </c>
      <c r="B843" s="343">
        <v>200090</v>
      </c>
      <c r="C843" s="343" t="s">
        <v>849</v>
      </c>
      <c r="D843" s="344">
        <v>6</v>
      </c>
      <c r="E843" s="343" t="s">
        <v>850</v>
      </c>
      <c r="F843" s="345">
        <v>46062</v>
      </c>
      <c r="G843" s="345">
        <v>46062</v>
      </c>
      <c r="H843" s="343">
        <v>202602</v>
      </c>
      <c r="I843" s="344">
        <v>60</v>
      </c>
      <c r="J843" s="342">
        <v>57</v>
      </c>
      <c r="K843" s="346">
        <v>0</v>
      </c>
      <c r="L843" s="346">
        <v>5575.22</v>
      </c>
      <c r="M843" s="346"/>
      <c r="N843" s="346">
        <f t="shared" si="13"/>
        <v>5575.22</v>
      </c>
      <c r="O843" s="342">
        <v>264.81</v>
      </c>
      <c r="P843" s="347">
        <v>264.81</v>
      </c>
      <c r="Q843" s="347">
        <v>5310.41</v>
      </c>
      <c r="R843" s="342">
        <v>0</v>
      </c>
      <c r="S843" s="347">
        <v>5310.41</v>
      </c>
      <c r="T843" s="341" t="s">
        <v>296</v>
      </c>
      <c r="U843" s="342">
        <v>66021202</v>
      </c>
      <c r="V843" s="342" t="s">
        <v>844</v>
      </c>
    </row>
    <row r="844" customHeight="1" spans="1:22">
      <c r="A844" s="343" t="s">
        <v>196</v>
      </c>
      <c r="B844" s="343">
        <v>200091</v>
      </c>
      <c r="C844" s="343" t="s">
        <v>851</v>
      </c>
      <c r="D844" s="344">
        <v>6</v>
      </c>
      <c r="E844" s="343" t="s">
        <v>852</v>
      </c>
      <c r="F844" s="345">
        <v>46062</v>
      </c>
      <c r="G844" s="345">
        <v>46062</v>
      </c>
      <c r="H844" s="343">
        <v>202602</v>
      </c>
      <c r="I844" s="344">
        <v>60</v>
      </c>
      <c r="J844" s="342">
        <v>57</v>
      </c>
      <c r="K844" s="346">
        <v>0</v>
      </c>
      <c r="L844" s="346">
        <v>3451.33</v>
      </c>
      <c r="M844" s="346"/>
      <c r="N844" s="346">
        <f t="shared" si="13"/>
        <v>3451.33</v>
      </c>
      <c r="O844" s="342">
        <v>163.95</v>
      </c>
      <c r="P844" s="347">
        <v>163.95</v>
      </c>
      <c r="Q844" s="347">
        <v>3287.38</v>
      </c>
      <c r="R844" s="342">
        <v>0</v>
      </c>
      <c r="S844" s="347">
        <v>3287.38</v>
      </c>
      <c r="T844" s="341" t="s">
        <v>296</v>
      </c>
      <c r="U844" s="342">
        <v>66021202</v>
      </c>
      <c r="V844" s="342" t="s">
        <v>844</v>
      </c>
    </row>
    <row r="845" customHeight="1" spans="1:22">
      <c r="A845" s="343" t="s">
        <v>196</v>
      </c>
      <c r="B845" s="343">
        <v>200092</v>
      </c>
      <c r="C845" s="343" t="s">
        <v>853</v>
      </c>
      <c r="D845" s="344">
        <v>1</v>
      </c>
      <c r="E845" s="343" t="s">
        <v>854</v>
      </c>
      <c r="F845" s="345">
        <v>46107</v>
      </c>
      <c r="G845" s="345">
        <v>46107</v>
      </c>
      <c r="H845" s="343">
        <v>202604</v>
      </c>
      <c r="I845" s="344">
        <v>60</v>
      </c>
      <c r="J845" s="342">
        <v>59</v>
      </c>
      <c r="K845" s="346">
        <v>0</v>
      </c>
      <c r="L845" s="346">
        <v>3539.82</v>
      </c>
      <c r="M845" s="346"/>
      <c r="N845" s="346">
        <f t="shared" si="13"/>
        <v>3539.82</v>
      </c>
      <c r="O845" s="342">
        <v>56.05</v>
      </c>
      <c r="P845" s="347">
        <v>56.05</v>
      </c>
      <c r="Q845" s="347">
        <v>3483.77</v>
      </c>
      <c r="R845" s="342">
        <v>0</v>
      </c>
      <c r="S845" s="347">
        <v>3483.77</v>
      </c>
      <c r="T845" s="341" t="s">
        <v>296</v>
      </c>
      <c r="U845" s="342">
        <v>66021202</v>
      </c>
      <c r="V845" s="342" t="s">
        <v>855</v>
      </c>
    </row>
    <row r="846" customHeight="1" spans="1:22">
      <c r="A846" s="343" t="s">
        <v>196</v>
      </c>
      <c r="B846" s="343">
        <v>200093</v>
      </c>
      <c r="C846" s="343" t="s">
        <v>856</v>
      </c>
      <c r="D846" s="344">
        <v>1</v>
      </c>
      <c r="E846" s="343" t="s">
        <v>854</v>
      </c>
      <c r="F846" s="345">
        <v>46107</v>
      </c>
      <c r="G846" s="345">
        <v>46107</v>
      </c>
      <c r="H846" s="343">
        <v>202604</v>
      </c>
      <c r="I846" s="344">
        <v>60</v>
      </c>
      <c r="J846" s="342">
        <v>59</v>
      </c>
      <c r="K846" s="346">
        <v>0</v>
      </c>
      <c r="L846" s="346">
        <v>3539.82</v>
      </c>
      <c r="M846" s="346"/>
      <c r="N846" s="346">
        <f t="shared" si="13"/>
        <v>3539.82</v>
      </c>
      <c r="O846" s="342">
        <v>56.05</v>
      </c>
      <c r="P846" s="347">
        <v>56.05</v>
      </c>
      <c r="Q846" s="347">
        <v>3483.77</v>
      </c>
      <c r="R846" s="342">
        <v>0</v>
      </c>
      <c r="S846" s="347">
        <v>3483.77</v>
      </c>
      <c r="T846" s="341" t="s">
        <v>296</v>
      </c>
      <c r="U846" s="342">
        <v>66021202</v>
      </c>
      <c r="V846" s="342" t="s">
        <v>855</v>
      </c>
    </row>
    <row r="847" customHeight="1" spans="1:22">
      <c r="A847" s="343" t="s">
        <v>196</v>
      </c>
      <c r="B847" s="343">
        <v>200094</v>
      </c>
      <c r="C847" s="343" t="s">
        <v>856</v>
      </c>
      <c r="D847" s="344">
        <v>1</v>
      </c>
      <c r="E847" s="343" t="s">
        <v>854</v>
      </c>
      <c r="F847" s="345">
        <v>46107</v>
      </c>
      <c r="G847" s="345">
        <v>46107</v>
      </c>
      <c r="H847" s="343">
        <v>202604</v>
      </c>
      <c r="I847" s="344">
        <v>60</v>
      </c>
      <c r="J847" s="342">
        <v>59</v>
      </c>
      <c r="K847" s="346">
        <v>0</v>
      </c>
      <c r="L847" s="346">
        <v>3539.82</v>
      </c>
      <c r="M847" s="346"/>
      <c r="N847" s="346">
        <f t="shared" si="13"/>
        <v>3539.82</v>
      </c>
      <c r="O847" s="342">
        <v>56.05</v>
      </c>
      <c r="P847" s="347">
        <v>56.05</v>
      </c>
      <c r="Q847" s="347">
        <v>3483.77</v>
      </c>
      <c r="R847" s="342">
        <v>0</v>
      </c>
      <c r="S847" s="347">
        <v>3483.77</v>
      </c>
      <c r="T847" s="341" t="s">
        <v>296</v>
      </c>
      <c r="U847" s="342">
        <v>66021202</v>
      </c>
      <c r="V847" s="342" t="s">
        <v>855</v>
      </c>
    </row>
    <row r="848" customHeight="1" spans="1:22">
      <c r="A848" s="343" t="s">
        <v>196</v>
      </c>
      <c r="B848" s="343">
        <v>200095</v>
      </c>
      <c r="C848" s="343" t="s">
        <v>856</v>
      </c>
      <c r="D848" s="344">
        <v>1</v>
      </c>
      <c r="E848" s="343" t="s">
        <v>854</v>
      </c>
      <c r="F848" s="345">
        <v>46107</v>
      </c>
      <c r="G848" s="345">
        <v>46107</v>
      </c>
      <c r="H848" s="343">
        <v>202604</v>
      </c>
      <c r="I848" s="344">
        <v>60</v>
      </c>
      <c r="J848" s="342">
        <v>59</v>
      </c>
      <c r="K848" s="346">
        <v>0</v>
      </c>
      <c r="L848" s="346">
        <v>3539.83</v>
      </c>
      <c r="M848" s="346"/>
      <c r="N848" s="346">
        <f t="shared" si="13"/>
        <v>3539.83</v>
      </c>
      <c r="O848" s="342">
        <v>56.05</v>
      </c>
      <c r="P848" s="347">
        <v>56.05</v>
      </c>
      <c r="Q848" s="347">
        <v>3483.78</v>
      </c>
      <c r="R848" s="342">
        <v>0</v>
      </c>
      <c r="S848" s="347">
        <v>3483.78</v>
      </c>
      <c r="T848" s="341" t="s">
        <v>296</v>
      </c>
      <c r="U848" s="342">
        <v>66021202</v>
      </c>
      <c r="V848" s="342" t="s">
        <v>855</v>
      </c>
    </row>
    <row r="849" customHeight="1" spans="1:22">
      <c r="A849" s="343" t="s">
        <v>196</v>
      </c>
      <c r="B849" s="343">
        <v>200096</v>
      </c>
      <c r="C849" s="343" t="s">
        <v>857</v>
      </c>
      <c r="D849" s="344">
        <v>1</v>
      </c>
      <c r="E849" s="343" t="s">
        <v>858</v>
      </c>
      <c r="F849" s="345">
        <v>46122</v>
      </c>
      <c r="G849" s="345">
        <v>46122</v>
      </c>
      <c r="H849" s="343">
        <v>202605</v>
      </c>
      <c r="I849" s="344">
        <v>60</v>
      </c>
      <c r="J849" s="342">
        <v>60</v>
      </c>
      <c r="K849" s="346">
        <v>0</v>
      </c>
      <c r="L849" s="346">
        <v>63582.17</v>
      </c>
      <c r="M849" s="346"/>
      <c r="N849" s="346">
        <f t="shared" si="13"/>
        <v>63582.17</v>
      </c>
      <c r="O849" s="342">
        <v>0</v>
      </c>
      <c r="P849" s="347">
        <v>0</v>
      </c>
      <c r="Q849" s="347">
        <v>63582.17</v>
      </c>
      <c r="R849" s="342">
        <v>0</v>
      </c>
      <c r="S849" s="347">
        <v>63582.17</v>
      </c>
      <c r="T849" s="341" t="s">
        <v>296</v>
      </c>
      <c r="U849" s="342">
        <v>66021202</v>
      </c>
      <c r="V849" s="342" t="s">
        <v>859</v>
      </c>
    </row>
    <row r="850" customHeight="1" spans="1:22">
      <c r="A850" s="343" t="s">
        <v>196</v>
      </c>
      <c r="B850" s="343">
        <v>200097</v>
      </c>
      <c r="C850" s="343" t="s">
        <v>857</v>
      </c>
      <c r="D850" s="344">
        <v>1</v>
      </c>
      <c r="E850" s="343" t="s">
        <v>858</v>
      </c>
      <c r="F850" s="345">
        <v>46122</v>
      </c>
      <c r="G850" s="345">
        <v>46122</v>
      </c>
      <c r="H850" s="343">
        <v>202605</v>
      </c>
      <c r="I850" s="344">
        <v>60</v>
      </c>
      <c r="J850" s="342">
        <v>60</v>
      </c>
      <c r="K850" s="346">
        <v>0</v>
      </c>
      <c r="L850" s="346">
        <v>63582.17</v>
      </c>
      <c r="M850" s="346"/>
      <c r="N850" s="346">
        <f t="shared" si="13"/>
        <v>63582.17</v>
      </c>
      <c r="O850" s="342">
        <v>0</v>
      </c>
      <c r="P850" s="347">
        <v>0</v>
      </c>
      <c r="Q850" s="347">
        <v>63582.17</v>
      </c>
      <c r="R850" s="342">
        <v>0</v>
      </c>
      <c r="S850" s="347">
        <v>63582.17</v>
      </c>
      <c r="T850" s="341" t="s">
        <v>296</v>
      </c>
      <c r="U850" s="342">
        <v>66021202</v>
      </c>
      <c r="V850" s="342" t="s">
        <v>860</v>
      </c>
    </row>
    <row r="851" customHeight="1" spans="1:22">
      <c r="A851" s="343" t="s">
        <v>196</v>
      </c>
      <c r="B851" s="343">
        <v>200098</v>
      </c>
      <c r="C851" s="343" t="s">
        <v>857</v>
      </c>
      <c r="D851" s="344">
        <v>1</v>
      </c>
      <c r="E851" s="343" t="s">
        <v>858</v>
      </c>
      <c r="F851" s="345">
        <v>46122</v>
      </c>
      <c r="G851" s="345">
        <v>46122</v>
      </c>
      <c r="H851" s="343">
        <v>202605</v>
      </c>
      <c r="I851" s="344">
        <v>60</v>
      </c>
      <c r="J851" s="342">
        <v>60</v>
      </c>
      <c r="K851" s="346">
        <v>0</v>
      </c>
      <c r="L851" s="346">
        <v>63582.17</v>
      </c>
      <c r="M851" s="346"/>
      <c r="N851" s="346">
        <f t="shared" si="13"/>
        <v>63582.17</v>
      </c>
      <c r="O851" s="342">
        <v>0</v>
      </c>
      <c r="P851" s="347">
        <v>0</v>
      </c>
      <c r="Q851" s="347">
        <v>63582.17</v>
      </c>
      <c r="R851" s="342">
        <v>0</v>
      </c>
      <c r="S851" s="347">
        <v>63582.17</v>
      </c>
      <c r="T851" s="341" t="s">
        <v>296</v>
      </c>
      <c r="U851" s="342">
        <v>66021202</v>
      </c>
      <c r="V851" s="342" t="s">
        <v>861</v>
      </c>
    </row>
    <row r="852" customHeight="1" spans="1:22">
      <c r="A852" s="343" t="s">
        <v>196</v>
      </c>
      <c r="B852" s="343">
        <v>200099</v>
      </c>
      <c r="C852" s="343" t="s">
        <v>857</v>
      </c>
      <c r="D852" s="344">
        <v>1</v>
      </c>
      <c r="E852" s="343" t="s">
        <v>858</v>
      </c>
      <c r="F852" s="345">
        <v>46122</v>
      </c>
      <c r="G852" s="345">
        <v>46122</v>
      </c>
      <c r="H852" s="343">
        <v>202605</v>
      </c>
      <c r="I852" s="344">
        <v>60</v>
      </c>
      <c r="J852" s="342">
        <v>60</v>
      </c>
      <c r="K852" s="346">
        <v>0</v>
      </c>
      <c r="L852" s="346">
        <v>63582.17</v>
      </c>
      <c r="M852" s="346"/>
      <c r="N852" s="346">
        <f t="shared" si="13"/>
        <v>63582.17</v>
      </c>
      <c r="O852" s="342">
        <v>0</v>
      </c>
      <c r="P852" s="347">
        <v>0</v>
      </c>
      <c r="Q852" s="347">
        <v>63582.17</v>
      </c>
      <c r="R852" s="342">
        <v>0</v>
      </c>
      <c r="S852" s="347">
        <v>63582.17</v>
      </c>
      <c r="T852" s="341" t="s">
        <v>296</v>
      </c>
      <c r="U852" s="342">
        <v>66021202</v>
      </c>
      <c r="V852" s="342" t="s">
        <v>862</v>
      </c>
    </row>
    <row r="853" customHeight="1" spans="1:22">
      <c r="A853" s="343" t="s">
        <v>196</v>
      </c>
      <c r="B853" s="343">
        <v>300082</v>
      </c>
      <c r="C853" s="343" t="s">
        <v>863</v>
      </c>
      <c r="D853" s="344">
        <v>1</v>
      </c>
      <c r="E853" s="343" t="s">
        <v>864</v>
      </c>
      <c r="F853" s="345">
        <v>45132</v>
      </c>
      <c r="G853" s="345">
        <v>45152</v>
      </c>
      <c r="H853" s="343">
        <v>202308</v>
      </c>
      <c r="I853" s="344">
        <v>60</v>
      </c>
      <c r="J853" s="342">
        <v>27</v>
      </c>
      <c r="K853" s="346">
        <v>2275.23</v>
      </c>
      <c r="L853" s="346"/>
      <c r="M853" s="346"/>
      <c r="N853" s="346">
        <f t="shared" si="13"/>
        <v>2275.23</v>
      </c>
      <c r="O853" s="342">
        <v>144.1</v>
      </c>
      <c r="P853" s="347">
        <v>1188.8</v>
      </c>
      <c r="Q853" s="347">
        <v>1086.43</v>
      </c>
      <c r="R853" s="342">
        <v>0</v>
      </c>
      <c r="S853" s="347">
        <v>1086.43</v>
      </c>
      <c r="T853" s="341" t="s">
        <v>362</v>
      </c>
      <c r="U853" s="342">
        <v>5301010301</v>
      </c>
      <c r="V853" s="342"/>
    </row>
    <row r="854" customHeight="1" spans="1:22">
      <c r="A854" s="343" t="s">
        <v>193</v>
      </c>
      <c r="B854" s="343">
        <v>100038</v>
      </c>
      <c r="C854" s="343" t="s">
        <v>865</v>
      </c>
      <c r="D854" s="344">
        <v>1</v>
      </c>
      <c r="E854" s="343"/>
      <c r="F854" s="345">
        <v>44288</v>
      </c>
      <c r="G854" s="345">
        <v>44288</v>
      </c>
      <c r="H854" s="343">
        <v>202105</v>
      </c>
      <c r="I854" s="344">
        <v>36</v>
      </c>
      <c r="J854" s="342">
        <v>0</v>
      </c>
      <c r="K854" s="346">
        <v>2880</v>
      </c>
      <c r="L854" s="346"/>
      <c r="M854" s="346"/>
      <c r="N854" s="346">
        <f t="shared" si="13"/>
        <v>2880</v>
      </c>
      <c r="O854" s="342">
        <v>0</v>
      </c>
      <c r="P854" s="347">
        <v>2736</v>
      </c>
      <c r="Q854" s="342">
        <v>144</v>
      </c>
      <c r="R854" s="342">
        <v>0</v>
      </c>
      <c r="S854" s="342">
        <v>144</v>
      </c>
      <c r="T854" s="341" t="s">
        <v>362</v>
      </c>
      <c r="U854" s="342">
        <v>66021203</v>
      </c>
      <c r="V854" s="342"/>
    </row>
    <row r="855" customHeight="1" spans="1:22">
      <c r="A855" s="343" t="s">
        <v>193</v>
      </c>
      <c r="B855" s="343">
        <v>300001</v>
      </c>
      <c r="C855" s="343" t="s">
        <v>866</v>
      </c>
      <c r="D855" s="344">
        <v>6</v>
      </c>
      <c r="E855" s="343"/>
      <c r="F855" s="345">
        <v>43932</v>
      </c>
      <c r="G855" s="345">
        <v>43932</v>
      </c>
      <c r="H855" s="343">
        <v>202005</v>
      </c>
      <c r="I855" s="344">
        <v>60</v>
      </c>
      <c r="J855" s="342">
        <v>0</v>
      </c>
      <c r="K855" s="346">
        <v>3000</v>
      </c>
      <c r="L855" s="346"/>
      <c r="M855" s="346"/>
      <c r="N855" s="346">
        <f t="shared" si="13"/>
        <v>3000</v>
      </c>
      <c r="O855" s="342">
        <v>0</v>
      </c>
      <c r="P855" s="347">
        <v>2850</v>
      </c>
      <c r="Q855" s="342">
        <v>150</v>
      </c>
      <c r="R855" s="342">
        <v>0</v>
      </c>
      <c r="S855" s="342">
        <v>150</v>
      </c>
      <c r="T855" s="341" t="s">
        <v>296</v>
      </c>
      <c r="U855" s="342">
        <v>66021203</v>
      </c>
      <c r="V855" s="342"/>
    </row>
    <row r="856" customHeight="1" spans="1:22">
      <c r="A856" s="343" t="s">
        <v>193</v>
      </c>
      <c r="B856" s="343">
        <v>300002</v>
      </c>
      <c r="C856" s="343" t="s">
        <v>867</v>
      </c>
      <c r="D856" s="344">
        <v>1</v>
      </c>
      <c r="E856" s="343"/>
      <c r="F856" s="345">
        <v>43932</v>
      </c>
      <c r="G856" s="345">
        <v>43932</v>
      </c>
      <c r="H856" s="343">
        <v>202005</v>
      </c>
      <c r="I856" s="344">
        <v>60</v>
      </c>
      <c r="J856" s="342">
        <v>0</v>
      </c>
      <c r="K856" s="346">
        <v>850</v>
      </c>
      <c r="L856" s="346"/>
      <c r="M856" s="346"/>
      <c r="N856" s="346">
        <f t="shared" si="13"/>
        <v>850</v>
      </c>
      <c r="O856" s="342">
        <v>0</v>
      </c>
      <c r="P856" s="347">
        <v>807.5</v>
      </c>
      <c r="Q856" s="342">
        <v>42.5</v>
      </c>
      <c r="R856" s="342">
        <v>0</v>
      </c>
      <c r="S856" s="342">
        <v>42.5</v>
      </c>
      <c r="T856" s="341" t="s">
        <v>296</v>
      </c>
      <c r="U856" s="342">
        <v>66021203</v>
      </c>
      <c r="V856" s="342"/>
    </row>
    <row r="857" customHeight="1" spans="1:22">
      <c r="A857" s="343" t="s">
        <v>193</v>
      </c>
      <c r="B857" s="343">
        <v>300003</v>
      </c>
      <c r="C857" s="343" t="s">
        <v>868</v>
      </c>
      <c r="D857" s="344">
        <v>6</v>
      </c>
      <c r="E857" s="343"/>
      <c r="F857" s="345">
        <v>43932</v>
      </c>
      <c r="G857" s="345">
        <v>43932</v>
      </c>
      <c r="H857" s="343">
        <v>202005</v>
      </c>
      <c r="I857" s="344">
        <v>60</v>
      </c>
      <c r="J857" s="342">
        <v>0</v>
      </c>
      <c r="K857" s="346">
        <v>900</v>
      </c>
      <c r="L857" s="346"/>
      <c r="M857" s="346"/>
      <c r="N857" s="346">
        <f t="shared" si="13"/>
        <v>900</v>
      </c>
      <c r="O857" s="342">
        <v>0</v>
      </c>
      <c r="P857" s="347">
        <v>855</v>
      </c>
      <c r="Q857" s="342">
        <v>45</v>
      </c>
      <c r="R857" s="342">
        <v>0</v>
      </c>
      <c r="S857" s="342">
        <v>45</v>
      </c>
      <c r="T857" s="341" t="s">
        <v>296</v>
      </c>
      <c r="U857" s="342">
        <v>66021203</v>
      </c>
      <c r="V857" s="342"/>
    </row>
    <row r="858" customHeight="1" spans="1:22">
      <c r="A858" s="343" t="s">
        <v>193</v>
      </c>
      <c r="B858" s="343">
        <v>300004</v>
      </c>
      <c r="C858" s="343" t="s">
        <v>869</v>
      </c>
      <c r="D858" s="344">
        <v>3</v>
      </c>
      <c r="E858" s="343"/>
      <c r="F858" s="345">
        <v>43932</v>
      </c>
      <c r="G858" s="345">
        <v>43932</v>
      </c>
      <c r="H858" s="343">
        <v>202005</v>
      </c>
      <c r="I858" s="344">
        <v>60</v>
      </c>
      <c r="J858" s="342">
        <v>0</v>
      </c>
      <c r="K858" s="346">
        <v>300</v>
      </c>
      <c r="L858" s="346"/>
      <c r="M858" s="346"/>
      <c r="N858" s="346">
        <f t="shared" si="13"/>
        <v>300</v>
      </c>
      <c r="O858" s="342">
        <v>0</v>
      </c>
      <c r="P858" s="347">
        <v>285</v>
      </c>
      <c r="Q858" s="342">
        <v>15</v>
      </c>
      <c r="R858" s="342">
        <v>0</v>
      </c>
      <c r="S858" s="342">
        <v>15</v>
      </c>
      <c r="T858" s="341" t="s">
        <v>296</v>
      </c>
      <c r="U858" s="342">
        <v>66021203</v>
      </c>
      <c r="V858" s="342"/>
    </row>
    <row r="859" customHeight="1" spans="1:22">
      <c r="A859" s="343" t="s">
        <v>193</v>
      </c>
      <c r="B859" s="343">
        <v>300005</v>
      </c>
      <c r="C859" s="343" t="s">
        <v>870</v>
      </c>
      <c r="D859" s="344">
        <v>2</v>
      </c>
      <c r="E859" s="343"/>
      <c r="F859" s="345">
        <v>44194</v>
      </c>
      <c r="G859" s="345">
        <v>44194</v>
      </c>
      <c r="H859" s="343">
        <v>202101</v>
      </c>
      <c r="I859" s="344">
        <v>60</v>
      </c>
      <c r="J859" s="342">
        <v>0</v>
      </c>
      <c r="K859" s="346">
        <v>1598</v>
      </c>
      <c r="L859" s="346"/>
      <c r="M859" s="346"/>
      <c r="N859" s="346">
        <f t="shared" si="13"/>
        <v>1598</v>
      </c>
      <c r="O859" s="342">
        <v>0</v>
      </c>
      <c r="P859" s="347">
        <v>1518.1</v>
      </c>
      <c r="Q859" s="342">
        <v>79.9</v>
      </c>
      <c r="R859" s="342">
        <v>0</v>
      </c>
      <c r="S859" s="342">
        <v>79.9</v>
      </c>
      <c r="T859" s="341" t="s">
        <v>296</v>
      </c>
      <c r="U859" s="342">
        <v>66021203</v>
      </c>
      <c r="V859" s="342"/>
    </row>
    <row r="860" customHeight="1" spans="1:22">
      <c r="A860" s="343" t="s">
        <v>193</v>
      </c>
      <c r="B860" s="343">
        <v>300006</v>
      </c>
      <c r="C860" s="343" t="s">
        <v>193</v>
      </c>
      <c r="D860" s="344">
        <v>1</v>
      </c>
      <c r="E860" s="343"/>
      <c r="F860" s="345">
        <v>44194</v>
      </c>
      <c r="G860" s="345">
        <v>44194</v>
      </c>
      <c r="H860" s="343">
        <v>202101</v>
      </c>
      <c r="I860" s="344">
        <v>60</v>
      </c>
      <c r="J860" s="342">
        <v>0</v>
      </c>
      <c r="K860" s="346">
        <v>1050</v>
      </c>
      <c r="L860" s="346"/>
      <c r="M860" s="346"/>
      <c r="N860" s="346">
        <f t="shared" si="13"/>
        <v>1050</v>
      </c>
      <c r="O860" s="342">
        <v>0</v>
      </c>
      <c r="P860" s="347">
        <v>997.5</v>
      </c>
      <c r="Q860" s="342">
        <v>52.5</v>
      </c>
      <c r="R860" s="342">
        <v>0</v>
      </c>
      <c r="S860" s="342">
        <v>52.5</v>
      </c>
      <c r="T860" s="341" t="s">
        <v>296</v>
      </c>
      <c r="U860" s="342">
        <v>66021203</v>
      </c>
      <c r="V860" s="342"/>
    </row>
    <row r="861" customHeight="1" spans="1:22">
      <c r="A861" s="343" t="s">
        <v>193</v>
      </c>
      <c r="B861" s="343">
        <v>300007</v>
      </c>
      <c r="C861" s="343" t="s">
        <v>871</v>
      </c>
      <c r="D861" s="344">
        <v>1</v>
      </c>
      <c r="E861" s="343"/>
      <c r="F861" s="345">
        <v>44194</v>
      </c>
      <c r="G861" s="345">
        <v>44194</v>
      </c>
      <c r="H861" s="343">
        <v>202101</v>
      </c>
      <c r="I861" s="344">
        <v>60</v>
      </c>
      <c r="J861" s="342">
        <v>0</v>
      </c>
      <c r="K861" s="346">
        <v>1080</v>
      </c>
      <c r="L861" s="346"/>
      <c r="M861" s="346"/>
      <c r="N861" s="346">
        <f t="shared" si="13"/>
        <v>1080</v>
      </c>
      <c r="O861" s="342">
        <v>0</v>
      </c>
      <c r="P861" s="347">
        <v>1026</v>
      </c>
      <c r="Q861" s="342">
        <v>54</v>
      </c>
      <c r="R861" s="342">
        <v>0</v>
      </c>
      <c r="S861" s="342">
        <v>54</v>
      </c>
      <c r="T861" s="341" t="s">
        <v>296</v>
      </c>
      <c r="U861" s="342">
        <v>66021203</v>
      </c>
      <c r="V861" s="342"/>
    </row>
    <row r="862" customHeight="1" spans="1:22">
      <c r="A862" s="343" t="s">
        <v>193</v>
      </c>
      <c r="B862" s="343">
        <v>300008</v>
      </c>
      <c r="C862" s="343" t="s">
        <v>872</v>
      </c>
      <c r="D862" s="344">
        <v>1</v>
      </c>
      <c r="E862" s="343"/>
      <c r="F862" s="345">
        <v>44196</v>
      </c>
      <c r="G862" s="345">
        <v>44196</v>
      </c>
      <c r="H862" s="343">
        <v>202101</v>
      </c>
      <c r="I862" s="344">
        <v>60</v>
      </c>
      <c r="J862" s="342">
        <v>0</v>
      </c>
      <c r="K862" s="346">
        <v>9617</v>
      </c>
      <c r="L862" s="346"/>
      <c r="M862" s="346"/>
      <c r="N862" s="346">
        <f t="shared" si="13"/>
        <v>9617</v>
      </c>
      <c r="O862" s="342">
        <v>0</v>
      </c>
      <c r="P862" s="347">
        <v>9136.15</v>
      </c>
      <c r="Q862" s="342">
        <v>480.85</v>
      </c>
      <c r="R862" s="342">
        <v>0</v>
      </c>
      <c r="S862" s="342">
        <v>480.85</v>
      </c>
      <c r="T862" s="341" t="s">
        <v>296</v>
      </c>
      <c r="U862" s="342">
        <v>66021203</v>
      </c>
      <c r="V862" s="342"/>
    </row>
    <row r="863" customHeight="1" spans="1:22">
      <c r="A863" s="343" t="s">
        <v>193</v>
      </c>
      <c r="B863" s="343">
        <v>300009</v>
      </c>
      <c r="C863" s="343" t="s">
        <v>873</v>
      </c>
      <c r="D863" s="344">
        <v>5</v>
      </c>
      <c r="E863" s="343"/>
      <c r="F863" s="345">
        <v>44203</v>
      </c>
      <c r="G863" s="345">
        <v>44203</v>
      </c>
      <c r="H863" s="343">
        <v>202102</v>
      </c>
      <c r="I863" s="344">
        <v>60</v>
      </c>
      <c r="J863" s="342">
        <v>0</v>
      </c>
      <c r="K863" s="346">
        <v>8900</v>
      </c>
      <c r="L863" s="346"/>
      <c r="M863" s="346"/>
      <c r="N863" s="346">
        <f t="shared" si="13"/>
        <v>8900</v>
      </c>
      <c r="O863" s="342">
        <v>140.91</v>
      </c>
      <c r="P863" s="347">
        <v>8455</v>
      </c>
      <c r="Q863" s="342">
        <v>445</v>
      </c>
      <c r="R863" s="342">
        <v>0</v>
      </c>
      <c r="S863" s="342">
        <v>445</v>
      </c>
      <c r="T863" s="341" t="s">
        <v>296</v>
      </c>
      <c r="U863" s="342">
        <v>66021203</v>
      </c>
      <c r="V863" s="342"/>
    </row>
    <row r="864" customHeight="1" spans="1:22">
      <c r="A864" s="343" t="s">
        <v>193</v>
      </c>
      <c r="B864" s="343">
        <v>300010</v>
      </c>
      <c r="C864" s="343" t="s">
        <v>874</v>
      </c>
      <c r="D864" s="344">
        <v>2</v>
      </c>
      <c r="E864" s="343"/>
      <c r="F864" s="345">
        <v>44203</v>
      </c>
      <c r="G864" s="345">
        <v>44203</v>
      </c>
      <c r="H864" s="343">
        <v>202102</v>
      </c>
      <c r="I864" s="344">
        <v>60</v>
      </c>
      <c r="J864" s="342">
        <v>0</v>
      </c>
      <c r="K864" s="346">
        <v>2860</v>
      </c>
      <c r="L864" s="346"/>
      <c r="M864" s="346"/>
      <c r="N864" s="346">
        <f t="shared" si="13"/>
        <v>2860</v>
      </c>
      <c r="O864" s="342">
        <v>45.28</v>
      </c>
      <c r="P864" s="347">
        <v>2717</v>
      </c>
      <c r="Q864" s="342">
        <v>143</v>
      </c>
      <c r="R864" s="342">
        <v>0</v>
      </c>
      <c r="S864" s="342">
        <v>143</v>
      </c>
      <c r="T864" s="341" t="s">
        <v>296</v>
      </c>
      <c r="U864" s="342">
        <v>66021203</v>
      </c>
      <c r="V864" s="342"/>
    </row>
    <row r="865" customHeight="1" spans="1:22">
      <c r="A865" s="343" t="s">
        <v>193</v>
      </c>
      <c r="B865" s="343">
        <v>300011</v>
      </c>
      <c r="C865" s="343" t="s">
        <v>875</v>
      </c>
      <c r="D865" s="344">
        <v>25</v>
      </c>
      <c r="E865" s="343"/>
      <c r="F865" s="345">
        <v>44203</v>
      </c>
      <c r="G865" s="345">
        <v>44203</v>
      </c>
      <c r="H865" s="343">
        <v>202102</v>
      </c>
      <c r="I865" s="344">
        <v>60</v>
      </c>
      <c r="J865" s="342">
        <v>0</v>
      </c>
      <c r="K865" s="346">
        <v>14500</v>
      </c>
      <c r="L865" s="346"/>
      <c r="M865" s="346"/>
      <c r="N865" s="346">
        <f t="shared" si="13"/>
        <v>14500</v>
      </c>
      <c r="O865" s="342">
        <v>229.58</v>
      </c>
      <c r="P865" s="347">
        <v>13775</v>
      </c>
      <c r="Q865" s="342">
        <v>725</v>
      </c>
      <c r="R865" s="342">
        <v>0</v>
      </c>
      <c r="S865" s="342">
        <v>725</v>
      </c>
      <c r="T865" s="341" t="s">
        <v>296</v>
      </c>
      <c r="U865" s="342">
        <v>66021203</v>
      </c>
      <c r="V865" s="342"/>
    </row>
    <row r="866" customHeight="1" spans="1:22">
      <c r="A866" s="343" t="s">
        <v>193</v>
      </c>
      <c r="B866" s="343">
        <v>300012</v>
      </c>
      <c r="C866" s="343" t="s">
        <v>876</v>
      </c>
      <c r="D866" s="344">
        <v>1</v>
      </c>
      <c r="E866" s="343"/>
      <c r="F866" s="345">
        <v>44203</v>
      </c>
      <c r="G866" s="345">
        <v>44203</v>
      </c>
      <c r="H866" s="343">
        <v>202102</v>
      </c>
      <c r="I866" s="344">
        <v>60</v>
      </c>
      <c r="J866" s="342">
        <v>0</v>
      </c>
      <c r="K866" s="346">
        <v>2600</v>
      </c>
      <c r="L866" s="346"/>
      <c r="M866" s="346"/>
      <c r="N866" s="346">
        <f t="shared" si="13"/>
        <v>2600</v>
      </c>
      <c r="O866" s="342">
        <v>41.16</v>
      </c>
      <c r="P866" s="347">
        <v>2470</v>
      </c>
      <c r="Q866" s="342">
        <v>130</v>
      </c>
      <c r="R866" s="342">
        <v>0</v>
      </c>
      <c r="S866" s="342">
        <v>130</v>
      </c>
      <c r="T866" s="341" t="s">
        <v>296</v>
      </c>
      <c r="U866" s="342">
        <v>66021203</v>
      </c>
      <c r="V866" s="342"/>
    </row>
    <row r="867" customHeight="1" spans="1:22">
      <c r="A867" s="343" t="s">
        <v>193</v>
      </c>
      <c r="B867" s="343">
        <v>300013</v>
      </c>
      <c r="C867" s="343" t="s">
        <v>877</v>
      </c>
      <c r="D867" s="344">
        <v>3</v>
      </c>
      <c r="E867" s="343"/>
      <c r="F867" s="345">
        <v>44203</v>
      </c>
      <c r="G867" s="345">
        <v>44203</v>
      </c>
      <c r="H867" s="343">
        <v>202102</v>
      </c>
      <c r="I867" s="344">
        <v>60</v>
      </c>
      <c r="J867" s="342">
        <v>0</v>
      </c>
      <c r="K867" s="346">
        <v>7800</v>
      </c>
      <c r="L867" s="346"/>
      <c r="M867" s="346"/>
      <c r="N867" s="346">
        <f t="shared" si="13"/>
        <v>7800</v>
      </c>
      <c r="O867" s="342">
        <v>123.5</v>
      </c>
      <c r="P867" s="347">
        <v>7410</v>
      </c>
      <c r="Q867" s="342">
        <v>390</v>
      </c>
      <c r="R867" s="342">
        <v>0</v>
      </c>
      <c r="S867" s="342">
        <v>390</v>
      </c>
      <c r="T867" s="341" t="s">
        <v>296</v>
      </c>
      <c r="U867" s="342">
        <v>66021203</v>
      </c>
      <c r="V867" s="342"/>
    </row>
    <row r="868" customHeight="1" spans="1:22">
      <c r="A868" s="343" t="s">
        <v>193</v>
      </c>
      <c r="B868" s="343">
        <v>300014</v>
      </c>
      <c r="C868" s="343" t="s">
        <v>878</v>
      </c>
      <c r="D868" s="344">
        <v>1</v>
      </c>
      <c r="E868" s="343"/>
      <c r="F868" s="345">
        <v>44203</v>
      </c>
      <c r="G868" s="345">
        <v>44203</v>
      </c>
      <c r="H868" s="343">
        <v>202102</v>
      </c>
      <c r="I868" s="344">
        <v>60</v>
      </c>
      <c r="J868" s="342">
        <v>0</v>
      </c>
      <c r="K868" s="346">
        <v>3900</v>
      </c>
      <c r="L868" s="346"/>
      <c r="M868" s="346"/>
      <c r="N868" s="346">
        <f t="shared" si="13"/>
        <v>3900</v>
      </c>
      <c r="O868" s="342">
        <v>61.75</v>
      </c>
      <c r="P868" s="347">
        <v>3705</v>
      </c>
      <c r="Q868" s="342">
        <v>195</v>
      </c>
      <c r="R868" s="342">
        <v>0</v>
      </c>
      <c r="S868" s="342">
        <v>195</v>
      </c>
      <c r="T868" s="341" t="s">
        <v>296</v>
      </c>
      <c r="U868" s="342">
        <v>66021203</v>
      </c>
      <c r="V868" s="342"/>
    </row>
    <row r="869" customHeight="1" spans="1:22">
      <c r="A869" s="343" t="s">
        <v>193</v>
      </c>
      <c r="B869" s="343">
        <v>300015</v>
      </c>
      <c r="C869" s="343" t="s">
        <v>879</v>
      </c>
      <c r="D869" s="344">
        <v>1</v>
      </c>
      <c r="E869" s="343"/>
      <c r="F869" s="345">
        <v>44203</v>
      </c>
      <c r="G869" s="345">
        <v>44203</v>
      </c>
      <c r="H869" s="343">
        <v>202102</v>
      </c>
      <c r="I869" s="344">
        <v>60</v>
      </c>
      <c r="J869" s="342">
        <v>0</v>
      </c>
      <c r="K869" s="346">
        <v>2900</v>
      </c>
      <c r="L869" s="346"/>
      <c r="M869" s="346"/>
      <c r="N869" s="346">
        <f t="shared" si="13"/>
        <v>2900</v>
      </c>
      <c r="O869" s="342">
        <v>45.91</v>
      </c>
      <c r="P869" s="347">
        <v>2755</v>
      </c>
      <c r="Q869" s="342">
        <v>145</v>
      </c>
      <c r="R869" s="342">
        <v>0</v>
      </c>
      <c r="S869" s="342">
        <v>145</v>
      </c>
      <c r="T869" s="341" t="s">
        <v>296</v>
      </c>
      <c r="U869" s="342">
        <v>66021203</v>
      </c>
      <c r="V869" s="342"/>
    </row>
    <row r="870" customHeight="1" spans="1:22">
      <c r="A870" s="343" t="s">
        <v>193</v>
      </c>
      <c r="B870" s="343">
        <v>300016</v>
      </c>
      <c r="C870" s="343" t="s">
        <v>395</v>
      </c>
      <c r="D870" s="344">
        <v>30</v>
      </c>
      <c r="E870" s="343"/>
      <c r="F870" s="345">
        <v>44203</v>
      </c>
      <c r="G870" s="345">
        <v>44203</v>
      </c>
      <c r="H870" s="343">
        <v>202102</v>
      </c>
      <c r="I870" s="344">
        <v>60</v>
      </c>
      <c r="J870" s="342">
        <v>0</v>
      </c>
      <c r="K870" s="346">
        <v>5700</v>
      </c>
      <c r="L870" s="346"/>
      <c r="M870" s="346"/>
      <c r="N870" s="346">
        <f t="shared" si="13"/>
        <v>5700</v>
      </c>
      <c r="O870" s="342">
        <v>90.25</v>
      </c>
      <c r="P870" s="347">
        <v>5415</v>
      </c>
      <c r="Q870" s="342">
        <v>285</v>
      </c>
      <c r="R870" s="342">
        <v>0</v>
      </c>
      <c r="S870" s="342">
        <v>285</v>
      </c>
      <c r="T870" s="341" t="s">
        <v>296</v>
      </c>
      <c r="U870" s="342">
        <v>66021203</v>
      </c>
      <c r="V870" s="342"/>
    </row>
    <row r="871" customHeight="1" spans="1:22">
      <c r="A871" s="343" t="s">
        <v>193</v>
      </c>
      <c r="B871" s="343">
        <v>300017</v>
      </c>
      <c r="C871" s="343" t="s">
        <v>880</v>
      </c>
      <c r="D871" s="344">
        <v>1</v>
      </c>
      <c r="E871" s="343"/>
      <c r="F871" s="345">
        <v>44203</v>
      </c>
      <c r="G871" s="345">
        <v>44203</v>
      </c>
      <c r="H871" s="343">
        <v>202102</v>
      </c>
      <c r="I871" s="344">
        <v>60</v>
      </c>
      <c r="J871" s="342">
        <v>0</v>
      </c>
      <c r="K871" s="346">
        <v>550</v>
      </c>
      <c r="L871" s="346"/>
      <c r="M871" s="346"/>
      <c r="N871" s="346">
        <f t="shared" si="13"/>
        <v>550</v>
      </c>
      <c r="O871" s="342">
        <v>8.7</v>
      </c>
      <c r="P871" s="347">
        <v>522.5</v>
      </c>
      <c r="Q871" s="342">
        <v>27.5</v>
      </c>
      <c r="R871" s="342">
        <v>0</v>
      </c>
      <c r="S871" s="342">
        <v>27.5</v>
      </c>
      <c r="T871" s="341" t="s">
        <v>296</v>
      </c>
      <c r="U871" s="342">
        <v>66021203</v>
      </c>
      <c r="V871" s="342"/>
    </row>
    <row r="872" customHeight="1" spans="1:22">
      <c r="A872" s="343" t="s">
        <v>193</v>
      </c>
      <c r="B872" s="343">
        <v>300018</v>
      </c>
      <c r="C872" s="343" t="s">
        <v>402</v>
      </c>
      <c r="D872" s="344">
        <v>2</v>
      </c>
      <c r="E872" s="343"/>
      <c r="F872" s="345">
        <v>44203</v>
      </c>
      <c r="G872" s="345">
        <v>44203</v>
      </c>
      <c r="H872" s="343">
        <v>202102</v>
      </c>
      <c r="I872" s="344">
        <v>60</v>
      </c>
      <c r="J872" s="342">
        <v>0</v>
      </c>
      <c r="K872" s="346">
        <v>740</v>
      </c>
      <c r="L872" s="346"/>
      <c r="M872" s="346"/>
      <c r="N872" s="346">
        <f t="shared" si="13"/>
        <v>740</v>
      </c>
      <c r="O872" s="342">
        <v>11.71</v>
      </c>
      <c r="P872" s="347">
        <v>703</v>
      </c>
      <c r="Q872" s="342">
        <v>37</v>
      </c>
      <c r="R872" s="342">
        <v>0</v>
      </c>
      <c r="S872" s="342">
        <v>37</v>
      </c>
      <c r="T872" s="341" t="s">
        <v>296</v>
      </c>
      <c r="U872" s="342">
        <v>66021203</v>
      </c>
      <c r="V872" s="342"/>
    </row>
    <row r="873" customHeight="1" spans="1:22">
      <c r="A873" s="343" t="s">
        <v>193</v>
      </c>
      <c r="B873" s="343">
        <v>300019</v>
      </c>
      <c r="C873" s="343" t="s">
        <v>881</v>
      </c>
      <c r="D873" s="344">
        <v>11</v>
      </c>
      <c r="E873" s="343"/>
      <c r="F873" s="345">
        <v>44203</v>
      </c>
      <c r="G873" s="345">
        <v>44203</v>
      </c>
      <c r="H873" s="343">
        <v>202102</v>
      </c>
      <c r="I873" s="344">
        <v>60</v>
      </c>
      <c r="J873" s="342">
        <v>0</v>
      </c>
      <c r="K873" s="346">
        <v>13530</v>
      </c>
      <c r="L873" s="346"/>
      <c r="M873" s="346"/>
      <c r="N873" s="346">
        <f t="shared" si="13"/>
        <v>13530</v>
      </c>
      <c r="O873" s="342">
        <v>214.22</v>
      </c>
      <c r="P873" s="347">
        <v>12853.5</v>
      </c>
      <c r="Q873" s="342">
        <v>676.5</v>
      </c>
      <c r="R873" s="342">
        <v>0</v>
      </c>
      <c r="S873" s="342">
        <v>676.5</v>
      </c>
      <c r="T873" s="341" t="s">
        <v>296</v>
      </c>
      <c r="U873" s="342">
        <v>66021203</v>
      </c>
      <c r="V873" s="342"/>
    </row>
    <row r="874" customHeight="1" spans="1:22">
      <c r="A874" s="343" t="s">
        <v>193</v>
      </c>
      <c r="B874" s="343">
        <v>300020</v>
      </c>
      <c r="C874" s="343" t="s">
        <v>761</v>
      </c>
      <c r="D874" s="344">
        <v>1</v>
      </c>
      <c r="E874" s="343"/>
      <c r="F874" s="345">
        <v>44232</v>
      </c>
      <c r="G874" s="345">
        <v>44232</v>
      </c>
      <c r="H874" s="343">
        <v>202103</v>
      </c>
      <c r="I874" s="344">
        <v>60</v>
      </c>
      <c r="J874" s="342">
        <v>0</v>
      </c>
      <c r="K874" s="346">
        <v>1646.02</v>
      </c>
      <c r="L874" s="346"/>
      <c r="M874" s="346"/>
      <c r="N874" s="346">
        <f t="shared" si="13"/>
        <v>1646.02</v>
      </c>
      <c r="O874" s="342">
        <v>52.13</v>
      </c>
      <c r="P874" s="347">
        <v>1563.72</v>
      </c>
      <c r="Q874" s="342">
        <v>82.3</v>
      </c>
      <c r="R874" s="342">
        <v>0</v>
      </c>
      <c r="S874" s="342">
        <v>82.3</v>
      </c>
      <c r="T874" s="341" t="s">
        <v>362</v>
      </c>
      <c r="U874" s="342">
        <v>5301010301</v>
      </c>
      <c r="V874" s="342"/>
    </row>
    <row r="875" customHeight="1" spans="1:22">
      <c r="A875" s="343" t="s">
        <v>193</v>
      </c>
      <c r="B875" s="343">
        <v>300021</v>
      </c>
      <c r="C875" s="343" t="s">
        <v>757</v>
      </c>
      <c r="D875" s="344">
        <v>1</v>
      </c>
      <c r="E875" s="343"/>
      <c r="F875" s="345">
        <v>44232</v>
      </c>
      <c r="G875" s="345">
        <v>44232</v>
      </c>
      <c r="H875" s="343">
        <v>202103</v>
      </c>
      <c r="I875" s="344">
        <v>60</v>
      </c>
      <c r="J875" s="342">
        <v>0</v>
      </c>
      <c r="K875" s="346">
        <v>929.2</v>
      </c>
      <c r="L875" s="346"/>
      <c r="M875" s="346"/>
      <c r="N875" s="346">
        <f t="shared" si="13"/>
        <v>929.2</v>
      </c>
      <c r="O875" s="342">
        <v>29.43</v>
      </c>
      <c r="P875" s="347">
        <v>882.74</v>
      </c>
      <c r="Q875" s="342">
        <v>46.46</v>
      </c>
      <c r="R875" s="342">
        <v>0</v>
      </c>
      <c r="S875" s="342">
        <v>46.46</v>
      </c>
      <c r="T875" s="341" t="s">
        <v>362</v>
      </c>
      <c r="U875" s="342">
        <v>5301010301</v>
      </c>
      <c r="V875" s="342"/>
    </row>
    <row r="876" customHeight="1" spans="1:22">
      <c r="A876" s="343" t="s">
        <v>193</v>
      </c>
      <c r="B876" s="343">
        <v>300022</v>
      </c>
      <c r="C876" s="343" t="s">
        <v>395</v>
      </c>
      <c r="D876" s="344">
        <v>2</v>
      </c>
      <c r="E876" s="343"/>
      <c r="F876" s="345">
        <v>44232</v>
      </c>
      <c r="G876" s="345">
        <v>44232</v>
      </c>
      <c r="H876" s="343">
        <v>202103</v>
      </c>
      <c r="I876" s="344">
        <v>60</v>
      </c>
      <c r="J876" s="342">
        <v>0</v>
      </c>
      <c r="K876" s="346">
        <v>722.12</v>
      </c>
      <c r="L876" s="346"/>
      <c r="M876" s="346"/>
      <c r="N876" s="346">
        <f t="shared" si="13"/>
        <v>722.12</v>
      </c>
      <c r="O876" s="342">
        <v>22.87</v>
      </c>
      <c r="P876" s="347">
        <v>686.01</v>
      </c>
      <c r="Q876" s="342">
        <v>36.11</v>
      </c>
      <c r="R876" s="342">
        <v>0</v>
      </c>
      <c r="S876" s="342">
        <v>36.11</v>
      </c>
      <c r="T876" s="341" t="s">
        <v>362</v>
      </c>
      <c r="U876" s="342">
        <v>5301010301</v>
      </c>
      <c r="V876" s="342"/>
    </row>
    <row r="877" customHeight="1" spans="1:22">
      <c r="A877" s="343" t="s">
        <v>193</v>
      </c>
      <c r="B877" s="343">
        <v>300023</v>
      </c>
      <c r="C877" s="343" t="s">
        <v>882</v>
      </c>
      <c r="D877" s="344">
        <v>3</v>
      </c>
      <c r="E877" s="343"/>
      <c r="F877" s="345">
        <v>44232</v>
      </c>
      <c r="G877" s="345">
        <v>44232</v>
      </c>
      <c r="H877" s="343">
        <v>202103</v>
      </c>
      <c r="I877" s="344">
        <v>60</v>
      </c>
      <c r="J877" s="342">
        <v>0</v>
      </c>
      <c r="K877" s="346">
        <v>3557.52</v>
      </c>
      <c r="L877" s="346"/>
      <c r="M877" s="346"/>
      <c r="N877" s="346">
        <f t="shared" si="13"/>
        <v>3557.52</v>
      </c>
      <c r="O877" s="342">
        <v>112.65</v>
      </c>
      <c r="P877" s="347">
        <v>3379.64</v>
      </c>
      <c r="Q877" s="342">
        <v>177.88</v>
      </c>
      <c r="R877" s="342">
        <v>0</v>
      </c>
      <c r="S877" s="342">
        <v>177.88</v>
      </c>
      <c r="T877" s="341" t="s">
        <v>362</v>
      </c>
      <c r="U877" s="342">
        <v>5301010301</v>
      </c>
      <c r="V877" s="342"/>
    </row>
    <row r="878" customHeight="1" spans="1:22">
      <c r="A878" s="343" t="s">
        <v>193</v>
      </c>
      <c r="B878" s="343">
        <v>300026</v>
      </c>
      <c r="C878" s="343" t="s">
        <v>757</v>
      </c>
      <c r="D878" s="344">
        <v>20</v>
      </c>
      <c r="E878" s="343"/>
      <c r="F878" s="345">
        <v>44232</v>
      </c>
      <c r="G878" s="345">
        <v>44232</v>
      </c>
      <c r="H878" s="343">
        <v>202103</v>
      </c>
      <c r="I878" s="344">
        <v>60</v>
      </c>
      <c r="J878" s="342">
        <v>0</v>
      </c>
      <c r="K878" s="346">
        <v>12654.87</v>
      </c>
      <c r="L878" s="346"/>
      <c r="M878" s="346"/>
      <c r="N878" s="346">
        <f t="shared" si="13"/>
        <v>12654.87</v>
      </c>
      <c r="O878" s="342">
        <v>400.73</v>
      </c>
      <c r="P878" s="347">
        <v>12022.13</v>
      </c>
      <c r="Q878" s="342">
        <v>632.74</v>
      </c>
      <c r="R878" s="342">
        <v>0</v>
      </c>
      <c r="S878" s="342">
        <v>632.74</v>
      </c>
      <c r="T878" s="341" t="s">
        <v>362</v>
      </c>
      <c r="U878" s="342">
        <v>5301010301</v>
      </c>
      <c r="V878" s="342"/>
    </row>
    <row r="879" customHeight="1" spans="1:22">
      <c r="A879" s="343" t="s">
        <v>193</v>
      </c>
      <c r="B879" s="343">
        <v>300027</v>
      </c>
      <c r="C879" s="343" t="s">
        <v>883</v>
      </c>
      <c r="D879" s="344">
        <v>1</v>
      </c>
      <c r="E879" s="343"/>
      <c r="F879" s="345">
        <v>44232</v>
      </c>
      <c r="G879" s="345">
        <v>44232</v>
      </c>
      <c r="H879" s="343">
        <v>202103</v>
      </c>
      <c r="I879" s="344">
        <v>60</v>
      </c>
      <c r="J879" s="342">
        <v>0</v>
      </c>
      <c r="K879" s="346">
        <v>1254.87</v>
      </c>
      <c r="L879" s="346"/>
      <c r="M879" s="346"/>
      <c r="N879" s="346">
        <f t="shared" si="13"/>
        <v>1254.87</v>
      </c>
      <c r="O879" s="342">
        <v>39.73</v>
      </c>
      <c r="P879" s="347">
        <v>1192.13</v>
      </c>
      <c r="Q879" s="342">
        <v>62.74</v>
      </c>
      <c r="R879" s="342">
        <v>0</v>
      </c>
      <c r="S879" s="342">
        <v>62.74</v>
      </c>
      <c r="T879" s="341" t="s">
        <v>362</v>
      </c>
      <c r="U879" s="342">
        <v>5301010301</v>
      </c>
      <c r="V879" s="342"/>
    </row>
    <row r="880" customHeight="1" spans="1:22">
      <c r="A880" s="343" t="s">
        <v>193</v>
      </c>
      <c r="B880" s="343">
        <v>300028</v>
      </c>
      <c r="C880" s="343" t="s">
        <v>395</v>
      </c>
      <c r="D880" s="344">
        <v>8</v>
      </c>
      <c r="E880" s="343"/>
      <c r="F880" s="345">
        <v>44232</v>
      </c>
      <c r="G880" s="345">
        <v>44232</v>
      </c>
      <c r="H880" s="343">
        <v>202103</v>
      </c>
      <c r="I880" s="344">
        <v>60</v>
      </c>
      <c r="J880" s="342">
        <v>0</v>
      </c>
      <c r="K880" s="346">
        <v>2888.5</v>
      </c>
      <c r="L880" s="346"/>
      <c r="M880" s="346"/>
      <c r="N880" s="346">
        <f t="shared" si="13"/>
        <v>2888.5</v>
      </c>
      <c r="O880" s="342">
        <v>91.47</v>
      </c>
      <c r="P880" s="347">
        <v>2744.07</v>
      </c>
      <c r="Q880" s="342">
        <v>144.43</v>
      </c>
      <c r="R880" s="342">
        <v>0</v>
      </c>
      <c r="S880" s="342">
        <v>144.43</v>
      </c>
      <c r="T880" s="341" t="s">
        <v>362</v>
      </c>
      <c r="U880" s="342">
        <v>5301010301</v>
      </c>
      <c r="V880" s="342"/>
    </row>
    <row r="881" customHeight="1" spans="1:22">
      <c r="A881" s="343" t="s">
        <v>193</v>
      </c>
      <c r="B881" s="343">
        <v>300030</v>
      </c>
      <c r="C881" s="343" t="s">
        <v>755</v>
      </c>
      <c r="D881" s="344">
        <v>2</v>
      </c>
      <c r="E881" s="343"/>
      <c r="F881" s="345">
        <v>44256</v>
      </c>
      <c r="G881" s="345">
        <v>44256</v>
      </c>
      <c r="H881" s="343">
        <v>202104</v>
      </c>
      <c r="I881" s="344">
        <v>60</v>
      </c>
      <c r="J881" s="342">
        <v>0</v>
      </c>
      <c r="K881" s="346">
        <v>1700</v>
      </c>
      <c r="L881" s="346"/>
      <c r="M881" s="346"/>
      <c r="N881" s="346">
        <f t="shared" si="13"/>
        <v>1700</v>
      </c>
      <c r="O881" s="342">
        <v>80.74</v>
      </c>
      <c r="P881" s="347">
        <v>1615</v>
      </c>
      <c r="Q881" s="342">
        <v>85</v>
      </c>
      <c r="R881" s="342">
        <v>0</v>
      </c>
      <c r="S881" s="342">
        <v>85</v>
      </c>
      <c r="T881" s="341" t="s">
        <v>362</v>
      </c>
      <c r="U881" s="342">
        <v>5301010301</v>
      </c>
      <c r="V881" s="342"/>
    </row>
    <row r="882" customHeight="1" spans="1:22">
      <c r="A882" s="343" t="s">
        <v>193</v>
      </c>
      <c r="B882" s="343">
        <v>300032</v>
      </c>
      <c r="C882" s="343" t="s">
        <v>757</v>
      </c>
      <c r="D882" s="344">
        <v>4</v>
      </c>
      <c r="E882" s="343"/>
      <c r="F882" s="345">
        <v>44294</v>
      </c>
      <c r="G882" s="345">
        <v>44294</v>
      </c>
      <c r="H882" s="343">
        <v>202105</v>
      </c>
      <c r="I882" s="344">
        <v>60</v>
      </c>
      <c r="J882" s="342">
        <v>0</v>
      </c>
      <c r="K882" s="346">
        <v>2866.73</v>
      </c>
      <c r="L882" s="346"/>
      <c r="M882" s="346"/>
      <c r="N882" s="346">
        <f t="shared" si="13"/>
        <v>2866.73</v>
      </c>
      <c r="O882" s="342">
        <v>181.55</v>
      </c>
      <c r="P882" s="347">
        <v>2723.39</v>
      </c>
      <c r="Q882" s="342">
        <v>143.34</v>
      </c>
      <c r="R882" s="342">
        <v>0</v>
      </c>
      <c r="S882" s="342">
        <v>143.34</v>
      </c>
      <c r="T882" s="341" t="s">
        <v>362</v>
      </c>
      <c r="U882" s="342">
        <v>5301010301</v>
      </c>
      <c r="V882" s="342"/>
    </row>
    <row r="883" customHeight="1" spans="1:22">
      <c r="A883" s="343" t="s">
        <v>193</v>
      </c>
      <c r="B883" s="343">
        <v>300033</v>
      </c>
      <c r="C883" s="343" t="s">
        <v>882</v>
      </c>
      <c r="D883" s="344">
        <v>1</v>
      </c>
      <c r="E883" s="343"/>
      <c r="F883" s="345">
        <v>44294</v>
      </c>
      <c r="G883" s="345">
        <v>44294</v>
      </c>
      <c r="H883" s="343">
        <v>202105</v>
      </c>
      <c r="I883" s="344">
        <v>60</v>
      </c>
      <c r="J883" s="342">
        <v>0</v>
      </c>
      <c r="K883" s="346">
        <v>1394.78</v>
      </c>
      <c r="L883" s="346"/>
      <c r="M883" s="346"/>
      <c r="N883" s="346">
        <f t="shared" si="13"/>
        <v>1394.78</v>
      </c>
      <c r="O883" s="342">
        <v>88.34</v>
      </c>
      <c r="P883" s="347">
        <v>1325.04</v>
      </c>
      <c r="Q883" s="342">
        <v>69.74</v>
      </c>
      <c r="R883" s="342">
        <v>0</v>
      </c>
      <c r="S883" s="342">
        <v>69.74</v>
      </c>
      <c r="T883" s="341" t="s">
        <v>362</v>
      </c>
      <c r="U883" s="342">
        <v>5301010301</v>
      </c>
      <c r="V883" s="342"/>
    </row>
    <row r="884" customHeight="1" spans="1:22">
      <c r="A884" s="343" t="s">
        <v>193</v>
      </c>
      <c r="B884" s="343">
        <v>300034</v>
      </c>
      <c r="C884" s="343" t="s">
        <v>882</v>
      </c>
      <c r="D884" s="344">
        <v>1</v>
      </c>
      <c r="E884" s="343"/>
      <c r="F884" s="345">
        <v>44294</v>
      </c>
      <c r="G884" s="345">
        <v>44294</v>
      </c>
      <c r="H884" s="343">
        <v>202105</v>
      </c>
      <c r="I884" s="344">
        <v>60</v>
      </c>
      <c r="J884" s="342">
        <v>0</v>
      </c>
      <c r="K884" s="346">
        <v>1289.53</v>
      </c>
      <c r="L884" s="346"/>
      <c r="M884" s="346"/>
      <c r="N884" s="346">
        <f t="shared" si="13"/>
        <v>1289.53</v>
      </c>
      <c r="O884" s="342">
        <v>81.66</v>
      </c>
      <c r="P884" s="347">
        <v>1225.05</v>
      </c>
      <c r="Q884" s="342">
        <v>64.48</v>
      </c>
      <c r="R884" s="342">
        <v>0</v>
      </c>
      <c r="S884" s="342">
        <v>64.48</v>
      </c>
      <c r="T884" s="341" t="s">
        <v>362</v>
      </c>
      <c r="U884" s="342">
        <v>5301010301</v>
      </c>
      <c r="V884" s="342"/>
    </row>
    <row r="885" customHeight="1" spans="1:22">
      <c r="A885" s="343" t="s">
        <v>193</v>
      </c>
      <c r="B885" s="343">
        <v>300037</v>
      </c>
      <c r="C885" s="343" t="s">
        <v>377</v>
      </c>
      <c r="D885" s="344">
        <v>1</v>
      </c>
      <c r="E885" s="343"/>
      <c r="F885" s="345">
        <v>44536</v>
      </c>
      <c r="G885" s="345">
        <v>44536</v>
      </c>
      <c r="H885" s="343">
        <v>202201</v>
      </c>
      <c r="I885" s="344">
        <v>60</v>
      </c>
      <c r="J885" s="342">
        <v>8</v>
      </c>
      <c r="K885" s="346">
        <v>4389.38</v>
      </c>
      <c r="L885" s="346"/>
      <c r="M885" s="346"/>
      <c r="N885" s="346">
        <f t="shared" si="13"/>
        <v>4389.38</v>
      </c>
      <c r="O885" s="342">
        <v>277.98</v>
      </c>
      <c r="P885" s="347">
        <v>3613.95</v>
      </c>
      <c r="Q885" s="342">
        <v>775.43</v>
      </c>
      <c r="R885" s="342">
        <v>0</v>
      </c>
      <c r="S885" s="342">
        <v>775.43</v>
      </c>
      <c r="T885" s="341" t="s">
        <v>362</v>
      </c>
      <c r="U885" s="342">
        <v>5301010301</v>
      </c>
      <c r="V885" s="342"/>
    </row>
    <row r="886" customHeight="1" spans="1:22">
      <c r="A886" s="343" t="s">
        <v>193</v>
      </c>
      <c r="B886" s="343">
        <v>300038</v>
      </c>
      <c r="C886" s="343" t="s">
        <v>884</v>
      </c>
      <c r="D886" s="344">
        <v>1</v>
      </c>
      <c r="E886" s="343"/>
      <c r="F886" s="345">
        <v>44536</v>
      </c>
      <c r="G886" s="345">
        <v>44536</v>
      </c>
      <c r="H886" s="343">
        <v>202201</v>
      </c>
      <c r="I886" s="344">
        <v>60</v>
      </c>
      <c r="J886" s="342">
        <v>8</v>
      </c>
      <c r="K886" s="346">
        <v>11160.18</v>
      </c>
      <c r="L886" s="346"/>
      <c r="M886" s="346"/>
      <c r="N886" s="346">
        <f t="shared" si="13"/>
        <v>11160.18</v>
      </c>
      <c r="O886" s="342">
        <v>706.82</v>
      </c>
      <c r="P886" s="347">
        <v>9188.53</v>
      </c>
      <c r="Q886" s="347">
        <v>1971.65</v>
      </c>
      <c r="R886" s="342">
        <v>0</v>
      </c>
      <c r="S886" s="347">
        <v>1971.65</v>
      </c>
      <c r="T886" s="341" t="s">
        <v>362</v>
      </c>
      <c r="U886" s="342">
        <v>5301010301</v>
      </c>
      <c r="V886" s="342"/>
    </row>
    <row r="887" customHeight="1" spans="1:22">
      <c r="A887" s="343" t="s">
        <v>193</v>
      </c>
      <c r="B887" s="343">
        <v>300039</v>
      </c>
      <c r="C887" s="343" t="s">
        <v>885</v>
      </c>
      <c r="D887" s="344">
        <v>1</v>
      </c>
      <c r="E887" s="343"/>
      <c r="F887" s="345">
        <v>44536</v>
      </c>
      <c r="G887" s="345">
        <v>44536</v>
      </c>
      <c r="H887" s="343">
        <v>202201</v>
      </c>
      <c r="I887" s="344">
        <v>60</v>
      </c>
      <c r="J887" s="342">
        <v>8</v>
      </c>
      <c r="K887" s="346">
        <v>1561.06</v>
      </c>
      <c r="L887" s="346"/>
      <c r="M887" s="346"/>
      <c r="N887" s="346">
        <f t="shared" si="13"/>
        <v>1561.06</v>
      </c>
      <c r="O887" s="342">
        <v>98.86</v>
      </c>
      <c r="P887" s="347">
        <v>1285.29</v>
      </c>
      <c r="Q887" s="342">
        <v>275.77</v>
      </c>
      <c r="R887" s="342">
        <v>0</v>
      </c>
      <c r="S887" s="342">
        <v>275.77</v>
      </c>
      <c r="T887" s="341" t="s">
        <v>362</v>
      </c>
      <c r="U887" s="342">
        <v>5301010301</v>
      </c>
      <c r="V887" s="342"/>
    </row>
    <row r="888" customHeight="1" spans="1:22">
      <c r="A888" s="343" t="s">
        <v>193</v>
      </c>
      <c r="B888" s="343">
        <v>300040</v>
      </c>
      <c r="C888" s="343" t="s">
        <v>886</v>
      </c>
      <c r="D888" s="344">
        <v>1</v>
      </c>
      <c r="E888" s="343"/>
      <c r="F888" s="345">
        <v>44536</v>
      </c>
      <c r="G888" s="345">
        <v>44536</v>
      </c>
      <c r="H888" s="343">
        <v>202201</v>
      </c>
      <c r="I888" s="344">
        <v>60</v>
      </c>
      <c r="J888" s="342">
        <v>8</v>
      </c>
      <c r="K888" s="346">
        <v>1150.44</v>
      </c>
      <c r="L888" s="346"/>
      <c r="M888" s="346"/>
      <c r="N888" s="346">
        <f t="shared" si="13"/>
        <v>1150.44</v>
      </c>
      <c r="O888" s="342">
        <v>72.86</v>
      </c>
      <c r="P888" s="347">
        <v>947.2</v>
      </c>
      <c r="Q888" s="342">
        <v>203.24</v>
      </c>
      <c r="R888" s="342">
        <v>0</v>
      </c>
      <c r="S888" s="342">
        <v>203.24</v>
      </c>
      <c r="T888" s="341" t="s">
        <v>362</v>
      </c>
      <c r="U888" s="342">
        <v>5301010301</v>
      </c>
      <c r="V888" s="342"/>
    </row>
    <row r="889" customHeight="1" spans="1:22">
      <c r="A889" s="343" t="s">
        <v>193</v>
      </c>
      <c r="B889" s="343">
        <v>300041</v>
      </c>
      <c r="C889" s="343" t="s">
        <v>887</v>
      </c>
      <c r="D889" s="344">
        <v>2</v>
      </c>
      <c r="E889" s="343"/>
      <c r="F889" s="345">
        <v>44536</v>
      </c>
      <c r="G889" s="345">
        <v>44536</v>
      </c>
      <c r="H889" s="343">
        <v>202201</v>
      </c>
      <c r="I889" s="344">
        <v>60</v>
      </c>
      <c r="J889" s="342">
        <v>8</v>
      </c>
      <c r="K889" s="346">
        <v>1663.72</v>
      </c>
      <c r="L889" s="346"/>
      <c r="M889" s="346"/>
      <c r="N889" s="346">
        <f t="shared" si="13"/>
        <v>1663.72</v>
      </c>
      <c r="O889" s="342">
        <v>105.38</v>
      </c>
      <c r="P889" s="347">
        <v>1369.77</v>
      </c>
      <c r="Q889" s="342">
        <v>293.95</v>
      </c>
      <c r="R889" s="342">
        <v>0</v>
      </c>
      <c r="S889" s="342">
        <v>293.95</v>
      </c>
      <c r="T889" s="341" t="s">
        <v>362</v>
      </c>
      <c r="U889" s="342">
        <v>5301010301</v>
      </c>
      <c r="V889" s="342"/>
    </row>
    <row r="890" customHeight="1" spans="1:22">
      <c r="A890" s="343" t="s">
        <v>193</v>
      </c>
      <c r="B890" s="343">
        <v>300042</v>
      </c>
      <c r="C890" s="343" t="s">
        <v>888</v>
      </c>
      <c r="D890" s="344">
        <v>8</v>
      </c>
      <c r="E890" s="343"/>
      <c r="F890" s="345">
        <v>44536</v>
      </c>
      <c r="G890" s="345">
        <v>44536</v>
      </c>
      <c r="H890" s="343">
        <v>202201</v>
      </c>
      <c r="I890" s="344">
        <v>60</v>
      </c>
      <c r="J890" s="342">
        <v>8</v>
      </c>
      <c r="K890" s="346">
        <v>4814.16</v>
      </c>
      <c r="L890" s="346"/>
      <c r="M890" s="346"/>
      <c r="N890" s="346">
        <f t="shared" si="13"/>
        <v>4814.16</v>
      </c>
      <c r="O890" s="342">
        <v>304.9</v>
      </c>
      <c r="P890" s="347">
        <v>3963.65</v>
      </c>
      <c r="Q890" s="342">
        <v>850.51</v>
      </c>
      <c r="R890" s="342">
        <v>0</v>
      </c>
      <c r="S890" s="342">
        <v>850.51</v>
      </c>
      <c r="T890" s="341" t="s">
        <v>362</v>
      </c>
      <c r="U890" s="342">
        <v>5301010301</v>
      </c>
      <c r="V890" s="342"/>
    </row>
    <row r="891" customHeight="1" spans="1:22">
      <c r="A891" s="343" t="s">
        <v>193</v>
      </c>
      <c r="B891" s="343">
        <v>300043</v>
      </c>
      <c r="C891" s="343" t="s">
        <v>889</v>
      </c>
      <c r="D891" s="344">
        <v>2</v>
      </c>
      <c r="E891" s="343"/>
      <c r="F891" s="345">
        <v>44536</v>
      </c>
      <c r="G891" s="345">
        <v>44536</v>
      </c>
      <c r="H891" s="343">
        <v>202201</v>
      </c>
      <c r="I891" s="344">
        <v>60</v>
      </c>
      <c r="J891" s="342">
        <v>8</v>
      </c>
      <c r="K891" s="346">
        <v>1592.92</v>
      </c>
      <c r="L891" s="346"/>
      <c r="M891" s="346"/>
      <c r="N891" s="346">
        <f t="shared" si="13"/>
        <v>1592.92</v>
      </c>
      <c r="O891" s="342">
        <v>100.9</v>
      </c>
      <c r="P891" s="347">
        <v>1311.47</v>
      </c>
      <c r="Q891" s="342">
        <v>281.45</v>
      </c>
      <c r="R891" s="342">
        <v>0</v>
      </c>
      <c r="S891" s="342">
        <v>281.45</v>
      </c>
      <c r="T891" s="341" t="s">
        <v>362</v>
      </c>
      <c r="U891" s="342">
        <v>5301010301</v>
      </c>
      <c r="V891" s="342"/>
    </row>
    <row r="892" customHeight="1" spans="1:22">
      <c r="A892" s="343" t="s">
        <v>193</v>
      </c>
      <c r="B892" s="343">
        <v>300044</v>
      </c>
      <c r="C892" s="343" t="s">
        <v>890</v>
      </c>
      <c r="D892" s="344">
        <v>8</v>
      </c>
      <c r="E892" s="343"/>
      <c r="F892" s="345">
        <v>44536</v>
      </c>
      <c r="G892" s="345">
        <v>44536</v>
      </c>
      <c r="H892" s="343">
        <v>202201</v>
      </c>
      <c r="I892" s="344">
        <v>60</v>
      </c>
      <c r="J892" s="342">
        <v>8</v>
      </c>
      <c r="K892" s="346">
        <v>3369.91</v>
      </c>
      <c r="L892" s="346"/>
      <c r="M892" s="346"/>
      <c r="N892" s="346">
        <f t="shared" si="13"/>
        <v>3369.91</v>
      </c>
      <c r="O892" s="342">
        <v>213.42</v>
      </c>
      <c r="P892" s="347">
        <v>2774.57</v>
      </c>
      <c r="Q892" s="342">
        <v>595.34</v>
      </c>
      <c r="R892" s="342">
        <v>0</v>
      </c>
      <c r="S892" s="342">
        <v>595.34</v>
      </c>
      <c r="T892" s="341" t="s">
        <v>362</v>
      </c>
      <c r="U892" s="342">
        <v>5301010301</v>
      </c>
      <c r="V892" s="342"/>
    </row>
    <row r="893" customHeight="1" spans="1:22">
      <c r="A893" s="343" t="s">
        <v>193</v>
      </c>
      <c r="B893" s="343">
        <v>300045</v>
      </c>
      <c r="C893" s="343" t="s">
        <v>887</v>
      </c>
      <c r="D893" s="344">
        <v>2</v>
      </c>
      <c r="E893" s="343"/>
      <c r="F893" s="345">
        <v>44536</v>
      </c>
      <c r="G893" s="345">
        <v>44536</v>
      </c>
      <c r="H893" s="343">
        <v>202201</v>
      </c>
      <c r="I893" s="344">
        <v>60</v>
      </c>
      <c r="J893" s="342">
        <v>8</v>
      </c>
      <c r="K893" s="346">
        <v>1592.92</v>
      </c>
      <c r="L893" s="346"/>
      <c r="M893" s="346"/>
      <c r="N893" s="346">
        <f t="shared" si="13"/>
        <v>1592.92</v>
      </c>
      <c r="O893" s="342">
        <v>100.9</v>
      </c>
      <c r="P893" s="347">
        <v>1311.47</v>
      </c>
      <c r="Q893" s="342">
        <v>281.45</v>
      </c>
      <c r="R893" s="342">
        <v>0</v>
      </c>
      <c r="S893" s="342">
        <v>281.45</v>
      </c>
      <c r="T893" s="341" t="s">
        <v>362</v>
      </c>
      <c r="U893" s="342">
        <v>5301010301</v>
      </c>
      <c r="V893" s="342"/>
    </row>
    <row r="894" customHeight="1" spans="1:22">
      <c r="A894" s="343" t="s">
        <v>193</v>
      </c>
      <c r="B894" s="343">
        <v>300046</v>
      </c>
      <c r="C894" s="343" t="s">
        <v>891</v>
      </c>
      <c r="D894" s="344">
        <v>6</v>
      </c>
      <c r="E894" s="343"/>
      <c r="F894" s="345">
        <v>44536</v>
      </c>
      <c r="G894" s="345">
        <v>44536</v>
      </c>
      <c r="H894" s="343">
        <v>202201</v>
      </c>
      <c r="I894" s="344">
        <v>60</v>
      </c>
      <c r="J894" s="342">
        <v>8</v>
      </c>
      <c r="K894" s="346">
        <v>6902.66</v>
      </c>
      <c r="L894" s="346"/>
      <c r="M894" s="346"/>
      <c r="N894" s="346">
        <f t="shared" si="13"/>
        <v>6902.66</v>
      </c>
      <c r="O894" s="342">
        <v>437.18</v>
      </c>
      <c r="P894" s="347">
        <v>5683.17</v>
      </c>
      <c r="Q894" s="347">
        <v>1219.49</v>
      </c>
      <c r="R894" s="342">
        <v>0</v>
      </c>
      <c r="S894" s="347">
        <v>1219.49</v>
      </c>
      <c r="T894" s="341" t="s">
        <v>362</v>
      </c>
      <c r="U894" s="342">
        <v>5301010301</v>
      </c>
      <c r="V894" s="342"/>
    </row>
    <row r="895" customHeight="1" spans="1:22">
      <c r="A895" s="343" t="s">
        <v>193</v>
      </c>
      <c r="B895" s="343">
        <v>300047</v>
      </c>
      <c r="C895" s="343" t="s">
        <v>892</v>
      </c>
      <c r="D895" s="344">
        <v>3</v>
      </c>
      <c r="E895" s="343"/>
      <c r="F895" s="345">
        <v>44536</v>
      </c>
      <c r="G895" s="345">
        <v>44536</v>
      </c>
      <c r="H895" s="343">
        <v>202201</v>
      </c>
      <c r="I895" s="344">
        <v>60</v>
      </c>
      <c r="J895" s="342">
        <v>8</v>
      </c>
      <c r="K895" s="346">
        <v>1592.92</v>
      </c>
      <c r="L895" s="346"/>
      <c r="M895" s="346"/>
      <c r="N895" s="346">
        <f t="shared" si="13"/>
        <v>1592.92</v>
      </c>
      <c r="O895" s="342">
        <v>100.9</v>
      </c>
      <c r="P895" s="347">
        <v>1311.47</v>
      </c>
      <c r="Q895" s="342">
        <v>281.45</v>
      </c>
      <c r="R895" s="342">
        <v>0</v>
      </c>
      <c r="S895" s="342">
        <v>281.45</v>
      </c>
      <c r="T895" s="341" t="s">
        <v>362</v>
      </c>
      <c r="U895" s="342">
        <v>5301010301</v>
      </c>
      <c r="V895" s="342"/>
    </row>
    <row r="896" customHeight="1" spans="1:22">
      <c r="A896" s="343" t="s">
        <v>193</v>
      </c>
      <c r="B896" s="343">
        <v>300048</v>
      </c>
      <c r="C896" s="343" t="s">
        <v>893</v>
      </c>
      <c r="D896" s="344">
        <v>1</v>
      </c>
      <c r="E896" s="343"/>
      <c r="F896" s="345">
        <v>44536</v>
      </c>
      <c r="G896" s="345">
        <v>44536</v>
      </c>
      <c r="H896" s="343">
        <v>202201</v>
      </c>
      <c r="I896" s="344">
        <v>60</v>
      </c>
      <c r="J896" s="342">
        <v>8</v>
      </c>
      <c r="K896" s="346">
        <v>1212.39</v>
      </c>
      <c r="L896" s="346"/>
      <c r="M896" s="346"/>
      <c r="N896" s="346">
        <f t="shared" si="13"/>
        <v>1212.39</v>
      </c>
      <c r="O896" s="342">
        <v>76.78</v>
      </c>
      <c r="P896" s="347">
        <v>998.21</v>
      </c>
      <c r="Q896" s="342">
        <v>214.18</v>
      </c>
      <c r="R896" s="342">
        <v>0</v>
      </c>
      <c r="S896" s="342">
        <v>214.18</v>
      </c>
      <c r="T896" s="341" t="s">
        <v>362</v>
      </c>
      <c r="U896" s="342">
        <v>5301010301</v>
      </c>
      <c r="V896" s="342"/>
    </row>
    <row r="897" customHeight="1" spans="1:22">
      <c r="A897" s="343" t="s">
        <v>193</v>
      </c>
      <c r="B897" s="343">
        <v>300049</v>
      </c>
      <c r="C897" s="343" t="s">
        <v>894</v>
      </c>
      <c r="D897" s="344">
        <v>2</v>
      </c>
      <c r="E897" s="343"/>
      <c r="F897" s="345">
        <v>44536</v>
      </c>
      <c r="G897" s="345">
        <v>44536</v>
      </c>
      <c r="H897" s="343">
        <v>202201</v>
      </c>
      <c r="I897" s="344">
        <v>60</v>
      </c>
      <c r="J897" s="342">
        <v>8</v>
      </c>
      <c r="K897" s="346">
        <v>8580.53</v>
      </c>
      <c r="L897" s="346"/>
      <c r="M897" s="346"/>
      <c r="N897" s="346">
        <f t="shared" si="13"/>
        <v>8580.53</v>
      </c>
      <c r="O897" s="342">
        <v>543.42</v>
      </c>
      <c r="P897" s="347">
        <v>7064.66</v>
      </c>
      <c r="Q897" s="347">
        <v>1515.87</v>
      </c>
      <c r="R897" s="342">
        <v>0</v>
      </c>
      <c r="S897" s="347">
        <v>1515.87</v>
      </c>
      <c r="T897" s="341" t="s">
        <v>362</v>
      </c>
      <c r="U897" s="342">
        <v>5301010301</v>
      </c>
      <c r="V897" s="342"/>
    </row>
    <row r="898" customHeight="1" spans="1:22">
      <c r="A898" s="343" t="s">
        <v>193</v>
      </c>
      <c r="B898" s="343">
        <v>300050</v>
      </c>
      <c r="C898" s="343" t="s">
        <v>386</v>
      </c>
      <c r="D898" s="344">
        <v>2</v>
      </c>
      <c r="E898" s="343"/>
      <c r="F898" s="345">
        <v>44536</v>
      </c>
      <c r="G898" s="345">
        <v>44536</v>
      </c>
      <c r="H898" s="343">
        <v>202201</v>
      </c>
      <c r="I898" s="344">
        <v>60</v>
      </c>
      <c r="J898" s="342">
        <v>8</v>
      </c>
      <c r="K898" s="346">
        <v>6437.17</v>
      </c>
      <c r="L898" s="346"/>
      <c r="M898" s="346"/>
      <c r="N898" s="346">
        <f t="shared" si="13"/>
        <v>6437.17</v>
      </c>
      <c r="O898" s="342">
        <v>407.7</v>
      </c>
      <c r="P898" s="347">
        <v>5299.91</v>
      </c>
      <c r="Q898" s="347">
        <v>1137.26</v>
      </c>
      <c r="R898" s="342">
        <v>0</v>
      </c>
      <c r="S898" s="347">
        <v>1137.26</v>
      </c>
      <c r="T898" s="341" t="s">
        <v>362</v>
      </c>
      <c r="U898" s="342">
        <v>5301010301</v>
      </c>
      <c r="V898" s="342"/>
    </row>
    <row r="899" customHeight="1" spans="1:22">
      <c r="A899" s="343" t="s">
        <v>193</v>
      </c>
      <c r="B899" s="343">
        <v>300051</v>
      </c>
      <c r="C899" s="343" t="s">
        <v>398</v>
      </c>
      <c r="D899" s="344">
        <v>1</v>
      </c>
      <c r="E899" s="343"/>
      <c r="F899" s="345">
        <v>44536</v>
      </c>
      <c r="G899" s="345">
        <v>44536</v>
      </c>
      <c r="H899" s="343">
        <v>202201</v>
      </c>
      <c r="I899" s="344">
        <v>60</v>
      </c>
      <c r="J899" s="342">
        <v>8</v>
      </c>
      <c r="K899" s="346">
        <v>2943.36</v>
      </c>
      <c r="L899" s="346"/>
      <c r="M899" s="346"/>
      <c r="N899" s="346">
        <f t="shared" ref="N899:N928" si="14">K899+L899-M899</f>
        <v>2943.36</v>
      </c>
      <c r="O899" s="342">
        <v>186.42</v>
      </c>
      <c r="P899" s="347">
        <v>2423.35</v>
      </c>
      <c r="Q899" s="342">
        <v>520.01</v>
      </c>
      <c r="R899" s="342">
        <v>0</v>
      </c>
      <c r="S899" s="342">
        <v>520.01</v>
      </c>
      <c r="T899" s="341" t="s">
        <v>362</v>
      </c>
      <c r="U899" s="342">
        <v>5301010301</v>
      </c>
      <c r="V899" s="342"/>
    </row>
    <row r="900" customHeight="1" spans="1:22">
      <c r="A900" s="343" t="s">
        <v>193</v>
      </c>
      <c r="B900" s="343">
        <v>300052</v>
      </c>
      <c r="C900" s="343" t="s">
        <v>895</v>
      </c>
      <c r="D900" s="344">
        <v>1</v>
      </c>
      <c r="E900" s="343"/>
      <c r="F900" s="345">
        <v>44536</v>
      </c>
      <c r="G900" s="345">
        <v>44536</v>
      </c>
      <c r="H900" s="343">
        <v>202201</v>
      </c>
      <c r="I900" s="344">
        <v>60</v>
      </c>
      <c r="J900" s="342">
        <v>8</v>
      </c>
      <c r="K900" s="346">
        <v>1662.83</v>
      </c>
      <c r="L900" s="346"/>
      <c r="M900" s="346"/>
      <c r="N900" s="346">
        <f t="shared" si="14"/>
        <v>1662.83</v>
      </c>
      <c r="O900" s="342">
        <v>105.3</v>
      </c>
      <c r="P900" s="347">
        <v>1369.09</v>
      </c>
      <c r="Q900" s="342">
        <v>293.74</v>
      </c>
      <c r="R900" s="342">
        <v>0</v>
      </c>
      <c r="S900" s="342">
        <v>293.74</v>
      </c>
      <c r="T900" s="341" t="s">
        <v>362</v>
      </c>
      <c r="U900" s="342">
        <v>5301010301</v>
      </c>
      <c r="V900" s="342"/>
    </row>
    <row r="901" customHeight="1" spans="1:22">
      <c r="A901" s="343" t="s">
        <v>195</v>
      </c>
      <c r="B901" s="343">
        <v>100705</v>
      </c>
      <c r="C901" s="343" t="s">
        <v>545</v>
      </c>
      <c r="D901" s="344">
        <v>1</v>
      </c>
      <c r="E901" s="343" t="s">
        <v>896</v>
      </c>
      <c r="F901" s="345">
        <v>45975</v>
      </c>
      <c r="G901" s="345">
        <v>45975</v>
      </c>
      <c r="H901" s="343">
        <v>202512</v>
      </c>
      <c r="I901" s="344">
        <v>36</v>
      </c>
      <c r="J901" s="342">
        <v>31</v>
      </c>
      <c r="K901" s="346">
        <v>4238.05</v>
      </c>
      <c r="L901" s="346"/>
      <c r="M901" s="346"/>
      <c r="N901" s="346">
        <f t="shared" si="14"/>
        <v>4238.05</v>
      </c>
      <c r="O901" s="342">
        <v>447.36</v>
      </c>
      <c r="P901" s="347">
        <v>559.2</v>
      </c>
      <c r="Q901" s="347">
        <v>3678.85</v>
      </c>
      <c r="R901" s="342">
        <v>0</v>
      </c>
      <c r="S901" s="347">
        <v>3678.85</v>
      </c>
      <c r="T901" s="341" t="s">
        <v>362</v>
      </c>
      <c r="U901" s="342">
        <v>66021201</v>
      </c>
      <c r="V901" s="342" t="s">
        <v>897</v>
      </c>
    </row>
    <row r="902" customHeight="1" spans="1:22">
      <c r="A902" s="343" t="s">
        <v>195</v>
      </c>
      <c r="B902" s="343">
        <v>100706</v>
      </c>
      <c r="C902" s="343" t="s">
        <v>898</v>
      </c>
      <c r="D902" s="344">
        <v>1</v>
      </c>
      <c r="E902" s="343" t="s">
        <v>899</v>
      </c>
      <c r="F902" s="345">
        <v>45966</v>
      </c>
      <c r="G902" s="345">
        <v>45966</v>
      </c>
      <c r="H902" s="343">
        <v>202512</v>
      </c>
      <c r="I902" s="344">
        <v>36</v>
      </c>
      <c r="J902" s="342">
        <v>31</v>
      </c>
      <c r="K902" s="346">
        <v>13274.34</v>
      </c>
      <c r="L902" s="346"/>
      <c r="M902" s="346"/>
      <c r="N902" s="346">
        <f t="shared" si="14"/>
        <v>13274.34</v>
      </c>
      <c r="O902" s="347">
        <v>1401.18</v>
      </c>
      <c r="P902" s="347">
        <v>1751.48</v>
      </c>
      <c r="Q902" s="347">
        <v>11522.86</v>
      </c>
      <c r="R902" s="342">
        <v>0</v>
      </c>
      <c r="S902" s="347">
        <v>11522.86</v>
      </c>
      <c r="T902" s="341" t="s">
        <v>362</v>
      </c>
      <c r="U902" s="342">
        <v>5301010301</v>
      </c>
      <c r="V902" s="342" t="s">
        <v>900</v>
      </c>
    </row>
    <row r="903" customHeight="1" spans="1:22">
      <c r="A903" s="343" t="s">
        <v>195</v>
      </c>
      <c r="B903" s="343">
        <v>100707</v>
      </c>
      <c r="C903" s="343" t="s">
        <v>901</v>
      </c>
      <c r="D903" s="344">
        <v>1</v>
      </c>
      <c r="E903" s="343" t="s">
        <v>902</v>
      </c>
      <c r="F903" s="345">
        <v>45967</v>
      </c>
      <c r="G903" s="345">
        <v>45967</v>
      </c>
      <c r="H903" s="343">
        <v>202512</v>
      </c>
      <c r="I903" s="344">
        <v>36</v>
      </c>
      <c r="J903" s="342">
        <v>31</v>
      </c>
      <c r="K903" s="346">
        <v>4012.39</v>
      </c>
      <c r="L903" s="346"/>
      <c r="M903" s="346"/>
      <c r="N903" s="346">
        <f t="shared" si="14"/>
        <v>4012.39</v>
      </c>
      <c r="O903" s="342">
        <v>423.52</v>
      </c>
      <c r="P903" s="347">
        <v>529.4</v>
      </c>
      <c r="Q903" s="347">
        <v>3482.99</v>
      </c>
      <c r="R903" s="342">
        <v>0</v>
      </c>
      <c r="S903" s="347">
        <v>3482.99</v>
      </c>
      <c r="T903" s="341" t="s">
        <v>903</v>
      </c>
      <c r="U903" s="342">
        <v>5301010301</v>
      </c>
      <c r="V903" s="342" t="s">
        <v>904</v>
      </c>
    </row>
    <row r="904" customHeight="1" spans="1:22">
      <c r="A904" s="343" t="s">
        <v>195</v>
      </c>
      <c r="B904" s="343">
        <v>100708</v>
      </c>
      <c r="C904" s="343" t="s">
        <v>905</v>
      </c>
      <c r="D904" s="344">
        <v>1</v>
      </c>
      <c r="E904" s="343" t="s">
        <v>906</v>
      </c>
      <c r="F904" s="345">
        <v>45974</v>
      </c>
      <c r="G904" s="345">
        <v>45974</v>
      </c>
      <c r="H904" s="343">
        <v>202512</v>
      </c>
      <c r="I904" s="344">
        <v>36</v>
      </c>
      <c r="J904" s="342">
        <v>31</v>
      </c>
      <c r="K904" s="346">
        <v>653.98</v>
      </c>
      <c r="L904" s="346"/>
      <c r="M904" s="346"/>
      <c r="N904" s="346">
        <f t="shared" si="14"/>
        <v>653.98</v>
      </c>
      <c r="O904" s="342">
        <v>69.04</v>
      </c>
      <c r="P904" s="347">
        <v>86.3</v>
      </c>
      <c r="Q904" s="342">
        <v>567.68</v>
      </c>
      <c r="R904" s="342">
        <v>0</v>
      </c>
      <c r="S904" s="342">
        <v>567.68</v>
      </c>
      <c r="T904" s="341" t="s">
        <v>296</v>
      </c>
      <c r="U904" s="342">
        <v>66021201</v>
      </c>
      <c r="V904" s="342" t="s">
        <v>907</v>
      </c>
    </row>
    <row r="905" customHeight="1" spans="1:22">
      <c r="A905" s="343" t="s">
        <v>195</v>
      </c>
      <c r="B905" s="343">
        <v>100709</v>
      </c>
      <c r="C905" s="343" t="s">
        <v>908</v>
      </c>
      <c r="D905" s="344">
        <v>1</v>
      </c>
      <c r="E905" s="343" t="s">
        <v>909</v>
      </c>
      <c r="F905" s="345">
        <v>45981</v>
      </c>
      <c r="G905" s="345">
        <v>45981</v>
      </c>
      <c r="H905" s="343">
        <v>202512</v>
      </c>
      <c r="I905" s="344">
        <v>36</v>
      </c>
      <c r="J905" s="342">
        <v>31</v>
      </c>
      <c r="K905" s="346">
        <v>1097.59</v>
      </c>
      <c r="L905" s="346"/>
      <c r="M905" s="346"/>
      <c r="N905" s="346">
        <f t="shared" si="14"/>
        <v>1097.59</v>
      </c>
      <c r="O905" s="342">
        <v>115.84</v>
      </c>
      <c r="P905" s="347">
        <v>144.8</v>
      </c>
      <c r="Q905" s="342">
        <v>952.79</v>
      </c>
      <c r="R905" s="342">
        <v>0</v>
      </c>
      <c r="S905" s="342">
        <v>952.79</v>
      </c>
      <c r="T905" s="341" t="s">
        <v>362</v>
      </c>
      <c r="U905" s="342">
        <v>5301010301</v>
      </c>
      <c r="V905" s="342" t="s">
        <v>910</v>
      </c>
    </row>
    <row r="906" customHeight="1" spans="1:22">
      <c r="A906" s="343" t="s">
        <v>195</v>
      </c>
      <c r="B906" s="343">
        <v>100711</v>
      </c>
      <c r="C906" s="343" t="s">
        <v>545</v>
      </c>
      <c r="D906" s="344">
        <v>1</v>
      </c>
      <c r="E906" s="343" t="s">
        <v>911</v>
      </c>
      <c r="F906" s="345">
        <v>45982</v>
      </c>
      <c r="G906" s="345">
        <v>45982</v>
      </c>
      <c r="H906" s="343">
        <v>202512</v>
      </c>
      <c r="I906" s="344">
        <v>36</v>
      </c>
      <c r="J906" s="342">
        <v>31</v>
      </c>
      <c r="K906" s="346">
        <v>4857.52</v>
      </c>
      <c r="L906" s="346"/>
      <c r="M906" s="346"/>
      <c r="N906" s="346">
        <f t="shared" si="14"/>
        <v>4857.52</v>
      </c>
      <c r="O906" s="342">
        <v>512.73</v>
      </c>
      <c r="P906" s="347">
        <v>640.91</v>
      </c>
      <c r="Q906" s="347">
        <v>4216.61</v>
      </c>
      <c r="R906" s="342">
        <v>0</v>
      </c>
      <c r="S906" s="347">
        <v>4216.61</v>
      </c>
      <c r="T906" s="341" t="s">
        <v>532</v>
      </c>
      <c r="U906" s="342">
        <v>66011201</v>
      </c>
      <c r="V906" s="342" t="s">
        <v>912</v>
      </c>
    </row>
    <row r="907" customHeight="1" spans="1:22">
      <c r="A907" s="343" t="s">
        <v>195</v>
      </c>
      <c r="B907" s="343">
        <v>100712</v>
      </c>
      <c r="C907" s="343" t="s">
        <v>545</v>
      </c>
      <c r="D907" s="344">
        <v>1</v>
      </c>
      <c r="E907" s="343" t="s">
        <v>621</v>
      </c>
      <c r="F907" s="345">
        <v>46029</v>
      </c>
      <c r="G907" s="345">
        <v>46029</v>
      </c>
      <c r="H907" s="343">
        <v>202602</v>
      </c>
      <c r="I907" s="344">
        <v>36</v>
      </c>
      <c r="J907" s="342">
        <v>33</v>
      </c>
      <c r="K907" s="346">
        <v>0</v>
      </c>
      <c r="L907" s="346">
        <v>5220.35</v>
      </c>
      <c r="M907" s="346"/>
      <c r="N907" s="346">
        <f t="shared" si="14"/>
        <v>5220.35</v>
      </c>
      <c r="O907" s="342">
        <v>413.28</v>
      </c>
      <c r="P907" s="347">
        <v>413.28</v>
      </c>
      <c r="Q907" s="347">
        <v>4807.07</v>
      </c>
      <c r="R907" s="342">
        <v>0</v>
      </c>
      <c r="S907" s="347">
        <v>4807.07</v>
      </c>
      <c r="T907" s="341" t="s">
        <v>362</v>
      </c>
      <c r="U907" s="342">
        <v>66021201</v>
      </c>
      <c r="V907" s="342" t="s">
        <v>913</v>
      </c>
    </row>
    <row r="908" customHeight="1" spans="1:22">
      <c r="A908" s="343" t="s">
        <v>195</v>
      </c>
      <c r="B908" s="343">
        <v>100713</v>
      </c>
      <c r="C908" s="343" t="s">
        <v>545</v>
      </c>
      <c r="D908" s="344">
        <v>1</v>
      </c>
      <c r="E908" s="343" t="s">
        <v>621</v>
      </c>
      <c r="F908" s="345">
        <v>46029</v>
      </c>
      <c r="G908" s="345">
        <v>46029</v>
      </c>
      <c r="H908" s="343">
        <v>202602</v>
      </c>
      <c r="I908" s="344">
        <v>36</v>
      </c>
      <c r="J908" s="342">
        <v>33</v>
      </c>
      <c r="K908" s="346">
        <v>0</v>
      </c>
      <c r="L908" s="346">
        <v>5220.36</v>
      </c>
      <c r="M908" s="346"/>
      <c r="N908" s="346">
        <f t="shared" si="14"/>
        <v>5220.36</v>
      </c>
      <c r="O908" s="342">
        <v>413.28</v>
      </c>
      <c r="P908" s="347">
        <v>413.28</v>
      </c>
      <c r="Q908" s="347">
        <v>4807.08</v>
      </c>
      <c r="R908" s="342">
        <v>0</v>
      </c>
      <c r="S908" s="347">
        <v>4807.08</v>
      </c>
      <c r="T908" s="341" t="s">
        <v>362</v>
      </c>
      <c r="U908" s="342">
        <v>66021201</v>
      </c>
      <c r="V908" s="342" t="s">
        <v>913</v>
      </c>
    </row>
    <row r="909" customHeight="1" spans="1:22">
      <c r="A909" s="343" t="s">
        <v>195</v>
      </c>
      <c r="B909" s="343">
        <v>100714</v>
      </c>
      <c r="C909" s="343" t="s">
        <v>545</v>
      </c>
      <c r="D909" s="344">
        <v>1</v>
      </c>
      <c r="E909" s="343" t="s">
        <v>620</v>
      </c>
      <c r="F909" s="345">
        <v>46037</v>
      </c>
      <c r="G909" s="345">
        <v>46037</v>
      </c>
      <c r="H909" s="343">
        <v>202602</v>
      </c>
      <c r="I909" s="344">
        <v>36</v>
      </c>
      <c r="J909" s="342">
        <v>33</v>
      </c>
      <c r="K909" s="346">
        <v>0</v>
      </c>
      <c r="L909" s="346">
        <v>6636.28</v>
      </c>
      <c r="M909" s="346"/>
      <c r="N909" s="346">
        <f t="shared" si="14"/>
        <v>6636.28</v>
      </c>
      <c r="O909" s="342">
        <v>525.36</v>
      </c>
      <c r="P909" s="347">
        <v>525.36</v>
      </c>
      <c r="Q909" s="347">
        <v>6110.92</v>
      </c>
      <c r="R909" s="342">
        <v>0</v>
      </c>
      <c r="S909" s="347">
        <v>6110.92</v>
      </c>
      <c r="T909" s="341" t="s">
        <v>362</v>
      </c>
      <c r="U909" s="342">
        <v>5301010301</v>
      </c>
      <c r="V909" s="342" t="s">
        <v>914</v>
      </c>
    </row>
    <row r="910" customHeight="1" spans="1:22">
      <c r="A910" s="343" t="s">
        <v>195</v>
      </c>
      <c r="B910" s="343">
        <v>100715</v>
      </c>
      <c r="C910" s="343" t="s">
        <v>915</v>
      </c>
      <c r="D910" s="344">
        <v>1</v>
      </c>
      <c r="E910" s="343" t="s">
        <v>916</v>
      </c>
      <c r="F910" s="345">
        <v>46042</v>
      </c>
      <c r="G910" s="345">
        <v>46042</v>
      </c>
      <c r="H910" s="343">
        <v>202602</v>
      </c>
      <c r="I910" s="344">
        <v>36</v>
      </c>
      <c r="J910" s="342">
        <v>33</v>
      </c>
      <c r="K910" s="346">
        <v>0</v>
      </c>
      <c r="L910" s="346">
        <v>4071.68</v>
      </c>
      <c r="M910" s="346"/>
      <c r="N910" s="346">
        <f t="shared" si="14"/>
        <v>4071.68</v>
      </c>
      <c r="O910" s="342">
        <v>322.35</v>
      </c>
      <c r="P910" s="347">
        <v>322.35</v>
      </c>
      <c r="Q910" s="347">
        <v>3749.33</v>
      </c>
      <c r="R910" s="342">
        <v>0</v>
      </c>
      <c r="S910" s="347">
        <v>3749.33</v>
      </c>
      <c r="T910" s="341" t="s">
        <v>296</v>
      </c>
      <c r="U910" s="342">
        <v>66021201</v>
      </c>
      <c r="V910" s="342" t="s">
        <v>917</v>
      </c>
    </row>
    <row r="911" customHeight="1" spans="1:22">
      <c r="A911" s="343" t="s">
        <v>195</v>
      </c>
      <c r="B911" s="343">
        <v>100716</v>
      </c>
      <c r="C911" s="343" t="s">
        <v>545</v>
      </c>
      <c r="D911" s="344">
        <v>1</v>
      </c>
      <c r="E911" s="343" t="s">
        <v>918</v>
      </c>
      <c r="F911" s="345">
        <v>46043</v>
      </c>
      <c r="G911" s="345">
        <v>46043</v>
      </c>
      <c r="H911" s="343">
        <v>202602</v>
      </c>
      <c r="I911" s="344">
        <v>36</v>
      </c>
      <c r="J911" s="342">
        <v>33</v>
      </c>
      <c r="K911" s="346">
        <v>0</v>
      </c>
      <c r="L911" s="346">
        <v>6547.79</v>
      </c>
      <c r="M911" s="346"/>
      <c r="N911" s="346">
        <f t="shared" si="14"/>
        <v>6547.79</v>
      </c>
      <c r="O911" s="342">
        <v>518.37</v>
      </c>
      <c r="P911" s="347">
        <v>518.37</v>
      </c>
      <c r="Q911" s="347">
        <v>6029.42</v>
      </c>
      <c r="R911" s="342">
        <v>0</v>
      </c>
      <c r="S911" s="347">
        <v>6029.42</v>
      </c>
      <c r="T911" s="341" t="s">
        <v>362</v>
      </c>
      <c r="U911" s="342">
        <v>66021201</v>
      </c>
      <c r="V911" s="342" t="s">
        <v>919</v>
      </c>
    </row>
    <row r="912" customHeight="1" spans="1:22">
      <c r="A912" s="343" t="s">
        <v>195</v>
      </c>
      <c r="B912" s="343">
        <v>100717</v>
      </c>
      <c r="C912" s="343" t="s">
        <v>545</v>
      </c>
      <c r="D912" s="344">
        <v>1</v>
      </c>
      <c r="E912" s="343"/>
      <c r="F912" s="345">
        <v>46048</v>
      </c>
      <c r="G912" s="345">
        <v>46048</v>
      </c>
      <c r="H912" s="343">
        <v>202602</v>
      </c>
      <c r="I912" s="344">
        <v>36</v>
      </c>
      <c r="J912" s="342">
        <v>33</v>
      </c>
      <c r="K912" s="346">
        <v>0</v>
      </c>
      <c r="L912" s="346">
        <v>5752.21</v>
      </c>
      <c r="M912" s="346"/>
      <c r="N912" s="346">
        <f t="shared" si="14"/>
        <v>5752.21</v>
      </c>
      <c r="O912" s="342">
        <v>455.37</v>
      </c>
      <c r="P912" s="347">
        <v>455.37</v>
      </c>
      <c r="Q912" s="347">
        <v>5296.84</v>
      </c>
      <c r="R912" s="342">
        <v>0</v>
      </c>
      <c r="S912" s="347">
        <v>5296.84</v>
      </c>
      <c r="T912" s="341" t="s">
        <v>362</v>
      </c>
      <c r="U912" s="342">
        <v>5301010301</v>
      </c>
      <c r="V912" s="342" t="s">
        <v>838</v>
      </c>
    </row>
    <row r="913" customHeight="1" spans="1:22">
      <c r="A913" s="343" t="s">
        <v>195</v>
      </c>
      <c r="B913" s="343">
        <v>100718</v>
      </c>
      <c r="C913" s="343" t="s">
        <v>920</v>
      </c>
      <c r="D913" s="344">
        <v>6</v>
      </c>
      <c r="E913" s="343"/>
      <c r="F913" s="345">
        <v>46049</v>
      </c>
      <c r="G913" s="345">
        <v>46049</v>
      </c>
      <c r="H913" s="343">
        <v>202602</v>
      </c>
      <c r="I913" s="344">
        <v>36</v>
      </c>
      <c r="J913" s="342">
        <v>33</v>
      </c>
      <c r="K913" s="346">
        <v>0</v>
      </c>
      <c r="L913" s="346">
        <v>12419.47</v>
      </c>
      <c r="M913" s="346"/>
      <c r="N913" s="346">
        <f t="shared" si="14"/>
        <v>12419.47</v>
      </c>
      <c r="O913" s="342">
        <v>983.22</v>
      </c>
      <c r="P913" s="347">
        <v>983.22</v>
      </c>
      <c r="Q913" s="347">
        <v>11436.25</v>
      </c>
      <c r="R913" s="342">
        <v>0</v>
      </c>
      <c r="S913" s="347">
        <v>11436.25</v>
      </c>
      <c r="T913" s="341" t="s">
        <v>296</v>
      </c>
      <c r="U913" s="342">
        <v>66021201</v>
      </c>
      <c r="V913" s="342" t="s">
        <v>921</v>
      </c>
    </row>
    <row r="914" customHeight="1" spans="1:22">
      <c r="A914" s="343" t="s">
        <v>195</v>
      </c>
      <c r="B914" s="343">
        <v>100719</v>
      </c>
      <c r="C914" s="343" t="s">
        <v>545</v>
      </c>
      <c r="D914" s="344">
        <v>1</v>
      </c>
      <c r="E914" s="343" t="s">
        <v>704</v>
      </c>
      <c r="F914" s="345">
        <v>46066</v>
      </c>
      <c r="G914" s="345">
        <v>46066</v>
      </c>
      <c r="H914" s="343">
        <v>202603</v>
      </c>
      <c r="I914" s="344">
        <v>36</v>
      </c>
      <c r="J914" s="342">
        <v>34</v>
      </c>
      <c r="K914" s="346">
        <v>0</v>
      </c>
      <c r="L914" s="346">
        <v>5220.35</v>
      </c>
      <c r="M914" s="346"/>
      <c r="N914" s="346">
        <f t="shared" si="14"/>
        <v>5220.35</v>
      </c>
      <c r="O914" s="342">
        <v>275.52</v>
      </c>
      <c r="P914" s="347">
        <v>275.52</v>
      </c>
      <c r="Q914" s="347">
        <v>4944.83</v>
      </c>
      <c r="R914" s="342">
        <v>0</v>
      </c>
      <c r="S914" s="347">
        <v>4944.83</v>
      </c>
      <c r="T914" s="341" t="s">
        <v>362</v>
      </c>
      <c r="U914" s="342">
        <v>5301010301</v>
      </c>
      <c r="V914" s="342" t="s">
        <v>922</v>
      </c>
    </row>
    <row r="915" customHeight="1" spans="1:22">
      <c r="A915" s="343" t="s">
        <v>195</v>
      </c>
      <c r="B915" s="343">
        <v>100720</v>
      </c>
      <c r="C915" s="343" t="s">
        <v>923</v>
      </c>
      <c r="D915" s="344">
        <v>1</v>
      </c>
      <c r="E915" s="343" t="s">
        <v>924</v>
      </c>
      <c r="F915" s="345">
        <v>46102</v>
      </c>
      <c r="G915" s="345">
        <v>46102</v>
      </c>
      <c r="H915" s="343">
        <v>202604</v>
      </c>
      <c r="I915" s="344">
        <v>36</v>
      </c>
      <c r="J915" s="342">
        <v>35</v>
      </c>
      <c r="K915" s="346">
        <v>0</v>
      </c>
      <c r="L915" s="346">
        <v>2645.13</v>
      </c>
      <c r="M915" s="346"/>
      <c r="N915" s="346">
        <f t="shared" si="14"/>
        <v>2645.13</v>
      </c>
      <c r="O915" s="342">
        <v>69.8</v>
      </c>
      <c r="P915" s="347">
        <v>69.8</v>
      </c>
      <c r="Q915" s="347">
        <v>2575.33</v>
      </c>
      <c r="R915" s="342">
        <v>0</v>
      </c>
      <c r="S915" s="347">
        <v>2575.33</v>
      </c>
      <c r="T915" s="341" t="s">
        <v>362</v>
      </c>
      <c r="U915" s="342">
        <v>5301010301</v>
      </c>
      <c r="V915" s="342" t="s">
        <v>925</v>
      </c>
    </row>
    <row r="916" customHeight="1" spans="1:22">
      <c r="A916" s="343" t="s">
        <v>195</v>
      </c>
      <c r="B916" s="343">
        <v>100721</v>
      </c>
      <c r="C916" s="343" t="s">
        <v>545</v>
      </c>
      <c r="D916" s="344">
        <v>1</v>
      </c>
      <c r="E916" s="343" t="s">
        <v>926</v>
      </c>
      <c r="F916" s="345">
        <v>46100</v>
      </c>
      <c r="G916" s="345">
        <v>46100</v>
      </c>
      <c r="H916" s="343">
        <v>202604</v>
      </c>
      <c r="I916" s="344">
        <v>36</v>
      </c>
      <c r="J916" s="342">
        <v>35</v>
      </c>
      <c r="K916" s="346">
        <v>0</v>
      </c>
      <c r="L916" s="346">
        <v>6193.81</v>
      </c>
      <c r="M916" s="346"/>
      <c r="N916" s="346">
        <f t="shared" si="14"/>
        <v>6193.81</v>
      </c>
      <c r="O916" s="342">
        <v>163.45</v>
      </c>
      <c r="P916" s="347">
        <v>163.45</v>
      </c>
      <c r="Q916" s="347">
        <v>6030.36</v>
      </c>
      <c r="R916" s="342">
        <v>0</v>
      </c>
      <c r="S916" s="347">
        <v>6030.36</v>
      </c>
      <c r="T916" s="341" t="s">
        <v>532</v>
      </c>
      <c r="U916" s="342">
        <v>66011201</v>
      </c>
      <c r="V916" s="342" t="s">
        <v>927</v>
      </c>
    </row>
    <row r="917" customHeight="1" spans="1:22">
      <c r="A917" s="343" t="s">
        <v>195</v>
      </c>
      <c r="B917" s="343">
        <v>100722</v>
      </c>
      <c r="C917" s="343" t="s">
        <v>928</v>
      </c>
      <c r="D917" s="344">
        <v>1</v>
      </c>
      <c r="E917" s="343" t="s">
        <v>929</v>
      </c>
      <c r="F917" s="345">
        <v>46091</v>
      </c>
      <c r="G917" s="345">
        <v>46091</v>
      </c>
      <c r="H917" s="343">
        <v>202604</v>
      </c>
      <c r="I917" s="344">
        <v>36</v>
      </c>
      <c r="J917" s="342">
        <v>35</v>
      </c>
      <c r="K917" s="346">
        <v>0</v>
      </c>
      <c r="L917" s="346">
        <v>2919.47</v>
      </c>
      <c r="M917" s="346"/>
      <c r="N917" s="346">
        <f t="shared" si="14"/>
        <v>2919.47</v>
      </c>
      <c r="O917" s="342">
        <v>77.04</v>
      </c>
      <c r="P917" s="347">
        <v>77.04</v>
      </c>
      <c r="Q917" s="347">
        <v>2842.43</v>
      </c>
      <c r="R917" s="342">
        <v>0</v>
      </c>
      <c r="S917" s="347">
        <v>2842.43</v>
      </c>
      <c r="T917" s="341" t="s">
        <v>296</v>
      </c>
      <c r="U917" s="342">
        <v>66021201</v>
      </c>
      <c r="V917" s="342" t="s">
        <v>930</v>
      </c>
    </row>
    <row r="918" customHeight="1" spans="1:22">
      <c r="A918" s="343" t="s">
        <v>195</v>
      </c>
      <c r="B918" s="343">
        <v>100723</v>
      </c>
      <c r="C918" s="343" t="s">
        <v>928</v>
      </c>
      <c r="D918" s="344">
        <v>1</v>
      </c>
      <c r="E918" s="343" t="s">
        <v>929</v>
      </c>
      <c r="F918" s="345">
        <v>46092</v>
      </c>
      <c r="G918" s="345">
        <v>46092</v>
      </c>
      <c r="H918" s="343">
        <v>202604</v>
      </c>
      <c r="I918" s="344">
        <v>36</v>
      </c>
      <c r="J918" s="342">
        <v>35</v>
      </c>
      <c r="K918" s="346">
        <v>0</v>
      </c>
      <c r="L918" s="346">
        <v>2919.47</v>
      </c>
      <c r="M918" s="346"/>
      <c r="N918" s="346">
        <f t="shared" si="14"/>
        <v>2919.47</v>
      </c>
      <c r="O918" s="342">
        <v>77.04</v>
      </c>
      <c r="P918" s="347">
        <v>77.04</v>
      </c>
      <c r="Q918" s="347">
        <v>2842.43</v>
      </c>
      <c r="R918" s="342">
        <v>0</v>
      </c>
      <c r="S918" s="347">
        <v>2842.43</v>
      </c>
      <c r="T918" s="341" t="s">
        <v>296</v>
      </c>
      <c r="U918" s="342">
        <v>66021201</v>
      </c>
      <c r="V918" s="342" t="s">
        <v>930</v>
      </c>
    </row>
    <row r="919" customHeight="1" spans="1:22">
      <c r="A919" s="343" t="s">
        <v>195</v>
      </c>
      <c r="B919" s="343">
        <v>100724</v>
      </c>
      <c r="C919" s="343" t="s">
        <v>931</v>
      </c>
      <c r="D919" s="344">
        <v>1</v>
      </c>
      <c r="E919" s="343" t="s">
        <v>932</v>
      </c>
      <c r="F919" s="345">
        <v>46092</v>
      </c>
      <c r="G919" s="345">
        <v>46092</v>
      </c>
      <c r="H919" s="343">
        <v>202604</v>
      </c>
      <c r="I919" s="344">
        <v>36</v>
      </c>
      <c r="J919" s="342">
        <v>35</v>
      </c>
      <c r="K919" s="346">
        <v>0</v>
      </c>
      <c r="L919" s="346">
        <v>524.19</v>
      </c>
      <c r="M919" s="346"/>
      <c r="N919" s="346">
        <f t="shared" si="14"/>
        <v>524.19</v>
      </c>
      <c r="O919" s="342">
        <v>13.83</v>
      </c>
      <c r="P919" s="347">
        <v>13.83</v>
      </c>
      <c r="Q919" s="342">
        <v>510.36</v>
      </c>
      <c r="R919" s="342">
        <v>0</v>
      </c>
      <c r="S919" s="342">
        <v>510.36</v>
      </c>
      <c r="T919" s="341" t="s">
        <v>296</v>
      </c>
      <c r="U919" s="342">
        <v>66021201</v>
      </c>
      <c r="V919" s="342" t="s">
        <v>930</v>
      </c>
    </row>
    <row r="920" customHeight="1" spans="1:22">
      <c r="A920" s="343" t="s">
        <v>195</v>
      </c>
      <c r="B920" s="343">
        <v>100725</v>
      </c>
      <c r="C920" s="343" t="s">
        <v>933</v>
      </c>
      <c r="D920" s="344">
        <v>1</v>
      </c>
      <c r="E920" s="343" t="s">
        <v>932</v>
      </c>
      <c r="F920" s="345">
        <v>46092</v>
      </c>
      <c r="G920" s="345">
        <v>46092</v>
      </c>
      <c r="H920" s="343">
        <v>202604</v>
      </c>
      <c r="I920" s="344">
        <v>36</v>
      </c>
      <c r="J920" s="342">
        <v>35</v>
      </c>
      <c r="K920" s="346">
        <v>0</v>
      </c>
      <c r="L920" s="346">
        <v>524.19</v>
      </c>
      <c r="M920" s="346"/>
      <c r="N920" s="346">
        <f t="shared" si="14"/>
        <v>524.19</v>
      </c>
      <c r="O920" s="342">
        <v>13.83</v>
      </c>
      <c r="P920" s="347">
        <v>13.83</v>
      </c>
      <c r="Q920" s="342">
        <v>510.36</v>
      </c>
      <c r="R920" s="342">
        <v>0</v>
      </c>
      <c r="S920" s="342">
        <v>510.36</v>
      </c>
      <c r="T920" s="341" t="s">
        <v>296</v>
      </c>
      <c r="U920" s="342">
        <v>66021201</v>
      </c>
      <c r="V920" s="342" t="s">
        <v>930</v>
      </c>
    </row>
    <row r="921" customHeight="1" spans="1:22">
      <c r="A921" s="343" t="s">
        <v>195</v>
      </c>
      <c r="B921" s="343">
        <v>100726</v>
      </c>
      <c r="C921" s="343" t="s">
        <v>933</v>
      </c>
      <c r="D921" s="344">
        <v>1</v>
      </c>
      <c r="E921" s="343" t="s">
        <v>932</v>
      </c>
      <c r="F921" s="345">
        <v>46092</v>
      </c>
      <c r="G921" s="345">
        <v>46092</v>
      </c>
      <c r="H921" s="343">
        <v>202604</v>
      </c>
      <c r="I921" s="344">
        <v>36</v>
      </c>
      <c r="J921" s="342">
        <v>35</v>
      </c>
      <c r="K921" s="346">
        <v>0</v>
      </c>
      <c r="L921" s="346">
        <v>524.19</v>
      </c>
      <c r="M921" s="346"/>
      <c r="N921" s="346">
        <f t="shared" si="14"/>
        <v>524.19</v>
      </c>
      <c r="O921" s="342">
        <v>13.83</v>
      </c>
      <c r="P921" s="347">
        <v>13.83</v>
      </c>
      <c r="Q921" s="342">
        <v>510.36</v>
      </c>
      <c r="R921" s="342">
        <v>0</v>
      </c>
      <c r="S921" s="342">
        <v>510.36</v>
      </c>
      <c r="T921" s="341" t="s">
        <v>296</v>
      </c>
      <c r="U921" s="342">
        <v>66021201</v>
      </c>
      <c r="V921" s="342" t="s">
        <v>930</v>
      </c>
    </row>
    <row r="922" customHeight="1" spans="1:22">
      <c r="A922" s="343" t="s">
        <v>195</v>
      </c>
      <c r="B922" s="343">
        <v>100727</v>
      </c>
      <c r="C922" s="343" t="s">
        <v>545</v>
      </c>
      <c r="D922" s="344">
        <v>1</v>
      </c>
      <c r="E922" s="343" t="s">
        <v>602</v>
      </c>
      <c r="F922" s="345">
        <v>46116</v>
      </c>
      <c r="G922" s="345">
        <v>46116</v>
      </c>
      <c r="H922" s="343">
        <v>202605</v>
      </c>
      <c r="I922" s="344">
        <v>36</v>
      </c>
      <c r="J922" s="342">
        <v>36</v>
      </c>
      <c r="K922" s="346">
        <v>0</v>
      </c>
      <c r="L922" s="346">
        <v>5211.5</v>
      </c>
      <c r="M922" s="346"/>
      <c r="N922" s="346">
        <f t="shared" si="14"/>
        <v>5211.5</v>
      </c>
      <c r="O922" s="342">
        <v>0</v>
      </c>
      <c r="P922" s="347">
        <v>0</v>
      </c>
      <c r="Q922" s="347">
        <v>5211.5</v>
      </c>
      <c r="R922" s="342">
        <v>0</v>
      </c>
      <c r="S922" s="347">
        <v>5211.5</v>
      </c>
      <c r="T922" s="341" t="s">
        <v>362</v>
      </c>
      <c r="U922" s="342">
        <v>66021201</v>
      </c>
      <c r="V922" s="342" t="s">
        <v>934</v>
      </c>
    </row>
    <row r="923" customHeight="1" spans="1:22">
      <c r="A923" s="343" t="s">
        <v>195</v>
      </c>
      <c r="B923" s="343">
        <v>100728</v>
      </c>
      <c r="C923" s="343" t="s">
        <v>742</v>
      </c>
      <c r="D923" s="344">
        <v>1</v>
      </c>
      <c r="E923" s="343" t="s">
        <v>935</v>
      </c>
      <c r="F923" s="345">
        <v>46115</v>
      </c>
      <c r="G923" s="345">
        <v>46115</v>
      </c>
      <c r="H923" s="343">
        <v>202605</v>
      </c>
      <c r="I923" s="344">
        <v>36</v>
      </c>
      <c r="J923" s="342">
        <v>36</v>
      </c>
      <c r="K923" s="346">
        <v>0</v>
      </c>
      <c r="L923" s="346">
        <v>327.43</v>
      </c>
      <c r="M923" s="346"/>
      <c r="N923" s="346">
        <f t="shared" si="14"/>
        <v>327.43</v>
      </c>
      <c r="O923" s="342">
        <v>0</v>
      </c>
      <c r="P923" s="347">
        <v>0</v>
      </c>
      <c r="Q923" s="342">
        <v>327.43</v>
      </c>
      <c r="R923" s="342">
        <v>0</v>
      </c>
      <c r="S923" s="342">
        <v>327.43</v>
      </c>
      <c r="T923" s="341" t="s">
        <v>296</v>
      </c>
      <c r="U923" s="342">
        <v>66021201</v>
      </c>
      <c r="V923" s="342" t="s">
        <v>936</v>
      </c>
    </row>
    <row r="924" customHeight="1" spans="1:22">
      <c r="A924" s="343" t="s">
        <v>195</v>
      </c>
      <c r="B924" s="343">
        <v>100729</v>
      </c>
      <c r="C924" s="343" t="s">
        <v>849</v>
      </c>
      <c r="D924" s="344">
        <v>1</v>
      </c>
      <c r="E924" s="343" t="s">
        <v>937</v>
      </c>
      <c r="F924" s="345">
        <v>46115</v>
      </c>
      <c r="G924" s="345">
        <v>46115</v>
      </c>
      <c r="H924" s="343">
        <v>202605</v>
      </c>
      <c r="I924" s="344">
        <v>36</v>
      </c>
      <c r="J924" s="342">
        <v>36</v>
      </c>
      <c r="K924" s="346">
        <v>0</v>
      </c>
      <c r="L924" s="346">
        <v>929.2</v>
      </c>
      <c r="M924" s="346"/>
      <c r="N924" s="346">
        <f t="shared" si="14"/>
        <v>929.2</v>
      </c>
      <c r="O924" s="342">
        <v>0</v>
      </c>
      <c r="P924" s="347">
        <v>0</v>
      </c>
      <c r="Q924" s="342">
        <v>929.2</v>
      </c>
      <c r="R924" s="342">
        <v>0</v>
      </c>
      <c r="S924" s="342">
        <v>929.2</v>
      </c>
      <c r="T924" s="341" t="s">
        <v>296</v>
      </c>
      <c r="U924" s="342">
        <v>66021201</v>
      </c>
      <c r="V924" s="342" t="s">
        <v>936</v>
      </c>
    </row>
    <row r="925" customHeight="1" spans="1:22">
      <c r="A925" s="343" t="s">
        <v>195</v>
      </c>
      <c r="B925" s="343">
        <v>100730</v>
      </c>
      <c r="C925" s="343" t="s">
        <v>571</v>
      </c>
      <c r="D925" s="344">
        <v>1</v>
      </c>
      <c r="E925" s="343" t="s">
        <v>564</v>
      </c>
      <c r="F925" s="345">
        <v>46127</v>
      </c>
      <c r="G925" s="345">
        <v>46127</v>
      </c>
      <c r="H925" s="343">
        <v>202605</v>
      </c>
      <c r="I925" s="344">
        <v>36</v>
      </c>
      <c r="J925" s="342">
        <v>36</v>
      </c>
      <c r="K925" s="346">
        <v>0</v>
      </c>
      <c r="L925" s="346">
        <v>835.4</v>
      </c>
      <c r="M925" s="346"/>
      <c r="N925" s="346">
        <f t="shared" si="14"/>
        <v>835.4</v>
      </c>
      <c r="O925" s="342">
        <v>0</v>
      </c>
      <c r="P925" s="347">
        <v>0</v>
      </c>
      <c r="Q925" s="342">
        <v>835.4</v>
      </c>
      <c r="R925" s="342">
        <v>0</v>
      </c>
      <c r="S925" s="342">
        <v>835.4</v>
      </c>
      <c r="T925" s="341" t="s">
        <v>532</v>
      </c>
      <c r="U925" s="342">
        <v>66011201</v>
      </c>
      <c r="V925" s="342" t="s">
        <v>938</v>
      </c>
    </row>
    <row r="926" customHeight="1" spans="1:22">
      <c r="A926" s="343" t="s">
        <v>195</v>
      </c>
      <c r="B926" s="343">
        <v>100731</v>
      </c>
      <c r="C926" s="343" t="s">
        <v>545</v>
      </c>
      <c r="D926" s="344">
        <v>1</v>
      </c>
      <c r="E926" s="343" t="s">
        <v>577</v>
      </c>
      <c r="F926" s="345">
        <v>46128</v>
      </c>
      <c r="G926" s="345">
        <v>46128</v>
      </c>
      <c r="H926" s="343">
        <v>202605</v>
      </c>
      <c r="I926" s="344">
        <v>36</v>
      </c>
      <c r="J926" s="342">
        <v>36</v>
      </c>
      <c r="K926" s="346">
        <v>0</v>
      </c>
      <c r="L926" s="346">
        <v>5123</v>
      </c>
      <c r="M926" s="346"/>
      <c r="N926" s="346">
        <f t="shared" si="14"/>
        <v>5123</v>
      </c>
      <c r="O926" s="342">
        <v>0</v>
      </c>
      <c r="P926" s="347">
        <v>0</v>
      </c>
      <c r="Q926" s="347">
        <v>5123</v>
      </c>
      <c r="R926" s="342">
        <v>0</v>
      </c>
      <c r="S926" s="347">
        <v>5123</v>
      </c>
      <c r="T926" s="341" t="s">
        <v>532</v>
      </c>
      <c r="U926" s="342">
        <v>66021201</v>
      </c>
      <c r="V926" s="342" t="s">
        <v>939</v>
      </c>
    </row>
    <row r="927" customHeight="1" spans="1:22">
      <c r="A927" s="343" t="s">
        <v>195</v>
      </c>
      <c r="B927" s="343">
        <v>100732</v>
      </c>
      <c r="C927" s="343" t="s">
        <v>578</v>
      </c>
      <c r="D927" s="344">
        <v>1</v>
      </c>
      <c r="E927" s="343" t="s">
        <v>940</v>
      </c>
      <c r="F927" s="345">
        <v>46135</v>
      </c>
      <c r="G927" s="345">
        <v>46135</v>
      </c>
      <c r="H927" s="343">
        <v>202605</v>
      </c>
      <c r="I927" s="344">
        <v>36</v>
      </c>
      <c r="J927" s="342">
        <v>36</v>
      </c>
      <c r="K927" s="346">
        <v>0</v>
      </c>
      <c r="L927" s="346">
        <v>3503.54</v>
      </c>
      <c r="M927" s="346"/>
      <c r="N927" s="346">
        <f t="shared" si="14"/>
        <v>3503.54</v>
      </c>
      <c r="O927" s="342">
        <v>0</v>
      </c>
      <c r="P927" s="347">
        <v>0</v>
      </c>
      <c r="Q927" s="347">
        <v>3503.54</v>
      </c>
      <c r="R927" s="342">
        <v>0</v>
      </c>
      <c r="S927" s="347">
        <v>3503.54</v>
      </c>
      <c r="T927" s="341" t="s">
        <v>362</v>
      </c>
      <c r="U927" s="342">
        <v>5301010301</v>
      </c>
      <c r="V927" s="342" t="s">
        <v>729</v>
      </c>
    </row>
    <row r="928" customHeight="1" spans="1:22">
      <c r="A928" s="343" t="s">
        <v>195</v>
      </c>
      <c r="B928" s="343">
        <v>100733</v>
      </c>
      <c r="C928" s="343" t="s">
        <v>578</v>
      </c>
      <c r="D928" s="344">
        <v>1</v>
      </c>
      <c r="E928" s="343" t="s">
        <v>940</v>
      </c>
      <c r="F928" s="345">
        <v>46135</v>
      </c>
      <c r="G928" s="345">
        <v>46135</v>
      </c>
      <c r="H928" s="343">
        <v>202605</v>
      </c>
      <c r="I928" s="344">
        <v>36</v>
      </c>
      <c r="J928" s="342">
        <v>36</v>
      </c>
      <c r="K928" s="346">
        <v>0</v>
      </c>
      <c r="L928" s="346">
        <v>3503.54</v>
      </c>
      <c r="M928" s="346"/>
      <c r="N928" s="346">
        <f t="shared" si="14"/>
        <v>3503.54</v>
      </c>
      <c r="O928" s="342">
        <v>0</v>
      </c>
      <c r="P928" s="347">
        <v>0</v>
      </c>
      <c r="Q928" s="347">
        <v>3503.54</v>
      </c>
      <c r="R928" s="342">
        <v>0</v>
      </c>
      <c r="S928" s="347">
        <v>3503.54</v>
      </c>
      <c r="T928" s="341" t="s">
        <v>362</v>
      </c>
      <c r="U928" s="342">
        <v>5301010301</v>
      </c>
      <c r="V928" s="342" t="s">
        <v>729</v>
      </c>
    </row>
    <row r="929" customHeight="1" spans="1:22">
      <c r="A929" s="343" t="s">
        <v>192</v>
      </c>
      <c r="B929" s="343">
        <v>400028</v>
      </c>
      <c r="C929" s="343" t="s">
        <v>941</v>
      </c>
      <c r="D929" s="344">
        <v>1</v>
      </c>
      <c r="E929" s="343" t="s">
        <v>942</v>
      </c>
      <c r="F929" s="345">
        <v>44650</v>
      </c>
      <c r="G929" s="345">
        <v>44650</v>
      </c>
      <c r="H929" s="343">
        <v>202204</v>
      </c>
      <c r="I929" s="344" t="s">
        <v>465</v>
      </c>
      <c r="J929" s="342">
        <v>11</v>
      </c>
      <c r="K929" s="346">
        <v>6567.2</v>
      </c>
      <c r="L929" s="346"/>
      <c r="M929" s="346">
        <f>K929</f>
        <v>6567.2</v>
      </c>
      <c r="N929" s="346">
        <f>K929-M929</f>
        <v>0</v>
      </c>
      <c r="O929" s="342">
        <v>415.92</v>
      </c>
      <c r="P929" s="347">
        <v>0</v>
      </c>
      <c r="Q929" s="347">
        <v>0</v>
      </c>
      <c r="R929" s="342">
        <v>0</v>
      </c>
      <c r="S929" s="347">
        <v>0</v>
      </c>
      <c r="T929" s="341"/>
      <c r="U929" s="342"/>
      <c r="V929" s="342" t="s">
        <v>943</v>
      </c>
    </row>
    <row r="930" customHeight="1" spans="1:22">
      <c r="A930" s="343" t="s">
        <v>192</v>
      </c>
      <c r="B930" s="343">
        <v>400029</v>
      </c>
      <c r="C930" s="343" t="s">
        <v>941</v>
      </c>
      <c r="D930" s="344">
        <v>1</v>
      </c>
      <c r="E930" s="343" t="s">
        <v>942</v>
      </c>
      <c r="F930" s="345">
        <v>44650</v>
      </c>
      <c r="G930" s="345">
        <v>44650</v>
      </c>
      <c r="H930" s="343">
        <v>202204</v>
      </c>
      <c r="I930" s="344" t="s">
        <v>465</v>
      </c>
      <c r="J930" s="342">
        <v>11</v>
      </c>
      <c r="K930" s="346">
        <v>7223.92</v>
      </c>
      <c r="L930" s="346"/>
      <c r="M930" s="346">
        <f t="shared" ref="M930:M977" si="15">K930</f>
        <v>7223.92</v>
      </c>
      <c r="N930" s="346">
        <f t="shared" ref="N930:N985" si="16">K930-M930</f>
        <v>0</v>
      </c>
      <c r="O930" s="342">
        <v>457.5</v>
      </c>
      <c r="P930" s="347">
        <v>0</v>
      </c>
      <c r="Q930" s="347">
        <v>0</v>
      </c>
      <c r="R930" s="342">
        <v>0</v>
      </c>
      <c r="S930" s="347">
        <v>0</v>
      </c>
      <c r="T930" s="341"/>
      <c r="U930" s="342"/>
      <c r="V930" s="342" t="s">
        <v>943</v>
      </c>
    </row>
    <row r="931" customHeight="1" spans="1:22">
      <c r="A931" s="343" t="s">
        <v>192</v>
      </c>
      <c r="B931" s="343">
        <v>400030</v>
      </c>
      <c r="C931" s="343" t="s">
        <v>941</v>
      </c>
      <c r="D931" s="344">
        <v>1</v>
      </c>
      <c r="E931" s="343" t="s">
        <v>942</v>
      </c>
      <c r="F931" s="345">
        <v>44650</v>
      </c>
      <c r="G931" s="345">
        <v>44650</v>
      </c>
      <c r="H931" s="343">
        <v>202204</v>
      </c>
      <c r="I931" s="344" t="s">
        <v>465</v>
      </c>
      <c r="J931" s="342">
        <v>11</v>
      </c>
      <c r="K931" s="346">
        <v>6567.2</v>
      </c>
      <c r="L931" s="346"/>
      <c r="M931" s="346">
        <f t="shared" si="15"/>
        <v>6567.2</v>
      </c>
      <c r="N931" s="346">
        <f t="shared" si="16"/>
        <v>0</v>
      </c>
      <c r="O931" s="342">
        <v>415.92</v>
      </c>
      <c r="P931" s="347">
        <v>0</v>
      </c>
      <c r="Q931" s="347">
        <v>0</v>
      </c>
      <c r="R931" s="342">
        <v>0</v>
      </c>
      <c r="S931" s="347">
        <v>0</v>
      </c>
      <c r="T931" s="341"/>
      <c r="U931" s="342"/>
      <c r="V931" s="342" t="s">
        <v>943</v>
      </c>
    </row>
    <row r="932" customHeight="1" spans="1:22">
      <c r="A932" s="343" t="s">
        <v>192</v>
      </c>
      <c r="B932" s="343">
        <v>400031</v>
      </c>
      <c r="C932" s="343" t="s">
        <v>941</v>
      </c>
      <c r="D932" s="344">
        <v>1</v>
      </c>
      <c r="E932" s="343" t="s">
        <v>942</v>
      </c>
      <c r="F932" s="345">
        <v>44650</v>
      </c>
      <c r="G932" s="345">
        <v>44650</v>
      </c>
      <c r="H932" s="343">
        <v>202204</v>
      </c>
      <c r="I932" s="344" t="s">
        <v>465</v>
      </c>
      <c r="J932" s="342">
        <v>11</v>
      </c>
      <c r="K932" s="346">
        <v>6567.2</v>
      </c>
      <c r="L932" s="346"/>
      <c r="M932" s="346">
        <f t="shared" si="15"/>
        <v>6567.2</v>
      </c>
      <c r="N932" s="346">
        <f t="shared" si="16"/>
        <v>0</v>
      </c>
      <c r="O932" s="342">
        <v>415.92</v>
      </c>
      <c r="P932" s="347">
        <v>0</v>
      </c>
      <c r="Q932" s="347">
        <v>0</v>
      </c>
      <c r="R932" s="342">
        <v>0</v>
      </c>
      <c r="S932" s="347">
        <v>0</v>
      </c>
      <c r="T932" s="341"/>
      <c r="U932" s="342"/>
      <c r="V932" s="342" t="s">
        <v>943</v>
      </c>
    </row>
    <row r="933" customHeight="1" spans="1:22">
      <c r="A933" s="343" t="s">
        <v>192</v>
      </c>
      <c r="B933" s="343">
        <v>400032</v>
      </c>
      <c r="C933" s="343" t="s">
        <v>941</v>
      </c>
      <c r="D933" s="344">
        <v>1</v>
      </c>
      <c r="E933" s="343" t="s">
        <v>942</v>
      </c>
      <c r="F933" s="345">
        <v>44650</v>
      </c>
      <c r="G933" s="345">
        <v>44650</v>
      </c>
      <c r="H933" s="343">
        <v>202204</v>
      </c>
      <c r="I933" s="344" t="s">
        <v>465</v>
      </c>
      <c r="J933" s="342">
        <v>11</v>
      </c>
      <c r="K933" s="346">
        <v>6567.2</v>
      </c>
      <c r="L933" s="346"/>
      <c r="M933" s="346">
        <f t="shared" si="15"/>
        <v>6567.2</v>
      </c>
      <c r="N933" s="346">
        <f t="shared" si="16"/>
        <v>0</v>
      </c>
      <c r="O933" s="342">
        <v>415.92</v>
      </c>
      <c r="P933" s="347">
        <v>0</v>
      </c>
      <c r="Q933" s="347">
        <v>0</v>
      </c>
      <c r="R933" s="342">
        <v>0</v>
      </c>
      <c r="S933" s="347">
        <v>0</v>
      </c>
      <c r="T933" s="341"/>
      <c r="U933" s="342"/>
      <c r="V933" s="342" t="s">
        <v>943</v>
      </c>
    </row>
    <row r="934" customHeight="1" spans="1:22">
      <c r="A934" s="343" t="s">
        <v>192</v>
      </c>
      <c r="B934" s="343">
        <v>400033</v>
      </c>
      <c r="C934" s="343" t="s">
        <v>941</v>
      </c>
      <c r="D934" s="344">
        <v>1</v>
      </c>
      <c r="E934" s="343" t="s">
        <v>942</v>
      </c>
      <c r="F934" s="345">
        <v>44650</v>
      </c>
      <c r="G934" s="345">
        <v>44650</v>
      </c>
      <c r="H934" s="343">
        <v>202204</v>
      </c>
      <c r="I934" s="344" t="s">
        <v>465</v>
      </c>
      <c r="J934" s="342">
        <v>11</v>
      </c>
      <c r="K934" s="346">
        <v>6567.2</v>
      </c>
      <c r="L934" s="346"/>
      <c r="M934" s="346">
        <f t="shared" si="15"/>
        <v>6567.2</v>
      </c>
      <c r="N934" s="346">
        <f t="shared" si="16"/>
        <v>0</v>
      </c>
      <c r="O934" s="342">
        <v>415.92</v>
      </c>
      <c r="P934" s="347">
        <v>0</v>
      </c>
      <c r="Q934" s="347">
        <v>0</v>
      </c>
      <c r="R934" s="342">
        <v>0</v>
      </c>
      <c r="S934" s="347">
        <v>0</v>
      </c>
      <c r="T934" s="341"/>
      <c r="U934" s="342"/>
      <c r="V934" s="342" t="s">
        <v>943</v>
      </c>
    </row>
    <row r="935" customHeight="1" spans="1:22">
      <c r="A935" s="343" t="s">
        <v>192</v>
      </c>
      <c r="B935" s="343">
        <v>400034</v>
      </c>
      <c r="C935" s="343" t="s">
        <v>941</v>
      </c>
      <c r="D935" s="344">
        <v>1</v>
      </c>
      <c r="E935" s="343" t="s">
        <v>942</v>
      </c>
      <c r="F935" s="345">
        <v>44650</v>
      </c>
      <c r="G935" s="345">
        <v>44650</v>
      </c>
      <c r="H935" s="343">
        <v>202204</v>
      </c>
      <c r="I935" s="344" t="s">
        <v>465</v>
      </c>
      <c r="J935" s="342">
        <v>11</v>
      </c>
      <c r="K935" s="346">
        <v>6567.2</v>
      </c>
      <c r="L935" s="346"/>
      <c r="M935" s="346">
        <f t="shared" si="15"/>
        <v>6567.2</v>
      </c>
      <c r="N935" s="346">
        <f t="shared" si="16"/>
        <v>0</v>
      </c>
      <c r="O935" s="342">
        <v>415.92</v>
      </c>
      <c r="P935" s="347">
        <v>0</v>
      </c>
      <c r="Q935" s="347">
        <v>0</v>
      </c>
      <c r="R935" s="342">
        <v>0</v>
      </c>
      <c r="S935" s="347">
        <v>0</v>
      </c>
      <c r="T935" s="341"/>
      <c r="U935" s="342"/>
      <c r="V935" s="342" t="s">
        <v>943</v>
      </c>
    </row>
    <row r="936" customHeight="1" spans="1:22">
      <c r="A936" s="343" t="s">
        <v>192</v>
      </c>
      <c r="B936" s="343">
        <v>400035</v>
      </c>
      <c r="C936" s="343" t="s">
        <v>941</v>
      </c>
      <c r="D936" s="344">
        <v>1</v>
      </c>
      <c r="E936" s="343" t="s">
        <v>942</v>
      </c>
      <c r="F936" s="345">
        <v>44650</v>
      </c>
      <c r="G936" s="345">
        <v>44650</v>
      </c>
      <c r="H936" s="343">
        <v>202204</v>
      </c>
      <c r="I936" s="344" t="s">
        <v>465</v>
      </c>
      <c r="J936" s="342">
        <v>11</v>
      </c>
      <c r="K936" s="346">
        <v>6567.2</v>
      </c>
      <c r="L936" s="346"/>
      <c r="M936" s="346">
        <f t="shared" si="15"/>
        <v>6567.2</v>
      </c>
      <c r="N936" s="346">
        <f t="shared" si="16"/>
        <v>0</v>
      </c>
      <c r="O936" s="342">
        <v>415.92</v>
      </c>
      <c r="P936" s="347">
        <v>0</v>
      </c>
      <c r="Q936" s="347">
        <v>0</v>
      </c>
      <c r="R936" s="342">
        <v>0</v>
      </c>
      <c r="S936" s="347">
        <v>0</v>
      </c>
      <c r="T936" s="341"/>
      <c r="U936" s="342"/>
      <c r="V936" s="342" t="s">
        <v>943</v>
      </c>
    </row>
    <row r="937" customHeight="1" spans="1:22">
      <c r="A937" s="343" t="s">
        <v>192</v>
      </c>
      <c r="B937" s="343">
        <v>400036</v>
      </c>
      <c r="C937" s="343" t="s">
        <v>941</v>
      </c>
      <c r="D937" s="344">
        <v>1</v>
      </c>
      <c r="E937" s="343" t="s">
        <v>942</v>
      </c>
      <c r="F937" s="345">
        <v>44650</v>
      </c>
      <c r="G937" s="345">
        <v>44650</v>
      </c>
      <c r="H937" s="343">
        <v>202204</v>
      </c>
      <c r="I937" s="344" t="s">
        <v>465</v>
      </c>
      <c r="J937" s="342">
        <v>11</v>
      </c>
      <c r="K937" s="346">
        <v>6567.2</v>
      </c>
      <c r="L937" s="346"/>
      <c r="M937" s="346">
        <f t="shared" si="15"/>
        <v>6567.2</v>
      </c>
      <c r="N937" s="346">
        <f t="shared" si="16"/>
        <v>0</v>
      </c>
      <c r="O937" s="342">
        <v>415.92</v>
      </c>
      <c r="P937" s="347">
        <v>0</v>
      </c>
      <c r="Q937" s="347">
        <v>0</v>
      </c>
      <c r="R937" s="342">
        <v>0</v>
      </c>
      <c r="S937" s="347">
        <v>0</v>
      </c>
      <c r="T937" s="341"/>
      <c r="U937" s="342"/>
      <c r="V937" s="342" t="s">
        <v>943</v>
      </c>
    </row>
    <row r="938" customHeight="1" spans="1:22">
      <c r="A938" s="343" t="s">
        <v>192</v>
      </c>
      <c r="B938" s="343">
        <v>400037</v>
      </c>
      <c r="C938" s="343" t="s">
        <v>941</v>
      </c>
      <c r="D938" s="344">
        <v>1</v>
      </c>
      <c r="E938" s="343" t="s">
        <v>942</v>
      </c>
      <c r="F938" s="345">
        <v>44650</v>
      </c>
      <c r="G938" s="345">
        <v>44650</v>
      </c>
      <c r="H938" s="343">
        <v>202204</v>
      </c>
      <c r="I938" s="344" t="s">
        <v>465</v>
      </c>
      <c r="J938" s="342">
        <v>11</v>
      </c>
      <c r="K938" s="346">
        <v>6567.2</v>
      </c>
      <c r="L938" s="346"/>
      <c r="M938" s="346">
        <f t="shared" si="15"/>
        <v>6567.2</v>
      </c>
      <c r="N938" s="346">
        <f t="shared" si="16"/>
        <v>0</v>
      </c>
      <c r="O938" s="342">
        <v>415.92</v>
      </c>
      <c r="P938" s="347">
        <v>0</v>
      </c>
      <c r="Q938" s="347">
        <v>0</v>
      </c>
      <c r="R938" s="342">
        <v>0</v>
      </c>
      <c r="S938" s="347">
        <v>0</v>
      </c>
      <c r="T938" s="341"/>
      <c r="U938" s="342"/>
      <c r="V938" s="342" t="s">
        <v>943</v>
      </c>
    </row>
    <row r="939" customHeight="1" spans="1:22">
      <c r="A939" s="343" t="s">
        <v>192</v>
      </c>
      <c r="B939" s="343">
        <v>400038</v>
      </c>
      <c r="C939" s="343" t="s">
        <v>941</v>
      </c>
      <c r="D939" s="344">
        <v>1</v>
      </c>
      <c r="E939" s="343" t="s">
        <v>942</v>
      </c>
      <c r="F939" s="345">
        <v>44650</v>
      </c>
      <c r="G939" s="345">
        <v>44650</v>
      </c>
      <c r="H939" s="343">
        <v>202204</v>
      </c>
      <c r="I939" s="344" t="s">
        <v>465</v>
      </c>
      <c r="J939" s="342">
        <v>11</v>
      </c>
      <c r="K939" s="346">
        <v>197016</v>
      </c>
      <c r="L939" s="346"/>
      <c r="M939" s="346">
        <f t="shared" si="15"/>
        <v>197016</v>
      </c>
      <c r="N939" s="346">
        <f t="shared" si="16"/>
        <v>0</v>
      </c>
      <c r="O939" s="342">
        <v>12477.68</v>
      </c>
      <c r="P939" s="347">
        <v>0</v>
      </c>
      <c r="Q939" s="347">
        <v>0</v>
      </c>
      <c r="R939" s="342">
        <v>0</v>
      </c>
      <c r="S939" s="347">
        <v>0</v>
      </c>
      <c r="T939" s="341"/>
      <c r="U939" s="342"/>
      <c r="V939" s="342" t="s">
        <v>943</v>
      </c>
    </row>
    <row r="940" customHeight="1" spans="1:22">
      <c r="A940" s="343" t="s">
        <v>192</v>
      </c>
      <c r="B940" s="343">
        <v>400039</v>
      </c>
      <c r="C940" s="343" t="s">
        <v>941</v>
      </c>
      <c r="D940" s="344">
        <v>1</v>
      </c>
      <c r="E940" s="343" t="s">
        <v>942</v>
      </c>
      <c r="F940" s="345">
        <v>44650</v>
      </c>
      <c r="G940" s="345">
        <v>44650</v>
      </c>
      <c r="H940" s="343">
        <v>202204</v>
      </c>
      <c r="I940" s="344" t="s">
        <v>465</v>
      </c>
      <c r="J940" s="342">
        <v>11</v>
      </c>
      <c r="K940" s="346">
        <v>6567.2</v>
      </c>
      <c r="L940" s="346"/>
      <c r="M940" s="346">
        <f t="shared" si="15"/>
        <v>6567.2</v>
      </c>
      <c r="N940" s="346">
        <f t="shared" si="16"/>
        <v>0</v>
      </c>
      <c r="O940" s="342">
        <v>415.92</v>
      </c>
      <c r="P940" s="347">
        <v>0</v>
      </c>
      <c r="Q940" s="347">
        <v>0</v>
      </c>
      <c r="R940" s="342">
        <v>0</v>
      </c>
      <c r="S940" s="347">
        <v>0</v>
      </c>
      <c r="T940" s="341"/>
      <c r="U940" s="342"/>
      <c r="V940" s="342" t="s">
        <v>943</v>
      </c>
    </row>
    <row r="941" customHeight="1" spans="1:22">
      <c r="A941" s="343" t="s">
        <v>192</v>
      </c>
      <c r="B941" s="343">
        <v>400040</v>
      </c>
      <c r="C941" s="343" t="s">
        <v>941</v>
      </c>
      <c r="D941" s="344">
        <v>1</v>
      </c>
      <c r="E941" s="343" t="s">
        <v>942</v>
      </c>
      <c r="F941" s="345">
        <v>44650</v>
      </c>
      <c r="G941" s="345">
        <v>44650</v>
      </c>
      <c r="H941" s="343">
        <v>202204</v>
      </c>
      <c r="I941" s="344" t="s">
        <v>465</v>
      </c>
      <c r="J941" s="342">
        <v>11</v>
      </c>
      <c r="K941" s="346">
        <v>6567.2</v>
      </c>
      <c r="L941" s="346"/>
      <c r="M941" s="346">
        <f t="shared" si="15"/>
        <v>6567.2</v>
      </c>
      <c r="N941" s="346">
        <f t="shared" si="16"/>
        <v>0</v>
      </c>
      <c r="O941" s="342">
        <v>415.92</v>
      </c>
      <c r="P941" s="347">
        <v>0</v>
      </c>
      <c r="Q941" s="347">
        <v>0</v>
      </c>
      <c r="R941" s="342">
        <v>0</v>
      </c>
      <c r="S941" s="347">
        <v>0</v>
      </c>
      <c r="T941" s="341"/>
      <c r="U941" s="342"/>
      <c r="V941" s="342" t="s">
        <v>943</v>
      </c>
    </row>
    <row r="942" customHeight="1" spans="1:22">
      <c r="A942" s="343" t="s">
        <v>192</v>
      </c>
      <c r="B942" s="343">
        <v>400041</v>
      </c>
      <c r="C942" s="343" t="s">
        <v>941</v>
      </c>
      <c r="D942" s="344">
        <v>1</v>
      </c>
      <c r="E942" s="343" t="s">
        <v>942</v>
      </c>
      <c r="F942" s="345">
        <v>44650</v>
      </c>
      <c r="G942" s="345">
        <v>44650</v>
      </c>
      <c r="H942" s="343">
        <v>202204</v>
      </c>
      <c r="I942" s="344" t="s">
        <v>465</v>
      </c>
      <c r="J942" s="342">
        <v>11</v>
      </c>
      <c r="K942" s="346">
        <v>197016</v>
      </c>
      <c r="L942" s="346"/>
      <c r="M942" s="346">
        <f t="shared" si="15"/>
        <v>197016</v>
      </c>
      <c r="N942" s="346">
        <f t="shared" si="16"/>
        <v>0</v>
      </c>
      <c r="O942" s="342">
        <v>12477.68</v>
      </c>
      <c r="P942" s="347">
        <v>0</v>
      </c>
      <c r="Q942" s="347">
        <v>0</v>
      </c>
      <c r="R942" s="342">
        <v>0</v>
      </c>
      <c r="S942" s="347">
        <v>0</v>
      </c>
      <c r="T942" s="341"/>
      <c r="U942" s="342"/>
      <c r="V942" s="342" t="s">
        <v>943</v>
      </c>
    </row>
    <row r="943" customHeight="1" spans="1:22">
      <c r="A943" s="343" t="s">
        <v>192</v>
      </c>
      <c r="B943" s="343">
        <v>400042</v>
      </c>
      <c r="C943" s="343" t="s">
        <v>941</v>
      </c>
      <c r="D943" s="344">
        <v>1</v>
      </c>
      <c r="E943" s="343" t="s">
        <v>942</v>
      </c>
      <c r="F943" s="345">
        <v>44650</v>
      </c>
      <c r="G943" s="345">
        <v>44650</v>
      </c>
      <c r="H943" s="343">
        <v>202204</v>
      </c>
      <c r="I943" s="344" t="s">
        <v>465</v>
      </c>
      <c r="J943" s="342">
        <v>11</v>
      </c>
      <c r="K943" s="346">
        <v>6567.2</v>
      </c>
      <c r="L943" s="346"/>
      <c r="M943" s="346">
        <f t="shared" si="15"/>
        <v>6567.2</v>
      </c>
      <c r="N943" s="346">
        <f t="shared" si="16"/>
        <v>0</v>
      </c>
      <c r="O943" s="342">
        <v>415.92</v>
      </c>
      <c r="P943" s="347">
        <v>0</v>
      </c>
      <c r="Q943" s="347">
        <v>0</v>
      </c>
      <c r="R943" s="342">
        <v>0</v>
      </c>
      <c r="S943" s="347">
        <v>0</v>
      </c>
      <c r="T943" s="341"/>
      <c r="U943" s="342"/>
      <c r="V943" s="342" t="s">
        <v>943</v>
      </c>
    </row>
    <row r="944" customHeight="1" spans="1:22">
      <c r="A944" s="343" t="s">
        <v>192</v>
      </c>
      <c r="B944" s="343">
        <v>400043</v>
      </c>
      <c r="C944" s="343" t="s">
        <v>941</v>
      </c>
      <c r="D944" s="344">
        <v>1</v>
      </c>
      <c r="E944" s="343" t="s">
        <v>942</v>
      </c>
      <c r="F944" s="345">
        <v>44650</v>
      </c>
      <c r="G944" s="345">
        <v>44650</v>
      </c>
      <c r="H944" s="343">
        <v>202204</v>
      </c>
      <c r="I944" s="344" t="s">
        <v>465</v>
      </c>
      <c r="J944" s="342">
        <v>11</v>
      </c>
      <c r="K944" s="346">
        <v>6567.2</v>
      </c>
      <c r="L944" s="346"/>
      <c r="M944" s="346">
        <f t="shared" si="15"/>
        <v>6567.2</v>
      </c>
      <c r="N944" s="346">
        <f t="shared" si="16"/>
        <v>0</v>
      </c>
      <c r="O944" s="342">
        <v>415.92</v>
      </c>
      <c r="P944" s="347">
        <v>0</v>
      </c>
      <c r="Q944" s="347">
        <v>0</v>
      </c>
      <c r="R944" s="342">
        <v>0</v>
      </c>
      <c r="S944" s="347">
        <v>0</v>
      </c>
      <c r="T944" s="341"/>
      <c r="U944" s="342"/>
      <c r="V944" s="342" t="s">
        <v>943</v>
      </c>
    </row>
    <row r="945" customHeight="1" spans="1:22">
      <c r="A945" s="343" t="s">
        <v>192</v>
      </c>
      <c r="B945" s="343">
        <v>400044</v>
      </c>
      <c r="C945" s="343" t="s">
        <v>941</v>
      </c>
      <c r="D945" s="344">
        <v>1</v>
      </c>
      <c r="E945" s="343" t="s">
        <v>942</v>
      </c>
      <c r="F945" s="345">
        <v>44650</v>
      </c>
      <c r="G945" s="345">
        <v>44650</v>
      </c>
      <c r="H945" s="343">
        <v>202204</v>
      </c>
      <c r="I945" s="344" t="s">
        <v>465</v>
      </c>
      <c r="J945" s="342">
        <v>11</v>
      </c>
      <c r="K945" s="346">
        <v>6567.2</v>
      </c>
      <c r="L945" s="346"/>
      <c r="M945" s="346">
        <f t="shared" si="15"/>
        <v>6567.2</v>
      </c>
      <c r="N945" s="346">
        <f t="shared" si="16"/>
        <v>0</v>
      </c>
      <c r="O945" s="342">
        <v>415.92</v>
      </c>
      <c r="P945" s="347">
        <v>0</v>
      </c>
      <c r="Q945" s="347">
        <v>0</v>
      </c>
      <c r="R945" s="342">
        <v>0</v>
      </c>
      <c r="S945" s="347">
        <v>0</v>
      </c>
      <c r="T945" s="341"/>
      <c r="U945" s="342"/>
      <c r="V945" s="342" t="s">
        <v>943</v>
      </c>
    </row>
    <row r="946" customHeight="1" spans="1:22">
      <c r="A946" s="343" t="s">
        <v>192</v>
      </c>
      <c r="B946" s="343">
        <v>400045</v>
      </c>
      <c r="C946" s="343" t="s">
        <v>941</v>
      </c>
      <c r="D946" s="344">
        <v>1</v>
      </c>
      <c r="E946" s="343" t="s">
        <v>942</v>
      </c>
      <c r="F946" s="345">
        <v>44650</v>
      </c>
      <c r="G946" s="345">
        <v>44650</v>
      </c>
      <c r="H946" s="343">
        <v>202204</v>
      </c>
      <c r="I946" s="344" t="s">
        <v>465</v>
      </c>
      <c r="J946" s="342">
        <v>11</v>
      </c>
      <c r="K946" s="346">
        <v>6567.2</v>
      </c>
      <c r="L946" s="346"/>
      <c r="M946" s="346">
        <f t="shared" si="15"/>
        <v>6567.2</v>
      </c>
      <c r="N946" s="346">
        <f t="shared" si="16"/>
        <v>0</v>
      </c>
      <c r="O946" s="342">
        <v>415.92</v>
      </c>
      <c r="P946" s="347">
        <v>0</v>
      </c>
      <c r="Q946" s="347">
        <v>0</v>
      </c>
      <c r="R946" s="342">
        <v>0</v>
      </c>
      <c r="S946" s="347">
        <v>0</v>
      </c>
      <c r="T946" s="341"/>
      <c r="U946" s="342"/>
      <c r="V946" s="342" t="s">
        <v>943</v>
      </c>
    </row>
    <row r="947" customHeight="1" spans="1:22">
      <c r="A947" s="343" t="s">
        <v>192</v>
      </c>
      <c r="B947" s="343">
        <v>400046</v>
      </c>
      <c r="C947" s="343" t="s">
        <v>941</v>
      </c>
      <c r="D947" s="344">
        <v>1</v>
      </c>
      <c r="E947" s="343" t="s">
        <v>942</v>
      </c>
      <c r="F947" s="345">
        <v>44650</v>
      </c>
      <c r="G947" s="345">
        <v>44650</v>
      </c>
      <c r="H947" s="343">
        <v>202204</v>
      </c>
      <c r="I947" s="344" t="s">
        <v>465</v>
      </c>
      <c r="J947" s="342">
        <v>11</v>
      </c>
      <c r="K947" s="346">
        <v>6567.2</v>
      </c>
      <c r="L947" s="346"/>
      <c r="M947" s="346">
        <f t="shared" si="15"/>
        <v>6567.2</v>
      </c>
      <c r="N947" s="346">
        <f t="shared" si="16"/>
        <v>0</v>
      </c>
      <c r="O947" s="342">
        <v>415.92</v>
      </c>
      <c r="P947" s="347">
        <v>0</v>
      </c>
      <c r="Q947" s="347">
        <v>0</v>
      </c>
      <c r="R947" s="342">
        <v>0</v>
      </c>
      <c r="S947" s="347">
        <v>0</v>
      </c>
      <c r="T947" s="341"/>
      <c r="U947" s="342"/>
      <c r="V947" s="342" t="s">
        <v>943</v>
      </c>
    </row>
    <row r="948" customHeight="1" spans="1:22">
      <c r="A948" s="343" t="s">
        <v>192</v>
      </c>
      <c r="B948" s="343">
        <v>400047</v>
      </c>
      <c r="C948" s="343" t="s">
        <v>941</v>
      </c>
      <c r="D948" s="344">
        <v>1</v>
      </c>
      <c r="E948" s="343" t="s">
        <v>942</v>
      </c>
      <c r="F948" s="345">
        <v>44650</v>
      </c>
      <c r="G948" s="345">
        <v>44650</v>
      </c>
      <c r="H948" s="343">
        <v>202204</v>
      </c>
      <c r="I948" s="344" t="s">
        <v>465</v>
      </c>
      <c r="J948" s="342">
        <v>11</v>
      </c>
      <c r="K948" s="346">
        <v>6567.2</v>
      </c>
      <c r="L948" s="346"/>
      <c r="M948" s="346">
        <f t="shared" si="15"/>
        <v>6567.2</v>
      </c>
      <c r="N948" s="346">
        <f t="shared" si="16"/>
        <v>0</v>
      </c>
      <c r="O948" s="342">
        <v>415.92</v>
      </c>
      <c r="P948" s="347">
        <v>0</v>
      </c>
      <c r="Q948" s="347">
        <v>0</v>
      </c>
      <c r="R948" s="342">
        <v>0</v>
      </c>
      <c r="S948" s="347">
        <v>0</v>
      </c>
      <c r="T948" s="341"/>
      <c r="U948" s="342"/>
      <c r="V948" s="342" t="s">
        <v>943</v>
      </c>
    </row>
    <row r="949" customHeight="1" spans="1:22">
      <c r="A949" s="343" t="s">
        <v>192</v>
      </c>
      <c r="B949" s="343">
        <v>400048</v>
      </c>
      <c r="C949" s="343" t="s">
        <v>941</v>
      </c>
      <c r="D949" s="344">
        <v>1</v>
      </c>
      <c r="E949" s="343" t="s">
        <v>942</v>
      </c>
      <c r="F949" s="345">
        <v>44650</v>
      </c>
      <c r="G949" s="345">
        <v>44650</v>
      </c>
      <c r="H949" s="343">
        <v>202204</v>
      </c>
      <c r="I949" s="344" t="s">
        <v>465</v>
      </c>
      <c r="J949" s="342">
        <v>11</v>
      </c>
      <c r="K949" s="346">
        <v>6567.2</v>
      </c>
      <c r="L949" s="346"/>
      <c r="M949" s="346">
        <f t="shared" si="15"/>
        <v>6567.2</v>
      </c>
      <c r="N949" s="346">
        <f t="shared" si="16"/>
        <v>0</v>
      </c>
      <c r="O949" s="342">
        <v>415.92</v>
      </c>
      <c r="P949" s="347">
        <v>0</v>
      </c>
      <c r="Q949" s="347">
        <v>0</v>
      </c>
      <c r="R949" s="342">
        <v>0</v>
      </c>
      <c r="S949" s="347">
        <v>0</v>
      </c>
      <c r="T949" s="341"/>
      <c r="U949" s="342"/>
      <c r="V949" s="342" t="s">
        <v>943</v>
      </c>
    </row>
    <row r="950" customHeight="1" spans="1:22">
      <c r="A950" s="343" t="s">
        <v>192</v>
      </c>
      <c r="B950" s="343">
        <v>400049</v>
      </c>
      <c r="C950" s="343" t="s">
        <v>941</v>
      </c>
      <c r="D950" s="344">
        <v>1</v>
      </c>
      <c r="E950" s="343" t="s">
        <v>942</v>
      </c>
      <c r="F950" s="345">
        <v>44650</v>
      </c>
      <c r="G950" s="345">
        <v>44650</v>
      </c>
      <c r="H950" s="343">
        <v>202204</v>
      </c>
      <c r="I950" s="344" t="s">
        <v>465</v>
      </c>
      <c r="J950" s="342">
        <v>11</v>
      </c>
      <c r="K950" s="346">
        <v>197016</v>
      </c>
      <c r="L950" s="346"/>
      <c r="M950" s="346">
        <f t="shared" si="15"/>
        <v>197016</v>
      </c>
      <c r="N950" s="346">
        <f t="shared" si="16"/>
        <v>0</v>
      </c>
      <c r="O950" s="342">
        <v>12477.68</v>
      </c>
      <c r="P950" s="347">
        <v>0</v>
      </c>
      <c r="Q950" s="347">
        <v>0</v>
      </c>
      <c r="R950" s="342">
        <v>0</v>
      </c>
      <c r="S950" s="347">
        <v>0</v>
      </c>
      <c r="T950" s="341"/>
      <c r="U950" s="342"/>
      <c r="V950" s="342" t="s">
        <v>943</v>
      </c>
    </row>
    <row r="951" customHeight="1" spans="1:22">
      <c r="A951" s="343" t="s">
        <v>192</v>
      </c>
      <c r="B951" s="343">
        <v>400050</v>
      </c>
      <c r="C951" s="343" t="s">
        <v>941</v>
      </c>
      <c r="D951" s="344">
        <v>1</v>
      </c>
      <c r="E951" s="343" t="s">
        <v>942</v>
      </c>
      <c r="F951" s="345">
        <v>44650</v>
      </c>
      <c r="G951" s="345">
        <v>44650</v>
      </c>
      <c r="H951" s="343">
        <v>202204</v>
      </c>
      <c r="I951" s="344" t="s">
        <v>465</v>
      </c>
      <c r="J951" s="342">
        <v>11</v>
      </c>
      <c r="K951" s="346">
        <v>6567.2</v>
      </c>
      <c r="L951" s="346"/>
      <c r="M951" s="346">
        <f t="shared" si="15"/>
        <v>6567.2</v>
      </c>
      <c r="N951" s="346">
        <f t="shared" si="16"/>
        <v>0</v>
      </c>
      <c r="O951" s="342">
        <v>415.92</v>
      </c>
      <c r="P951" s="347">
        <v>0</v>
      </c>
      <c r="Q951" s="347">
        <v>0</v>
      </c>
      <c r="R951" s="342">
        <v>0</v>
      </c>
      <c r="S951" s="347">
        <v>0</v>
      </c>
      <c r="T951" s="341"/>
      <c r="U951" s="342"/>
      <c r="V951" s="342" t="s">
        <v>943</v>
      </c>
    </row>
    <row r="952" customHeight="1" spans="1:22">
      <c r="A952" s="343" t="s">
        <v>192</v>
      </c>
      <c r="B952" s="343">
        <v>400001</v>
      </c>
      <c r="C952" s="343" t="s">
        <v>944</v>
      </c>
      <c r="D952" s="344">
        <v>1</v>
      </c>
      <c r="E952" s="343" t="s">
        <v>942</v>
      </c>
      <c r="F952" s="345">
        <v>44641</v>
      </c>
      <c r="G952" s="345">
        <v>44641</v>
      </c>
      <c r="H952" s="343">
        <v>202204</v>
      </c>
      <c r="I952" s="344" t="s">
        <v>465</v>
      </c>
      <c r="J952" s="342">
        <v>11</v>
      </c>
      <c r="K952" s="346">
        <v>500617.66</v>
      </c>
      <c r="L952" s="346"/>
      <c r="M952" s="346">
        <f t="shared" si="15"/>
        <v>500617.66</v>
      </c>
      <c r="N952" s="346">
        <f t="shared" si="16"/>
        <v>0</v>
      </c>
      <c r="O952" s="342">
        <v>31705.82</v>
      </c>
      <c r="P952" s="347">
        <v>0</v>
      </c>
      <c r="Q952" s="347">
        <v>0</v>
      </c>
      <c r="R952" s="342">
        <v>0</v>
      </c>
      <c r="S952" s="347">
        <v>0</v>
      </c>
      <c r="T952" s="341"/>
      <c r="U952" s="342"/>
      <c r="V952" s="342" t="s">
        <v>943</v>
      </c>
    </row>
    <row r="953" customHeight="1" spans="1:22">
      <c r="A953" s="343" t="s">
        <v>192</v>
      </c>
      <c r="B953" s="343">
        <v>400003</v>
      </c>
      <c r="C953" s="343" t="s">
        <v>941</v>
      </c>
      <c r="D953" s="344">
        <v>1</v>
      </c>
      <c r="E953" s="343" t="s">
        <v>942</v>
      </c>
      <c r="F953" s="345">
        <v>44650</v>
      </c>
      <c r="G953" s="345">
        <v>44650</v>
      </c>
      <c r="H953" s="343">
        <v>202204</v>
      </c>
      <c r="I953" s="344" t="s">
        <v>465</v>
      </c>
      <c r="J953" s="342">
        <v>11</v>
      </c>
      <c r="K953" s="346">
        <v>197016</v>
      </c>
      <c r="L953" s="346"/>
      <c r="M953" s="346">
        <f t="shared" si="15"/>
        <v>197016</v>
      </c>
      <c r="N953" s="346">
        <f t="shared" si="16"/>
        <v>0</v>
      </c>
      <c r="O953" s="342">
        <v>12477.68</v>
      </c>
      <c r="P953" s="347">
        <v>0</v>
      </c>
      <c r="Q953" s="347">
        <v>0</v>
      </c>
      <c r="R953" s="342">
        <v>0</v>
      </c>
      <c r="S953" s="347">
        <v>0</v>
      </c>
      <c r="T953" s="341"/>
      <c r="U953" s="342"/>
      <c r="V953" s="342" t="s">
        <v>943</v>
      </c>
    </row>
    <row r="954" customHeight="1" spans="1:22">
      <c r="A954" s="343" t="s">
        <v>192</v>
      </c>
      <c r="B954" s="343">
        <v>400004</v>
      </c>
      <c r="C954" s="343" t="s">
        <v>941</v>
      </c>
      <c r="D954" s="344">
        <v>1</v>
      </c>
      <c r="E954" s="343" t="s">
        <v>942</v>
      </c>
      <c r="F954" s="345">
        <v>44650</v>
      </c>
      <c r="G954" s="345">
        <v>44650</v>
      </c>
      <c r="H954" s="343">
        <v>202204</v>
      </c>
      <c r="I954" s="344" t="s">
        <v>465</v>
      </c>
      <c r="J954" s="342">
        <v>11</v>
      </c>
      <c r="K954" s="346">
        <v>95224.4</v>
      </c>
      <c r="L954" s="346"/>
      <c r="M954" s="346">
        <f t="shared" si="15"/>
        <v>95224.4</v>
      </c>
      <c r="N954" s="346">
        <f t="shared" si="16"/>
        <v>0</v>
      </c>
      <c r="O954" s="342">
        <v>6030.88</v>
      </c>
      <c r="P954" s="347">
        <v>0</v>
      </c>
      <c r="Q954" s="347">
        <v>0</v>
      </c>
      <c r="R954" s="342">
        <v>0</v>
      </c>
      <c r="S954" s="347">
        <v>0</v>
      </c>
      <c r="T954" s="341"/>
      <c r="U954" s="342"/>
      <c r="V954" s="342" t="s">
        <v>943</v>
      </c>
    </row>
    <row r="955" customHeight="1" spans="1:22">
      <c r="A955" s="343" t="s">
        <v>192</v>
      </c>
      <c r="B955" s="343">
        <v>400005</v>
      </c>
      <c r="C955" s="343" t="s">
        <v>941</v>
      </c>
      <c r="D955" s="344">
        <v>1</v>
      </c>
      <c r="E955" s="343" t="s">
        <v>942</v>
      </c>
      <c r="F955" s="345">
        <v>44650</v>
      </c>
      <c r="G955" s="345">
        <v>44650</v>
      </c>
      <c r="H955" s="343">
        <v>202204</v>
      </c>
      <c r="I955" s="344" t="s">
        <v>465</v>
      </c>
      <c r="J955" s="342">
        <v>11</v>
      </c>
      <c r="K955" s="346">
        <v>6567.2</v>
      </c>
      <c r="L955" s="346"/>
      <c r="M955" s="346">
        <f t="shared" si="15"/>
        <v>6567.2</v>
      </c>
      <c r="N955" s="346">
        <f t="shared" si="16"/>
        <v>0</v>
      </c>
      <c r="O955" s="342">
        <v>415.92</v>
      </c>
      <c r="P955" s="347">
        <v>0</v>
      </c>
      <c r="Q955" s="347">
        <v>0</v>
      </c>
      <c r="R955" s="342">
        <v>0</v>
      </c>
      <c r="S955" s="347">
        <v>0</v>
      </c>
      <c r="T955" s="341"/>
      <c r="U955" s="342"/>
      <c r="V955" s="342" t="s">
        <v>943</v>
      </c>
    </row>
    <row r="956" customHeight="1" spans="1:22">
      <c r="A956" s="343" t="s">
        <v>192</v>
      </c>
      <c r="B956" s="343">
        <v>400006</v>
      </c>
      <c r="C956" s="343" t="s">
        <v>941</v>
      </c>
      <c r="D956" s="344">
        <v>1</v>
      </c>
      <c r="E956" s="343" t="s">
        <v>942</v>
      </c>
      <c r="F956" s="345">
        <v>44650</v>
      </c>
      <c r="G956" s="345">
        <v>44650</v>
      </c>
      <c r="H956" s="343">
        <v>202204</v>
      </c>
      <c r="I956" s="344" t="s">
        <v>465</v>
      </c>
      <c r="J956" s="342">
        <v>11</v>
      </c>
      <c r="K956" s="346">
        <v>197016</v>
      </c>
      <c r="L956" s="346"/>
      <c r="M956" s="346">
        <f t="shared" si="15"/>
        <v>197016</v>
      </c>
      <c r="N956" s="346">
        <f t="shared" si="16"/>
        <v>0</v>
      </c>
      <c r="O956" s="342">
        <v>12477.68</v>
      </c>
      <c r="P956" s="347">
        <v>0</v>
      </c>
      <c r="Q956" s="347">
        <v>0</v>
      </c>
      <c r="R956" s="342">
        <v>0</v>
      </c>
      <c r="S956" s="347">
        <v>0</v>
      </c>
      <c r="T956" s="341"/>
      <c r="U956" s="342"/>
      <c r="V956" s="342" t="s">
        <v>943</v>
      </c>
    </row>
    <row r="957" customHeight="1" spans="1:22">
      <c r="A957" s="343" t="s">
        <v>192</v>
      </c>
      <c r="B957" s="343">
        <v>400007</v>
      </c>
      <c r="C957" s="343" t="s">
        <v>941</v>
      </c>
      <c r="D957" s="344">
        <v>1</v>
      </c>
      <c r="E957" s="343" t="s">
        <v>942</v>
      </c>
      <c r="F957" s="345">
        <v>44650</v>
      </c>
      <c r="G957" s="345">
        <v>44650</v>
      </c>
      <c r="H957" s="343">
        <v>202204</v>
      </c>
      <c r="I957" s="344" t="s">
        <v>465</v>
      </c>
      <c r="J957" s="342">
        <v>11</v>
      </c>
      <c r="K957" s="346">
        <v>203583.2</v>
      </c>
      <c r="L957" s="346"/>
      <c r="M957" s="346">
        <f t="shared" si="15"/>
        <v>203583.2</v>
      </c>
      <c r="N957" s="346">
        <f t="shared" si="16"/>
        <v>0</v>
      </c>
      <c r="O957" s="342">
        <v>12893.6</v>
      </c>
      <c r="P957" s="347">
        <v>0</v>
      </c>
      <c r="Q957" s="347">
        <v>0</v>
      </c>
      <c r="R957" s="342">
        <v>0</v>
      </c>
      <c r="S957" s="347">
        <v>0</v>
      </c>
      <c r="T957" s="341"/>
      <c r="U957" s="342"/>
      <c r="V957" s="342" t="s">
        <v>943</v>
      </c>
    </row>
    <row r="958" customHeight="1" spans="1:22">
      <c r="A958" s="343" t="s">
        <v>192</v>
      </c>
      <c r="B958" s="343">
        <v>400008</v>
      </c>
      <c r="C958" s="343" t="s">
        <v>941</v>
      </c>
      <c r="D958" s="344">
        <v>1</v>
      </c>
      <c r="E958" s="343" t="s">
        <v>942</v>
      </c>
      <c r="F958" s="345">
        <v>44650</v>
      </c>
      <c r="G958" s="345">
        <v>44650</v>
      </c>
      <c r="H958" s="343">
        <v>202204</v>
      </c>
      <c r="I958" s="344" t="s">
        <v>465</v>
      </c>
      <c r="J958" s="342">
        <v>11</v>
      </c>
      <c r="K958" s="346">
        <v>6567.2</v>
      </c>
      <c r="L958" s="346"/>
      <c r="M958" s="346">
        <f t="shared" si="15"/>
        <v>6567.2</v>
      </c>
      <c r="N958" s="346">
        <f t="shared" si="16"/>
        <v>0</v>
      </c>
      <c r="O958" s="342">
        <v>415.92</v>
      </c>
      <c r="P958" s="347">
        <v>0</v>
      </c>
      <c r="Q958" s="347">
        <v>0</v>
      </c>
      <c r="R958" s="342">
        <v>0</v>
      </c>
      <c r="S958" s="347">
        <v>0</v>
      </c>
      <c r="T958" s="341"/>
      <c r="U958" s="342"/>
      <c r="V958" s="342" t="s">
        <v>943</v>
      </c>
    </row>
    <row r="959" customHeight="1" spans="1:22">
      <c r="A959" s="343" t="s">
        <v>192</v>
      </c>
      <c r="B959" s="343">
        <v>400009</v>
      </c>
      <c r="C959" s="343" t="s">
        <v>941</v>
      </c>
      <c r="D959" s="344">
        <v>1</v>
      </c>
      <c r="E959" s="343" t="s">
        <v>942</v>
      </c>
      <c r="F959" s="345">
        <v>44650</v>
      </c>
      <c r="G959" s="345">
        <v>44650</v>
      </c>
      <c r="H959" s="343">
        <v>202204</v>
      </c>
      <c r="I959" s="344" t="s">
        <v>465</v>
      </c>
      <c r="J959" s="342">
        <v>11</v>
      </c>
      <c r="K959" s="346">
        <v>6567.2</v>
      </c>
      <c r="L959" s="346"/>
      <c r="M959" s="346">
        <f t="shared" si="15"/>
        <v>6567.2</v>
      </c>
      <c r="N959" s="346">
        <f t="shared" si="16"/>
        <v>0</v>
      </c>
      <c r="O959" s="342">
        <v>415.92</v>
      </c>
      <c r="P959" s="347">
        <v>0</v>
      </c>
      <c r="Q959" s="347">
        <v>0</v>
      </c>
      <c r="R959" s="342">
        <v>0</v>
      </c>
      <c r="S959" s="347">
        <v>0</v>
      </c>
      <c r="T959" s="341"/>
      <c r="U959" s="342"/>
      <c r="V959" s="342" t="s">
        <v>943</v>
      </c>
    </row>
    <row r="960" customHeight="1" spans="1:22">
      <c r="A960" s="343" t="s">
        <v>192</v>
      </c>
      <c r="B960" s="343">
        <v>400010</v>
      </c>
      <c r="C960" s="343" t="s">
        <v>941</v>
      </c>
      <c r="D960" s="344">
        <v>1</v>
      </c>
      <c r="E960" s="343" t="s">
        <v>942</v>
      </c>
      <c r="F960" s="345">
        <v>44650</v>
      </c>
      <c r="G960" s="345">
        <v>44650</v>
      </c>
      <c r="H960" s="343">
        <v>202204</v>
      </c>
      <c r="I960" s="344" t="s">
        <v>465</v>
      </c>
      <c r="J960" s="342">
        <v>11</v>
      </c>
      <c r="K960" s="346">
        <v>9850.8</v>
      </c>
      <c r="L960" s="346"/>
      <c r="M960" s="346">
        <f t="shared" si="15"/>
        <v>9850.8</v>
      </c>
      <c r="N960" s="346">
        <f t="shared" si="16"/>
        <v>0</v>
      </c>
      <c r="O960" s="342">
        <v>623.88</v>
      </c>
      <c r="P960" s="347">
        <v>0</v>
      </c>
      <c r="Q960" s="347">
        <v>0</v>
      </c>
      <c r="R960" s="342">
        <v>0</v>
      </c>
      <c r="S960" s="347">
        <v>0</v>
      </c>
      <c r="T960" s="341"/>
      <c r="U960" s="342"/>
      <c r="V960" s="342" t="s">
        <v>943</v>
      </c>
    </row>
    <row r="961" customHeight="1" spans="1:22">
      <c r="A961" s="343" t="s">
        <v>192</v>
      </c>
      <c r="B961" s="343">
        <v>400011</v>
      </c>
      <c r="C961" s="343" t="s">
        <v>941</v>
      </c>
      <c r="D961" s="344">
        <v>1</v>
      </c>
      <c r="E961" s="343" t="s">
        <v>942</v>
      </c>
      <c r="F961" s="345">
        <v>44650</v>
      </c>
      <c r="G961" s="345">
        <v>44650</v>
      </c>
      <c r="H961" s="343">
        <v>202204</v>
      </c>
      <c r="I961" s="344" t="s">
        <v>465</v>
      </c>
      <c r="J961" s="342">
        <v>11</v>
      </c>
      <c r="K961" s="346">
        <v>6567.2</v>
      </c>
      <c r="L961" s="346"/>
      <c r="M961" s="346">
        <f t="shared" si="15"/>
        <v>6567.2</v>
      </c>
      <c r="N961" s="346">
        <f t="shared" si="16"/>
        <v>0</v>
      </c>
      <c r="O961" s="342">
        <v>415.92</v>
      </c>
      <c r="P961" s="347">
        <v>0</v>
      </c>
      <c r="Q961" s="347">
        <v>0</v>
      </c>
      <c r="R961" s="342">
        <v>0</v>
      </c>
      <c r="S961" s="347">
        <v>0</v>
      </c>
      <c r="T961" s="341"/>
      <c r="U961" s="342"/>
      <c r="V961" s="342" t="s">
        <v>943</v>
      </c>
    </row>
    <row r="962" customHeight="1" spans="1:22">
      <c r="A962" s="343" t="s">
        <v>192</v>
      </c>
      <c r="B962" s="343">
        <v>400012</v>
      </c>
      <c r="C962" s="343" t="s">
        <v>941</v>
      </c>
      <c r="D962" s="344">
        <v>1</v>
      </c>
      <c r="E962" s="343" t="s">
        <v>942</v>
      </c>
      <c r="F962" s="345">
        <v>44650</v>
      </c>
      <c r="G962" s="345">
        <v>44650</v>
      </c>
      <c r="H962" s="343">
        <v>202204</v>
      </c>
      <c r="I962" s="344" t="s">
        <v>465</v>
      </c>
      <c r="J962" s="342">
        <v>11</v>
      </c>
      <c r="K962" s="346">
        <v>6567.2</v>
      </c>
      <c r="L962" s="346"/>
      <c r="M962" s="346">
        <f t="shared" si="15"/>
        <v>6567.2</v>
      </c>
      <c r="N962" s="346">
        <f t="shared" si="16"/>
        <v>0</v>
      </c>
      <c r="O962" s="342">
        <v>415.92</v>
      </c>
      <c r="P962" s="347">
        <v>0</v>
      </c>
      <c r="Q962" s="347">
        <v>0</v>
      </c>
      <c r="R962" s="342">
        <v>0</v>
      </c>
      <c r="S962" s="347">
        <v>0</v>
      </c>
      <c r="T962" s="341"/>
      <c r="U962" s="342"/>
      <c r="V962" s="342" t="s">
        <v>943</v>
      </c>
    </row>
    <row r="963" customHeight="1" spans="1:22">
      <c r="A963" s="343" t="s">
        <v>192</v>
      </c>
      <c r="B963" s="343">
        <v>400013</v>
      </c>
      <c r="C963" s="343" t="s">
        <v>941</v>
      </c>
      <c r="D963" s="344">
        <v>1</v>
      </c>
      <c r="E963" s="343" t="s">
        <v>942</v>
      </c>
      <c r="F963" s="345">
        <v>44650</v>
      </c>
      <c r="G963" s="345">
        <v>44650</v>
      </c>
      <c r="H963" s="343">
        <v>202204</v>
      </c>
      <c r="I963" s="344" t="s">
        <v>465</v>
      </c>
      <c r="J963" s="342">
        <v>11</v>
      </c>
      <c r="K963" s="346">
        <v>98508</v>
      </c>
      <c r="L963" s="346"/>
      <c r="M963" s="346">
        <f t="shared" si="15"/>
        <v>98508</v>
      </c>
      <c r="N963" s="346">
        <f t="shared" si="16"/>
        <v>0</v>
      </c>
      <c r="O963" s="342">
        <v>6238.84</v>
      </c>
      <c r="P963" s="347">
        <v>0</v>
      </c>
      <c r="Q963" s="347">
        <v>0</v>
      </c>
      <c r="R963" s="342">
        <v>0</v>
      </c>
      <c r="S963" s="347">
        <v>0</v>
      </c>
      <c r="T963" s="341"/>
      <c r="U963" s="342"/>
      <c r="V963" s="342" t="s">
        <v>943</v>
      </c>
    </row>
    <row r="964" customHeight="1" spans="1:22">
      <c r="A964" s="343" t="s">
        <v>192</v>
      </c>
      <c r="B964" s="343">
        <v>400014</v>
      </c>
      <c r="C964" s="343" t="s">
        <v>941</v>
      </c>
      <c r="D964" s="344">
        <v>1</v>
      </c>
      <c r="E964" s="343" t="s">
        <v>942</v>
      </c>
      <c r="F964" s="345">
        <v>44650</v>
      </c>
      <c r="G964" s="345">
        <v>44650</v>
      </c>
      <c r="H964" s="343">
        <v>202204</v>
      </c>
      <c r="I964" s="344" t="s">
        <v>465</v>
      </c>
      <c r="J964" s="342">
        <v>11</v>
      </c>
      <c r="K964" s="346">
        <v>45970.4</v>
      </c>
      <c r="L964" s="346"/>
      <c r="M964" s="346">
        <f t="shared" si="15"/>
        <v>45970.4</v>
      </c>
      <c r="N964" s="346">
        <f t="shared" si="16"/>
        <v>0</v>
      </c>
      <c r="O964" s="342">
        <v>2911.48</v>
      </c>
      <c r="P964" s="347">
        <v>0</v>
      </c>
      <c r="Q964" s="347">
        <v>0</v>
      </c>
      <c r="R964" s="342">
        <v>0</v>
      </c>
      <c r="S964" s="347">
        <v>0</v>
      </c>
      <c r="T964" s="341"/>
      <c r="U964" s="342"/>
      <c r="V964" s="342" t="s">
        <v>943</v>
      </c>
    </row>
    <row r="965" customHeight="1" spans="1:22">
      <c r="A965" s="343" t="s">
        <v>192</v>
      </c>
      <c r="B965" s="343">
        <v>400015</v>
      </c>
      <c r="C965" s="343" t="s">
        <v>941</v>
      </c>
      <c r="D965" s="344">
        <v>1</v>
      </c>
      <c r="E965" s="343" t="s">
        <v>942</v>
      </c>
      <c r="F965" s="345">
        <v>44650</v>
      </c>
      <c r="G965" s="345">
        <v>44650</v>
      </c>
      <c r="H965" s="343">
        <v>202204</v>
      </c>
      <c r="I965" s="344" t="s">
        <v>465</v>
      </c>
      <c r="J965" s="342">
        <v>11</v>
      </c>
      <c r="K965" s="346">
        <v>164180</v>
      </c>
      <c r="L965" s="346"/>
      <c r="M965" s="346">
        <f t="shared" si="15"/>
        <v>164180</v>
      </c>
      <c r="N965" s="346">
        <f t="shared" si="16"/>
        <v>0</v>
      </c>
      <c r="O965" s="342">
        <v>10398.06</v>
      </c>
      <c r="P965" s="347">
        <v>0</v>
      </c>
      <c r="Q965" s="347">
        <v>0</v>
      </c>
      <c r="R965" s="342">
        <v>0</v>
      </c>
      <c r="S965" s="347">
        <v>0</v>
      </c>
      <c r="T965" s="341"/>
      <c r="U965" s="342"/>
      <c r="V965" s="342" t="s">
        <v>943</v>
      </c>
    </row>
    <row r="966" customHeight="1" spans="1:22">
      <c r="A966" s="343" t="s">
        <v>192</v>
      </c>
      <c r="B966" s="343">
        <v>400016</v>
      </c>
      <c r="C966" s="343" t="s">
        <v>941</v>
      </c>
      <c r="D966" s="344">
        <v>1</v>
      </c>
      <c r="E966" s="343" t="s">
        <v>942</v>
      </c>
      <c r="F966" s="345">
        <v>44650</v>
      </c>
      <c r="G966" s="345">
        <v>44650</v>
      </c>
      <c r="H966" s="343">
        <v>202204</v>
      </c>
      <c r="I966" s="344" t="s">
        <v>465</v>
      </c>
      <c r="J966" s="342">
        <v>11</v>
      </c>
      <c r="K966" s="346">
        <v>197016</v>
      </c>
      <c r="L966" s="346"/>
      <c r="M966" s="346">
        <f t="shared" si="15"/>
        <v>197016</v>
      </c>
      <c r="N966" s="346">
        <f t="shared" si="16"/>
        <v>0</v>
      </c>
      <c r="O966" s="342">
        <v>12477.68</v>
      </c>
      <c r="P966" s="347">
        <v>0</v>
      </c>
      <c r="Q966" s="347">
        <v>0</v>
      </c>
      <c r="R966" s="342">
        <v>0</v>
      </c>
      <c r="S966" s="347">
        <v>0</v>
      </c>
      <c r="T966" s="341"/>
      <c r="U966" s="342"/>
      <c r="V966" s="342" t="s">
        <v>943</v>
      </c>
    </row>
    <row r="967" customHeight="1" spans="1:22">
      <c r="A967" s="343" t="s">
        <v>192</v>
      </c>
      <c r="B967" s="343">
        <v>400017</v>
      </c>
      <c r="C967" s="343" t="s">
        <v>941</v>
      </c>
      <c r="D967" s="344">
        <v>1</v>
      </c>
      <c r="E967" s="343" t="s">
        <v>942</v>
      </c>
      <c r="F967" s="345">
        <v>44650</v>
      </c>
      <c r="G967" s="345">
        <v>44650</v>
      </c>
      <c r="H967" s="343">
        <v>202204</v>
      </c>
      <c r="I967" s="344" t="s">
        <v>465</v>
      </c>
      <c r="J967" s="342">
        <v>11</v>
      </c>
      <c r="K967" s="346">
        <v>6567.2</v>
      </c>
      <c r="L967" s="346"/>
      <c r="M967" s="346">
        <f t="shared" si="15"/>
        <v>6567.2</v>
      </c>
      <c r="N967" s="346">
        <f t="shared" si="16"/>
        <v>0</v>
      </c>
      <c r="O967" s="342">
        <v>415.92</v>
      </c>
      <c r="P967" s="347">
        <v>0</v>
      </c>
      <c r="Q967" s="347">
        <v>0</v>
      </c>
      <c r="R967" s="342">
        <v>0</v>
      </c>
      <c r="S967" s="347">
        <v>0</v>
      </c>
      <c r="T967" s="341"/>
      <c r="U967" s="342"/>
      <c r="V967" s="342" t="s">
        <v>943</v>
      </c>
    </row>
    <row r="968" customHeight="1" spans="1:22">
      <c r="A968" s="343" t="s">
        <v>192</v>
      </c>
      <c r="B968" s="343">
        <v>400018</v>
      </c>
      <c r="C968" s="343" t="s">
        <v>941</v>
      </c>
      <c r="D968" s="344">
        <v>1</v>
      </c>
      <c r="E968" s="343" t="s">
        <v>942</v>
      </c>
      <c r="F968" s="345">
        <v>44650</v>
      </c>
      <c r="G968" s="345">
        <v>44650</v>
      </c>
      <c r="H968" s="343">
        <v>202204</v>
      </c>
      <c r="I968" s="344" t="s">
        <v>465</v>
      </c>
      <c r="J968" s="342">
        <v>11</v>
      </c>
      <c r="K968" s="346">
        <v>6567.2</v>
      </c>
      <c r="L968" s="346"/>
      <c r="M968" s="346">
        <f t="shared" si="15"/>
        <v>6567.2</v>
      </c>
      <c r="N968" s="346">
        <f t="shared" si="16"/>
        <v>0</v>
      </c>
      <c r="O968" s="342">
        <v>415.92</v>
      </c>
      <c r="P968" s="347">
        <v>0</v>
      </c>
      <c r="Q968" s="347">
        <v>0</v>
      </c>
      <c r="R968" s="342">
        <v>0</v>
      </c>
      <c r="S968" s="347">
        <v>0</v>
      </c>
      <c r="T968" s="341"/>
      <c r="U968" s="342"/>
      <c r="V968" s="342" t="s">
        <v>943</v>
      </c>
    </row>
    <row r="969" customHeight="1" spans="1:22">
      <c r="A969" s="343" t="s">
        <v>192</v>
      </c>
      <c r="B969" s="343">
        <v>400019</v>
      </c>
      <c r="C969" s="343" t="s">
        <v>941</v>
      </c>
      <c r="D969" s="344">
        <v>1</v>
      </c>
      <c r="E969" s="343" t="s">
        <v>942</v>
      </c>
      <c r="F969" s="345">
        <v>44650</v>
      </c>
      <c r="G969" s="345">
        <v>44650</v>
      </c>
      <c r="H969" s="343">
        <v>202204</v>
      </c>
      <c r="I969" s="344" t="s">
        <v>465</v>
      </c>
      <c r="J969" s="342">
        <v>11</v>
      </c>
      <c r="K969" s="346">
        <v>6567.2</v>
      </c>
      <c r="L969" s="346"/>
      <c r="M969" s="346">
        <f t="shared" si="15"/>
        <v>6567.2</v>
      </c>
      <c r="N969" s="346">
        <f t="shared" si="16"/>
        <v>0</v>
      </c>
      <c r="O969" s="342">
        <v>415.92</v>
      </c>
      <c r="P969" s="347">
        <v>0</v>
      </c>
      <c r="Q969" s="347">
        <v>0</v>
      </c>
      <c r="R969" s="342">
        <v>0</v>
      </c>
      <c r="S969" s="347">
        <v>0</v>
      </c>
      <c r="T969" s="341"/>
      <c r="U969" s="342"/>
      <c r="V969" s="342" t="s">
        <v>943</v>
      </c>
    </row>
    <row r="970" customHeight="1" spans="1:22">
      <c r="A970" s="343" t="s">
        <v>192</v>
      </c>
      <c r="B970" s="343">
        <v>400020</v>
      </c>
      <c r="C970" s="343" t="s">
        <v>941</v>
      </c>
      <c r="D970" s="344">
        <v>1</v>
      </c>
      <c r="E970" s="343" t="s">
        <v>942</v>
      </c>
      <c r="F970" s="345">
        <v>44650</v>
      </c>
      <c r="G970" s="345">
        <v>44650</v>
      </c>
      <c r="H970" s="343">
        <v>202204</v>
      </c>
      <c r="I970" s="344" t="s">
        <v>465</v>
      </c>
      <c r="J970" s="342">
        <v>11</v>
      </c>
      <c r="K970" s="346">
        <v>9850.8</v>
      </c>
      <c r="L970" s="346"/>
      <c r="M970" s="346">
        <f t="shared" si="15"/>
        <v>9850.8</v>
      </c>
      <c r="N970" s="346">
        <f t="shared" si="16"/>
        <v>0</v>
      </c>
      <c r="O970" s="342">
        <v>623.88</v>
      </c>
      <c r="P970" s="347">
        <v>0</v>
      </c>
      <c r="Q970" s="347">
        <v>0</v>
      </c>
      <c r="R970" s="342">
        <v>0</v>
      </c>
      <c r="S970" s="347">
        <v>0</v>
      </c>
      <c r="T970" s="341"/>
      <c r="U970" s="342"/>
      <c r="V970" s="342" t="s">
        <v>943</v>
      </c>
    </row>
    <row r="971" customHeight="1" spans="1:22">
      <c r="A971" s="343" t="s">
        <v>192</v>
      </c>
      <c r="B971" s="343">
        <v>400021</v>
      </c>
      <c r="C971" s="343" t="s">
        <v>941</v>
      </c>
      <c r="D971" s="344">
        <v>1</v>
      </c>
      <c r="E971" s="343" t="s">
        <v>942</v>
      </c>
      <c r="F971" s="345">
        <v>44650</v>
      </c>
      <c r="G971" s="345">
        <v>44650</v>
      </c>
      <c r="H971" s="343">
        <v>202204</v>
      </c>
      <c r="I971" s="344" t="s">
        <v>465</v>
      </c>
      <c r="J971" s="342">
        <v>11</v>
      </c>
      <c r="K971" s="346">
        <v>6567.2</v>
      </c>
      <c r="L971" s="346"/>
      <c r="M971" s="346">
        <f t="shared" si="15"/>
        <v>6567.2</v>
      </c>
      <c r="N971" s="346">
        <f t="shared" si="16"/>
        <v>0</v>
      </c>
      <c r="O971" s="342">
        <v>415.92</v>
      </c>
      <c r="P971" s="347">
        <v>0</v>
      </c>
      <c r="Q971" s="347">
        <v>0</v>
      </c>
      <c r="R971" s="342">
        <v>0</v>
      </c>
      <c r="S971" s="347">
        <v>0</v>
      </c>
      <c r="T971" s="341"/>
      <c r="U971" s="342"/>
      <c r="V971" s="342" t="s">
        <v>943</v>
      </c>
    </row>
    <row r="972" customHeight="1" spans="1:22">
      <c r="A972" s="343" t="s">
        <v>192</v>
      </c>
      <c r="B972" s="343">
        <v>400022</v>
      </c>
      <c r="C972" s="343" t="s">
        <v>941</v>
      </c>
      <c r="D972" s="344">
        <v>1</v>
      </c>
      <c r="E972" s="343" t="s">
        <v>942</v>
      </c>
      <c r="F972" s="345">
        <v>44650</v>
      </c>
      <c r="G972" s="345">
        <v>44650</v>
      </c>
      <c r="H972" s="343">
        <v>202204</v>
      </c>
      <c r="I972" s="344" t="s">
        <v>465</v>
      </c>
      <c r="J972" s="342">
        <v>11</v>
      </c>
      <c r="K972" s="346">
        <v>6567.2</v>
      </c>
      <c r="L972" s="346"/>
      <c r="M972" s="346">
        <f t="shared" si="15"/>
        <v>6567.2</v>
      </c>
      <c r="N972" s="346">
        <f t="shared" si="16"/>
        <v>0</v>
      </c>
      <c r="O972" s="342">
        <v>415.92</v>
      </c>
      <c r="P972" s="347">
        <v>0</v>
      </c>
      <c r="Q972" s="347">
        <v>0</v>
      </c>
      <c r="R972" s="342">
        <v>0</v>
      </c>
      <c r="S972" s="347">
        <v>0</v>
      </c>
      <c r="T972" s="341"/>
      <c r="U972" s="342"/>
      <c r="V972" s="342" t="s">
        <v>943</v>
      </c>
    </row>
    <row r="973" customHeight="1" spans="1:22">
      <c r="A973" s="343" t="s">
        <v>192</v>
      </c>
      <c r="B973" s="343">
        <v>400023</v>
      </c>
      <c r="C973" s="343" t="s">
        <v>941</v>
      </c>
      <c r="D973" s="344">
        <v>1</v>
      </c>
      <c r="E973" s="343" t="s">
        <v>942</v>
      </c>
      <c r="F973" s="345">
        <v>44650</v>
      </c>
      <c r="G973" s="345">
        <v>44650</v>
      </c>
      <c r="H973" s="343">
        <v>202204</v>
      </c>
      <c r="I973" s="344" t="s">
        <v>465</v>
      </c>
      <c r="J973" s="342">
        <v>11</v>
      </c>
      <c r="K973" s="346">
        <v>98508</v>
      </c>
      <c r="L973" s="346"/>
      <c r="M973" s="346">
        <f t="shared" si="15"/>
        <v>98508</v>
      </c>
      <c r="N973" s="346">
        <f t="shared" si="16"/>
        <v>0</v>
      </c>
      <c r="O973" s="342">
        <v>6238.84</v>
      </c>
      <c r="P973" s="347">
        <v>0</v>
      </c>
      <c r="Q973" s="347">
        <v>0</v>
      </c>
      <c r="R973" s="342">
        <v>0</v>
      </c>
      <c r="S973" s="347">
        <v>0</v>
      </c>
      <c r="T973" s="341"/>
      <c r="U973" s="342"/>
      <c r="V973" s="342" t="s">
        <v>943</v>
      </c>
    </row>
    <row r="974" customHeight="1" spans="1:22">
      <c r="A974" s="343" t="s">
        <v>192</v>
      </c>
      <c r="B974" s="343">
        <v>400024</v>
      </c>
      <c r="C974" s="343" t="s">
        <v>941</v>
      </c>
      <c r="D974" s="344">
        <v>1</v>
      </c>
      <c r="E974" s="343" t="s">
        <v>942</v>
      </c>
      <c r="F974" s="345">
        <v>44650</v>
      </c>
      <c r="G974" s="345">
        <v>44650</v>
      </c>
      <c r="H974" s="343">
        <v>202204</v>
      </c>
      <c r="I974" s="344" t="s">
        <v>465</v>
      </c>
      <c r="J974" s="342">
        <v>11</v>
      </c>
      <c r="K974" s="346">
        <v>45970.4</v>
      </c>
      <c r="L974" s="346"/>
      <c r="M974" s="346">
        <f t="shared" si="15"/>
        <v>45970.4</v>
      </c>
      <c r="N974" s="346">
        <f t="shared" si="16"/>
        <v>0</v>
      </c>
      <c r="O974" s="342">
        <v>2911.48</v>
      </c>
      <c r="P974" s="347">
        <v>0</v>
      </c>
      <c r="Q974" s="347">
        <v>0</v>
      </c>
      <c r="R974" s="342">
        <v>0</v>
      </c>
      <c r="S974" s="347">
        <v>0</v>
      </c>
      <c r="T974" s="341"/>
      <c r="U974" s="342"/>
      <c r="V974" s="342" t="s">
        <v>943</v>
      </c>
    </row>
    <row r="975" customHeight="1" spans="1:22">
      <c r="A975" s="343" t="s">
        <v>192</v>
      </c>
      <c r="B975" s="343">
        <v>400025</v>
      </c>
      <c r="C975" s="343" t="s">
        <v>941</v>
      </c>
      <c r="D975" s="344">
        <v>1</v>
      </c>
      <c r="E975" s="343" t="s">
        <v>942</v>
      </c>
      <c r="F975" s="345">
        <v>44650</v>
      </c>
      <c r="G975" s="345">
        <v>44650</v>
      </c>
      <c r="H975" s="343">
        <v>202204</v>
      </c>
      <c r="I975" s="344" t="s">
        <v>465</v>
      </c>
      <c r="J975" s="342">
        <v>11</v>
      </c>
      <c r="K975" s="346">
        <v>144478.4</v>
      </c>
      <c r="L975" s="346"/>
      <c r="M975" s="346">
        <f t="shared" si="15"/>
        <v>144478.4</v>
      </c>
      <c r="N975" s="346">
        <f t="shared" si="16"/>
        <v>0</v>
      </c>
      <c r="O975" s="342">
        <v>9150.28</v>
      </c>
      <c r="P975" s="347">
        <v>0</v>
      </c>
      <c r="Q975" s="347">
        <v>0</v>
      </c>
      <c r="R975" s="342">
        <v>0</v>
      </c>
      <c r="S975" s="347">
        <v>0</v>
      </c>
      <c r="T975" s="341"/>
      <c r="U975" s="342"/>
      <c r="V975" s="342" t="s">
        <v>943</v>
      </c>
    </row>
    <row r="976" customHeight="1" spans="1:22">
      <c r="A976" s="343" t="s">
        <v>192</v>
      </c>
      <c r="B976" s="343">
        <v>400026</v>
      </c>
      <c r="C976" s="343" t="s">
        <v>941</v>
      </c>
      <c r="D976" s="344">
        <v>1</v>
      </c>
      <c r="E976" s="343" t="s">
        <v>942</v>
      </c>
      <c r="F976" s="345">
        <v>44650</v>
      </c>
      <c r="G976" s="345">
        <v>44650</v>
      </c>
      <c r="H976" s="343">
        <v>202204</v>
      </c>
      <c r="I976" s="344" t="s">
        <v>465</v>
      </c>
      <c r="J976" s="342">
        <v>11</v>
      </c>
      <c r="K976" s="346">
        <v>6567.2</v>
      </c>
      <c r="L976" s="346"/>
      <c r="M976" s="346">
        <f t="shared" si="15"/>
        <v>6567.2</v>
      </c>
      <c r="N976" s="346">
        <f t="shared" si="16"/>
        <v>0</v>
      </c>
      <c r="O976" s="342">
        <v>415.92</v>
      </c>
      <c r="P976" s="347">
        <v>0</v>
      </c>
      <c r="Q976" s="347">
        <v>0</v>
      </c>
      <c r="R976" s="342">
        <v>0</v>
      </c>
      <c r="S976" s="347">
        <v>0</v>
      </c>
      <c r="T976" s="341"/>
      <c r="U976" s="342"/>
      <c r="V976" s="342" t="s">
        <v>943</v>
      </c>
    </row>
    <row r="977" customHeight="1" spans="1:22">
      <c r="A977" s="343" t="s">
        <v>192</v>
      </c>
      <c r="B977" s="343">
        <v>400027</v>
      </c>
      <c r="C977" s="343" t="s">
        <v>941</v>
      </c>
      <c r="D977" s="344">
        <v>1</v>
      </c>
      <c r="E977" s="343" t="s">
        <v>942</v>
      </c>
      <c r="F977" s="345">
        <v>44650</v>
      </c>
      <c r="G977" s="345">
        <v>44650</v>
      </c>
      <c r="H977" s="343">
        <v>202204</v>
      </c>
      <c r="I977" s="344" t="s">
        <v>465</v>
      </c>
      <c r="J977" s="342">
        <v>11</v>
      </c>
      <c r="K977" s="346">
        <v>6567.2</v>
      </c>
      <c r="L977" s="346"/>
      <c r="M977" s="346">
        <f t="shared" si="15"/>
        <v>6567.2</v>
      </c>
      <c r="N977" s="346">
        <f t="shared" si="16"/>
        <v>0</v>
      </c>
      <c r="O977" s="342">
        <v>415.92</v>
      </c>
      <c r="P977" s="347">
        <v>0</v>
      </c>
      <c r="Q977" s="347">
        <v>0</v>
      </c>
      <c r="R977" s="342">
        <v>0</v>
      </c>
      <c r="S977" s="347">
        <v>0</v>
      </c>
      <c r="T977" s="341"/>
      <c r="U977" s="342"/>
      <c r="V977" s="342" t="s">
        <v>943</v>
      </c>
    </row>
    <row r="978" customHeight="1" spans="1:22">
      <c r="A978" s="343" t="s">
        <v>195</v>
      </c>
      <c r="B978" s="343">
        <v>100027</v>
      </c>
      <c r="C978" s="343" t="s">
        <v>545</v>
      </c>
      <c r="D978" s="344">
        <v>1</v>
      </c>
      <c r="E978" s="343"/>
      <c r="F978" s="345">
        <v>44267</v>
      </c>
      <c r="G978" s="345">
        <v>44267</v>
      </c>
      <c r="H978" s="349">
        <v>44267</v>
      </c>
      <c r="I978" s="344">
        <v>36</v>
      </c>
      <c r="J978" s="342"/>
      <c r="K978" s="346">
        <v>5131.86</v>
      </c>
      <c r="L978" s="346"/>
      <c r="M978" s="346">
        <v>5131.86</v>
      </c>
      <c r="N978" s="346">
        <f t="shared" si="16"/>
        <v>0</v>
      </c>
      <c r="O978" s="342">
        <v>0</v>
      </c>
      <c r="P978" s="347">
        <v>0</v>
      </c>
      <c r="Q978" s="347">
        <v>0</v>
      </c>
      <c r="R978" s="342"/>
      <c r="S978" s="347"/>
      <c r="T978" s="341"/>
      <c r="U978" s="342"/>
      <c r="V978" s="342" t="s">
        <v>943</v>
      </c>
    </row>
    <row r="979" customHeight="1" spans="1:22">
      <c r="A979" s="343" t="s">
        <v>195</v>
      </c>
      <c r="B979" s="343">
        <v>100055</v>
      </c>
      <c r="C979" s="343" t="s">
        <v>565</v>
      </c>
      <c r="D979" s="344">
        <v>1</v>
      </c>
      <c r="E979" s="343"/>
      <c r="F979" s="345">
        <v>44506</v>
      </c>
      <c r="G979" s="345">
        <v>44506</v>
      </c>
      <c r="H979" s="349">
        <v>44506</v>
      </c>
      <c r="I979" s="344">
        <v>36</v>
      </c>
      <c r="J979" s="342"/>
      <c r="K979" s="346">
        <v>4202.65</v>
      </c>
      <c r="L979" s="346"/>
      <c r="M979" s="346">
        <v>4202.65</v>
      </c>
      <c r="N979" s="346">
        <f t="shared" si="16"/>
        <v>0</v>
      </c>
      <c r="O979" s="342">
        <v>0</v>
      </c>
      <c r="P979" s="347">
        <v>0</v>
      </c>
      <c r="Q979" s="347"/>
      <c r="R979" s="342"/>
      <c r="S979" s="347"/>
      <c r="T979" s="341"/>
      <c r="U979" s="342"/>
      <c r="V979" s="342" t="s">
        <v>943</v>
      </c>
    </row>
    <row r="980" customHeight="1" spans="1:22">
      <c r="A980" s="343" t="s">
        <v>195</v>
      </c>
      <c r="B980" s="343">
        <v>100008</v>
      </c>
      <c r="C980" s="343" t="s">
        <v>545</v>
      </c>
      <c r="D980" s="344">
        <v>1</v>
      </c>
      <c r="E980" s="343"/>
      <c r="F980" s="345">
        <v>44153</v>
      </c>
      <c r="G980" s="345">
        <v>44153</v>
      </c>
      <c r="H980" s="349">
        <v>44153</v>
      </c>
      <c r="I980" s="344">
        <v>36</v>
      </c>
      <c r="J980" s="342"/>
      <c r="K980" s="346">
        <v>5999</v>
      </c>
      <c r="L980" s="346"/>
      <c r="M980" s="346">
        <v>5999</v>
      </c>
      <c r="N980" s="346">
        <f t="shared" si="16"/>
        <v>0</v>
      </c>
      <c r="O980" s="342">
        <v>0</v>
      </c>
      <c r="P980" s="347">
        <v>0</v>
      </c>
      <c r="Q980" s="347"/>
      <c r="R980" s="342"/>
      <c r="S980" s="347"/>
      <c r="T980" s="341"/>
      <c r="U980" s="342"/>
      <c r="V980" s="342" t="s">
        <v>943</v>
      </c>
    </row>
    <row r="981" customHeight="1" spans="1:22">
      <c r="A981" s="343" t="s">
        <v>195</v>
      </c>
      <c r="B981" s="343">
        <v>100065</v>
      </c>
      <c r="C981" s="343" t="s">
        <v>545</v>
      </c>
      <c r="D981" s="344">
        <v>1</v>
      </c>
      <c r="E981" s="343"/>
      <c r="F981" s="345">
        <v>44589</v>
      </c>
      <c r="G981" s="345">
        <v>44589</v>
      </c>
      <c r="H981" s="349">
        <v>44589</v>
      </c>
      <c r="I981" s="344">
        <v>36</v>
      </c>
      <c r="J981" s="342"/>
      <c r="K981" s="346">
        <v>5308.85</v>
      </c>
      <c r="L981" s="346"/>
      <c r="M981" s="346">
        <v>5308.85</v>
      </c>
      <c r="N981" s="346">
        <f t="shared" si="16"/>
        <v>0</v>
      </c>
      <c r="O981" s="342">
        <v>0</v>
      </c>
      <c r="P981" s="347">
        <v>0</v>
      </c>
      <c r="Q981" s="347"/>
      <c r="R981" s="342"/>
      <c r="S981" s="347"/>
      <c r="T981" s="341"/>
      <c r="U981" s="342"/>
      <c r="V981" s="342" t="s">
        <v>943</v>
      </c>
    </row>
    <row r="982" customHeight="1" spans="1:22">
      <c r="A982" s="343" t="s">
        <v>196</v>
      </c>
      <c r="B982" s="343">
        <v>200003</v>
      </c>
      <c r="C982" s="343" t="s">
        <v>736</v>
      </c>
      <c r="D982" s="344">
        <v>1</v>
      </c>
      <c r="E982" s="343"/>
      <c r="F982" s="345">
        <v>44200</v>
      </c>
      <c r="G982" s="345">
        <v>44200</v>
      </c>
      <c r="H982" s="349">
        <v>44200</v>
      </c>
      <c r="I982" s="344">
        <v>60</v>
      </c>
      <c r="J982" s="342"/>
      <c r="K982" s="346">
        <v>137391.94</v>
      </c>
      <c r="L982" s="346"/>
      <c r="M982" s="346">
        <v>137391.94</v>
      </c>
      <c r="N982" s="346">
        <f t="shared" si="16"/>
        <v>0</v>
      </c>
      <c r="O982" s="342">
        <v>2175.37</v>
      </c>
      <c r="P982" s="347">
        <v>0</v>
      </c>
      <c r="Q982" s="347"/>
      <c r="R982" s="342"/>
      <c r="S982" s="347"/>
      <c r="T982" s="341"/>
      <c r="U982" s="342"/>
      <c r="V982" s="342" t="s">
        <v>943</v>
      </c>
    </row>
    <row r="983" customHeight="1" spans="1:22">
      <c r="A983" s="343" t="s">
        <v>195</v>
      </c>
      <c r="B983" s="343">
        <v>100001</v>
      </c>
      <c r="C983" s="343" t="s">
        <v>545</v>
      </c>
      <c r="D983" s="344">
        <v>1</v>
      </c>
      <c r="E983" s="343"/>
      <c r="F983" s="345">
        <v>43990</v>
      </c>
      <c r="G983" s="345">
        <v>43990</v>
      </c>
      <c r="H983" s="349">
        <v>43990</v>
      </c>
      <c r="I983" s="344">
        <v>36</v>
      </c>
      <c r="J983" s="342"/>
      <c r="K983" s="346">
        <v>6799</v>
      </c>
      <c r="L983" s="346"/>
      <c r="M983" s="346">
        <v>6799</v>
      </c>
      <c r="N983" s="346">
        <f t="shared" si="16"/>
        <v>0</v>
      </c>
      <c r="O983" s="342">
        <v>0</v>
      </c>
      <c r="P983" s="347">
        <v>0</v>
      </c>
      <c r="Q983" s="347"/>
      <c r="R983" s="342"/>
      <c r="S983" s="347"/>
      <c r="T983" s="341"/>
      <c r="U983" s="342"/>
      <c r="V983" s="342" t="s">
        <v>943</v>
      </c>
    </row>
    <row r="984" customHeight="1" spans="1:22">
      <c r="A984" s="343" t="s">
        <v>195</v>
      </c>
      <c r="B984" s="343">
        <v>100079</v>
      </c>
      <c r="C984" s="343" t="s">
        <v>535</v>
      </c>
      <c r="D984" s="344">
        <v>1</v>
      </c>
      <c r="E984" s="343"/>
      <c r="F984" s="345">
        <v>44573</v>
      </c>
      <c r="G984" s="345">
        <v>44573</v>
      </c>
      <c r="H984" s="349">
        <v>44573</v>
      </c>
      <c r="I984" s="344">
        <v>36</v>
      </c>
      <c r="J984" s="342"/>
      <c r="K984" s="346">
        <v>3273.45</v>
      </c>
      <c r="L984" s="346"/>
      <c r="M984" s="346">
        <v>3273.45</v>
      </c>
      <c r="N984" s="346">
        <f t="shared" si="16"/>
        <v>0</v>
      </c>
      <c r="O984" s="342">
        <v>0</v>
      </c>
      <c r="P984" s="347">
        <v>0</v>
      </c>
      <c r="Q984" s="347"/>
      <c r="R984" s="342"/>
      <c r="S984" s="347"/>
      <c r="T984" s="341"/>
      <c r="U984" s="342"/>
      <c r="V984" s="342" t="s">
        <v>943</v>
      </c>
    </row>
    <row r="985" customHeight="1" spans="1:22">
      <c r="A985" s="343" t="s">
        <v>196</v>
      </c>
      <c r="B985" s="343">
        <v>200006</v>
      </c>
      <c r="C985" s="343" t="s">
        <v>736</v>
      </c>
      <c r="D985" s="344">
        <v>1</v>
      </c>
      <c r="E985" s="343"/>
      <c r="F985" s="345">
        <v>44265</v>
      </c>
      <c r="G985" s="345">
        <v>44265</v>
      </c>
      <c r="H985" s="349">
        <v>44265</v>
      </c>
      <c r="I985" s="344">
        <v>60</v>
      </c>
      <c r="J985" s="342"/>
      <c r="K985" s="346">
        <v>143318.72</v>
      </c>
      <c r="L985" s="346"/>
      <c r="M985" s="346">
        <v>143318.72</v>
      </c>
      <c r="N985" s="346">
        <f t="shared" si="16"/>
        <v>0</v>
      </c>
      <c r="O985" s="342">
        <v>2269.21000000001</v>
      </c>
      <c r="P985" s="347">
        <v>0</v>
      </c>
      <c r="Q985" s="347"/>
      <c r="R985" s="342"/>
      <c r="S985" s="347"/>
      <c r="T985" s="341"/>
      <c r="U985" s="342"/>
      <c r="V985" s="342" t="s">
        <v>943</v>
      </c>
    </row>
    <row r="986" spans="1:22">
      <c r="A986" s="350"/>
      <c r="B986" s="350"/>
      <c r="C986" s="350"/>
      <c r="D986" s="350"/>
      <c r="E986" s="350"/>
      <c r="F986" s="350"/>
      <c r="G986" s="350"/>
      <c r="H986" s="350"/>
      <c r="I986" s="350"/>
      <c r="J986" s="350" t="s">
        <v>945</v>
      </c>
      <c r="K986" s="351">
        <v>88154224.83</v>
      </c>
      <c r="L986" s="352">
        <f>SUM(L2:L985)</f>
        <v>10570032.84</v>
      </c>
      <c r="M986" s="352">
        <f t="shared" ref="M986:O986" si="17">SUM(M2:M985)</f>
        <v>3121070.65</v>
      </c>
      <c r="N986" s="352">
        <f t="shared" si="17"/>
        <v>95603187.0199998</v>
      </c>
      <c r="O986" s="353">
        <f t="shared" si="17"/>
        <v>3470440.23</v>
      </c>
      <c r="P986" s="353">
        <f t="shared" ref="P986:S986" si="18">SUM(P2:P985)</f>
        <v>16288014.97</v>
      </c>
      <c r="Q986" s="353">
        <f t="shared" si="18"/>
        <v>79315172.0500004</v>
      </c>
      <c r="R986" s="353">
        <f t="shared" si="18"/>
        <v>0</v>
      </c>
      <c r="S986" s="353">
        <f t="shared" si="18"/>
        <v>79315172.0500004</v>
      </c>
      <c r="T986" s="350"/>
      <c r="U986" s="350"/>
      <c r="V986" s="350"/>
    </row>
    <row r="988" spans="1:22">
      <c r="J988" t="s">
        <v>946</v>
      </c>
      <c r="K988" s="354">
        <f>'K.01 Agree SL to GL'!Z12</f>
        <v>88154224.83</v>
      </c>
      <c r="L988" s="354">
        <f>'K.01 Agree SL to GL'!Z13+'K.01 Agree SL to GL'!Z14</f>
        <v>10570032.84</v>
      </c>
      <c r="M988" s="354">
        <f>('K.01 Agree SL to GL'!Z15)*-1</f>
        <v>3121070.65</v>
      </c>
      <c r="N988" s="354">
        <f>'K.01 Agree SL to GL'!Z18</f>
        <v>95603187.02</v>
      </c>
      <c r="O988" s="354">
        <f>'K.01 Agree SL to GL'!Z20</f>
        <v>3470440.23</v>
      </c>
      <c r="P988" s="354">
        <f>'K.01 Agree SL to GL'!Z24</f>
        <v>16288014.97</v>
      </c>
      <c r="Q988" s="354">
        <f>'K.01 Agree SL to GL'!Z32</f>
        <v>79315172.05</v>
      </c>
      <c r="R988" s="354"/>
      <c r="S988" s="354">
        <f>'K.01 Agree SL to GL'!Z32</f>
        <v>79315172.05</v>
      </c>
    </row>
    <row r="990" spans="1:22">
      <c r="J990" s="355" t="s">
        <v>947</v>
      </c>
      <c r="K990" s="354">
        <v>0</v>
      </c>
      <c r="L990" s="356">
        <f t="shared" ref="L990:O990" si="19">L986-L988</f>
        <v>0</v>
      </c>
      <c r="M990" s="356">
        <f t="shared" si="19"/>
        <v>0</v>
      </c>
      <c r="N990" s="356">
        <f t="shared" si="19"/>
        <v>-1.78813934326172e-7</v>
      </c>
      <c r="O990" s="356">
        <f t="shared" si="19"/>
        <v>0</v>
      </c>
      <c r="P990" s="356">
        <f t="shared" ref="P990:S990" si="20">P986-P988</f>
        <v>3.91155481338501e-8</v>
      </c>
      <c r="Q990" s="356">
        <f t="shared" si="20"/>
        <v>3.72529029846191e-7</v>
      </c>
      <c r="R990" s="356">
        <f t="shared" si="20"/>
        <v>0</v>
      </c>
      <c r="S990" s="356">
        <f t="shared" si="20"/>
        <v>3.72529029846191e-7</v>
      </c>
    </row>
  </sheetData>
  <autoFilter xmlns:etc="http://www.wps.cn/officeDocument/2017/etCustomData" ref="A1:AK986" etc:filterBottomFollowUsedRange="0">
    <extLst/>
  </autoFilter>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5"/>
  <sheetViews>
    <sheetView showGridLines="0" topLeftCell="A28" workbookViewId="0">
      <selection activeCell="F16" sqref="F16"/>
    </sheetView>
  </sheetViews>
  <sheetFormatPr defaultColWidth="9.26666666666667" defaultRowHeight="12.75"/>
  <cols>
    <col min="1" max="1" width="2.45" style="258" customWidth="1"/>
    <col min="2" max="2" width="23.0916666666667" style="259" customWidth="1"/>
    <col min="3" max="6" width="14.2666666666667" style="259" customWidth="1"/>
    <col min="7" max="7" width="10.45" style="259" customWidth="1"/>
    <col min="8" max="8" width="15.45" style="259" customWidth="1"/>
    <col min="9" max="9" width="13.45" style="259" customWidth="1"/>
    <col min="10" max="10" width="11.45" style="259" customWidth="1"/>
    <col min="11" max="11" width="10.2666666666667" style="259" customWidth="1"/>
    <col min="12" max="12" width="23.45" style="260" customWidth="1"/>
    <col min="13" max="13" width="60.2666666666667" style="259" customWidth="1"/>
    <col min="14" max="14" width="13.45" style="259" customWidth="1"/>
    <col min="15" max="18" width="8.26666666666667" style="259" customWidth="1"/>
    <col min="19" max="19" width="2.45" style="259" customWidth="1"/>
    <col min="20" max="20" width="1.45" style="261" customWidth="1"/>
    <col min="21" max="21" width="9.26666666666667" style="259"/>
    <col min="22" max="22" width="11.725" style="259" customWidth="1"/>
    <col min="23" max="16384" width="9.26666666666667" style="259"/>
  </cols>
  <sheetData>
    <row r="1" ht="50.15" customHeight="1" spans="1:20">
      <c r="A1" s="262"/>
      <c r="B1" s="263" t="s">
        <v>948</v>
      </c>
      <c r="C1" s="264"/>
      <c r="D1" s="264"/>
      <c r="E1" s="264"/>
      <c r="F1" s="264"/>
      <c r="G1" s="264"/>
      <c r="H1" s="264"/>
      <c r="I1" s="264"/>
      <c r="J1" s="264"/>
      <c r="K1" s="264"/>
      <c r="L1" s="264"/>
      <c r="M1" s="264"/>
      <c r="N1" s="264"/>
      <c r="O1" s="264"/>
      <c r="P1" s="264"/>
      <c r="Q1" s="264"/>
      <c r="R1" s="265"/>
      <c r="S1" s="68"/>
      <c r="T1" s="266"/>
    </row>
    <row r="2" ht="30" customHeight="1" spans="1:20">
      <c r="A2" s="262"/>
      <c r="B2" s="69" t="s">
        <v>949</v>
      </c>
      <c r="C2" s="267"/>
      <c r="D2" s="267"/>
      <c r="E2" s="267"/>
      <c r="F2" s="267"/>
      <c r="G2" s="267"/>
      <c r="H2" s="267"/>
      <c r="I2" s="267"/>
      <c r="J2" s="267"/>
      <c r="K2" s="267"/>
      <c r="L2" s="267"/>
      <c r="M2" s="267"/>
      <c r="N2" s="267"/>
      <c r="O2" s="267"/>
      <c r="P2" s="267"/>
      <c r="Q2" s="267"/>
      <c r="R2" s="268"/>
      <c r="S2" s="68"/>
      <c r="T2" s="266"/>
    </row>
    <row r="3" ht="15" customHeight="1" spans="1:20">
      <c r="A3" s="262"/>
      <c r="B3" s="68"/>
      <c r="C3" s="269"/>
      <c r="D3" s="269"/>
      <c r="E3" s="269"/>
      <c r="F3" s="269"/>
      <c r="G3" s="269"/>
      <c r="H3" s="269"/>
      <c r="I3" s="269"/>
      <c r="J3" s="269"/>
      <c r="K3" s="269"/>
      <c r="L3" s="269"/>
      <c r="M3" s="269"/>
      <c r="N3" s="269"/>
      <c r="O3" s="269"/>
      <c r="P3" s="269"/>
      <c r="S3" s="68"/>
      <c r="T3" s="266"/>
    </row>
    <row r="4" ht="15" customHeight="1" spans="1:20">
      <c r="A4" s="262"/>
      <c r="B4" s="18" t="s">
        <v>82</v>
      </c>
      <c r="C4" s="269"/>
      <c r="D4" s="269"/>
      <c r="E4" s="269"/>
      <c r="F4" s="269"/>
      <c r="G4" s="269"/>
      <c r="H4" s="269"/>
      <c r="I4" s="269"/>
      <c r="J4" s="269"/>
      <c r="K4" s="269"/>
      <c r="L4" s="269"/>
      <c r="M4" s="269"/>
      <c r="N4" s="269"/>
      <c r="O4" s="269"/>
      <c r="P4" s="269"/>
      <c r="S4" s="68"/>
      <c r="T4" s="266"/>
    </row>
    <row r="5" ht="15" customHeight="1" spans="1:20">
      <c r="A5" s="262"/>
      <c r="B5" s="68"/>
      <c r="C5" s="269"/>
      <c r="D5" s="269"/>
      <c r="E5" s="269"/>
      <c r="F5" s="269"/>
      <c r="G5" s="269"/>
      <c r="H5" s="269"/>
      <c r="I5" s="269"/>
      <c r="J5" s="269"/>
      <c r="K5" s="269"/>
      <c r="L5" s="269"/>
      <c r="M5" s="269"/>
      <c r="N5" s="269"/>
      <c r="O5" s="269"/>
      <c r="P5" s="269"/>
      <c r="S5" s="68"/>
      <c r="T5" s="266"/>
    </row>
    <row r="6" spans="1:20">
      <c r="A6" s="262"/>
      <c r="B6" s="270" t="s">
        <v>950</v>
      </c>
      <c r="C6" s="270"/>
      <c r="D6" s="270"/>
      <c r="E6" s="270"/>
      <c r="F6" s="270"/>
      <c r="G6" s="270"/>
      <c r="H6" s="270"/>
      <c r="I6" s="270"/>
      <c r="J6" s="270"/>
      <c r="K6" s="270"/>
      <c r="L6" s="270"/>
      <c r="M6" s="270"/>
      <c r="N6" s="270"/>
      <c r="O6" s="270"/>
      <c r="P6" s="270"/>
      <c r="Q6" s="270"/>
      <c r="R6" s="270"/>
      <c r="S6" s="68"/>
      <c r="T6" s="266"/>
    </row>
    <row r="7" ht="13.5" customHeight="1" spans="1:20">
      <c r="A7" s="262"/>
      <c r="B7" s="271" t="s">
        <v>951</v>
      </c>
      <c r="C7" s="272"/>
      <c r="D7" s="272"/>
      <c r="E7" s="272"/>
      <c r="F7" s="273"/>
      <c r="G7" s="274"/>
      <c r="H7" s="274"/>
      <c r="I7" s="274"/>
      <c r="J7" s="274"/>
      <c r="K7" s="274"/>
      <c r="L7" s="274"/>
      <c r="S7" s="68"/>
      <c r="T7" s="266"/>
    </row>
    <row r="8" ht="13.5" customHeight="1" spans="1:20">
      <c r="A8" s="262"/>
      <c r="B8" s="275"/>
      <c r="C8" s="276"/>
      <c r="D8" s="276"/>
      <c r="E8" s="276"/>
      <c r="F8" s="277"/>
      <c r="G8" s="274"/>
      <c r="H8" s="274"/>
      <c r="I8" s="274"/>
      <c r="J8" s="274"/>
      <c r="K8" s="274"/>
      <c r="L8" s="274"/>
      <c r="S8" s="68"/>
      <c r="T8" s="266"/>
    </row>
    <row r="9" ht="13.5" customHeight="1" spans="1:20">
      <c r="A9" s="262"/>
      <c r="B9" s="275"/>
      <c r="C9" s="276"/>
      <c r="D9" s="276"/>
      <c r="E9" s="276"/>
      <c r="F9" s="277"/>
      <c r="G9" s="274"/>
      <c r="H9" s="274"/>
      <c r="I9" s="274"/>
      <c r="J9" s="274"/>
      <c r="K9" s="274"/>
      <c r="L9" s="274"/>
      <c r="S9" s="68"/>
      <c r="T9" s="266"/>
    </row>
    <row r="10" ht="13.5" customHeight="1" spans="1:20">
      <c r="A10" s="262"/>
      <c r="B10" s="278"/>
      <c r="C10" s="279"/>
      <c r="D10" s="279"/>
      <c r="E10" s="279"/>
      <c r="F10" s="280"/>
      <c r="G10" s="274"/>
      <c r="H10" s="274"/>
      <c r="I10" s="274"/>
      <c r="J10" s="274"/>
      <c r="K10" s="274"/>
      <c r="L10" s="274"/>
      <c r="S10" s="68"/>
      <c r="T10" s="266"/>
    </row>
    <row r="11" spans="1:20">
      <c r="A11" s="262"/>
      <c r="B11" s="68"/>
      <c r="C11" s="281"/>
      <c r="D11" s="68"/>
      <c r="E11" s="68"/>
      <c r="F11" s="68"/>
      <c r="G11" s="68"/>
      <c r="H11" s="68"/>
      <c r="I11" s="68"/>
      <c r="J11" s="68"/>
      <c r="K11" s="68"/>
      <c r="L11" s="68"/>
      <c r="M11" s="68"/>
      <c r="N11" s="68"/>
      <c r="O11" s="68"/>
      <c r="P11" s="68"/>
      <c r="Q11" s="68"/>
      <c r="R11" s="68"/>
      <c r="S11" s="68"/>
      <c r="T11" s="266"/>
    </row>
    <row r="12" ht="16.5" spans="1:20">
      <c r="A12" s="262"/>
      <c r="B12" s="282" t="s">
        <v>952</v>
      </c>
      <c r="C12" s="282"/>
      <c r="D12" s="68"/>
      <c r="E12" s="68"/>
      <c r="F12" s="283">
        <f>SUMIFS(新增清单!H:H,新增清单!I:I,"购置")</f>
        <v>10315704.16</v>
      </c>
      <c r="G12" s="68"/>
      <c r="H12" s="68"/>
      <c r="I12" s="68"/>
      <c r="J12" s="68"/>
      <c r="K12" s="68"/>
      <c r="L12" s="68"/>
      <c r="M12" s="68"/>
      <c r="N12" s="68"/>
      <c r="O12" s="68"/>
      <c r="P12" s="68"/>
      <c r="Q12" s="68"/>
      <c r="R12" s="68"/>
      <c r="S12" s="68"/>
      <c r="T12" s="266"/>
    </row>
    <row r="13" ht="16.5" spans="1:20">
      <c r="A13" s="262"/>
      <c r="B13" s="284" t="s">
        <v>953</v>
      </c>
      <c r="C13" s="282"/>
      <c r="D13" s="68"/>
      <c r="E13" s="68"/>
      <c r="F13" s="285">
        <f>'K.01 Agree SL to GL'!Z13</f>
        <v>10315704.16</v>
      </c>
      <c r="G13" s="141" t="s">
        <v>38</v>
      </c>
      <c r="H13" s="141"/>
      <c r="I13" s="68"/>
      <c r="J13" s="68"/>
      <c r="K13" s="141"/>
      <c r="L13" s="68"/>
      <c r="M13" s="68"/>
      <c r="N13" s="68"/>
      <c r="O13" s="68"/>
      <c r="P13" s="68"/>
      <c r="Q13" s="68"/>
      <c r="R13" s="68"/>
      <c r="S13" s="68"/>
      <c r="T13" s="266"/>
    </row>
    <row r="14" ht="16.5" spans="1:20">
      <c r="A14" s="262"/>
      <c r="B14" s="286" t="s">
        <v>270</v>
      </c>
      <c r="C14" s="286"/>
      <c r="D14" s="287"/>
      <c r="E14" s="287"/>
      <c r="F14" s="288">
        <f>F12-F13</f>
        <v>0</v>
      </c>
      <c r="G14" s="141" t="s">
        <v>109</v>
      </c>
      <c r="H14" s="289" t="s">
        <v>954</v>
      </c>
      <c r="I14" s="68"/>
      <c r="J14" s="290" t="str">
        <f>IF(ABS(F14)&gt;'K.00 Lead Sheet'!$C$6,"是","否")</f>
        <v>否</v>
      </c>
      <c r="L14" s="68"/>
      <c r="N14" s="68"/>
      <c r="O14" s="68"/>
      <c r="P14" s="68"/>
      <c r="Q14" s="68"/>
      <c r="R14" s="68"/>
      <c r="S14" s="68"/>
      <c r="T14" s="266"/>
    </row>
    <row r="15" spans="1:20">
      <c r="A15" s="262"/>
      <c r="B15" s="68"/>
      <c r="C15" s="282"/>
      <c r="D15" s="68"/>
      <c r="E15" s="68"/>
      <c r="F15" s="68"/>
      <c r="G15" s="68"/>
      <c r="H15" s="68"/>
      <c r="I15" s="68"/>
      <c r="J15" s="68"/>
      <c r="K15" s="68"/>
      <c r="L15" s="68"/>
      <c r="M15" s="68"/>
      <c r="N15" s="68"/>
      <c r="O15" s="68"/>
      <c r="P15" s="68"/>
      <c r="Q15" s="68"/>
      <c r="R15" s="68"/>
      <c r="S15" s="68"/>
      <c r="T15" s="266"/>
    </row>
    <row r="16" ht="16.5" spans="1:20">
      <c r="A16" s="262"/>
      <c r="B16" s="62" t="s">
        <v>955</v>
      </c>
      <c r="C16" s="62"/>
      <c r="D16" s="291"/>
      <c r="E16" s="291"/>
      <c r="F16" s="283">
        <v>0</v>
      </c>
      <c r="G16" s="68"/>
      <c r="H16" s="68"/>
      <c r="I16" s="291"/>
      <c r="J16" s="291"/>
      <c r="K16" s="68"/>
      <c r="L16" s="68"/>
      <c r="M16" s="291"/>
      <c r="N16" s="68"/>
      <c r="O16" s="68"/>
      <c r="P16" s="68"/>
      <c r="Q16" s="68"/>
      <c r="R16" s="68"/>
      <c r="S16" s="68"/>
      <c r="T16" s="266"/>
    </row>
    <row r="17" ht="16.5" spans="1:20">
      <c r="A17" s="262"/>
      <c r="B17" s="286" t="s">
        <v>956</v>
      </c>
      <c r="C17" s="286"/>
      <c r="D17" s="292"/>
      <c r="E17" s="292"/>
      <c r="F17" s="293">
        <f>F12-F16</f>
        <v>10315704.16</v>
      </c>
      <c r="G17" s="68"/>
      <c r="H17" s="68"/>
      <c r="I17" s="294"/>
      <c r="J17" s="295"/>
      <c r="K17" s="68"/>
      <c r="L17" s="68"/>
      <c r="M17" s="296"/>
      <c r="N17" s="68"/>
      <c r="S17" s="68"/>
      <c r="T17" s="266"/>
    </row>
    <row r="18" spans="1:20">
      <c r="L18" s="259"/>
      <c r="T18" s="266"/>
    </row>
    <row r="19" ht="16.5" spans="1:20">
      <c r="A19" s="297"/>
      <c r="B19" s="4" t="s">
        <v>957</v>
      </c>
      <c r="T19" s="266"/>
    </row>
    <row r="20" spans="1:20">
      <c r="B20" s="271" t="s">
        <v>958</v>
      </c>
      <c r="C20" s="272"/>
      <c r="D20" s="272"/>
      <c r="E20" s="272"/>
      <c r="F20" s="273"/>
      <c r="T20" s="266"/>
    </row>
    <row r="21" spans="1:20">
      <c r="B21" s="275"/>
      <c r="C21" s="276"/>
      <c r="D21" s="276"/>
      <c r="E21" s="276"/>
      <c r="F21" s="277"/>
      <c r="T21" s="266"/>
    </row>
    <row r="22" spans="1:20">
      <c r="B22" s="275"/>
      <c r="C22" s="276"/>
      <c r="D22" s="276"/>
      <c r="E22" s="276"/>
      <c r="F22" s="277"/>
      <c r="T22" s="266"/>
    </row>
    <row r="23" ht="96.75" customHeight="1" spans="1:20">
      <c r="B23" s="278"/>
      <c r="C23" s="279"/>
      <c r="D23" s="279"/>
      <c r="E23" s="279"/>
      <c r="F23" s="280"/>
      <c r="T23" s="266"/>
    </row>
    <row r="24" spans="1:20">
      <c r="B24" s="298"/>
      <c r="L24" s="259"/>
      <c r="T24" s="266"/>
    </row>
    <row r="25" ht="16.5" spans="1:20">
      <c r="A25" s="299"/>
      <c r="B25" s="300" t="s">
        <v>959</v>
      </c>
      <c r="C25" s="301"/>
      <c r="D25" s="301"/>
      <c r="E25" s="301"/>
      <c r="F25" s="302"/>
      <c r="L25" s="259"/>
      <c r="T25" s="266"/>
    </row>
    <row r="26" ht="16.5" spans="1:20">
      <c r="B26" s="303" t="s">
        <v>960</v>
      </c>
      <c r="C26" s="304"/>
      <c r="D26" s="304"/>
      <c r="E26" s="304"/>
      <c r="F26" s="305"/>
      <c r="L26" s="259"/>
      <c r="T26" s="266"/>
    </row>
    <row r="27" ht="16.5" spans="1:20">
      <c r="B27" s="306" t="s">
        <v>961</v>
      </c>
      <c r="C27" s="3"/>
      <c r="D27" s="3"/>
      <c r="E27" s="3"/>
      <c r="F27" s="307"/>
      <c r="L27" s="259"/>
      <c r="T27" s="266"/>
    </row>
    <row r="28" ht="16.15" customHeight="1" spans="1:20">
      <c r="B28" s="306" t="s">
        <v>962</v>
      </c>
      <c r="C28" s="308"/>
      <c r="D28" s="308"/>
      <c r="E28" s="308"/>
      <c r="F28" s="309"/>
      <c r="L28" s="259"/>
      <c r="T28" s="266"/>
    </row>
    <row r="29" ht="28.15" customHeight="1" spans="1:20">
      <c r="B29" s="310" t="s">
        <v>963</v>
      </c>
      <c r="C29" s="311"/>
      <c r="D29" s="311"/>
      <c r="E29" s="311"/>
      <c r="F29" s="312"/>
      <c r="L29" s="259"/>
      <c r="T29" s="266"/>
    </row>
    <row r="30" ht="15" customHeight="1" spans="1:20">
      <c r="B30" s="313" t="s">
        <v>964</v>
      </c>
      <c r="C30" s="314"/>
      <c r="D30" s="314"/>
      <c r="E30" s="314"/>
      <c r="F30" s="315"/>
      <c r="L30" s="259"/>
      <c r="T30" s="266"/>
    </row>
    <row r="31" spans="1:20">
      <c r="T31" s="266"/>
    </row>
    <row r="32" ht="14.15" customHeight="1" spans="1:20">
      <c r="C32" s="316"/>
      <c r="D32" s="316"/>
      <c r="E32" s="316"/>
      <c r="F32" s="316"/>
      <c r="G32" s="316"/>
      <c r="H32" s="316"/>
      <c r="I32" s="316"/>
      <c r="J32" s="316"/>
      <c r="K32" s="316"/>
      <c r="L32" s="316"/>
      <c r="M32" s="61"/>
      <c r="N32" s="317" t="s">
        <v>965</v>
      </c>
      <c r="O32" s="318" t="s">
        <v>966</v>
      </c>
      <c r="P32" s="319"/>
      <c r="Q32" s="319"/>
      <c r="R32" s="320"/>
      <c r="T32" s="266"/>
    </row>
    <row r="33" ht="33" spans="1:20">
      <c r="B33" s="321" t="s">
        <v>967</v>
      </c>
      <c r="C33" s="321" t="s">
        <v>190</v>
      </c>
      <c r="D33" s="322" t="s">
        <v>968</v>
      </c>
      <c r="E33" s="322" t="s">
        <v>969</v>
      </c>
      <c r="F33" s="322" t="s">
        <v>970</v>
      </c>
      <c r="G33" s="322" t="s">
        <v>971</v>
      </c>
      <c r="H33" s="322" t="s">
        <v>972</v>
      </c>
      <c r="I33" s="322" t="s">
        <v>973</v>
      </c>
      <c r="J33" s="322" t="s">
        <v>974</v>
      </c>
      <c r="K33" s="322" t="s">
        <v>975</v>
      </c>
      <c r="L33" s="322" t="s">
        <v>976</v>
      </c>
      <c r="M33" s="322" t="s">
        <v>977</v>
      </c>
      <c r="N33" s="322" t="s">
        <v>978</v>
      </c>
      <c r="O33" s="321">
        <v>1</v>
      </c>
      <c r="P33" s="321">
        <v>2</v>
      </c>
      <c r="Q33" s="321">
        <v>3</v>
      </c>
      <c r="R33" s="321">
        <v>4</v>
      </c>
      <c r="T33" s="266"/>
    </row>
    <row r="34" spans="1:20">
      <c r="B34" s="323" t="s">
        <v>979</v>
      </c>
      <c r="C34" s="323" t="s">
        <v>192</v>
      </c>
      <c r="D34" s="323">
        <v>160104</v>
      </c>
      <c r="E34" s="323" t="s">
        <v>980</v>
      </c>
      <c r="F34" s="323" t="s">
        <v>332</v>
      </c>
      <c r="G34" s="324">
        <v>2757398.24</v>
      </c>
      <c r="H34" s="325" t="s">
        <v>981</v>
      </c>
      <c r="I34" s="323" t="s">
        <v>982</v>
      </c>
      <c r="J34" s="326">
        <v>0.05</v>
      </c>
      <c r="K34" s="323" t="s">
        <v>983</v>
      </c>
      <c r="L34" s="327">
        <v>2757398.24</v>
      </c>
      <c r="M34" s="328" t="s">
        <v>984</v>
      </c>
      <c r="N34" s="329">
        <f>G34-L34</f>
        <v>0</v>
      </c>
      <c r="O34" s="323" t="s">
        <v>985</v>
      </c>
      <c r="P34" s="323" t="s">
        <v>985</v>
      </c>
      <c r="Q34" s="323" t="s">
        <v>985</v>
      </c>
      <c r="R34" s="323" t="s">
        <v>985</v>
      </c>
      <c r="T34" s="266"/>
    </row>
    <row r="35" spans="1:20">
      <c r="B35" s="323" t="s">
        <v>979</v>
      </c>
      <c r="C35" s="323" t="s">
        <v>192</v>
      </c>
      <c r="D35" s="323">
        <v>160104</v>
      </c>
      <c r="E35" s="323" t="s">
        <v>986</v>
      </c>
      <c r="F35" s="323" t="s">
        <v>332</v>
      </c>
      <c r="G35" s="330">
        <v>2757398.24</v>
      </c>
      <c r="H35" s="323" t="s">
        <v>981</v>
      </c>
      <c r="I35" s="323" t="s">
        <v>982</v>
      </c>
      <c r="J35" s="326">
        <v>0.05</v>
      </c>
      <c r="K35" s="323" t="s">
        <v>983</v>
      </c>
      <c r="L35" s="330">
        <v>2757398.24</v>
      </c>
      <c r="M35" s="323" t="s">
        <v>984</v>
      </c>
      <c r="N35" s="329">
        <f>G35-L35</f>
        <v>0</v>
      </c>
      <c r="O35" s="323" t="s">
        <v>985</v>
      </c>
      <c r="P35" s="323" t="s">
        <v>985</v>
      </c>
      <c r="Q35" s="323" t="s">
        <v>985</v>
      </c>
      <c r="R35" s="323" t="s">
        <v>985</v>
      </c>
      <c r="T35" s="266"/>
    </row>
    <row r="36" spans="1:20">
      <c r="B36" s="331"/>
      <c r="C36" s="332"/>
      <c r="D36" s="332"/>
      <c r="E36" s="332"/>
      <c r="F36" s="332"/>
      <c r="G36" s="333"/>
      <c r="H36" s="333"/>
      <c r="I36" s="334"/>
      <c r="J36" s="335"/>
      <c r="K36" s="333"/>
      <c r="L36" s="336"/>
      <c r="M36" s="332"/>
      <c r="N36" s="332"/>
      <c r="O36" s="332"/>
      <c r="P36" s="332"/>
      <c r="T36" s="266"/>
    </row>
    <row r="37" ht="16.5" spans="1:20">
      <c r="B37" s="159" t="s">
        <v>987</v>
      </c>
      <c r="C37" s="332"/>
      <c r="D37" s="332"/>
      <c r="E37" s="332"/>
      <c r="F37" s="332"/>
      <c r="G37" s="333"/>
      <c r="H37" s="333"/>
      <c r="I37" s="334"/>
      <c r="J37" s="335"/>
      <c r="K37" s="333"/>
      <c r="L37" s="336"/>
      <c r="M37" s="332"/>
      <c r="N37" s="332"/>
      <c r="O37" s="332"/>
      <c r="P37" s="332"/>
      <c r="T37" s="266"/>
    </row>
    <row r="38" spans="1:20">
      <c r="B38" s="271" t="s">
        <v>988</v>
      </c>
      <c r="C38" s="272"/>
      <c r="D38" s="272"/>
      <c r="E38" s="272"/>
      <c r="F38" s="273"/>
      <c r="G38" s="333"/>
      <c r="H38" s="333"/>
      <c r="I38" s="334"/>
      <c r="J38" s="335"/>
      <c r="K38" s="333"/>
      <c r="L38" s="336"/>
      <c r="M38" s="332"/>
      <c r="N38" s="332"/>
      <c r="O38" s="332"/>
      <c r="P38" s="332"/>
      <c r="T38" s="266"/>
    </row>
    <row r="39" spans="1:20">
      <c r="B39" s="275"/>
      <c r="C39" s="276"/>
      <c r="D39" s="276"/>
      <c r="E39" s="276"/>
      <c r="F39" s="277"/>
      <c r="G39" s="333"/>
      <c r="H39" s="333"/>
      <c r="I39" s="334"/>
      <c r="J39" s="335"/>
      <c r="K39" s="333"/>
      <c r="L39" s="336"/>
      <c r="M39" s="332"/>
      <c r="N39" s="332"/>
      <c r="O39" s="332"/>
      <c r="P39" s="332"/>
      <c r="T39" s="266"/>
    </row>
    <row r="40" spans="1:20">
      <c r="B40" s="275"/>
      <c r="C40" s="276"/>
      <c r="D40" s="276"/>
      <c r="E40" s="276"/>
      <c r="F40" s="277"/>
      <c r="G40" s="333"/>
      <c r="H40" s="333"/>
      <c r="I40" s="334"/>
      <c r="J40" s="335"/>
      <c r="K40" s="333"/>
      <c r="L40" s="336"/>
      <c r="M40" s="332"/>
      <c r="N40" s="332"/>
      <c r="O40" s="332"/>
      <c r="P40" s="332"/>
      <c r="T40" s="266"/>
    </row>
    <row r="41" spans="1:20">
      <c r="A41" s="337"/>
      <c r="B41" s="278"/>
      <c r="C41" s="279"/>
      <c r="D41" s="279"/>
      <c r="E41" s="279"/>
      <c r="F41" s="280"/>
      <c r="G41" s="333"/>
      <c r="H41" s="333"/>
      <c r="I41" s="334"/>
      <c r="J41" s="335"/>
      <c r="K41" s="333"/>
      <c r="L41" s="259"/>
      <c r="T41" s="266"/>
    </row>
    <row r="42" ht="15" customHeight="1" spans="1:20">
      <c r="B42" s="338"/>
      <c r="C42" s="338"/>
      <c r="D42" s="338"/>
      <c r="E42" s="338"/>
      <c r="F42" s="338"/>
      <c r="G42" s="338"/>
      <c r="H42" s="338"/>
      <c r="K42" s="338"/>
      <c r="L42" s="259"/>
      <c r="T42" s="266"/>
    </row>
    <row r="43" ht="7.5" customHeight="1" spans="1:20">
      <c r="A43" s="266"/>
      <c r="B43" s="266"/>
      <c r="C43" s="266"/>
      <c r="D43" s="266"/>
      <c r="E43" s="266"/>
      <c r="F43" s="266"/>
      <c r="G43" s="266"/>
      <c r="H43" s="266"/>
      <c r="I43" s="266"/>
      <c r="J43" s="266"/>
      <c r="K43" s="266"/>
      <c r="L43" s="266"/>
      <c r="M43" s="266"/>
      <c r="N43" s="266"/>
      <c r="O43" s="266"/>
      <c r="P43" s="266"/>
      <c r="Q43" s="266"/>
      <c r="R43" s="266"/>
      <c r="S43" s="266"/>
      <c r="T43" s="266"/>
    </row>
    <row r="44" spans="1:20">
      <c r="A44" s="339"/>
      <c r="L44" s="259"/>
    </row>
    <row r="45" spans="1:20">
      <c r="L45" s="259"/>
    </row>
    <row r="46" spans="1:20">
      <c r="L46" s="259"/>
    </row>
    <row r="47" spans="1:20">
      <c r="L47" s="259"/>
    </row>
    <row r="48" spans="1:20">
      <c r="L48" s="259"/>
    </row>
    <row r="49" spans="12:12">
      <c r="L49" s="259"/>
    </row>
    <row r="50" spans="12:12">
      <c r="L50" s="259"/>
    </row>
    <row r="51" spans="12:12">
      <c r="L51" s="259"/>
    </row>
    <row r="52" spans="12:12">
      <c r="L52" s="259"/>
    </row>
    <row r="53" spans="12:12">
      <c r="L53" s="259"/>
    </row>
    <row r="54" spans="12:12">
      <c r="L54" s="259"/>
    </row>
    <row r="55" spans="12:12">
      <c r="L55" s="259"/>
    </row>
  </sheetData>
  <mergeCells count="21">
    <mergeCell ref="B1:R1"/>
    <mergeCell ref="O2:P2"/>
    <mergeCell ref="Q2:R2"/>
    <mergeCell ref="B6:R6"/>
    <mergeCell ref="O11:P11"/>
    <mergeCell ref="Q11:R11"/>
    <mergeCell ref="O12:P12"/>
    <mergeCell ref="Q12:R12"/>
    <mergeCell ref="O13:P13"/>
    <mergeCell ref="Q13:R13"/>
    <mergeCell ref="O14:P14"/>
    <mergeCell ref="Q14:R14"/>
    <mergeCell ref="O15:P15"/>
    <mergeCell ref="Q15:R15"/>
    <mergeCell ref="O16:P16"/>
    <mergeCell ref="Q16:R16"/>
    <mergeCell ref="B29:F29"/>
    <mergeCell ref="O32:R32"/>
    <mergeCell ref="B38:F41"/>
    <mergeCell ref="B20:F23"/>
    <mergeCell ref="B7:F10"/>
  </mergeCells>
  <conditionalFormatting sqref="B7">
    <cfRule type="containsBlanks" dxfId="1" priority="2">
      <formula>LEN(TRIM(B7))=0</formula>
    </cfRule>
  </conditionalFormatting>
  <conditionalFormatting sqref="F12">
    <cfRule type="containsBlanks" dxfId="1" priority="8">
      <formula>LEN(TRIM(F12))=0</formula>
    </cfRule>
  </conditionalFormatting>
  <conditionalFormatting sqref="F16">
    <cfRule type="containsBlanks" dxfId="1" priority="7">
      <formula>LEN(TRIM(F16))=0</formula>
    </cfRule>
  </conditionalFormatting>
  <conditionalFormatting sqref="B20">
    <cfRule type="containsBlanks" dxfId="1" priority="3">
      <formula>LEN(TRIM(B20))=0</formula>
    </cfRule>
  </conditionalFormatting>
  <conditionalFormatting sqref="B38">
    <cfRule type="containsBlanks" dxfId="1" priority="4">
      <formula>LEN(TRIM(B38))=0</formula>
    </cfRule>
  </conditionalFormatting>
  <conditionalFormatting sqref="B34:M35 O34:R35">
    <cfRule type="containsBlanks" dxfId="1" priority="1">
      <formula>LEN(TRIM(B34))=0</formula>
    </cfRule>
  </conditionalFormatting>
  <dataValidations count="2">
    <dataValidation type="list" allowBlank="1" showInputMessage="1" sqref="B34:B35">
      <formula1>"关键项（key item）,代表性样本"</formula1>
    </dataValidation>
    <dataValidation type="list" allowBlank="1" showInputMessage="1" sqref="O34:R35">
      <formula1>"Y,N"</formula1>
    </dataValidation>
  </dataValidations>
  <hyperlinks>
    <hyperlink ref="B4" location="'汇总 '!A1" display="返回汇总页"/>
  </hyperlinks>
  <pageMargins left="0.7" right="0.7" top="0.75" bottom="0.75" header="0.3" footer="0.3"/>
  <pageSetup paperSize="9" orientation="portrait" horizontalDpi="300" verticalDpi="300"/>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3"/>
  <sheetViews>
    <sheetView zoomScale="85" zoomScaleNormal="85" workbookViewId="0">
      <selection activeCell="F15" sqref="F15:K15"/>
    </sheetView>
  </sheetViews>
  <sheetFormatPr defaultColWidth="8.63333333333333" defaultRowHeight="14.25"/>
  <cols>
    <col min="1" max="1" width="8.36666666666667" style="210" customWidth="1"/>
    <col min="2" max="11" width="14.45" style="210" customWidth="1"/>
    <col min="12" max="12" width="21.6333333333333" style="210" customWidth="1"/>
    <col min="13" max="16384" width="8.63333333333333" style="210"/>
  </cols>
  <sheetData>
    <row r="1" ht="44.9" customHeight="1" spans="1:12">
      <c r="A1" s="211"/>
      <c r="B1" s="212" t="s">
        <v>989</v>
      </c>
      <c r="C1" s="212"/>
      <c r="D1" s="212"/>
      <c r="E1" s="212"/>
      <c r="F1" s="212"/>
      <c r="G1" s="213" t="s">
        <v>990</v>
      </c>
      <c r="H1" s="213"/>
      <c r="I1" s="213"/>
      <c r="J1" s="213"/>
      <c r="K1" s="214"/>
      <c r="L1" s="215"/>
    </row>
    <row r="2" ht="16.5" spans="1:12">
      <c r="A2" s="216" t="s">
        <v>991</v>
      </c>
      <c r="B2" s="216"/>
      <c r="C2" s="216"/>
      <c r="D2" s="217" t="s">
        <v>992</v>
      </c>
      <c r="E2" s="217"/>
      <c r="F2" s="217"/>
      <c r="G2" s="217"/>
      <c r="H2" s="217"/>
      <c r="I2" s="217"/>
      <c r="J2" s="217"/>
      <c r="K2" s="218"/>
    </row>
    <row r="3" ht="16.5" spans="1:12">
      <c r="A3" s="216" t="s">
        <v>993</v>
      </c>
      <c r="B3" s="216"/>
      <c r="C3" s="216"/>
      <c r="D3" s="217" t="s">
        <v>994</v>
      </c>
      <c r="E3" s="217"/>
      <c r="F3" s="217"/>
      <c r="G3" s="217"/>
      <c r="H3" s="217"/>
      <c r="I3" s="217"/>
      <c r="J3" s="217"/>
      <c r="K3" s="218"/>
    </row>
    <row r="4" ht="16.5" spans="1:12">
      <c r="A4" s="216" t="s">
        <v>995</v>
      </c>
      <c r="B4" s="216"/>
      <c r="C4" s="216"/>
      <c r="D4" s="219" t="s">
        <v>996</v>
      </c>
      <c r="E4" s="219"/>
      <c r="F4" s="219"/>
      <c r="G4" s="219"/>
      <c r="H4" s="219"/>
      <c r="I4" s="219"/>
      <c r="J4" s="219"/>
      <c r="K4" s="220"/>
    </row>
    <row r="6" ht="15" spans="1:12">
      <c r="A6" s="221" t="s">
        <v>997</v>
      </c>
      <c r="B6" s="221"/>
      <c r="C6" s="221"/>
      <c r="D6" s="221"/>
      <c r="E6" s="221"/>
      <c r="F6" s="221"/>
      <c r="G6" s="221"/>
      <c r="H6" s="221"/>
      <c r="I6" s="221"/>
      <c r="J6" s="221"/>
      <c r="K6" s="221"/>
    </row>
    <row r="7" spans="1:12">
      <c r="K7" s="222"/>
    </row>
    <row r="8" ht="15" spans="1:12">
      <c r="A8" s="223" t="s">
        <v>998</v>
      </c>
      <c r="B8" s="223"/>
      <c r="C8" s="223"/>
      <c r="D8" s="223"/>
      <c r="E8" s="223"/>
      <c r="F8" s="224" t="s">
        <v>999</v>
      </c>
      <c r="G8" s="224"/>
      <c r="H8" s="224"/>
      <c r="I8" s="224"/>
      <c r="J8" s="224"/>
      <c r="K8" s="225"/>
    </row>
    <row r="9" ht="15" spans="1:12">
      <c r="A9" s="226" t="s">
        <v>1000</v>
      </c>
      <c r="B9" s="226"/>
      <c r="C9" s="226"/>
      <c r="D9" s="226"/>
      <c r="E9" s="226"/>
      <c r="F9" s="224" t="s">
        <v>1001</v>
      </c>
      <c r="G9" s="224"/>
      <c r="H9" s="224"/>
      <c r="I9" s="224"/>
      <c r="J9" s="224"/>
      <c r="K9" s="225"/>
    </row>
    <row r="10" ht="16.5" spans="1:12">
      <c r="A10" s="223" t="s">
        <v>1002</v>
      </c>
      <c r="B10" s="223"/>
      <c r="C10" s="223"/>
      <c r="D10" s="223"/>
      <c r="E10" s="223"/>
      <c r="F10" s="224" t="s">
        <v>1003</v>
      </c>
      <c r="G10" s="224"/>
      <c r="H10" s="224"/>
      <c r="I10" s="224"/>
      <c r="J10" s="224"/>
      <c r="K10" s="225"/>
    </row>
    <row r="11" ht="15" spans="1:12">
      <c r="A11" s="223" t="s">
        <v>1004</v>
      </c>
      <c r="B11" s="223"/>
      <c r="C11" s="223"/>
      <c r="D11" s="223"/>
      <c r="E11" s="223"/>
      <c r="F11" s="224" t="s">
        <v>1005</v>
      </c>
      <c r="G11" s="224"/>
      <c r="H11" s="224"/>
      <c r="I11" s="224"/>
      <c r="J11" s="224"/>
      <c r="K11" s="225"/>
    </row>
    <row r="12" ht="15" spans="1:12">
      <c r="A12" s="223" t="s">
        <v>1006</v>
      </c>
      <c r="B12" s="223"/>
      <c r="C12" s="223"/>
      <c r="D12" s="223"/>
      <c r="E12" s="223"/>
      <c r="F12" s="224" t="s">
        <v>1007</v>
      </c>
      <c r="G12" s="224"/>
      <c r="H12" s="224"/>
      <c r="I12" s="224"/>
      <c r="J12" s="224"/>
      <c r="K12" s="225"/>
    </row>
    <row r="13" ht="15" spans="1:12">
      <c r="A13" s="223" t="s">
        <v>1008</v>
      </c>
      <c r="B13" s="223"/>
      <c r="C13" s="223"/>
      <c r="D13" s="223"/>
      <c r="E13" s="223"/>
      <c r="F13" s="224" t="s">
        <v>1009</v>
      </c>
      <c r="G13" s="224"/>
      <c r="H13" s="224"/>
      <c r="I13" s="224"/>
      <c r="J13" s="224"/>
      <c r="K13" s="225"/>
    </row>
    <row r="14" ht="15" spans="1:12">
      <c r="A14" s="227" t="s">
        <v>1010</v>
      </c>
      <c r="B14" s="223"/>
      <c r="C14" s="223"/>
      <c r="D14" s="223"/>
      <c r="E14" s="223"/>
      <c r="F14" s="224" t="s">
        <v>54</v>
      </c>
      <c r="G14" s="224"/>
      <c r="H14" s="224"/>
      <c r="I14" s="224"/>
      <c r="J14" s="224"/>
      <c r="K14" s="225"/>
    </row>
    <row r="15" ht="15" spans="1:12">
      <c r="A15" s="223" t="s">
        <v>1011</v>
      </c>
      <c r="B15" s="223"/>
      <c r="C15" s="223"/>
      <c r="D15" s="223"/>
      <c r="E15" s="223"/>
      <c r="F15" s="224" t="s">
        <v>1012</v>
      </c>
      <c r="G15" s="224"/>
      <c r="H15" s="224"/>
      <c r="I15" s="224"/>
      <c r="J15" s="224"/>
      <c r="K15" s="225"/>
      <c r="L15" s="228"/>
    </row>
    <row r="16" ht="15" spans="1:12">
      <c r="A16" s="223" t="s">
        <v>1013</v>
      </c>
      <c r="B16" s="223"/>
      <c r="C16" s="223"/>
      <c r="D16" s="223"/>
      <c r="E16" s="223"/>
      <c r="F16" s="224" t="s">
        <v>1014</v>
      </c>
      <c r="G16" s="224"/>
      <c r="H16" s="224"/>
      <c r="I16" s="224"/>
      <c r="J16" s="224"/>
      <c r="K16" s="225"/>
      <c r="L16" s="228"/>
    </row>
    <row r="17" ht="15" spans="1:12">
      <c r="A17" s="223" t="s">
        <v>1015</v>
      </c>
      <c r="B17" s="223"/>
      <c r="C17" s="223"/>
      <c r="D17" s="223"/>
      <c r="E17" s="223"/>
      <c r="F17" s="224" t="s">
        <v>54</v>
      </c>
      <c r="G17" s="224"/>
      <c r="H17" s="224"/>
      <c r="I17" s="224"/>
      <c r="J17" s="224"/>
      <c r="K17" s="225"/>
    </row>
    <row r="18" ht="15" spans="1:12">
      <c r="A18" s="223" t="s">
        <v>1016</v>
      </c>
      <c r="B18" s="223"/>
      <c r="C18" s="223"/>
      <c r="D18" s="223"/>
      <c r="E18" s="223"/>
      <c r="F18" s="224" t="s">
        <v>1017</v>
      </c>
      <c r="G18" s="224"/>
      <c r="H18" s="224"/>
      <c r="I18" s="224"/>
      <c r="J18" s="224"/>
      <c r="K18" s="225"/>
    </row>
    <row r="19" ht="15" spans="1:12">
      <c r="A19" s="223" t="s">
        <v>1018</v>
      </c>
      <c r="B19" s="223"/>
      <c r="C19" s="223"/>
      <c r="D19" s="223"/>
      <c r="E19" s="223"/>
      <c r="F19" s="224" t="s">
        <v>54</v>
      </c>
      <c r="G19" s="224"/>
      <c r="H19" s="224"/>
      <c r="I19" s="224"/>
      <c r="J19" s="224"/>
      <c r="K19" s="225"/>
      <c r="L19" s="229"/>
    </row>
    <row r="20" ht="15" spans="1:12">
      <c r="A20" s="223" t="s">
        <v>1019</v>
      </c>
      <c r="B20" s="223"/>
      <c r="C20" s="223"/>
      <c r="D20" s="223"/>
      <c r="E20" s="223"/>
      <c r="F20" s="224" t="s">
        <v>37</v>
      </c>
      <c r="G20" s="224"/>
      <c r="H20" s="224"/>
      <c r="I20" s="224"/>
      <c r="J20" s="224"/>
      <c r="K20" s="225"/>
    </row>
    <row r="21" ht="15" spans="1:12">
      <c r="A21" s="227" t="s">
        <v>1020</v>
      </c>
      <c r="B21" s="223"/>
      <c r="C21" s="223"/>
      <c r="D21" s="223"/>
      <c r="E21" s="223"/>
      <c r="F21" s="224" t="s">
        <v>54</v>
      </c>
      <c r="G21" s="224"/>
      <c r="H21" s="224"/>
      <c r="I21" s="224"/>
      <c r="J21" s="224"/>
      <c r="K21" s="225"/>
    </row>
    <row r="22" ht="16.5" spans="1:12">
      <c r="A22" s="224" t="s">
        <v>1021</v>
      </c>
      <c r="B22" s="224"/>
      <c r="C22" s="224"/>
      <c r="D22" s="224"/>
      <c r="E22" s="224"/>
      <c r="F22" s="224" t="s">
        <v>54</v>
      </c>
      <c r="G22" s="224"/>
      <c r="H22" s="224"/>
      <c r="I22" s="224"/>
      <c r="J22" s="224"/>
      <c r="K22" s="225"/>
    </row>
    <row r="24" ht="15" spans="1:12">
      <c r="A24" s="221" t="s">
        <v>1022</v>
      </c>
      <c r="B24" s="221"/>
      <c r="C24" s="221"/>
      <c r="D24" s="221"/>
      <c r="E24" s="221"/>
      <c r="F24" s="221"/>
      <c r="G24" s="221"/>
      <c r="H24" s="221"/>
      <c r="I24" s="221"/>
      <c r="J24" s="221"/>
      <c r="K24" s="221"/>
    </row>
    <row r="26" ht="15" spans="1:12">
      <c r="A26" s="230" t="s">
        <v>1023</v>
      </c>
      <c r="B26" s="230"/>
      <c r="C26" s="230"/>
      <c r="D26" s="230"/>
      <c r="E26" s="230"/>
      <c r="F26" s="230"/>
      <c r="G26" s="230"/>
      <c r="H26" s="230"/>
      <c r="I26" s="230"/>
      <c r="J26" s="230"/>
      <c r="K26" s="230"/>
    </row>
    <row r="27" ht="15" spans="1:12">
      <c r="A27" s="231" t="s">
        <v>1024</v>
      </c>
      <c r="B27" s="231"/>
      <c r="C27" s="231"/>
      <c r="D27" s="231"/>
      <c r="E27" s="232" t="s">
        <v>1025</v>
      </c>
      <c r="F27" s="232"/>
      <c r="G27" s="231" t="s">
        <v>1026</v>
      </c>
      <c r="H27" s="231" t="s">
        <v>1027</v>
      </c>
      <c r="I27" s="231"/>
      <c r="J27" s="231"/>
      <c r="K27" s="231"/>
    </row>
    <row r="28" spans="1:12">
      <c r="A28" s="233" t="s">
        <v>1028</v>
      </c>
      <c r="B28" s="233"/>
      <c r="C28" s="233"/>
      <c r="D28" s="233"/>
      <c r="E28" s="234" t="s">
        <v>1029</v>
      </c>
      <c r="F28" s="235"/>
      <c r="G28" s="233"/>
      <c r="H28" s="233" t="s">
        <v>1030</v>
      </c>
      <c r="I28" s="233"/>
      <c r="J28" s="233"/>
      <c r="K28" s="233"/>
    </row>
    <row r="29" spans="1:12">
      <c r="A29" s="233"/>
      <c r="B29" s="233"/>
      <c r="C29" s="233"/>
      <c r="D29" s="233"/>
      <c r="E29" s="234"/>
      <c r="F29" s="235"/>
      <c r="G29" s="233"/>
      <c r="H29" s="233"/>
      <c r="I29" s="233"/>
      <c r="J29" s="233"/>
      <c r="K29" s="233"/>
    </row>
    <row r="30" ht="15" spans="1:12">
      <c r="A30" s="230" t="s">
        <v>1031</v>
      </c>
      <c r="B30" s="230"/>
      <c r="C30" s="230"/>
      <c r="D30" s="230"/>
      <c r="E30" s="230"/>
      <c r="F30" s="230"/>
      <c r="G30" s="230"/>
      <c r="H30" s="230"/>
      <c r="I30" s="230"/>
      <c r="J30" s="230"/>
      <c r="K30" s="230"/>
    </row>
    <row r="31" ht="16.5" spans="1:12">
      <c r="A31" s="236" t="s">
        <v>1032</v>
      </c>
      <c r="B31" s="236"/>
      <c r="C31" s="236"/>
      <c r="D31" s="236"/>
      <c r="E31" s="236"/>
      <c r="F31" s="237" t="s">
        <v>1033</v>
      </c>
      <c r="G31" s="238"/>
      <c r="H31" s="238"/>
      <c r="I31" s="238"/>
      <c r="J31" s="238"/>
      <c r="K31" s="239"/>
    </row>
    <row r="32" ht="16.5" spans="1:12">
      <c r="A32" s="236" t="s">
        <v>1034</v>
      </c>
      <c r="B32" s="236"/>
      <c r="C32" s="236"/>
      <c r="D32" s="236"/>
      <c r="E32" s="236"/>
      <c r="F32" s="237" t="s">
        <v>1035</v>
      </c>
      <c r="G32" s="238"/>
      <c r="H32" s="238"/>
      <c r="I32" s="238"/>
      <c r="J32" s="238"/>
      <c r="K32" s="239"/>
    </row>
    <row r="33" ht="16.5" spans="1:15">
      <c r="A33" s="236" t="s">
        <v>1036</v>
      </c>
      <c r="B33" s="236"/>
      <c r="C33" s="236"/>
      <c r="D33" s="236"/>
      <c r="E33" s="236"/>
      <c r="F33" s="237" t="s">
        <v>1033</v>
      </c>
      <c r="G33" s="238"/>
      <c r="H33" s="238"/>
      <c r="I33" s="238"/>
      <c r="J33" s="238"/>
      <c r="K33" s="239"/>
    </row>
    <row r="35" ht="18" customHeight="1" spans="1:15">
      <c r="A35" s="221" t="s">
        <v>1037</v>
      </c>
      <c r="B35" s="221"/>
      <c r="C35" s="221"/>
      <c r="D35" s="221"/>
      <c r="E35" s="221"/>
      <c r="F35" s="221"/>
      <c r="G35" s="221"/>
      <c r="H35" s="221"/>
      <c r="I35" s="221"/>
      <c r="J35" s="221"/>
      <c r="K35" s="221"/>
    </row>
    <row r="36" spans="1:15">
      <c r="F36" s="240"/>
      <c r="G36" s="240"/>
      <c r="H36" s="240"/>
      <c r="I36" s="240"/>
      <c r="J36" s="240"/>
      <c r="K36" s="240"/>
    </row>
    <row r="37" ht="15" spans="1:15">
      <c r="A37" s="241" t="s">
        <v>1038</v>
      </c>
      <c r="B37" s="241"/>
      <c r="C37" s="241"/>
      <c r="D37" s="241"/>
      <c r="E37" s="241"/>
      <c r="F37" s="210" t="s">
        <v>1033</v>
      </c>
      <c r="H37" s="210" t="s">
        <v>1033</v>
      </c>
      <c r="J37" s="210" t="s">
        <v>1033</v>
      </c>
    </row>
    <row r="38" ht="16.5" spans="1:15">
      <c r="A38" s="210" t="s">
        <v>1039</v>
      </c>
      <c r="F38" s="236" t="s">
        <v>1040</v>
      </c>
      <c r="G38" s="236"/>
      <c r="H38" s="236"/>
      <c r="I38" s="236"/>
      <c r="J38" s="236"/>
      <c r="K38" s="236"/>
    </row>
    <row r="39" ht="16.5" spans="1:15">
      <c r="A39" s="210" t="s">
        <v>1041</v>
      </c>
      <c r="F39" s="236" t="s">
        <v>1042</v>
      </c>
      <c r="G39" s="236"/>
      <c r="H39" s="236"/>
      <c r="I39" s="236"/>
      <c r="J39" s="236"/>
      <c r="K39" s="236"/>
    </row>
    <row r="40" ht="16.5" spans="1:15">
      <c r="A40" s="210" t="s">
        <v>1043</v>
      </c>
      <c r="F40" s="236" t="s">
        <v>1033</v>
      </c>
      <c r="G40" s="236"/>
      <c r="H40" s="236"/>
      <c r="I40" s="236"/>
      <c r="J40" s="236"/>
      <c r="K40" s="236"/>
    </row>
    <row r="41" ht="16.5" spans="1:15">
      <c r="A41" s="210" t="s">
        <v>1044</v>
      </c>
      <c r="F41" s="236" t="s">
        <v>1040</v>
      </c>
      <c r="G41" s="236"/>
      <c r="H41" s="236"/>
      <c r="I41" s="236"/>
      <c r="J41" s="236"/>
      <c r="K41" s="236"/>
    </row>
    <row r="42" ht="15" spans="1:15">
      <c r="A42" s="241" t="s">
        <v>1045</v>
      </c>
      <c r="B42" s="241"/>
      <c r="C42" s="241"/>
      <c r="D42" s="241"/>
      <c r="E42" s="241"/>
      <c r="F42" s="236" t="s">
        <v>1046</v>
      </c>
      <c r="G42" s="236"/>
      <c r="H42" s="236"/>
      <c r="I42" s="236"/>
      <c r="J42" s="236"/>
      <c r="K42" s="236"/>
    </row>
    <row r="43" ht="16.5" spans="1:15">
      <c r="A43" s="210" t="s">
        <v>1047</v>
      </c>
      <c r="F43" s="236" t="s">
        <v>1046</v>
      </c>
      <c r="G43" s="236"/>
      <c r="H43" s="236"/>
      <c r="I43" s="236"/>
      <c r="J43" s="236"/>
      <c r="K43" s="236"/>
    </row>
    <row r="44" ht="16.5" spans="1:15">
      <c r="A44" s="210" t="s">
        <v>1048</v>
      </c>
      <c r="F44" s="236" t="s">
        <v>1046</v>
      </c>
      <c r="G44" s="236"/>
      <c r="H44" s="236"/>
      <c r="I44" s="236"/>
      <c r="J44" s="236"/>
      <c r="K44" s="236"/>
    </row>
    <row r="45" ht="16.5" spans="1:15">
      <c r="A45" s="210" t="s">
        <v>1049</v>
      </c>
      <c r="F45" s="236" t="s">
        <v>1046</v>
      </c>
      <c r="G45" s="236"/>
      <c r="H45" s="236"/>
      <c r="I45" s="236"/>
      <c r="J45" s="236"/>
      <c r="K45" s="236"/>
    </row>
    <row r="46" ht="16.5" spans="1:15">
      <c r="A46" s="210" t="s">
        <v>1050</v>
      </c>
      <c r="F46" s="236" t="s">
        <v>1046</v>
      </c>
      <c r="G46" s="236"/>
      <c r="H46" s="236"/>
      <c r="I46" s="236"/>
      <c r="J46" s="236"/>
      <c r="K46" s="236"/>
    </row>
    <row r="47" ht="15" spans="1:15">
      <c r="A47" s="241" t="s">
        <v>1051</v>
      </c>
      <c r="B47" s="241"/>
      <c r="C47" s="241"/>
      <c r="D47" s="241"/>
      <c r="E47" s="241"/>
      <c r="F47" s="210" t="s">
        <v>1033</v>
      </c>
      <c r="H47" s="240"/>
      <c r="I47" s="240"/>
      <c r="J47" s="240"/>
      <c r="K47" s="240"/>
      <c r="M47" s="240"/>
      <c r="N47" s="240"/>
      <c r="O47" s="240"/>
    </row>
    <row r="48" ht="16.5" spans="1:15">
      <c r="A48" s="210" t="s">
        <v>1052</v>
      </c>
      <c r="F48" s="236" t="s">
        <v>1053</v>
      </c>
      <c r="G48" s="236"/>
      <c r="H48" s="236"/>
      <c r="I48" s="236"/>
      <c r="J48" s="236"/>
      <c r="K48" s="236"/>
    </row>
    <row r="49" spans="1:11">
      <c r="A49" s="210" t="s">
        <v>1054</v>
      </c>
      <c r="F49" s="236" t="s">
        <v>1055</v>
      </c>
      <c r="G49" s="236"/>
      <c r="H49" s="236"/>
      <c r="I49" s="236"/>
      <c r="J49" s="236"/>
      <c r="K49" s="236"/>
    </row>
    <row r="50" spans="1:11">
      <c r="F50" s="236"/>
      <c r="G50" s="236"/>
      <c r="H50" s="236"/>
      <c r="I50" s="236"/>
      <c r="J50" s="236"/>
      <c r="K50" s="236"/>
    </row>
    <row r="51" ht="15" spans="1:11">
      <c r="A51" s="241" t="s">
        <v>1056</v>
      </c>
      <c r="B51" s="241"/>
      <c r="C51" s="241"/>
      <c r="D51" s="241"/>
      <c r="E51" s="241"/>
      <c r="F51" s="236" t="s">
        <v>1042</v>
      </c>
      <c r="G51" s="236"/>
      <c r="H51" s="236"/>
      <c r="I51" s="236"/>
      <c r="J51" s="236"/>
      <c r="K51" s="236"/>
    </row>
    <row r="52" ht="15" spans="1:11">
      <c r="A52" s="242"/>
      <c r="B52" s="242"/>
      <c r="C52" s="242"/>
      <c r="D52" s="242"/>
      <c r="E52" s="242"/>
      <c r="F52" s="243"/>
      <c r="G52" s="243"/>
      <c r="H52" s="243"/>
      <c r="I52" s="243"/>
      <c r="J52" s="243"/>
      <c r="K52" s="243"/>
    </row>
    <row r="53" ht="15" spans="1:11">
      <c r="A53" s="221" t="s">
        <v>1057</v>
      </c>
      <c r="B53" s="221"/>
      <c r="C53" s="221"/>
      <c r="D53" s="221"/>
      <c r="E53" s="221"/>
      <c r="F53" s="221"/>
      <c r="G53" s="221"/>
      <c r="H53" s="221"/>
      <c r="I53" s="221"/>
      <c r="J53" s="221"/>
      <c r="K53" s="221"/>
    </row>
    <row r="54" ht="20.15" customHeight="1" spans="1:11">
      <c r="A54" s="244" t="s">
        <v>1058</v>
      </c>
      <c r="B54" s="245" t="s">
        <v>1059</v>
      </c>
      <c r="C54" s="245"/>
      <c r="D54" s="245"/>
      <c r="E54" s="245"/>
      <c r="F54" s="246" t="s">
        <v>54</v>
      </c>
      <c r="G54" s="246"/>
      <c r="H54" s="246"/>
      <c r="I54" s="245"/>
      <c r="J54" s="245"/>
      <c r="K54" s="245"/>
    </row>
    <row r="55" ht="20.15" customHeight="1" spans="1:11">
      <c r="A55" s="244" t="s">
        <v>1053</v>
      </c>
      <c r="B55" s="245" t="s">
        <v>1060</v>
      </c>
      <c r="C55" s="245"/>
      <c r="D55" s="245"/>
      <c r="E55" s="245"/>
      <c r="F55" s="246" t="s">
        <v>54</v>
      </c>
      <c r="G55" s="246"/>
      <c r="H55" s="246"/>
      <c r="I55" s="245"/>
      <c r="J55" s="245"/>
      <c r="K55" s="245"/>
    </row>
    <row r="56" ht="20.15" customHeight="1" spans="1:11">
      <c r="A56" s="244" t="s">
        <v>1061</v>
      </c>
      <c r="B56" s="245" t="s">
        <v>1062</v>
      </c>
      <c r="C56" s="245"/>
      <c r="D56" s="245"/>
      <c r="E56" s="245"/>
      <c r="F56" s="246" t="s">
        <v>37</v>
      </c>
      <c r="G56" s="246"/>
      <c r="H56" s="246"/>
      <c r="I56" s="245"/>
      <c r="J56" s="245"/>
      <c r="K56" s="245"/>
    </row>
    <row r="57" ht="20.15" customHeight="1" spans="1:11">
      <c r="A57" s="244" t="s">
        <v>1063</v>
      </c>
      <c r="B57" s="245" t="s">
        <v>1064</v>
      </c>
      <c r="C57" s="245"/>
      <c r="D57" s="245"/>
      <c r="E57" s="245"/>
      <c r="F57" s="246" t="s">
        <v>1065</v>
      </c>
      <c r="G57" s="246"/>
      <c r="H57" s="246"/>
      <c r="I57" s="245"/>
      <c r="J57" s="245"/>
      <c r="K57" s="245"/>
    </row>
    <row r="58" ht="20.15" customHeight="1" spans="1:11">
      <c r="A58" s="244" t="s">
        <v>1066</v>
      </c>
      <c r="B58" s="245" t="s">
        <v>1067</v>
      </c>
      <c r="C58" s="245"/>
      <c r="D58" s="245"/>
      <c r="E58" s="245"/>
      <c r="F58" s="246" t="s">
        <v>1033</v>
      </c>
      <c r="G58" s="246"/>
      <c r="H58" s="246"/>
      <c r="I58" s="245"/>
      <c r="J58" s="245"/>
      <c r="K58" s="245"/>
    </row>
    <row r="59" ht="20.15" customHeight="1" spans="1:11">
      <c r="A59" s="244" t="s">
        <v>1033</v>
      </c>
      <c r="B59" s="247" t="s">
        <v>1068</v>
      </c>
      <c r="C59" s="245"/>
      <c r="D59" s="245"/>
      <c r="E59" s="245"/>
      <c r="F59" s="246" t="s">
        <v>1040</v>
      </c>
      <c r="G59" s="246"/>
      <c r="H59" s="246"/>
      <c r="I59" s="245"/>
      <c r="J59" s="245"/>
      <c r="K59" s="245"/>
    </row>
    <row r="60" ht="20.15" customHeight="1" spans="1:11">
      <c r="A60" s="244" t="s">
        <v>1033</v>
      </c>
      <c r="B60" s="247" t="s">
        <v>1069</v>
      </c>
      <c r="C60" s="245"/>
      <c r="D60" s="245"/>
      <c r="E60" s="245"/>
      <c r="F60" s="246" t="s">
        <v>1042</v>
      </c>
      <c r="G60" s="246"/>
      <c r="H60" s="246"/>
      <c r="I60" s="245"/>
      <c r="J60" s="245"/>
      <c r="K60" s="245"/>
    </row>
    <row r="61" ht="20.15" customHeight="1" spans="1:11">
      <c r="A61" s="244" t="s">
        <v>1033</v>
      </c>
      <c r="B61" s="247" t="s">
        <v>1070</v>
      </c>
      <c r="C61" s="245"/>
      <c r="D61" s="245"/>
      <c r="E61" s="245"/>
      <c r="F61" s="246" t="s">
        <v>1040</v>
      </c>
      <c r="G61" s="246"/>
      <c r="H61" s="246"/>
      <c r="I61" s="245"/>
      <c r="J61" s="245"/>
      <c r="K61" s="245"/>
    </row>
    <row r="62" ht="20.15" customHeight="1" spans="1:11">
      <c r="A62" s="244" t="s">
        <v>1033</v>
      </c>
      <c r="B62" s="247" t="s">
        <v>1071</v>
      </c>
      <c r="C62" s="245"/>
      <c r="D62" s="245"/>
      <c r="E62" s="245"/>
      <c r="F62" s="246" t="s">
        <v>1040</v>
      </c>
      <c r="G62" s="246"/>
      <c r="H62" s="246"/>
      <c r="I62" s="245"/>
      <c r="J62" s="245"/>
      <c r="K62" s="245"/>
    </row>
    <row r="63" ht="20.15" customHeight="1" spans="1:11">
      <c r="A63" s="244" t="s">
        <v>1033</v>
      </c>
      <c r="B63" s="247" t="s">
        <v>1072</v>
      </c>
      <c r="C63" s="245"/>
      <c r="D63" s="245"/>
      <c r="E63" s="245"/>
      <c r="F63" s="246" t="s">
        <v>1042</v>
      </c>
      <c r="G63" s="246"/>
      <c r="H63" s="246"/>
      <c r="I63" s="245"/>
      <c r="J63" s="245"/>
      <c r="K63" s="245"/>
    </row>
    <row r="64" ht="20.15" customHeight="1" spans="1:11">
      <c r="A64" s="244" t="s">
        <v>1073</v>
      </c>
      <c r="B64" s="245" t="s">
        <v>1074</v>
      </c>
      <c r="C64" s="245"/>
      <c r="D64" s="245"/>
      <c r="E64" s="245"/>
      <c r="F64" s="246" t="s">
        <v>1075</v>
      </c>
      <c r="G64" s="246"/>
      <c r="H64" s="246"/>
      <c r="I64" s="245"/>
      <c r="J64" s="245"/>
      <c r="K64" s="245"/>
    </row>
    <row r="65" ht="20.15" customHeight="1" spans="1:12">
      <c r="A65" s="244" t="s">
        <v>1076</v>
      </c>
      <c r="B65" s="245" t="s">
        <v>1077</v>
      </c>
      <c r="C65" s="245"/>
      <c r="D65" s="245"/>
      <c r="E65" s="245"/>
      <c r="F65" s="246" t="s">
        <v>1078</v>
      </c>
      <c r="G65" s="246"/>
      <c r="H65" s="246"/>
      <c r="I65" s="245"/>
      <c r="J65" s="245"/>
      <c r="K65" s="245"/>
    </row>
    <row r="66" ht="20.15" customHeight="1" spans="1:12">
      <c r="A66" s="244" t="s">
        <v>1079</v>
      </c>
      <c r="B66" s="245" t="s">
        <v>1080</v>
      </c>
      <c r="C66" s="245"/>
      <c r="D66" s="245"/>
      <c r="E66" s="245"/>
      <c r="F66" s="246" t="s">
        <v>54</v>
      </c>
      <c r="G66" s="246"/>
      <c r="H66" s="246"/>
      <c r="I66" s="245"/>
      <c r="J66" s="245"/>
      <c r="K66" s="245"/>
    </row>
    <row r="67" ht="20.15" customHeight="1" spans="1:12">
      <c r="A67" s="244" t="s">
        <v>1033</v>
      </c>
      <c r="B67" s="247" t="s">
        <v>1081</v>
      </c>
      <c r="C67" s="245"/>
      <c r="D67" s="245"/>
      <c r="E67" s="245"/>
      <c r="F67" s="246" t="s">
        <v>1082</v>
      </c>
      <c r="G67" s="246"/>
      <c r="H67" s="246"/>
      <c r="I67" s="245"/>
      <c r="J67" s="245"/>
      <c r="K67" s="245"/>
    </row>
    <row r="68" ht="20.15" customHeight="1" spans="1:12">
      <c r="A68" s="244" t="s">
        <v>1083</v>
      </c>
      <c r="B68" s="245" t="s">
        <v>1084</v>
      </c>
      <c r="C68" s="245"/>
      <c r="D68" s="245"/>
      <c r="E68" s="245"/>
      <c r="F68" s="246" t="s">
        <v>1085</v>
      </c>
      <c r="G68" s="246"/>
      <c r="H68" s="246"/>
      <c r="I68" s="245"/>
      <c r="J68" s="245"/>
      <c r="K68" s="245"/>
    </row>
    <row r="69" ht="20.15" customHeight="1" spans="1:12">
      <c r="A69" s="244" t="s">
        <v>1086</v>
      </c>
      <c r="B69" s="245" t="s">
        <v>1087</v>
      </c>
      <c r="C69" s="245"/>
      <c r="D69" s="245"/>
      <c r="E69" s="245"/>
      <c r="F69" s="246" t="s">
        <v>54</v>
      </c>
      <c r="G69" s="246"/>
      <c r="H69" s="246"/>
      <c r="I69" s="245"/>
      <c r="J69" s="245"/>
      <c r="K69" s="245"/>
    </row>
    <row r="70" ht="20.15" customHeight="1" spans="1:12">
      <c r="A70" s="244" t="s">
        <v>1088</v>
      </c>
      <c r="B70" s="245" t="s">
        <v>1089</v>
      </c>
      <c r="C70" s="245"/>
      <c r="D70" s="245"/>
      <c r="E70" s="245"/>
      <c r="F70" s="246" t="s">
        <v>1090</v>
      </c>
      <c r="G70" s="246"/>
      <c r="H70" s="246"/>
      <c r="I70" s="245"/>
      <c r="J70" s="245"/>
      <c r="K70" s="245"/>
    </row>
    <row r="71" ht="18" customHeight="1" spans="1:12">
      <c r="A71" s="244"/>
      <c r="B71" s="245"/>
      <c r="C71" s="245"/>
      <c r="D71" s="245"/>
      <c r="E71" s="245"/>
      <c r="F71" s="246"/>
      <c r="G71" s="246"/>
      <c r="H71" s="246"/>
      <c r="I71" s="245"/>
      <c r="J71" s="245"/>
      <c r="K71" s="245"/>
    </row>
    <row r="72" ht="18" customHeight="1" spans="1:12">
      <c r="A72" s="244"/>
      <c r="B72" s="245"/>
      <c r="C72" s="245"/>
      <c r="D72" s="245"/>
      <c r="E72" s="245"/>
      <c r="F72" s="246"/>
      <c r="G72" s="246"/>
      <c r="H72" s="246"/>
      <c r="I72" s="245"/>
      <c r="J72" s="245"/>
      <c r="K72" s="245"/>
    </row>
    <row r="73" ht="18" customHeight="1" spans="1:12">
      <c r="A73" s="244"/>
      <c r="B73" s="245"/>
      <c r="C73" s="245"/>
      <c r="D73" s="245"/>
      <c r="E73" s="245"/>
      <c r="F73" s="246"/>
      <c r="G73" s="246"/>
      <c r="H73" s="246"/>
      <c r="I73" s="245"/>
      <c r="J73" s="245"/>
      <c r="K73" s="245"/>
    </row>
    <row r="74" ht="18" customHeight="1" spans="1:12">
      <c r="A74" s="244"/>
      <c r="B74" s="245"/>
      <c r="C74" s="245"/>
      <c r="D74" s="245"/>
      <c r="E74" s="245"/>
      <c r="F74" s="246"/>
      <c r="G74" s="246"/>
      <c r="H74" s="246"/>
      <c r="I74" s="245"/>
      <c r="J74" s="245"/>
      <c r="K74" s="245"/>
    </row>
    <row r="78" ht="15" spans="1:12">
      <c r="A78" s="248" t="s">
        <v>1091</v>
      </c>
      <c r="B78" s="221"/>
      <c r="C78" s="221"/>
      <c r="D78" s="221"/>
      <c r="E78" s="221"/>
      <c r="F78" s="221"/>
      <c r="G78" s="221"/>
      <c r="H78" s="221"/>
      <c r="I78" s="221"/>
      <c r="J78" s="221"/>
      <c r="K78" s="221"/>
    </row>
    <row r="79" spans="1:12">
      <c r="G79" s="240"/>
      <c r="H79" s="240"/>
      <c r="I79" s="240"/>
      <c r="J79" s="240"/>
      <c r="K79" s="222"/>
    </row>
    <row r="80" ht="15" spans="1:12">
      <c r="A80" s="223" t="s">
        <v>1092</v>
      </c>
      <c r="B80" s="223"/>
      <c r="C80" s="223"/>
      <c r="D80" s="223"/>
      <c r="E80" s="223"/>
      <c r="F80" s="224" t="s">
        <v>1093</v>
      </c>
      <c r="G80" s="224"/>
      <c r="H80" s="224"/>
      <c r="I80" s="224"/>
      <c r="J80" s="224"/>
      <c r="K80" s="225"/>
      <c r="L80" s="249"/>
    </row>
    <row r="81" ht="15" spans="1:12">
      <c r="A81" s="223" t="s">
        <v>1094</v>
      </c>
      <c r="B81" s="223"/>
      <c r="C81" s="223"/>
      <c r="D81" s="223"/>
      <c r="E81" s="223"/>
      <c r="F81" s="224" t="s">
        <v>1095</v>
      </c>
      <c r="G81" s="224"/>
      <c r="H81" s="224"/>
      <c r="I81" s="224"/>
      <c r="J81" s="224"/>
      <c r="K81" s="225"/>
      <c r="L81" s="249"/>
    </row>
    <row r="82" ht="15" spans="1:12">
      <c r="A82" s="223" t="s">
        <v>1096</v>
      </c>
      <c r="B82" s="223"/>
      <c r="C82" s="223"/>
      <c r="D82" s="223"/>
      <c r="E82" s="223"/>
      <c r="F82" s="224" t="s">
        <v>1042</v>
      </c>
      <c r="G82" s="224"/>
      <c r="H82" s="224"/>
      <c r="I82" s="224"/>
      <c r="J82" s="224"/>
      <c r="K82" s="225"/>
      <c r="L82" s="250"/>
    </row>
    <row r="83" ht="15" spans="1:12">
      <c r="A83" s="223" t="s">
        <v>1097</v>
      </c>
      <c r="B83" s="223"/>
      <c r="C83" s="223"/>
      <c r="D83" s="223"/>
      <c r="E83" s="223"/>
      <c r="F83" s="224" t="s">
        <v>1058</v>
      </c>
      <c r="G83" s="224"/>
      <c r="H83" s="224"/>
      <c r="I83" s="224"/>
      <c r="J83" s="224"/>
      <c r="K83" s="225"/>
      <c r="L83" s="249"/>
    </row>
    <row r="84" ht="15" spans="1:12">
      <c r="A84" s="223" t="s">
        <v>1098</v>
      </c>
      <c r="B84" s="223"/>
      <c r="C84" s="223"/>
      <c r="D84" s="223"/>
      <c r="E84" s="223"/>
      <c r="F84" s="224">
        <v>0</v>
      </c>
      <c r="G84" s="224"/>
      <c r="H84" s="224"/>
      <c r="I84" s="224"/>
      <c r="J84" s="224"/>
      <c r="K84" s="225"/>
    </row>
    <row r="85" ht="15" spans="1:12">
      <c r="A85" s="223" t="s">
        <v>1099</v>
      </c>
      <c r="B85" s="223"/>
      <c r="C85" s="223"/>
      <c r="D85" s="223"/>
      <c r="E85" s="223"/>
      <c r="F85" s="224" t="s">
        <v>1053</v>
      </c>
      <c r="G85" s="224"/>
      <c r="H85" s="224"/>
      <c r="I85" s="224"/>
      <c r="J85" s="224"/>
      <c r="K85" s="225"/>
    </row>
    <row r="86" ht="15" spans="1:12">
      <c r="A86" s="223" t="s">
        <v>1100</v>
      </c>
      <c r="B86" s="223"/>
      <c r="C86" s="223"/>
      <c r="D86" s="223"/>
      <c r="E86" s="223"/>
      <c r="F86" s="224" t="s">
        <v>1046</v>
      </c>
      <c r="G86" s="224"/>
      <c r="H86" s="224"/>
      <c r="I86" s="224"/>
      <c r="J86" s="224"/>
      <c r="K86" s="225"/>
      <c r="L86" s="249"/>
    </row>
    <row r="87" ht="15" spans="1:12">
      <c r="A87" s="223" t="s">
        <v>1101</v>
      </c>
      <c r="B87" s="223"/>
      <c r="C87" s="223"/>
      <c r="D87" s="223"/>
      <c r="E87" s="223"/>
      <c r="F87" s="224" t="s">
        <v>1102</v>
      </c>
      <c r="G87" s="224"/>
      <c r="H87" s="224"/>
      <c r="I87" s="224"/>
      <c r="J87" s="224"/>
      <c r="K87" s="225"/>
    </row>
    <row r="88" spans="1:12">
      <c r="A88" s="251"/>
      <c r="B88" s="251"/>
      <c r="C88" s="251"/>
      <c r="D88" s="251"/>
      <c r="E88" s="251"/>
      <c r="F88" s="251"/>
      <c r="G88" s="251"/>
      <c r="H88" s="251"/>
      <c r="I88" s="251"/>
      <c r="J88" s="251"/>
      <c r="K88" s="252"/>
    </row>
    <row r="89" ht="15" spans="1:12">
      <c r="A89" s="221" t="s">
        <v>1103</v>
      </c>
      <c r="B89" s="221"/>
      <c r="C89" s="221"/>
      <c r="D89" s="221"/>
      <c r="E89" s="221"/>
      <c r="F89" s="221"/>
      <c r="G89" s="221"/>
      <c r="H89" s="221"/>
      <c r="I89" s="221"/>
      <c r="J89" s="221"/>
      <c r="K89" s="221"/>
    </row>
    <row r="90" spans="1:12">
      <c r="K90" s="222"/>
    </row>
    <row r="91" ht="15" spans="1:12">
      <c r="A91" s="242" t="s">
        <v>1104</v>
      </c>
      <c r="B91" s="242"/>
      <c r="C91" s="242"/>
      <c r="D91" s="242"/>
      <c r="E91" s="242"/>
      <c r="F91" s="224">
        <v>2</v>
      </c>
      <c r="G91" s="224"/>
      <c r="H91" s="224"/>
      <c r="I91" s="224"/>
      <c r="J91" s="224"/>
      <c r="K91" s="225"/>
    </row>
    <row r="92" ht="15" spans="1:12">
      <c r="A92" s="253" t="s">
        <v>1105</v>
      </c>
      <c r="B92" s="242"/>
      <c r="C92" s="242"/>
      <c r="D92" s="242"/>
      <c r="E92" s="242"/>
      <c r="F92" s="224">
        <v>0</v>
      </c>
      <c r="G92" s="224"/>
      <c r="H92" s="224"/>
      <c r="I92" s="224"/>
      <c r="J92" s="224"/>
      <c r="K92" s="225"/>
    </row>
    <row r="93" ht="15" spans="1:12">
      <c r="A93" s="242" t="s">
        <v>1106</v>
      </c>
      <c r="B93" s="242"/>
      <c r="C93" s="242"/>
      <c r="D93" s="242"/>
      <c r="E93" s="242"/>
      <c r="F93" s="224">
        <f>F91+F92</f>
        <v>2</v>
      </c>
      <c r="G93" s="224"/>
      <c r="H93" s="224"/>
      <c r="I93" s="224"/>
      <c r="J93" s="224"/>
      <c r="K93" s="225"/>
    </row>
    <row r="94" ht="15" spans="1:12">
      <c r="A94" s="242" t="s">
        <v>1107</v>
      </c>
      <c r="B94" s="242"/>
      <c r="C94" s="242"/>
      <c r="D94" s="242"/>
      <c r="E94" s="242"/>
      <c r="F94" s="224" t="s">
        <v>1085</v>
      </c>
      <c r="G94" s="224"/>
      <c r="H94" s="224"/>
      <c r="I94" s="224"/>
      <c r="J94" s="224"/>
      <c r="K94" s="225"/>
    </row>
    <row r="95" spans="1:12">
      <c r="A95" s="251"/>
      <c r="B95" s="251"/>
      <c r="C95" s="251"/>
      <c r="D95" s="251"/>
      <c r="E95" s="251"/>
      <c r="F95" s="251"/>
      <c r="G95" s="251"/>
      <c r="H95" s="251"/>
      <c r="I95" s="251"/>
      <c r="J95" s="251"/>
      <c r="K95" s="252"/>
    </row>
    <row r="96" ht="15" spans="1:12">
      <c r="A96" s="244"/>
      <c r="B96" s="244"/>
      <c r="C96" s="244"/>
      <c r="D96" s="244"/>
      <c r="E96" s="244"/>
      <c r="F96" s="254"/>
      <c r="G96" s="254"/>
      <c r="H96" s="254"/>
      <c r="I96" s="254"/>
      <c r="J96" s="254"/>
    </row>
    <row r="97" ht="15" spans="1:11">
      <c r="A97" s="221" t="s">
        <v>1108</v>
      </c>
      <c r="B97" s="221"/>
      <c r="C97" s="221"/>
      <c r="D97" s="221"/>
      <c r="E97" s="221"/>
      <c r="F97" s="221"/>
      <c r="G97" s="221"/>
      <c r="H97" s="221"/>
      <c r="I97" s="221"/>
      <c r="J97" s="221"/>
      <c r="K97" s="221"/>
    </row>
    <row r="99" ht="15" spans="1:11">
      <c r="A99" s="241" t="s">
        <v>1109</v>
      </c>
    </row>
    <row r="100" spans="1:11">
      <c r="A100" s="255" t="s">
        <v>1110</v>
      </c>
      <c r="B100" s="255" t="s">
        <v>1111</v>
      </c>
      <c r="C100" s="255" t="s">
        <v>1112</v>
      </c>
      <c r="D100" s="255" t="s">
        <v>1113</v>
      </c>
      <c r="E100" s="255" t="s">
        <v>1114</v>
      </c>
      <c r="F100" s="255" t="s">
        <v>1115</v>
      </c>
      <c r="G100" s="255" t="s">
        <v>1116</v>
      </c>
      <c r="H100" s="255" t="s">
        <v>1117</v>
      </c>
      <c r="I100" s="255" t="s">
        <v>1118</v>
      </c>
      <c r="J100" s="256" t="s">
        <v>1035</v>
      </c>
      <c r="K100" s="255" t="s">
        <v>1119</v>
      </c>
    </row>
    <row r="101" spans="1:11">
      <c r="A101" s="210" t="s">
        <v>1058</v>
      </c>
      <c r="B101" s="210">
        <v>4</v>
      </c>
      <c r="C101" s="210" t="s">
        <v>979</v>
      </c>
      <c r="D101" s="210" t="s">
        <v>192</v>
      </c>
      <c r="E101" s="210" t="s">
        <v>980</v>
      </c>
      <c r="F101" s="210" t="s">
        <v>332</v>
      </c>
      <c r="G101" s="210" t="s">
        <v>981</v>
      </c>
      <c r="H101" s="210" t="s">
        <v>982</v>
      </c>
      <c r="I101" s="210" t="s">
        <v>1120</v>
      </c>
      <c r="J101" s="257">
        <v>2757398.24</v>
      </c>
      <c r="K101" s="210" t="s">
        <v>1121</v>
      </c>
    </row>
    <row r="102" spans="1:11">
      <c r="A102" s="210" t="s">
        <v>1053</v>
      </c>
      <c r="B102" s="210">
        <v>5</v>
      </c>
      <c r="C102" s="210" t="s">
        <v>979</v>
      </c>
      <c r="D102" s="210" t="s">
        <v>192</v>
      </c>
      <c r="E102" s="210" t="s">
        <v>986</v>
      </c>
      <c r="F102" s="210" t="s">
        <v>332</v>
      </c>
      <c r="G102" s="210" t="s">
        <v>981</v>
      </c>
      <c r="H102" s="210" t="s">
        <v>982</v>
      </c>
      <c r="I102" s="210" t="s">
        <v>1120</v>
      </c>
      <c r="J102" s="257">
        <v>2757398.24</v>
      </c>
      <c r="K102" s="210" t="s">
        <v>1121</v>
      </c>
    </row>
    <row r="103" spans="1:11">
      <c r="J103" s="257"/>
    </row>
  </sheetData>
  <sheetProtection password="B52E" sheet="1" formatCells="0" formatColumns="0" formatRows="0" sort="0" autoFilter="0"/>
  <mergeCells count="146">
    <mergeCell ref="B1:F1"/>
    <mergeCell ref="G1:K1"/>
    <mergeCell ref="A2:C2"/>
    <mergeCell ref="D2:K2"/>
    <mergeCell ref="A3:C3"/>
    <mergeCell ref="D3:K3"/>
    <mergeCell ref="A4:C4"/>
    <mergeCell ref="D4:K4"/>
    <mergeCell ref="A6:K6"/>
    <mergeCell ref="A8:E8"/>
    <mergeCell ref="F8:K8"/>
    <mergeCell ref="A9:E9"/>
    <mergeCell ref="F9:K9"/>
    <mergeCell ref="A10:E10"/>
    <mergeCell ref="F10:K10"/>
    <mergeCell ref="A11:E11"/>
    <mergeCell ref="F11:K11"/>
    <mergeCell ref="A12:E12"/>
    <mergeCell ref="F12:K12"/>
    <mergeCell ref="A13:E13"/>
    <mergeCell ref="F13:K13"/>
    <mergeCell ref="A14:E14"/>
    <mergeCell ref="F14:K14"/>
    <mergeCell ref="A15:E15"/>
    <mergeCell ref="F15:K15"/>
    <mergeCell ref="A16:E16"/>
    <mergeCell ref="F16:K16"/>
    <mergeCell ref="A17:E17"/>
    <mergeCell ref="F17:K17"/>
    <mergeCell ref="A18:E18"/>
    <mergeCell ref="F18:K18"/>
    <mergeCell ref="A19:E19"/>
    <mergeCell ref="F19:K19"/>
    <mergeCell ref="A20:E20"/>
    <mergeCell ref="F20:K20"/>
    <mergeCell ref="A21:E21"/>
    <mergeCell ref="F21:K21"/>
    <mergeCell ref="A22:E22"/>
    <mergeCell ref="F22:K22"/>
    <mergeCell ref="A24:K24"/>
    <mergeCell ref="A26:K26"/>
    <mergeCell ref="A27:D27"/>
    <mergeCell ref="E27:F27"/>
    <mergeCell ref="H27:K27"/>
    <mergeCell ref="A28:D28"/>
    <mergeCell ref="E28:G28"/>
    <mergeCell ref="H28:K28"/>
    <mergeCell ref="A29:D29"/>
    <mergeCell ref="E29:F29"/>
    <mergeCell ref="H29:K29"/>
    <mergeCell ref="A30:K30"/>
    <mergeCell ref="A31:E31"/>
    <mergeCell ref="F31:K31"/>
    <mergeCell ref="A32:E32"/>
    <mergeCell ref="F32:K32"/>
    <mergeCell ref="A33:E33"/>
    <mergeCell ref="F33:K33"/>
    <mergeCell ref="A35:K35"/>
    <mergeCell ref="A37:E37"/>
    <mergeCell ref="A38:E38"/>
    <mergeCell ref="F38:K38"/>
    <mergeCell ref="A39:E39"/>
    <mergeCell ref="F39:K39"/>
    <mergeCell ref="A40:E40"/>
    <mergeCell ref="F40:K40"/>
    <mergeCell ref="A41:E41"/>
    <mergeCell ref="F41:K41"/>
    <mergeCell ref="A42:E42"/>
    <mergeCell ref="F42:K42"/>
    <mergeCell ref="A43:E43"/>
    <mergeCell ref="F43:K43"/>
    <mergeCell ref="A44:E44"/>
    <mergeCell ref="F44:K44"/>
    <mergeCell ref="A45:E45"/>
    <mergeCell ref="F45:K45"/>
    <mergeCell ref="A46:E46"/>
    <mergeCell ref="F46:K46"/>
    <mergeCell ref="A47:E47"/>
    <mergeCell ref="A48:E48"/>
    <mergeCell ref="F48:K48"/>
    <mergeCell ref="A49:E49"/>
    <mergeCell ref="F49:K49"/>
    <mergeCell ref="A51:E51"/>
    <mergeCell ref="F51:K51"/>
    <mergeCell ref="A53:K53"/>
    <mergeCell ref="B54:E54"/>
    <mergeCell ref="F54:K54"/>
    <mergeCell ref="B55:E55"/>
    <mergeCell ref="F55:K55"/>
    <mergeCell ref="B56:E56"/>
    <mergeCell ref="F56:K56"/>
    <mergeCell ref="B57:E57"/>
    <mergeCell ref="F57:K57"/>
    <mergeCell ref="B58:E58"/>
    <mergeCell ref="F58:K58"/>
    <mergeCell ref="B59:E59"/>
    <mergeCell ref="F59:K59"/>
    <mergeCell ref="B60:E60"/>
    <mergeCell ref="F60:K60"/>
    <mergeCell ref="B61:E61"/>
    <mergeCell ref="F61:K61"/>
    <mergeCell ref="B62:E62"/>
    <mergeCell ref="F62:K62"/>
    <mergeCell ref="B63:E63"/>
    <mergeCell ref="F63:K63"/>
    <mergeCell ref="B64:E64"/>
    <mergeCell ref="F64:K64"/>
    <mergeCell ref="B65:E65"/>
    <mergeCell ref="F65:K65"/>
    <mergeCell ref="B66:E66"/>
    <mergeCell ref="F66:K66"/>
    <mergeCell ref="B67:E67"/>
    <mergeCell ref="F67:K67"/>
    <mergeCell ref="B68:E68"/>
    <mergeCell ref="F68:K68"/>
    <mergeCell ref="B69:E69"/>
    <mergeCell ref="F69:K69"/>
    <mergeCell ref="B70:E70"/>
    <mergeCell ref="F70:K70"/>
    <mergeCell ref="A78:K78"/>
    <mergeCell ref="A80:E80"/>
    <mergeCell ref="F80:K80"/>
    <mergeCell ref="A81:E81"/>
    <mergeCell ref="F81:K81"/>
    <mergeCell ref="A82:E82"/>
    <mergeCell ref="F82:K82"/>
    <mergeCell ref="A83:E83"/>
    <mergeCell ref="F83:K83"/>
    <mergeCell ref="A84:E84"/>
    <mergeCell ref="F84:K84"/>
    <mergeCell ref="A85:E85"/>
    <mergeCell ref="F85:K85"/>
    <mergeCell ref="A86:E86"/>
    <mergeCell ref="F86:K86"/>
    <mergeCell ref="A87:E87"/>
    <mergeCell ref="F87:K87"/>
    <mergeCell ref="A89:K89"/>
    <mergeCell ref="A91:E91"/>
    <mergeCell ref="F91:K91"/>
    <mergeCell ref="A92:E92"/>
    <mergeCell ref="F92:K92"/>
    <mergeCell ref="A93:E93"/>
    <mergeCell ref="F93:K93"/>
    <mergeCell ref="A94:E94"/>
    <mergeCell ref="F94:K94"/>
    <mergeCell ref="A97:K97"/>
  </mergeCells>
  <pageMargins left="0.7" right="0.7" top="0.75" bottom="0.75" header="0.3" footer="0.3"/>
  <pageSetup paperSize="9" orientation="portrait" horizontalDpi="300" verticalDpi="300"/>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O63"/>
  <sheetViews>
    <sheetView showGridLines="0" topLeftCell="A37" workbookViewId="0">
      <selection activeCell="J40" sqref="J40"/>
    </sheetView>
  </sheetViews>
  <sheetFormatPr defaultColWidth="8.725" defaultRowHeight="14.25"/>
  <cols>
    <col min="1" max="3" width="16" style="4" customWidth="1"/>
    <col min="4" max="4" width="16" style="55" customWidth="1"/>
    <col min="5" max="10" width="16" style="4" customWidth="1"/>
    <col min="11" max="11" width="4.725" style="4" customWidth="1"/>
    <col min="12" max="12" width="1.725" style="4" customWidth="1"/>
    <col min="13" max="13" width="1.45" style="4" customWidth="1"/>
    <col min="14" max="16384" width="8.725" style="4"/>
  </cols>
  <sheetData>
    <row r="1" s="157" customFormat="1" ht="10.15" customHeight="1" spans="2:15">
      <c r="B1" s="4"/>
      <c r="C1" s="4"/>
      <c r="D1" s="4"/>
      <c r="E1" s="4"/>
      <c r="F1" s="4"/>
      <c r="G1" s="4"/>
      <c r="H1" s="4"/>
      <c r="I1" s="4"/>
      <c r="J1" s="4"/>
      <c r="K1" s="4"/>
      <c r="L1" s="67"/>
      <c r="M1" s="4"/>
      <c r="N1" s="4"/>
    </row>
    <row r="2" s="185" customFormat="1" spans="2:15">
      <c r="B2" s="4"/>
      <c r="C2" s="4"/>
      <c r="D2" s="4"/>
      <c r="E2" s="4"/>
      <c r="F2" s="4"/>
      <c r="G2" s="4"/>
      <c r="H2" s="4"/>
      <c r="I2" s="4"/>
      <c r="J2" s="4"/>
      <c r="K2" s="4"/>
      <c r="L2" s="67"/>
      <c r="M2" s="4"/>
      <c r="N2" s="4"/>
      <c r="O2" s="18" t="s">
        <v>82</v>
      </c>
    </row>
    <row r="3" ht="15" customHeight="1" spans="2:15">
      <c r="D3" s="4"/>
      <c r="L3" s="67"/>
    </row>
    <row r="4" ht="16.5" spans="2:15">
      <c r="B4" s="186" t="s">
        <v>1122</v>
      </c>
      <c r="C4" s="187"/>
      <c r="D4" s="187"/>
      <c r="E4" s="187"/>
      <c r="F4" s="187"/>
      <c r="G4" s="187"/>
      <c r="H4" s="188"/>
      <c r="I4" s="189"/>
      <c r="L4" s="67"/>
    </row>
    <row r="5" ht="16.5" spans="2:15">
      <c r="B5" s="190" t="s">
        <v>1123</v>
      </c>
      <c r="C5" s="38" t="s">
        <v>1124</v>
      </c>
      <c r="D5" s="38" t="s">
        <v>1125</v>
      </c>
      <c r="E5" s="38" t="s">
        <v>1126</v>
      </c>
      <c r="F5" s="38" t="s">
        <v>1127</v>
      </c>
      <c r="G5" s="191" t="s">
        <v>1128</v>
      </c>
      <c r="H5" s="192" t="s">
        <v>1129</v>
      </c>
      <c r="I5" s="193" t="s">
        <v>1130</v>
      </c>
      <c r="L5" s="67"/>
    </row>
    <row r="6" spans="2:15">
      <c r="B6" s="194" t="s">
        <v>192</v>
      </c>
      <c r="C6" s="195">
        <v>400219</v>
      </c>
      <c r="D6" s="196" t="s">
        <v>329</v>
      </c>
      <c r="E6" s="197">
        <v>46035</v>
      </c>
      <c r="F6" s="109">
        <v>120</v>
      </c>
      <c r="G6" s="112">
        <v>0.05</v>
      </c>
      <c r="H6" s="198">
        <v>840303.95</v>
      </c>
      <c r="I6" s="199" t="s">
        <v>1121</v>
      </c>
      <c r="L6" s="67"/>
    </row>
    <row r="7" spans="2:15">
      <c r="B7" s="194" t="s">
        <v>192</v>
      </c>
      <c r="C7" s="195">
        <v>400220</v>
      </c>
      <c r="D7" s="196" t="s">
        <v>332</v>
      </c>
      <c r="E7" s="197">
        <v>46051</v>
      </c>
      <c r="F7" s="109">
        <v>120</v>
      </c>
      <c r="G7" s="112">
        <v>0.05</v>
      </c>
      <c r="H7" s="198">
        <v>260065.6</v>
      </c>
      <c r="I7" s="199" t="s">
        <v>1121</v>
      </c>
      <c r="L7" s="67"/>
    </row>
    <row r="8" spans="2:15">
      <c r="B8" s="194" t="s">
        <v>192</v>
      </c>
      <c r="C8" s="195">
        <v>400221</v>
      </c>
      <c r="D8" s="196" t="s">
        <v>332</v>
      </c>
      <c r="E8" s="197">
        <v>46051</v>
      </c>
      <c r="F8" s="109">
        <v>120</v>
      </c>
      <c r="G8" s="112">
        <v>0.05</v>
      </c>
      <c r="H8" s="198">
        <v>309970.08</v>
      </c>
      <c r="I8" s="199" t="s">
        <v>1121</v>
      </c>
      <c r="L8" s="67"/>
    </row>
    <row r="9" spans="2:15">
      <c r="B9" s="194" t="s">
        <v>192</v>
      </c>
      <c r="C9" s="195">
        <v>400222</v>
      </c>
      <c r="D9" s="196" t="s">
        <v>332</v>
      </c>
      <c r="E9" s="197">
        <v>46051</v>
      </c>
      <c r="F9" s="109">
        <v>120</v>
      </c>
      <c r="G9" s="112">
        <v>0.05</v>
      </c>
      <c r="H9" s="198">
        <v>2757398.24</v>
      </c>
      <c r="I9" s="199" t="s">
        <v>1121</v>
      </c>
      <c r="L9" s="67"/>
    </row>
    <row r="10" spans="2:15">
      <c r="B10" s="194" t="s">
        <v>192</v>
      </c>
      <c r="C10" s="195">
        <v>400223</v>
      </c>
      <c r="D10" s="196" t="s">
        <v>332</v>
      </c>
      <c r="E10" s="197">
        <v>46051</v>
      </c>
      <c r="F10" s="109">
        <v>120</v>
      </c>
      <c r="G10" s="112">
        <v>0.05</v>
      </c>
      <c r="H10" s="198">
        <v>2757398.24</v>
      </c>
      <c r="I10" s="199" t="s">
        <v>1121</v>
      </c>
      <c r="L10" s="67"/>
    </row>
    <row r="11" spans="2:15">
      <c r="B11" s="194" t="s">
        <v>192</v>
      </c>
      <c r="C11" s="195">
        <v>400224</v>
      </c>
      <c r="D11" s="196" t="s">
        <v>341</v>
      </c>
      <c r="E11" s="197">
        <v>46056</v>
      </c>
      <c r="F11" s="109">
        <v>120</v>
      </c>
      <c r="G11" s="112">
        <v>0.05</v>
      </c>
      <c r="H11" s="198">
        <v>908210.92</v>
      </c>
      <c r="I11" s="199" t="s">
        <v>1121</v>
      </c>
      <c r="L11" s="67"/>
    </row>
    <row r="12" spans="2:15">
      <c r="B12" s="194" t="s">
        <v>192</v>
      </c>
      <c r="C12" s="195">
        <v>400225</v>
      </c>
      <c r="D12" s="196" t="s">
        <v>344</v>
      </c>
      <c r="E12" s="197">
        <v>46142</v>
      </c>
      <c r="F12" s="109">
        <v>120</v>
      </c>
      <c r="G12" s="112">
        <v>0.05</v>
      </c>
      <c r="H12" s="198">
        <v>1298078.6</v>
      </c>
      <c r="I12" s="199" t="s">
        <v>1121</v>
      </c>
      <c r="L12" s="67"/>
    </row>
    <row r="13" spans="2:15">
      <c r="B13" s="194" t="s">
        <v>192</v>
      </c>
      <c r="C13" s="195">
        <v>400226</v>
      </c>
      <c r="D13" s="196" t="s">
        <v>347</v>
      </c>
      <c r="E13" s="197">
        <v>46142</v>
      </c>
      <c r="F13" s="109">
        <v>120</v>
      </c>
      <c r="G13" s="112">
        <v>0.05</v>
      </c>
      <c r="H13" s="198">
        <v>797238.75</v>
      </c>
      <c r="I13" s="199" t="s">
        <v>1121</v>
      </c>
      <c r="L13" s="67"/>
    </row>
    <row r="14" spans="2:15">
      <c r="B14" s="194" t="s">
        <v>193</v>
      </c>
      <c r="C14" s="195">
        <v>300182</v>
      </c>
      <c r="D14" s="196" t="s">
        <v>458</v>
      </c>
      <c r="E14" s="197">
        <v>46055</v>
      </c>
      <c r="F14" s="109">
        <v>60</v>
      </c>
      <c r="G14" s="112">
        <v>0.05</v>
      </c>
      <c r="H14" s="198">
        <v>17946.9</v>
      </c>
      <c r="I14" s="199" t="s">
        <v>1121</v>
      </c>
      <c r="L14" s="67"/>
    </row>
    <row r="15" spans="2:15">
      <c r="B15" s="194" t="s">
        <v>193</v>
      </c>
      <c r="C15" s="195">
        <v>300183</v>
      </c>
      <c r="D15" s="196" t="s">
        <v>458</v>
      </c>
      <c r="E15" s="197">
        <v>46115</v>
      </c>
      <c r="F15" s="109">
        <v>60</v>
      </c>
      <c r="G15" s="112">
        <v>0.05</v>
      </c>
      <c r="H15" s="198">
        <v>4336.28</v>
      </c>
      <c r="I15" s="199" t="s">
        <v>1121</v>
      </c>
      <c r="L15" s="67"/>
    </row>
    <row r="16" spans="2:15">
      <c r="B16" s="200" t="s">
        <v>195</v>
      </c>
      <c r="C16" s="124">
        <v>100734</v>
      </c>
      <c r="D16" s="125" t="s">
        <v>727</v>
      </c>
      <c r="E16" s="126">
        <v>46135</v>
      </c>
      <c r="F16" s="109">
        <v>36</v>
      </c>
      <c r="G16" s="112">
        <v>0.05</v>
      </c>
      <c r="H16" s="198">
        <v>851.62</v>
      </c>
      <c r="I16" s="199" t="s">
        <v>1121</v>
      </c>
      <c r="L16" s="67"/>
    </row>
    <row r="17" spans="2:12">
      <c r="B17" s="200" t="s">
        <v>195</v>
      </c>
      <c r="C17" s="124">
        <v>100735</v>
      </c>
      <c r="D17" s="125" t="s">
        <v>727</v>
      </c>
      <c r="E17" s="126">
        <v>46135</v>
      </c>
      <c r="F17" s="109">
        <v>36</v>
      </c>
      <c r="G17" s="112">
        <v>0.05</v>
      </c>
      <c r="H17" s="198">
        <v>851.62</v>
      </c>
      <c r="I17" s="199" t="s">
        <v>1121</v>
      </c>
      <c r="L17" s="67"/>
    </row>
    <row r="18" spans="2:12">
      <c r="B18" s="200" t="s">
        <v>195</v>
      </c>
      <c r="C18" s="124">
        <v>100736</v>
      </c>
      <c r="D18" s="125" t="s">
        <v>727</v>
      </c>
      <c r="E18" s="126">
        <v>46135</v>
      </c>
      <c r="F18" s="109">
        <v>36</v>
      </c>
      <c r="G18" s="112">
        <v>0.05</v>
      </c>
      <c r="H18" s="198">
        <v>851.62</v>
      </c>
      <c r="I18" s="199" t="s">
        <v>1121</v>
      </c>
      <c r="L18" s="67"/>
    </row>
    <row r="19" spans="2:12">
      <c r="B19" s="200" t="s">
        <v>195</v>
      </c>
      <c r="C19" s="124">
        <v>100737</v>
      </c>
      <c r="D19" s="125" t="s">
        <v>730</v>
      </c>
      <c r="E19" s="126">
        <v>46141</v>
      </c>
      <c r="F19" s="109">
        <v>36</v>
      </c>
      <c r="G19" s="112">
        <v>0.05</v>
      </c>
      <c r="H19" s="198">
        <v>6623.89</v>
      </c>
      <c r="I19" s="199" t="s">
        <v>1121</v>
      </c>
      <c r="L19" s="67"/>
    </row>
    <row r="20" spans="2:12">
      <c r="B20" s="200" t="s">
        <v>196</v>
      </c>
      <c r="C20" s="124">
        <v>200084</v>
      </c>
      <c r="D20" s="125" t="s">
        <v>837</v>
      </c>
      <c r="E20" s="126">
        <v>46048</v>
      </c>
      <c r="F20" s="109">
        <v>60</v>
      </c>
      <c r="G20" s="112">
        <v>0.05</v>
      </c>
      <c r="H20" s="198">
        <v>60176.99</v>
      </c>
      <c r="I20" s="199" t="s">
        <v>1121</v>
      </c>
      <c r="L20" s="67"/>
    </row>
    <row r="21" spans="2:12">
      <c r="B21" s="200" t="s">
        <v>196</v>
      </c>
      <c r="C21" s="124">
        <v>200085</v>
      </c>
      <c r="D21" s="125" t="s">
        <v>839</v>
      </c>
      <c r="E21" s="126">
        <v>46055</v>
      </c>
      <c r="F21" s="109">
        <v>60</v>
      </c>
      <c r="G21" s="112">
        <v>0.05</v>
      </c>
      <c r="H21" s="198">
        <v>3389.38</v>
      </c>
      <c r="I21" s="199" t="s">
        <v>1121</v>
      </c>
      <c r="L21" s="67"/>
    </row>
    <row r="22" spans="2:12">
      <c r="B22" s="200" t="s">
        <v>196</v>
      </c>
      <c r="C22" s="124">
        <v>200086</v>
      </c>
      <c r="D22" s="125" t="s">
        <v>842</v>
      </c>
      <c r="E22" s="126">
        <v>46062</v>
      </c>
      <c r="F22" s="109">
        <v>60</v>
      </c>
      <c r="G22" s="112">
        <v>0.05</v>
      </c>
      <c r="H22" s="198">
        <v>57743.36</v>
      </c>
      <c r="I22" s="199" t="s">
        <v>1121</v>
      </c>
      <c r="L22" s="67"/>
    </row>
    <row r="23" spans="2:12">
      <c r="B23" s="200" t="s">
        <v>196</v>
      </c>
      <c r="C23" s="124">
        <v>200087</v>
      </c>
      <c r="D23" s="125" t="s">
        <v>842</v>
      </c>
      <c r="E23" s="126">
        <v>46062</v>
      </c>
      <c r="F23" s="109">
        <v>60</v>
      </c>
      <c r="G23" s="112">
        <v>0.05</v>
      </c>
      <c r="H23" s="201">
        <v>27433.63</v>
      </c>
      <c r="I23" s="199" t="s">
        <v>1121</v>
      </c>
      <c r="L23" s="67"/>
    </row>
    <row r="24" spans="2:12">
      <c r="B24" s="200" t="s">
        <v>196</v>
      </c>
      <c r="C24" s="124">
        <v>200088</v>
      </c>
      <c r="D24" s="125" t="s">
        <v>846</v>
      </c>
      <c r="E24" s="126">
        <v>46062</v>
      </c>
      <c r="F24" s="109">
        <v>60</v>
      </c>
      <c r="G24" s="112">
        <v>0.05</v>
      </c>
      <c r="H24" s="201">
        <v>94911.5</v>
      </c>
      <c r="I24" s="199" t="s">
        <v>1121</v>
      </c>
      <c r="L24" s="67"/>
    </row>
    <row r="25" spans="2:12">
      <c r="B25" s="200" t="s">
        <v>196</v>
      </c>
      <c r="C25" s="124">
        <v>200089</v>
      </c>
      <c r="D25" s="125" t="s">
        <v>742</v>
      </c>
      <c r="E25" s="126">
        <v>46062</v>
      </c>
      <c r="F25" s="109">
        <v>60</v>
      </c>
      <c r="G25" s="112">
        <v>0.05</v>
      </c>
      <c r="H25" s="201">
        <v>1964.6</v>
      </c>
      <c r="I25" s="199" t="s">
        <v>1121</v>
      </c>
      <c r="L25" s="67"/>
    </row>
    <row r="26" spans="2:12">
      <c r="B26" s="200" t="s">
        <v>196</v>
      </c>
      <c r="C26" s="124">
        <v>200090</v>
      </c>
      <c r="D26" s="125" t="s">
        <v>849</v>
      </c>
      <c r="E26" s="126">
        <v>46062</v>
      </c>
      <c r="F26" s="109">
        <v>60</v>
      </c>
      <c r="G26" s="112">
        <v>0.05</v>
      </c>
      <c r="H26" s="201">
        <v>5575.22</v>
      </c>
      <c r="I26" s="199" t="s">
        <v>1121</v>
      </c>
      <c r="L26" s="67"/>
    </row>
    <row r="27" spans="2:12">
      <c r="B27" s="200" t="s">
        <v>196</v>
      </c>
      <c r="C27" s="124">
        <v>200091</v>
      </c>
      <c r="D27" s="125" t="s">
        <v>851</v>
      </c>
      <c r="E27" s="126">
        <v>46062</v>
      </c>
      <c r="F27" s="109">
        <v>60</v>
      </c>
      <c r="G27" s="112">
        <v>0.05</v>
      </c>
      <c r="H27" s="201">
        <v>3451.33</v>
      </c>
      <c r="I27" s="199" t="s">
        <v>1121</v>
      </c>
      <c r="L27" s="67"/>
    </row>
    <row r="28" spans="2:12">
      <c r="B28" s="200" t="s">
        <v>196</v>
      </c>
      <c r="C28" s="124">
        <v>200092</v>
      </c>
      <c r="D28" s="125" t="s">
        <v>853</v>
      </c>
      <c r="E28" s="126">
        <v>46107</v>
      </c>
      <c r="F28" s="109">
        <v>60</v>
      </c>
      <c r="G28" s="112">
        <v>0.05</v>
      </c>
      <c r="H28" s="201">
        <v>3539.82</v>
      </c>
      <c r="I28" s="199" t="s">
        <v>1121</v>
      </c>
      <c r="L28" s="67"/>
    </row>
    <row r="29" spans="2:12">
      <c r="B29" s="200" t="s">
        <v>196</v>
      </c>
      <c r="C29" s="124">
        <v>200093</v>
      </c>
      <c r="D29" s="125" t="s">
        <v>856</v>
      </c>
      <c r="E29" s="126">
        <v>46107</v>
      </c>
      <c r="F29" s="109">
        <v>60</v>
      </c>
      <c r="G29" s="112">
        <v>0.05</v>
      </c>
      <c r="H29" s="201">
        <v>3539.82</v>
      </c>
      <c r="I29" s="199" t="s">
        <v>1121</v>
      </c>
      <c r="L29" s="67"/>
    </row>
    <row r="30" spans="2:12">
      <c r="B30" s="200" t="s">
        <v>196</v>
      </c>
      <c r="C30" s="124">
        <v>200094</v>
      </c>
      <c r="D30" s="125" t="s">
        <v>856</v>
      </c>
      <c r="E30" s="126">
        <v>46107</v>
      </c>
      <c r="F30" s="109">
        <v>60</v>
      </c>
      <c r="G30" s="112">
        <v>0.05</v>
      </c>
      <c r="H30" s="201">
        <v>3539.82</v>
      </c>
      <c r="I30" s="199" t="s">
        <v>1121</v>
      </c>
      <c r="L30" s="67"/>
    </row>
    <row r="31" spans="2:12">
      <c r="B31" s="200" t="s">
        <v>196</v>
      </c>
      <c r="C31" s="124">
        <v>200095</v>
      </c>
      <c r="D31" s="125" t="s">
        <v>856</v>
      </c>
      <c r="E31" s="126">
        <v>46107</v>
      </c>
      <c r="F31" s="109">
        <v>60</v>
      </c>
      <c r="G31" s="112">
        <v>0.05</v>
      </c>
      <c r="H31" s="201">
        <v>3539.83</v>
      </c>
      <c r="I31" s="199" t="s">
        <v>1121</v>
      </c>
      <c r="L31" s="67"/>
    </row>
    <row r="32" hidden="1" spans="2:12">
      <c r="B32" s="200" t="s">
        <v>196</v>
      </c>
      <c r="C32" s="124">
        <v>200096</v>
      </c>
      <c r="D32" s="125" t="s">
        <v>857</v>
      </c>
      <c r="E32" s="126">
        <v>46122</v>
      </c>
      <c r="F32" s="109">
        <v>60</v>
      </c>
      <c r="G32" s="112">
        <v>0.05</v>
      </c>
      <c r="H32" s="201">
        <v>63582.17</v>
      </c>
      <c r="I32" s="199" t="s">
        <v>1131</v>
      </c>
      <c r="L32" s="67"/>
    </row>
    <row r="33" hidden="1" spans="2:12">
      <c r="B33" s="200" t="s">
        <v>196</v>
      </c>
      <c r="C33" s="124">
        <v>200097</v>
      </c>
      <c r="D33" s="125" t="s">
        <v>857</v>
      </c>
      <c r="E33" s="126">
        <v>46122</v>
      </c>
      <c r="F33" s="109">
        <v>60</v>
      </c>
      <c r="G33" s="112">
        <v>0.05</v>
      </c>
      <c r="H33" s="201">
        <v>63582.17</v>
      </c>
      <c r="I33" s="199" t="s">
        <v>1131</v>
      </c>
      <c r="L33" s="67"/>
    </row>
    <row r="34" hidden="1" spans="2:12">
      <c r="B34" s="200" t="s">
        <v>196</v>
      </c>
      <c r="C34" s="124">
        <v>200098</v>
      </c>
      <c r="D34" s="125" t="s">
        <v>857</v>
      </c>
      <c r="E34" s="126">
        <v>46122</v>
      </c>
      <c r="F34" s="109">
        <v>60</v>
      </c>
      <c r="G34" s="112">
        <v>0.05</v>
      </c>
      <c r="H34" s="201">
        <v>63582.17</v>
      </c>
      <c r="I34" s="199" t="s">
        <v>1131</v>
      </c>
      <c r="L34" s="67"/>
    </row>
    <row r="35" hidden="1" spans="2:12">
      <c r="B35" s="200" t="s">
        <v>196</v>
      </c>
      <c r="C35" s="124">
        <v>200099</v>
      </c>
      <c r="D35" s="125" t="s">
        <v>857</v>
      </c>
      <c r="E35" s="126">
        <v>46122</v>
      </c>
      <c r="F35" s="109">
        <v>60</v>
      </c>
      <c r="G35" s="112">
        <v>0.05</v>
      </c>
      <c r="H35" s="201">
        <v>63582.17</v>
      </c>
      <c r="I35" s="199" t="s">
        <v>1131</v>
      </c>
      <c r="L35" s="67"/>
    </row>
    <row r="36" spans="2:12">
      <c r="B36" s="200" t="s">
        <v>195</v>
      </c>
      <c r="C36" s="124">
        <v>100712</v>
      </c>
      <c r="D36" s="125" t="s">
        <v>545</v>
      </c>
      <c r="E36" s="126">
        <v>46029</v>
      </c>
      <c r="F36" s="109">
        <v>36</v>
      </c>
      <c r="G36" s="112">
        <v>0.05</v>
      </c>
      <c r="H36" s="201">
        <v>5220.35</v>
      </c>
      <c r="I36" s="199" t="s">
        <v>1121</v>
      </c>
      <c r="L36" s="67"/>
    </row>
    <row r="37" spans="2:12">
      <c r="B37" s="200" t="s">
        <v>195</v>
      </c>
      <c r="C37" s="124">
        <v>100713</v>
      </c>
      <c r="D37" s="125" t="s">
        <v>545</v>
      </c>
      <c r="E37" s="126">
        <v>46029</v>
      </c>
      <c r="F37" s="109">
        <v>36</v>
      </c>
      <c r="G37" s="112">
        <v>0.05</v>
      </c>
      <c r="H37" s="201">
        <v>5220.36</v>
      </c>
      <c r="I37" s="199" t="s">
        <v>1121</v>
      </c>
      <c r="L37" s="67"/>
    </row>
    <row r="38" spans="2:12">
      <c r="B38" s="200" t="s">
        <v>195</v>
      </c>
      <c r="C38" s="124">
        <v>100714</v>
      </c>
      <c r="D38" s="125" t="s">
        <v>545</v>
      </c>
      <c r="E38" s="126">
        <v>46037</v>
      </c>
      <c r="F38" s="109">
        <v>36</v>
      </c>
      <c r="G38" s="112">
        <v>0.05</v>
      </c>
      <c r="H38" s="201">
        <v>6636.28</v>
      </c>
      <c r="I38" s="199" t="s">
        <v>1121</v>
      </c>
      <c r="L38" s="67"/>
    </row>
    <row r="39" spans="2:12">
      <c r="B39" s="200" t="s">
        <v>195</v>
      </c>
      <c r="C39" s="124">
        <v>100715</v>
      </c>
      <c r="D39" s="125" t="s">
        <v>915</v>
      </c>
      <c r="E39" s="126">
        <v>46042</v>
      </c>
      <c r="F39" s="109">
        <v>36</v>
      </c>
      <c r="G39" s="112">
        <v>0.05</v>
      </c>
      <c r="H39" s="201">
        <v>4071.68</v>
      </c>
      <c r="I39" s="199" t="s">
        <v>1121</v>
      </c>
      <c r="L39" s="67"/>
    </row>
    <row r="40" spans="2:12">
      <c r="B40" s="200" t="s">
        <v>195</v>
      </c>
      <c r="C40" s="124">
        <v>100716</v>
      </c>
      <c r="D40" s="125" t="s">
        <v>545</v>
      </c>
      <c r="E40" s="126">
        <v>46043</v>
      </c>
      <c r="F40" s="109">
        <v>36</v>
      </c>
      <c r="G40" s="112">
        <v>0.05</v>
      </c>
      <c r="H40" s="201">
        <v>6547.79</v>
      </c>
      <c r="I40" s="199" t="s">
        <v>1121</v>
      </c>
      <c r="L40" s="67"/>
    </row>
    <row r="41" spans="2:12">
      <c r="B41" s="200" t="s">
        <v>195</v>
      </c>
      <c r="C41" s="124">
        <v>100717</v>
      </c>
      <c r="D41" s="125" t="s">
        <v>545</v>
      </c>
      <c r="E41" s="126">
        <v>46048</v>
      </c>
      <c r="F41" s="109">
        <v>36</v>
      </c>
      <c r="G41" s="112">
        <v>0.05</v>
      </c>
      <c r="H41" s="201">
        <v>5752.21</v>
      </c>
      <c r="I41" s="199" t="s">
        <v>1121</v>
      </c>
      <c r="L41" s="67"/>
    </row>
    <row r="42" spans="2:12">
      <c r="B42" s="200" t="s">
        <v>195</v>
      </c>
      <c r="C42" s="124">
        <v>100718</v>
      </c>
      <c r="D42" s="125" t="s">
        <v>920</v>
      </c>
      <c r="E42" s="126">
        <v>46049</v>
      </c>
      <c r="F42" s="109">
        <v>36</v>
      </c>
      <c r="G42" s="112">
        <v>0.05</v>
      </c>
      <c r="H42" s="201">
        <v>12419.47</v>
      </c>
      <c r="I42" s="199" t="s">
        <v>1121</v>
      </c>
      <c r="L42" s="67"/>
    </row>
    <row r="43" spans="2:12">
      <c r="B43" s="200" t="s">
        <v>195</v>
      </c>
      <c r="C43" s="124">
        <v>100719</v>
      </c>
      <c r="D43" s="125" t="s">
        <v>545</v>
      </c>
      <c r="E43" s="126">
        <v>46066</v>
      </c>
      <c r="F43" s="109">
        <v>36</v>
      </c>
      <c r="G43" s="112">
        <v>0.05</v>
      </c>
      <c r="H43" s="201">
        <v>5220.35</v>
      </c>
      <c r="I43" s="199" t="s">
        <v>1121</v>
      </c>
      <c r="L43" s="67"/>
    </row>
    <row r="44" spans="2:12">
      <c r="B44" s="200" t="s">
        <v>195</v>
      </c>
      <c r="C44" s="124">
        <v>100720</v>
      </c>
      <c r="D44" s="125" t="s">
        <v>923</v>
      </c>
      <c r="E44" s="126">
        <v>46102</v>
      </c>
      <c r="F44" s="109">
        <v>36</v>
      </c>
      <c r="G44" s="112">
        <v>0.05</v>
      </c>
      <c r="H44" s="201">
        <v>2645.13</v>
      </c>
      <c r="I44" s="199" t="s">
        <v>1121</v>
      </c>
      <c r="L44" s="67"/>
    </row>
    <row r="45" spans="2:12">
      <c r="B45" s="200" t="s">
        <v>195</v>
      </c>
      <c r="C45" s="124">
        <v>100721</v>
      </c>
      <c r="D45" s="125" t="s">
        <v>545</v>
      </c>
      <c r="E45" s="126">
        <v>46100</v>
      </c>
      <c r="F45" s="109">
        <v>36</v>
      </c>
      <c r="G45" s="112">
        <v>0.05</v>
      </c>
      <c r="H45" s="201">
        <v>6193.81</v>
      </c>
      <c r="I45" s="199" t="s">
        <v>1121</v>
      </c>
      <c r="L45" s="67"/>
    </row>
    <row r="46" spans="2:12">
      <c r="B46" s="200" t="s">
        <v>195</v>
      </c>
      <c r="C46" s="124">
        <v>100722</v>
      </c>
      <c r="D46" s="125" t="s">
        <v>928</v>
      </c>
      <c r="E46" s="126">
        <v>46091</v>
      </c>
      <c r="F46" s="109">
        <v>36</v>
      </c>
      <c r="G46" s="112">
        <v>0.05</v>
      </c>
      <c r="H46" s="201">
        <v>2919.47</v>
      </c>
      <c r="I46" s="199" t="s">
        <v>1121</v>
      </c>
      <c r="L46" s="67"/>
    </row>
    <row r="47" spans="2:12">
      <c r="B47" s="200" t="s">
        <v>195</v>
      </c>
      <c r="C47" s="124">
        <v>100723</v>
      </c>
      <c r="D47" s="125" t="s">
        <v>928</v>
      </c>
      <c r="E47" s="126">
        <v>46092</v>
      </c>
      <c r="F47" s="109">
        <v>36</v>
      </c>
      <c r="G47" s="112">
        <v>0.05</v>
      </c>
      <c r="H47" s="201">
        <v>2919.47</v>
      </c>
      <c r="I47" s="199" t="s">
        <v>1121</v>
      </c>
      <c r="L47" s="67"/>
    </row>
    <row r="48" spans="2:12">
      <c r="B48" s="200" t="s">
        <v>195</v>
      </c>
      <c r="C48" s="124">
        <v>100724</v>
      </c>
      <c r="D48" s="125" t="s">
        <v>931</v>
      </c>
      <c r="E48" s="126">
        <v>46092</v>
      </c>
      <c r="F48" s="109">
        <v>36</v>
      </c>
      <c r="G48" s="112">
        <v>0.05</v>
      </c>
      <c r="H48" s="201">
        <v>524.19</v>
      </c>
      <c r="I48" s="199" t="s">
        <v>1121</v>
      </c>
      <c r="L48" s="67"/>
    </row>
    <row r="49" spans="1:12">
      <c r="B49" s="200" t="s">
        <v>195</v>
      </c>
      <c r="C49" s="124">
        <v>100725</v>
      </c>
      <c r="D49" s="125" t="s">
        <v>933</v>
      </c>
      <c r="E49" s="126">
        <v>46092</v>
      </c>
      <c r="F49" s="109">
        <v>36</v>
      </c>
      <c r="G49" s="112">
        <v>0.05</v>
      </c>
      <c r="H49" s="201">
        <v>524.19</v>
      </c>
      <c r="I49" s="199" t="s">
        <v>1121</v>
      </c>
      <c r="L49" s="67"/>
    </row>
    <row r="50" spans="1:12">
      <c r="B50" s="200" t="s">
        <v>195</v>
      </c>
      <c r="C50" s="124">
        <v>100726</v>
      </c>
      <c r="D50" s="125" t="s">
        <v>933</v>
      </c>
      <c r="E50" s="126">
        <v>46092</v>
      </c>
      <c r="F50" s="109">
        <v>36</v>
      </c>
      <c r="G50" s="112">
        <v>0.05</v>
      </c>
      <c r="H50" s="201">
        <v>524.19</v>
      </c>
      <c r="I50" s="199" t="s">
        <v>1121</v>
      </c>
      <c r="L50" s="67"/>
    </row>
    <row r="51" spans="1:12">
      <c r="B51" s="200" t="s">
        <v>195</v>
      </c>
      <c r="C51" s="124">
        <v>100727</v>
      </c>
      <c r="D51" s="125" t="s">
        <v>545</v>
      </c>
      <c r="E51" s="126">
        <v>46116</v>
      </c>
      <c r="F51" s="109">
        <v>36</v>
      </c>
      <c r="G51" s="112">
        <v>0.05</v>
      </c>
      <c r="H51" s="201">
        <v>5211.5</v>
      </c>
      <c r="I51" s="199" t="s">
        <v>1121</v>
      </c>
      <c r="L51" s="67"/>
    </row>
    <row r="52" spans="1:12">
      <c r="B52" s="200" t="s">
        <v>195</v>
      </c>
      <c r="C52" s="124">
        <v>100728</v>
      </c>
      <c r="D52" s="125" t="s">
        <v>742</v>
      </c>
      <c r="E52" s="126">
        <v>46115</v>
      </c>
      <c r="F52" s="109">
        <v>36</v>
      </c>
      <c r="G52" s="112">
        <v>0.05</v>
      </c>
      <c r="H52" s="201">
        <v>327.43</v>
      </c>
      <c r="I52" s="199" t="s">
        <v>1121</v>
      </c>
      <c r="L52" s="67"/>
    </row>
    <row r="53" spans="1:12">
      <c r="B53" s="200" t="s">
        <v>195</v>
      </c>
      <c r="C53" s="124">
        <v>100729</v>
      </c>
      <c r="D53" s="125" t="s">
        <v>849</v>
      </c>
      <c r="E53" s="126">
        <v>46115</v>
      </c>
      <c r="F53" s="109">
        <v>36</v>
      </c>
      <c r="G53" s="112">
        <v>0.05</v>
      </c>
      <c r="H53" s="201">
        <v>929.2</v>
      </c>
      <c r="I53" s="199" t="s">
        <v>1121</v>
      </c>
      <c r="L53" s="67"/>
    </row>
    <row r="54" spans="1:12">
      <c r="B54" s="200" t="s">
        <v>195</v>
      </c>
      <c r="C54" s="124">
        <v>100730</v>
      </c>
      <c r="D54" s="125" t="s">
        <v>571</v>
      </c>
      <c r="E54" s="126">
        <v>46127</v>
      </c>
      <c r="F54" s="109">
        <v>36</v>
      </c>
      <c r="G54" s="112">
        <v>0.05</v>
      </c>
      <c r="H54" s="201">
        <v>835.4</v>
      </c>
      <c r="I54" s="199" t="s">
        <v>1121</v>
      </c>
      <c r="L54" s="67"/>
    </row>
    <row r="55" spans="1:12">
      <c r="B55" s="200" t="s">
        <v>195</v>
      </c>
      <c r="C55" s="124">
        <v>100731</v>
      </c>
      <c r="D55" s="125" t="s">
        <v>545</v>
      </c>
      <c r="E55" s="126">
        <v>46128</v>
      </c>
      <c r="F55" s="109">
        <v>36</v>
      </c>
      <c r="G55" s="112">
        <v>0.05</v>
      </c>
      <c r="H55" s="201">
        <v>5123</v>
      </c>
      <c r="I55" s="199" t="s">
        <v>1121</v>
      </c>
      <c r="L55" s="67"/>
    </row>
    <row r="56" spans="1:12">
      <c r="B56" s="200" t="s">
        <v>195</v>
      </c>
      <c r="C56" s="124">
        <v>100732</v>
      </c>
      <c r="D56" s="125" t="s">
        <v>578</v>
      </c>
      <c r="E56" s="126">
        <v>46135</v>
      </c>
      <c r="F56" s="109">
        <v>36</v>
      </c>
      <c r="G56" s="112">
        <v>0.05</v>
      </c>
      <c r="H56" s="201">
        <v>3503.54</v>
      </c>
      <c r="I56" s="199" t="s">
        <v>1121</v>
      </c>
      <c r="L56" s="67"/>
    </row>
    <row r="57" spans="1:12">
      <c r="B57" s="200" t="s">
        <v>195</v>
      </c>
      <c r="C57" s="124">
        <v>100733</v>
      </c>
      <c r="D57" s="125" t="s">
        <v>578</v>
      </c>
      <c r="E57" s="126">
        <v>46135</v>
      </c>
      <c r="F57" s="109">
        <v>36</v>
      </c>
      <c r="G57" s="112">
        <v>0.05</v>
      </c>
      <c r="H57" s="201">
        <v>3503.54</v>
      </c>
      <c r="I57" s="199" t="s">
        <v>1121</v>
      </c>
      <c r="L57" s="67"/>
    </row>
    <row r="58" ht="17.25" spans="1:12">
      <c r="B58" s="202" t="s">
        <v>267</v>
      </c>
      <c r="C58" s="203"/>
      <c r="D58" s="204"/>
      <c r="E58" s="204"/>
      <c r="F58" s="204"/>
      <c r="G58" s="205"/>
      <c r="H58" s="206">
        <f>SUM(H5:H57)</f>
        <v>10570032.84</v>
      </c>
      <c r="I58" s="207"/>
      <c r="L58" s="67"/>
    </row>
    <row r="59" spans="1:12">
      <c r="D59" s="4"/>
      <c r="F59" s="4" t="s">
        <v>1132</v>
      </c>
      <c r="H59" s="208" t="s">
        <v>109</v>
      </c>
      <c r="L59" s="67"/>
    </row>
    <row r="60" spans="1:12">
      <c r="H60" s="209">
        <f>H58-'K.01 Agree SL to GL'!Z13-'K.01 Agree SL to GL'!Z14</f>
        <v>-4.01632860302925e-9</v>
      </c>
      <c r="L60" s="67"/>
    </row>
    <row r="61" spans="1:12">
      <c r="L61" s="67"/>
    </row>
    <row r="62" spans="1:12">
      <c r="L62" s="67"/>
    </row>
    <row r="63" ht="9.75" customHeight="1" spans="1:12">
      <c r="A63" s="67"/>
      <c r="B63" s="67"/>
      <c r="C63" s="67"/>
      <c r="D63" s="67"/>
      <c r="E63" s="67"/>
      <c r="F63" s="67"/>
      <c r="G63" s="67"/>
      <c r="H63" s="67"/>
      <c r="I63" s="67"/>
      <c r="J63" s="67"/>
      <c r="K63" s="67"/>
      <c r="L63" s="67"/>
    </row>
  </sheetData>
  <autoFilter xmlns:etc="http://www.wps.cn/officeDocument/2017/etCustomData" ref="B5:I60" etc:filterBottomFollowUsedRange="0">
    <filterColumn colId="7">
      <customFilters>
        <customFilter operator="equal" val=""/>
        <customFilter operator="equal" val="购置"/>
      </customFilters>
    </filterColumn>
    <extLst/>
  </autoFilter>
  <conditionalFormatting sqref="B6:E57 F7:F57 I7:I57 G9:H57">
    <cfRule type="containsBlanks" dxfId="1" priority="3">
      <formula>LEN(TRIM(B6))=0</formula>
    </cfRule>
  </conditionalFormatting>
  <conditionalFormatting sqref="F6:I6 F7:H8">
    <cfRule type="containsBlanks" dxfId="1" priority="4">
      <formula>LEN(TRIM(F6))=0</formula>
    </cfRule>
  </conditionalFormatting>
  <hyperlinks>
    <hyperlink ref="O2" location="'汇总 '!A1" display="返回汇总页"/>
  </hyperlinks>
  <pageMargins left="0.7" right="0.7" top="0.75" bottom="0.75" header="0.3" footer="0.3"/>
  <pageSetup paperSize="9" orientation="portrait" horizontalDpi="300"/>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H73"/>
  <sheetViews>
    <sheetView workbookViewId="0">
      <selection activeCell="A1" sqref="A1"/>
    </sheetView>
  </sheetViews>
  <sheetFormatPr defaultColWidth="9" defaultRowHeight="13.5"/>
  <cols>
    <col min="1" max="1" width="0.266666666666667" customWidth="1"/>
  </cols>
  <sheetData>
    <row r="1" spans="1:86">
      <c r="A1" t="s">
        <v>1133</v>
      </c>
    </row>
    <row r="3" spans="1:86">
      <c r="A3" t="s">
        <v>1134</v>
      </c>
    </row>
    <row r="4" spans="1:86">
      <c r="A4" t="b">
        <v>1</v>
      </c>
    </row>
    <row r="6" spans="1:86">
      <c r="E6" t="s">
        <v>1135</v>
      </c>
      <c r="Y6" t="s">
        <v>1136</v>
      </c>
      <c r="Z6" t="s">
        <v>1137</v>
      </c>
      <c r="AA6" t="s">
        <v>1138</v>
      </c>
      <c r="AB6" t="s">
        <v>1139</v>
      </c>
      <c r="AC6" t="s">
        <v>1140</v>
      </c>
      <c r="AD6" t="s">
        <v>1141</v>
      </c>
      <c r="AE6" t="s">
        <v>1142</v>
      </c>
      <c r="AF6" t="s">
        <v>1143</v>
      </c>
      <c r="AG6" t="s">
        <v>1144</v>
      </c>
      <c r="AH6" t="s">
        <v>1145</v>
      </c>
      <c r="AI6" t="s">
        <v>1146</v>
      </c>
      <c r="AJ6" t="s">
        <v>1147</v>
      </c>
      <c r="AK6" t="s">
        <v>1148</v>
      </c>
      <c r="AL6" t="s">
        <v>1149</v>
      </c>
      <c r="AM6" t="s">
        <v>1150</v>
      </c>
      <c r="AN6" t="s">
        <v>1151</v>
      </c>
      <c r="AO6" t="s">
        <v>1152</v>
      </c>
      <c r="AP6" t="s">
        <v>1153</v>
      </c>
      <c r="AQ6" t="s">
        <v>1154</v>
      </c>
      <c r="AR6" t="s">
        <v>1155</v>
      </c>
      <c r="AS6" t="s">
        <v>1156</v>
      </c>
      <c r="AT6" t="s">
        <v>1157</v>
      </c>
      <c r="AU6" t="s">
        <v>1158</v>
      </c>
      <c r="AV6" t="s">
        <v>1159</v>
      </c>
      <c r="AW6" t="s">
        <v>1160</v>
      </c>
      <c r="AX6" t="s">
        <v>1161</v>
      </c>
      <c r="AY6" t="s">
        <v>1162</v>
      </c>
      <c r="AZ6" t="s">
        <v>1163</v>
      </c>
      <c r="BA6" t="s">
        <v>1164</v>
      </c>
      <c r="BB6" t="s">
        <v>1165</v>
      </c>
      <c r="BC6" t="s">
        <v>1166</v>
      </c>
      <c r="BD6" t="s">
        <v>1167</v>
      </c>
      <c r="BE6" t="s">
        <v>1168</v>
      </c>
      <c r="BF6" t="s">
        <v>1169</v>
      </c>
      <c r="BG6" t="s">
        <v>1170</v>
      </c>
      <c r="BH6" t="s">
        <v>1171</v>
      </c>
      <c r="BI6" t="s">
        <v>1172</v>
      </c>
      <c r="BJ6" t="s">
        <v>1173</v>
      </c>
      <c r="BK6" t="s">
        <v>1174</v>
      </c>
      <c r="BL6" t="s">
        <v>1175</v>
      </c>
      <c r="BM6" t="s">
        <v>1176</v>
      </c>
      <c r="BN6" t="s">
        <v>1177</v>
      </c>
      <c r="BO6" t="s">
        <v>1178</v>
      </c>
      <c r="BP6" t="s">
        <v>1179</v>
      </c>
      <c r="BQ6" t="s">
        <v>1180</v>
      </c>
      <c r="BR6" t="s">
        <v>1181</v>
      </c>
      <c r="BS6" t="s">
        <v>1182</v>
      </c>
      <c r="BT6" t="s">
        <v>1183</v>
      </c>
      <c r="BU6" t="s">
        <v>1184</v>
      </c>
      <c r="BV6" t="s">
        <v>1185</v>
      </c>
      <c r="BW6" t="s">
        <v>1186</v>
      </c>
      <c r="BX6" t="s">
        <v>1187</v>
      </c>
      <c r="BY6" t="s">
        <v>1188</v>
      </c>
      <c r="BZ6" t="s">
        <v>1189</v>
      </c>
      <c r="CA6" t="s">
        <v>1190</v>
      </c>
      <c r="CB6" t="s">
        <v>1191</v>
      </c>
      <c r="CC6" t="s">
        <v>1192</v>
      </c>
      <c r="CD6" t="s">
        <v>1193</v>
      </c>
      <c r="CE6" t="s">
        <v>1194</v>
      </c>
      <c r="CF6" t="s">
        <v>1195</v>
      </c>
      <c r="CG6" t="s">
        <v>1196</v>
      </c>
      <c r="CH6" t="s">
        <v>1197</v>
      </c>
    </row>
    <row r="7" spans="1:86">
      <c r="A7" t="s">
        <v>1198</v>
      </c>
    </row>
    <row r="10" spans="1:86">
      <c r="F10" t="e">
        <f>#REF!</f>
        <v>#REF!</v>
      </c>
      <c r="G10" t="s">
        <v>1199</v>
      </c>
      <c r="H10" t="e">
        <f>#REF!</f>
        <v>#REF!</v>
      </c>
      <c r="I10" t="s">
        <v>1200</v>
      </c>
    </row>
    <row r="11" spans="1:86">
      <c r="A11" s="184">
        <v>73</v>
      </c>
      <c r="F11" t="e">
        <f>#REF!</f>
        <v>#REF!</v>
      </c>
      <c r="G11" t="s">
        <v>1201</v>
      </c>
      <c r="H11" t="e">
        <f>#REF!</f>
        <v>#REF!</v>
      </c>
      <c r="I11" t="s">
        <v>1202</v>
      </c>
    </row>
    <row r="12" spans="1:86">
      <c r="A12" s="184">
        <v>18</v>
      </c>
      <c r="F12" t="e">
        <f>#REF!</f>
        <v>#REF!</v>
      </c>
      <c r="G12" t="s">
        <v>1203</v>
      </c>
      <c r="H12" t="e">
        <f>#REF!</f>
        <v>#REF!</v>
      </c>
      <c r="I12" t="s">
        <v>1204</v>
      </c>
    </row>
    <row r="13" spans="1:86">
      <c r="F13" t="e">
        <f>#REF!</f>
        <v>#REF!</v>
      </c>
      <c r="G13" t="s">
        <v>1205</v>
      </c>
      <c r="H13" t="e">
        <f>#REF!</f>
        <v>#REF!</v>
      </c>
      <c r="I13" t="s">
        <v>1206</v>
      </c>
    </row>
    <row r="14" spans="1:86">
      <c r="F14" t="e">
        <f>#REF!</f>
        <v>#REF!</v>
      </c>
      <c r="G14" t="s">
        <v>1207</v>
      </c>
      <c r="H14" t="e">
        <f>#REF!</f>
        <v>#REF!</v>
      </c>
      <c r="I14" t="s">
        <v>1208</v>
      </c>
    </row>
    <row r="15" spans="1:86">
      <c r="A15" s="184">
        <v>26</v>
      </c>
      <c r="F15" t="e">
        <f>#REF!</f>
        <v>#REF!</v>
      </c>
      <c r="G15" t="s">
        <v>1209</v>
      </c>
      <c r="H15" t="e">
        <f>#REF!</f>
        <v>#REF!</v>
      </c>
      <c r="I15" t="s">
        <v>1210</v>
      </c>
      <c r="R15" t="e">
        <f>#REF!</f>
        <v>#REF!</v>
      </c>
      <c r="S15" t="s">
        <v>1211</v>
      </c>
    </row>
    <row r="16" spans="1:86">
      <c r="F16" t="e">
        <f>#REF!</f>
        <v>#REF!</v>
      </c>
      <c r="G16" t="s">
        <v>1212</v>
      </c>
      <c r="H16" t="e">
        <f>#REF!</f>
        <v>#REF!</v>
      </c>
      <c r="I16" t="s">
        <v>1213</v>
      </c>
      <c r="R16" t="e">
        <f>#REF!</f>
        <v>#REF!</v>
      </c>
      <c r="S16" t="s">
        <v>1214</v>
      </c>
    </row>
    <row r="17" spans="6:19">
      <c r="F17" t="e">
        <f>#REF!</f>
        <v>#REF!</v>
      </c>
      <c r="G17" t="s">
        <v>1215</v>
      </c>
      <c r="H17" t="e">
        <f>#REF!</f>
        <v>#REF!</v>
      </c>
      <c r="I17" t="s">
        <v>1216</v>
      </c>
      <c r="R17" t="e">
        <f>#REF!</f>
        <v>#REF!</v>
      </c>
      <c r="S17" t="s">
        <v>1217</v>
      </c>
    </row>
    <row r="18" spans="6:19">
      <c r="F18" t="e">
        <f>#REF!</f>
        <v>#REF!</v>
      </c>
      <c r="G18" t="s">
        <v>1218</v>
      </c>
      <c r="R18" t="e">
        <f>#REF!</f>
        <v>#REF!</v>
      </c>
      <c r="S18" t="s">
        <v>1219</v>
      </c>
    </row>
    <row r="19" spans="6:19">
      <c r="F19" t="e">
        <f>#REF!</f>
        <v>#REF!</v>
      </c>
      <c r="G19" t="s">
        <v>1220</v>
      </c>
      <c r="R19" t="e">
        <f>#REF!</f>
        <v>#REF!</v>
      </c>
      <c r="S19" t="s">
        <v>1221</v>
      </c>
    </row>
    <row r="20" spans="6:19">
      <c r="F20" t="e">
        <f>#REF!</f>
        <v>#REF!</v>
      </c>
      <c r="G20" t="s">
        <v>1222</v>
      </c>
      <c r="R20" s="184" t="e">
        <f>#REF!</f>
        <v>#REF!</v>
      </c>
      <c r="S20" t="s">
        <v>1223</v>
      </c>
    </row>
    <row r="21" spans="6:19">
      <c r="F21" t="e">
        <f>#REF!</f>
        <v>#REF!</v>
      </c>
      <c r="G21" t="s">
        <v>1224</v>
      </c>
      <c r="R21" t="e">
        <f>#REF!</f>
        <v>#REF!</v>
      </c>
      <c r="S21" t="s">
        <v>1225</v>
      </c>
    </row>
    <row r="22" spans="6:19">
      <c r="F22" t="e">
        <f>#REF!</f>
        <v>#REF!</v>
      </c>
      <c r="G22" t="s">
        <v>1226</v>
      </c>
      <c r="R22" t="e">
        <f>#REF!</f>
        <v>#REF!</v>
      </c>
      <c r="S22" t="s">
        <v>1227</v>
      </c>
    </row>
    <row r="23" spans="6:19">
      <c r="F23" t="e">
        <f>#REF!</f>
        <v>#REF!</v>
      </c>
      <c r="G23" t="s">
        <v>1228</v>
      </c>
      <c r="R23" t="e">
        <f>#REF!</f>
        <v>#REF!</v>
      </c>
      <c r="S23" t="s">
        <v>1229</v>
      </c>
    </row>
    <row r="24" spans="6:19">
      <c r="F24" t="e">
        <f>#REF!</f>
        <v>#REF!</v>
      </c>
      <c r="G24" t="s">
        <v>1230</v>
      </c>
      <c r="R24" t="e">
        <f>#REF!</f>
        <v>#REF!</v>
      </c>
      <c r="S24" t="s">
        <v>1231</v>
      </c>
    </row>
    <row r="25" spans="6:19">
      <c r="F25" t="e">
        <f>#REF!</f>
        <v>#REF!</v>
      </c>
      <c r="G25" t="s">
        <v>1232</v>
      </c>
      <c r="R25" t="e">
        <f>#REF!</f>
        <v>#REF!</v>
      </c>
      <c r="S25" t="s">
        <v>1233</v>
      </c>
    </row>
    <row r="26" spans="6:19">
      <c r="F26" t="e">
        <f>#REF!</f>
        <v>#REF!</v>
      </c>
      <c r="G26" t="s">
        <v>1234</v>
      </c>
      <c r="R26" t="e">
        <f>#REF!</f>
        <v>#REF!</v>
      </c>
      <c r="S26" t="s">
        <v>1235</v>
      </c>
    </row>
    <row r="27" spans="6:19">
      <c r="F27" t="e">
        <f>#REF!</f>
        <v>#REF!</v>
      </c>
      <c r="G27" t="s">
        <v>1236</v>
      </c>
    </row>
    <row r="28" spans="6:19">
      <c r="F28" t="e">
        <f>#REF!</f>
        <v>#REF!</v>
      </c>
      <c r="G28" t="s">
        <v>1237</v>
      </c>
    </row>
    <row r="29" spans="6:19">
      <c r="F29" t="e">
        <f>#REF!</f>
        <v>#REF!</v>
      </c>
      <c r="G29" t="s">
        <v>1238</v>
      </c>
    </row>
    <row r="30" spans="6:19">
      <c r="F30" t="e">
        <f>#REF!</f>
        <v>#REF!</v>
      </c>
      <c r="G30" t="s">
        <v>1239</v>
      </c>
    </row>
    <row r="31" spans="6:19">
      <c r="F31" t="e">
        <f>#REF!</f>
        <v>#REF!</v>
      </c>
      <c r="G31" t="s">
        <v>1240</v>
      </c>
    </row>
    <row r="32" spans="6:19">
      <c r="F32" t="e">
        <f>#REF!</f>
        <v>#REF!</v>
      </c>
      <c r="G32" t="s">
        <v>1241</v>
      </c>
    </row>
    <row r="33" spans="6:7">
      <c r="F33" t="e">
        <f>#REF!</f>
        <v>#REF!</v>
      </c>
      <c r="G33" t="s">
        <v>1242</v>
      </c>
    </row>
    <row r="34" spans="6:7">
      <c r="F34" t="e">
        <f>#REF!</f>
        <v>#REF!</v>
      </c>
      <c r="G34" t="s">
        <v>1243</v>
      </c>
    </row>
    <row r="35" spans="6:7">
      <c r="F35" t="e">
        <f>#REF!</f>
        <v>#REF!</v>
      </c>
      <c r="G35" t="s">
        <v>1244</v>
      </c>
    </row>
    <row r="36" spans="6:7">
      <c r="F36" t="e">
        <f>#REF!</f>
        <v>#REF!</v>
      </c>
      <c r="G36" t="s">
        <v>1245</v>
      </c>
    </row>
    <row r="37" spans="6:7">
      <c r="F37" t="e">
        <f>#REF!</f>
        <v>#REF!</v>
      </c>
      <c r="G37" t="s">
        <v>1246</v>
      </c>
    </row>
    <row r="38" spans="6:7">
      <c r="F38" t="e">
        <f>#REF!</f>
        <v>#REF!</v>
      </c>
      <c r="G38" t="s">
        <v>1247</v>
      </c>
    </row>
    <row r="39" spans="6:7">
      <c r="F39" t="e">
        <f>#REF!</f>
        <v>#REF!</v>
      </c>
      <c r="G39" t="s">
        <v>1248</v>
      </c>
    </row>
    <row r="40" spans="6:7">
      <c r="F40" t="e">
        <f>#REF!</f>
        <v>#REF!</v>
      </c>
      <c r="G40" t="s">
        <v>1249</v>
      </c>
    </row>
    <row r="41" spans="6:7">
      <c r="F41" t="e">
        <f>#REF!</f>
        <v>#REF!</v>
      </c>
      <c r="G41" t="s">
        <v>1250</v>
      </c>
    </row>
    <row r="42" spans="6:7">
      <c r="F42" t="e">
        <f>#REF!</f>
        <v>#REF!</v>
      </c>
      <c r="G42" t="s">
        <v>1251</v>
      </c>
    </row>
    <row r="68" spans="6:7">
      <c r="F68" t="e">
        <f>#REF!</f>
        <v>#REF!</v>
      </c>
      <c r="G68" t="s">
        <v>1252</v>
      </c>
    </row>
    <row r="69" spans="6:7">
      <c r="F69" t="e">
        <f>#REF!</f>
        <v>#REF!</v>
      </c>
      <c r="G69" t="s">
        <v>1253</v>
      </c>
    </row>
    <row r="70" spans="6:7">
      <c r="F70" t="e">
        <f>#REF!</f>
        <v>#REF!</v>
      </c>
      <c r="G70" t="s">
        <v>1254</v>
      </c>
    </row>
    <row r="71" spans="6:7">
      <c r="F71" t="e">
        <f>#REF!</f>
        <v>#REF!</v>
      </c>
      <c r="G71" t="s">
        <v>1255</v>
      </c>
    </row>
    <row r="73" spans="6:7">
      <c r="F73" t="e">
        <f>#REF!</f>
        <v>#REF!</v>
      </c>
      <c r="G73" t="s">
        <v>1256</v>
      </c>
    </row>
  </sheetData>
  <pageMargins left="0.7" right="0.7" top="0.75" bottom="0.75" header="0.3" footer="0.3"/>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4"/>
  <sheetViews>
    <sheetView showGridLines="0" zoomScale="80" zoomScaleNormal="80" workbookViewId="0">
      <selection activeCell="I13" sqref="I13"/>
    </sheetView>
  </sheetViews>
  <sheetFormatPr defaultColWidth="8.725" defaultRowHeight="14.25"/>
  <cols>
    <col min="1" max="1" width="14.45" style="4" customWidth="1"/>
    <col min="2" max="3" width="13.6333333333333" style="4" customWidth="1"/>
    <col min="4" max="4" width="35.9083333333333" style="4" customWidth="1"/>
    <col min="5" max="7" width="13.6333333333333" style="4" customWidth="1"/>
    <col min="8" max="8" width="13.6333333333333" style="55" customWidth="1"/>
    <col min="9" max="14" width="13.6333333333333" style="4" customWidth="1"/>
    <col min="15" max="15" width="4.36666666666667" style="4" customWidth="1"/>
    <col min="16" max="16" width="8.725" style="4"/>
    <col min="17" max="17" width="11" style="4" customWidth="1"/>
    <col min="18" max="16384" width="8.725" style="4"/>
  </cols>
  <sheetData>
    <row r="1" s="157" customFormat="1" ht="18.75" spans="2:15">
      <c r="B1" s="158"/>
      <c r="C1" s="158"/>
      <c r="D1" s="158"/>
      <c r="E1" s="158"/>
      <c r="F1" s="158"/>
      <c r="G1" s="158"/>
      <c r="H1" s="158"/>
      <c r="I1" s="158"/>
      <c r="J1" s="158"/>
      <c r="K1" s="159"/>
      <c r="L1" s="160"/>
      <c r="M1" s="160"/>
      <c r="O1" s="67"/>
    </row>
    <row r="2" s="157" customFormat="1" ht="18" spans="2:15">
      <c r="B2" s="161" t="s">
        <v>1113</v>
      </c>
      <c r="C2" s="162" t="s">
        <v>1114</v>
      </c>
      <c r="D2" s="162" t="s">
        <v>1115</v>
      </c>
      <c r="E2" s="163" t="s">
        <v>1257</v>
      </c>
      <c r="F2" s="163" t="s">
        <v>286</v>
      </c>
      <c r="G2" s="163" t="s">
        <v>175</v>
      </c>
      <c r="H2" s="163" t="s">
        <v>1258</v>
      </c>
      <c r="I2" s="163" t="s">
        <v>1259</v>
      </c>
      <c r="J2" s="162" t="s">
        <v>1260</v>
      </c>
      <c r="K2" s="164" t="s">
        <v>1261</v>
      </c>
      <c r="L2" s="160"/>
      <c r="M2" s="160"/>
      <c r="O2" s="67"/>
    </row>
    <row r="3" s="157" customFormat="1" ht="18" spans="2:15">
      <c r="B3" s="165" t="s">
        <v>192</v>
      </c>
      <c r="C3" s="166">
        <v>400028</v>
      </c>
      <c r="D3" s="166" t="s">
        <v>941</v>
      </c>
      <c r="E3" s="167">
        <v>6567.2</v>
      </c>
      <c r="F3" s="167">
        <v>415.92</v>
      </c>
      <c r="G3" s="167">
        <v>5095.02</v>
      </c>
      <c r="H3" s="166">
        <v>0</v>
      </c>
      <c r="I3" s="167">
        <v>1472.18</v>
      </c>
      <c r="J3" s="168" t="s">
        <v>1262</v>
      </c>
      <c r="K3" s="169" t="s">
        <v>1263</v>
      </c>
      <c r="L3" s="170"/>
      <c r="M3" s="171"/>
      <c r="O3" s="67"/>
    </row>
    <row r="4" s="157" customFormat="1" ht="18" spans="2:15">
      <c r="B4" s="165" t="s">
        <v>192</v>
      </c>
      <c r="C4" s="166">
        <v>400029</v>
      </c>
      <c r="D4" s="166" t="s">
        <v>941</v>
      </c>
      <c r="E4" s="167">
        <v>7223.92</v>
      </c>
      <c r="F4" s="167">
        <v>457.5</v>
      </c>
      <c r="G4" s="167">
        <v>5604.6</v>
      </c>
      <c r="H4" s="166">
        <v>0</v>
      </c>
      <c r="I4" s="167">
        <v>1619.32</v>
      </c>
      <c r="J4" s="168" t="s">
        <v>1262</v>
      </c>
      <c r="K4" s="169" t="s">
        <v>1263</v>
      </c>
      <c r="L4" s="170"/>
      <c r="M4" s="171"/>
      <c r="O4" s="67"/>
    </row>
    <row r="5" s="157" customFormat="1" ht="18" spans="2:15">
      <c r="B5" s="165" t="s">
        <v>192</v>
      </c>
      <c r="C5" s="166">
        <v>400030</v>
      </c>
      <c r="D5" s="166" t="s">
        <v>941</v>
      </c>
      <c r="E5" s="167">
        <v>6567.2</v>
      </c>
      <c r="F5" s="167">
        <v>415.92</v>
      </c>
      <c r="G5" s="167">
        <v>5095.02</v>
      </c>
      <c r="H5" s="166">
        <v>0</v>
      </c>
      <c r="I5" s="167">
        <v>1472.18</v>
      </c>
      <c r="J5" s="168" t="s">
        <v>1262</v>
      </c>
      <c r="K5" s="169" t="s">
        <v>1263</v>
      </c>
      <c r="L5" s="170"/>
      <c r="M5" s="171"/>
      <c r="O5" s="67"/>
    </row>
    <row r="6" s="157" customFormat="1" ht="18" spans="2:15">
      <c r="B6" s="165" t="s">
        <v>192</v>
      </c>
      <c r="C6" s="166">
        <v>400031</v>
      </c>
      <c r="D6" s="166" t="s">
        <v>941</v>
      </c>
      <c r="E6" s="167">
        <v>6567.2</v>
      </c>
      <c r="F6" s="167">
        <v>415.92</v>
      </c>
      <c r="G6" s="167">
        <v>5095.02</v>
      </c>
      <c r="H6" s="166">
        <v>0</v>
      </c>
      <c r="I6" s="167">
        <v>1472.18</v>
      </c>
      <c r="J6" s="168" t="s">
        <v>1262</v>
      </c>
      <c r="K6" s="169" t="s">
        <v>1263</v>
      </c>
      <c r="L6" s="170"/>
      <c r="M6" s="171"/>
      <c r="O6" s="67"/>
    </row>
    <row r="7" s="157" customFormat="1" ht="18" spans="2:15">
      <c r="B7" s="165" t="s">
        <v>192</v>
      </c>
      <c r="C7" s="172">
        <v>400032</v>
      </c>
      <c r="D7" s="172" t="s">
        <v>941</v>
      </c>
      <c r="E7" s="167">
        <v>6567.2</v>
      </c>
      <c r="F7" s="173">
        <v>415.92</v>
      </c>
      <c r="G7" s="167">
        <v>5095.02</v>
      </c>
      <c r="H7" s="166">
        <v>0</v>
      </c>
      <c r="I7" s="167">
        <v>1472.18</v>
      </c>
      <c r="J7" s="168" t="s">
        <v>1262</v>
      </c>
      <c r="K7" s="169" t="s">
        <v>1263</v>
      </c>
      <c r="L7" s="170"/>
      <c r="M7" s="171"/>
      <c r="O7" s="67"/>
    </row>
    <row r="8" s="157" customFormat="1" ht="18" spans="2:15">
      <c r="B8" s="165" t="s">
        <v>192</v>
      </c>
      <c r="C8" s="172">
        <v>400033</v>
      </c>
      <c r="D8" s="172" t="s">
        <v>941</v>
      </c>
      <c r="E8" s="167">
        <v>6567.2</v>
      </c>
      <c r="F8" s="173">
        <v>415.92</v>
      </c>
      <c r="G8" s="167">
        <v>5095.02</v>
      </c>
      <c r="H8" s="166">
        <v>0</v>
      </c>
      <c r="I8" s="167">
        <v>1472.18</v>
      </c>
      <c r="J8" s="168" t="s">
        <v>1262</v>
      </c>
      <c r="K8" s="169" t="s">
        <v>1263</v>
      </c>
      <c r="L8" s="170"/>
      <c r="M8" s="171"/>
      <c r="O8" s="67"/>
    </row>
    <row r="9" s="157" customFormat="1" ht="18" spans="2:15">
      <c r="B9" s="165" t="s">
        <v>192</v>
      </c>
      <c r="C9" s="172">
        <v>400034</v>
      </c>
      <c r="D9" s="172" t="s">
        <v>941</v>
      </c>
      <c r="E9" s="167">
        <v>6567.2</v>
      </c>
      <c r="F9" s="173">
        <v>415.92</v>
      </c>
      <c r="G9" s="167">
        <v>5095.02</v>
      </c>
      <c r="H9" s="166">
        <v>0</v>
      </c>
      <c r="I9" s="167">
        <v>1472.18</v>
      </c>
      <c r="J9" s="168" t="s">
        <v>1262</v>
      </c>
      <c r="K9" s="169" t="s">
        <v>1263</v>
      </c>
      <c r="L9" s="170"/>
      <c r="M9" s="171"/>
      <c r="O9" s="67"/>
    </row>
    <row r="10" s="157" customFormat="1" ht="18" spans="2:15">
      <c r="B10" s="165" t="s">
        <v>192</v>
      </c>
      <c r="C10" s="172">
        <v>400035</v>
      </c>
      <c r="D10" s="172" t="s">
        <v>941</v>
      </c>
      <c r="E10" s="167">
        <v>6567.2</v>
      </c>
      <c r="F10" s="173">
        <v>415.92</v>
      </c>
      <c r="G10" s="167">
        <v>5095.02</v>
      </c>
      <c r="H10" s="166">
        <v>0</v>
      </c>
      <c r="I10" s="167">
        <v>1472.18</v>
      </c>
      <c r="J10" s="168" t="s">
        <v>1262</v>
      </c>
      <c r="K10" s="169" t="s">
        <v>1263</v>
      </c>
      <c r="L10" s="170"/>
      <c r="M10" s="171"/>
      <c r="O10" s="67"/>
    </row>
    <row r="11" s="157" customFormat="1" ht="18" spans="2:15">
      <c r="B11" s="165" t="s">
        <v>192</v>
      </c>
      <c r="C11" s="172">
        <v>400036</v>
      </c>
      <c r="D11" s="172" t="s">
        <v>941</v>
      </c>
      <c r="E11" s="167">
        <v>6567.2</v>
      </c>
      <c r="F11" s="173">
        <v>415.92</v>
      </c>
      <c r="G11" s="167">
        <v>5095.02</v>
      </c>
      <c r="H11" s="166">
        <v>0</v>
      </c>
      <c r="I11" s="167">
        <v>1472.18</v>
      </c>
      <c r="J11" s="168" t="s">
        <v>1262</v>
      </c>
      <c r="K11" s="169" t="s">
        <v>1263</v>
      </c>
      <c r="L11" s="170"/>
      <c r="M11" s="171"/>
      <c r="O11" s="67"/>
    </row>
    <row r="12" s="157" customFormat="1" ht="18" spans="2:15">
      <c r="B12" s="165" t="s">
        <v>192</v>
      </c>
      <c r="C12" s="172">
        <v>400037</v>
      </c>
      <c r="D12" s="172" t="s">
        <v>941</v>
      </c>
      <c r="E12" s="167">
        <v>6567.2</v>
      </c>
      <c r="F12" s="173">
        <v>415.92</v>
      </c>
      <c r="G12" s="167">
        <v>5095.02</v>
      </c>
      <c r="H12" s="166">
        <v>0</v>
      </c>
      <c r="I12" s="167">
        <v>1472.18</v>
      </c>
      <c r="J12" s="168" t="s">
        <v>1262</v>
      </c>
      <c r="K12" s="169" t="s">
        <v>1263</v>
      </c>
      <c r="L12" s="170"/>
      <c r="M12" s="171"/>
      <c r="O12" s="67"/>
    </row>
    <row r="13" s="157" customFormat="1" ht="18" spans="2:15">
      <c r="B13" s="165" t="s">
        <v>192</v>
      </c>
      <c r="C13" s="172">
        <v>400038</v>
      </c>
      <c r="D13" s="172" t="s">
        <v>941</v>
      </c>
      <c r="E13" s="167">
        <v>197016</v>
      </c>
      <c r="F13" s="173">
        <v>12477.68</v>
      </c>
      <c r="G13" s="167">
        <v>152851.58</v>
      </c>
      <c r="H13" s="166">
        <v>0</v>
      </c>
      <c r="I13" s="167">
        <v>44164.42</v>
      </c>
      <c r="J13" s="168" t="s">
        <v>1262</v>
      </c>
      <c r="K13" s="169" t="s">
        <v>1263</v>
      </c>
      <c r="L13" s="170"/>
      <c r="M13" s="171"/>
      <c r="O13" s="67"/>
    </row>
    <row r="14" s="157" customFormat="1" ht="18" spans="2:15">
      <c r="B14" s="165" t="s">
        <v>192</v>
      </c>
      <c r="C14" s="172">
        <v>400039</v>
      </c>
      <c r="D14" s="172" t="s">
        <v>941</v>
      </c>
      <c r="E14" s="167">
        <v>6567.2</v>
      </c>
      <c r="F14" s="173">
        <v>415.92</v>
      </c>
      <c r="G14" s="167">
        <v>5095.02</v>
      </c>
      <c r="H14" s="166">
        <v>0</v>
      </c>
      <c r="I14" s="167">
        <v>1472.18</v>
      </c>
      <c r="J14" s="168" t="s">
        <v>1262</v>
      </c>
      <c r="K14" s="169" t="s">
        <v>1263</v>
      </c>
      <c r="L14" s="170"/>
      <c r="M14" s="171"/>
      <c r="O14" s="67"/>
    </row>
    <row r="15" s="157" customFormat="1" ht="18" spans="2:15">
      <c r="B15" s="165" t="s">
        <v>192</v>
      </c>
      <c r="C15" s="172">
        <v>400040</v>
      </c>
      <c r="D15" s="172" t="s">
        <v>941</v>
      </c>
      <c r="E15" s="167">
        <v>6567.2</v>
      </c>
      <c r="F15" s="173">
        <v>415.92</v>
      </c>
      <c r="G15" s="167">
        <v>5095.02</v>
      </c>
      <c r="H15" s="166">
        <v>0</v>
      </c>
      <c r="I15" s="167">
        <v>1472.18</v>
      </c>
      <c r="J15" s="168" t="s">
        <v>1262</v>
      </c>
      <c r="K15" s="169" t="s">
        <v>1263</v>
      </c>
      <c r="L15" s="170"/>
      <c r="M15" s="171"/>
      <c r="O15" s="67"/>
    </row>
    <row r="16" s="157" customFormat="1" ht="18" spans="2:15">
      <c r="B16" s="165" t="s">
        <v>192</v>
      </c>
      <c r="C16" s="172">
        <v>400041</v>
      </c>
      <c r="D16" s="172" t="s">
        <v>941</v>
      </c>
      <c r="E16" s="167">
        <v>197016</v>
      </c>
      <c r="F16" s="173">
        <v>12477.68</v>
      </c>
      <c r="G16" s="167">
        <v>152851.58</v>
      </c>
      <c r="H16" s="166">
        <v>0</v>
      </c>
      <c r="I16" s="167">
        <v>44164.42</v>
      </c>
      <c r="J16" s="168" t="s">
        <v>1262</v>
      </c>
      <c r="K16" s="169" t="s">
        <v>1263</v>
      </c>
      <c r="L16" s="170"/>
      <c r="M16" s="171"/>
      <c r="O16" s="67"/>
    </row>
    <row r="17" s="157" customFormat="1" ht="18" spans="2:15">
      <c r="B17" s="165" t="s">
        <v>192</v>
      </c>
      <c r="C17" s="172">
        <v>400042</v>
      </c>
      <c r="D17" s="172" t="s">
        <v>941</v>
      </c>
      <c r="E17" s="167">
        <v>6567.2</v>
      </c>
      <c r="F17" s="173">
        <v>415.92</v>
      </c>
      <c r="G17" s="167">
        <v>5095.02</v>
      </c>
      <c r="H17" s="166">
        <v>0</v>
      </c>
      <c r="I17" s="167">
        <v>1472.18</v>
      </c>
      <c r="J17" s="168" t="s">
        <v>1262</v>
      </c>
      <c r="K17" s="169" t="s">
        <v>1263</v>
      </c>
      <c r="L17" s="170"/>
      <c r="M17" s="171"/>
      <c r="O17" s="67"/>
    </row>
    <row r="18" s="157" customFormat="1" ht="18" spans="2:15">
      <c r="B18" s="165" t="s">
        <v>192</v>
      </c>
      <c r="C18" s="172">
        <v>400043</v>
      </c>
      <c r="D18" s="172" t="s">
        <v>941</v>
      </c>
      <c r="E18" s="167">
        <v>6567.2</v>
      </c>
      <c r="F18" s="173">
        <v>415.92</v>
      </c>
      <c r="G18" s="167">
        <v>5095.02</v>
      </c>
      <c r="H18" s="166">
        <v>0</v>
      </c>
      <c r="I18" s="167">
        <v>1472.18</v>
      </c>
      <c r="J18" s="168" t="s">
        <v>1262</v>
      </c>
      <c r="K18" s="169" t="s">
        <v>1263</v>
      </c>
      <c r="L18" s="170"/>
      <c r="M18" s="171"/>
      <c r="O18" s="67"/>
    </row>
    <row r="19" s="157" customFormat="1" ht="18" spans="2:15">
      <c r="B19" s="165" t="s">
        <v>192</v>
      </c>
      <c r="C19" s="172">
        <v>400044</v>
      </c>
      <c r="D19" s="172" t="s">
        <v>941</v>
      </c>
      <c r="E19" s="167">
        <v>6567.2</v>
      </c>
      <c r="F19" s="173">
        <v>415.92</v>
      </c>
      <c r="G19" s="167">
        <v>5095.02</v>
      </c>
      <c r="H19" s="166">
        <v>0</v>
      </c>
      <c r="I19" s="167">
        <v>1472.18</v>
      </c>
      <c r="J19" s="168" t="s">
        <v>1262</v>
      </c>
      <c r="K19" s="169" t="s">
        <v>1263</v>
      </c>
      <c r="L19" s="170"/>
      <c r="M19" s="171"/>
      <c r="O19" s="67"/>
    </row>
    <row r="20" s="157" customFormat="1" ht="18" spans="2:15">
      <c r="B20" s="165" t="s">
        <v>192</v>
      </c>
      <c r="C20" s="172">
        <v>400045</v>
      </c>
      <c r="D20" s="172" t="s">
        <v>941</v>
      </c>
      <c r="E20" s="167">
        <v>6567.2</v>
      </c>
      <c r="F20" s="173">
        <v>415.92</v>
      </c>
      <c r="G20" s="167">
        <v>5095.02</v>
      </c>
      <c r="H20" s="166">
        <v>0</v>
      </c>
      <c r="I20" s="167">
        <v>1472.18</v>
      </c>
      <c r="J20" s="168" t="s">
        <v>1262</v>
      </c>
      <c r="K20" s="169" t="s">
        <v>1263</v>
      </c>
      <c r="L20" s="170"/>
      <c r="M20" s="171"/>
      <c r="O20" s="67"/>
    </row>
    <row r="21" s="157" customFormat="1" ht="18" spans="2:15">
      <c r="B21" s="165" t="s">
        <v>192</v>
      </c>
      <c r="C21" s="172">
        <v>400046</v>
      </c>
      <c r="D21" s="172" t="s">
        <v>941</v>
      </c>
      <c r="E21" s="167">
        <v>6567.2</v>
      </c>
      <c r="F21" s="173">
        <v>415.92</v>
      </c>
      <c r="G21" s="167">
        <v>5095.02</v>
      </c>
      <c r="H21" s="166">
        <v>0</v>
      </c>
      <c r="I21" s="167">
        <v>1472.18</v>
      </c>
      <c r="J21" s="168" t="s">
        <v>1262</v>
      </c>
      <c r="K21" s="169" t="s">
        <v>1263</v>
      </c>
      <c r="L21" s="170"/>
      <c r="M21" s="171"/>
      <c r="O21" s="67"/>
    </row>
    <row r="22" s="157" customFormat="1" ht="18" spans="2:15">
      <c r="B22" s="165" t="s">
        <v>192</v>
      </c>
      <c r="C22" s="172">
        <v>400047</v>
      </c>
      <c r="D22" s="172" t="s">
        <v>941</v>
      </c>
      <c r="E22" s="167">
        <v>6567.2</v>
      </c>
      <c r="F22" s="173">
        <v>415.92</v>
      </c>
      <c r="G22" s="167">
        <v>5095.02</v>
      </c>
      <c r="H22" s="166">
        <v>0</v>
      </c>
      <c r="I22" s="167">
        <v>1472.18</v>
      </c>
      <c r="J22" s="168" t="s">
        <v>1262</v>
      </c>
      <c r="K22" s="169" t="s">
        <v>1263</v>
      </c>
      <c r="L22" s="170"/>
      <c r="M22" s="171"/>
      <c r="O22" s="67"/>
    </row>
    <row r="23" s="157" customFormat="1" ht="18" spans="2:15">
      <c r="B23" s="165" t="s">
        <v>192</v>
      </c>
      <c r="C23" s="172">
        <v>400048</v>
      </c>
      <c r="D23" s="172" t="s">
        <v>941</v>
      </c>
      <c r="E23" s="167">
        <v>6567.2</v>
      </c>
      <c r="F23" s="173">
        <v>415.92</v>
      </c>
      <c r="G23" s="167">
        <v>5095.02</v>
      </c>
      <c r="H23" s="166">
        <v>0</v>
      </c>
      <c r="I23" s="167">
        <v>1472.18</v>
      </c>
      <c r="J23" s="168" t="s">
        <v>1262</v>
      </c>
      <c r="K23" s="169" t="s">
        <v>1263</v>
      </c>
      <c r="L23" s="170"/>
      <c r="M23" s="171"/>
      <c r="O23" s="67"/>
    </row>
    <row r="24" s="157" customFormat="1" ht="18" spans="2:15">
      <c r="B24" s="165" t="s">
        <v>192</v>
      </c>
      <c r="C24" s="172">
        <v>400049</v>
      </c>
      <c r="D24" s="172" t="s">
        <v>941</v>
      </c>
      <c r="E24" s="167">
        <v>197016</v>
      </c>
      <c r="F24" s="173">
        <v>12477.68</v>
      </c>
      <c r="G24" s="167">
        <v>152851.58</v>
      </c>
      <c r="H24" s="166">
        <v>0</v>
      </c>
      <c r="I24" s="167">
        <v>44164.42</v>
      </c>
      <c r="J24" s="168" t="s">
        <v>1262</v>
      </c>
      <c r="K24" s="169" t="s">
        <v>1263</v>
      </c>
      <c r="L24" s="170"/>
      <c r="M24" s="171"/>
      <c r="O24" s="67"/>
    </row>
    <row r="25" s="157" customFormat="1" ht="18" spans="2:15">
      <c r="B25" s="165" t="s">
        <v>192</v>
      </c>
      <c r="C25" s="172">
        <v>400050</v>
      </c>
      <c r="D25" s="172" t="s">
        <v>941</v>
      </c>
      <c r="E25" s="167">
        <v>6567.2</v>
      </c>
      <c r="F25" s="173">
        <v>415.92</v>
      </c>
      <c r="G25" s="167">
        <v>5095.02</v>
      </c>
      <c r="H25" s="166">
        <v>0</v>
      </c>
      <c r="I25" s="167">
        <v>1472.18</v>
      </c>
      <c r="J25" s="168" t="s">
        <v>1262</v>
      </c>
      <c r="K25" s="169" t="s">
        <v>1263</v>
      </c>
      <c r="L25" s="170"/>
      <c r="M25" s="171"/>
      <c r="O25" s="67"/>
    </row>
    <row r="26" s="157" customFormat="1" ht="18" spans="2:15">
      <c r="B26" s="165" t="s">
        <v>192</v>
      </c>
      <c r="C26" s="172">
        <v>400001</v>
      </c>
      <c r="D26" s="172" t="s">
        <v>944</v>
      </c>
      <c r="E26" s="167">
        <v>500617.66</v>
      </c>
      <c r="F26" s="173">
        <v>31705.82</v>
      </c>
      <c r="G26" s="167">
        <v>388395.78</v>
      </c>
      <c r="H26" s="166">
        <v>0</v>
      </c>
      <c r="I26" s="167">
        <v>112221.88</v>
      </c>
      <c r="J26" s="168" t="s">
        <v>1262</v>
      </c>
      <c r="K26" s="169" t="s">
        <v>1263</v>
      </c>
      <c r="L26" s="170"/>
      <c r="M26" s="171"/>
      <c r="O26" s="67"/>
    </row>
    <row r="27" s="157" customFormat="1" ht="18" spans="2:15">
      <c r="B27" s="165" t="s">
        <v>192</v>
      </c>
      <c r="C27" s="172">
        <v>400003</v>
      </c>
      <c r="D27" s="172" t="s">
        <v>941</v>
      </c>
      <c r="E27" s="167">
        <v>197016</v>
      </c>
      <c r="F27" s="173">
        <v>12477.68</v>
      </c>
      <c r="G27" s="167">
        <v>152851.58</v>
      </c>
      <c r="H27" s="166">
        <v>0</v>
      </c>
      <c r="I27" s="167">
        <v>44164.42</v>
      </c>
      <c r="J27" s="168" t="s">
        <v>1262</v>
      </c>
      <c r="K27" s="169" t="s">
        <v>1263</v>
      </c>
      <c r="L27" s="170"/>
      <c r="M27" s="171"/>
      <c r="O27" s="67"/>
    </row>
    <row r="28" s="157" customFormat="1" ht="18" spans="2:15">
      <c r="B28" s="165" t="s">
        <v>192</v>
      </c>
      <c r="C28" s="172">
        <v>400004</v>
      </c>
      <c r="D28" s="172" t="s">
        <v>941</v>
      </c>
      <c r="E28" s="167">
        <v>95224.4</v>
      </c>
      <c r="F28" s="173">
        <v>6030.88</v>
      </c>
      <c r="G28" s="167">
        <v>73878.28</v>
      </c>
      <c r="H28" s="166">
        <v>0</v>
      </c>
      <c r="I28" s="167">
        <v>21346.12</v>
      </c>
      <c r="J28" s="168" t="s">
        <v>1262</v>
      </c>
      <c r="K28" s="169" t="s">
        <v>1263</v>
      </c>
      <c r="L28" s="170"/>
      <c r="M28" s="171"/>
      <c r="O28" s="67"/>
    </row>
    <row r="29" s="157" customFormat="1" ht="18" spans="2:15">
      <c r="B29" s="174" t="s">
        <v>192</v>
      </c>
      <c r="C29" s="175">
        <v>400005</v>
      </c>
      <c r="D29" s="175" t="s">
        <v>941</v>
      </c>
      <c r="E29" s="167">
        <v>6567.2</v>
      </c>
      <c r="F29" s="176">
        <v>415.92</v>
      </c>
      <c r="G29" s="167">
        <v>5095.02</v>
      </c>
      <c r="H29" s="166">
        <v>0</v>
      </c>
      <c r="I29" s="167">
        <v>1472.18</v>
      </c>
      <c r="J29" s="177" t="s">
        <v>1262</v>
      </c>
      <c r="K29" s="169" t="s">
        <v>1263</v>
      </c>
      <c r="L29" s="170"/>
      <c r="M29" s="171"/>
      <c r="O29" s="67"/>
    </row>
    <row r="30" s="157" customFormat="1" ht="18" spans="2:15">
      <c r="B30" s="174" t="s">
        <v>192</v>
      </c>
      <c r="C30" s="175">
        <v>400006</v>
      </c>
      <c r="D30" s="175" t="s">
        <v>941</v>
      </c>
      <c r="E30" s="167">
        <v>197016</v>
      </c>
      <c r="F30" s="176">
        <v>12477.68</v>
      </c>
      <c r="G30" s="167">
        <v>152851.58</v>
      </c>
      <c r="H30" s="166">
        <v>0</v>
      </c>
      <c r="I30" s="167">
        <v>44164.42</v>
      </c>
      <c r="J30" s="177" t="s">
        <v>1262</v>
      </c>
      <c r="K30" s="169" t="s">
        <v>1263</v>
      </c>
      <c r="L30" s="170"/>
      <c r="M30" s="171"/>
      <c r="O30" s="67"/>
    </row>
    <row r="31" s="157" customFormat="1" ht="18" spans="2:15">
      <c r="B31" s="174" t="s">
        <v>192</v>
      </c>
      <c r="C31" s="175">
        <v>400007</v>
      </c>
      <c r="D31" s="175" t="s">
        <v>941</v>
      </c>
      <c r="E31" s="167">
        <v>203583.2</v>
      </c>
      <c r="F31" s="176">
        <v>12893.6</v>
      </c>
      <c r="G31" s="167">
        <v>157946.6</v>
      </c>
      <c r="H31" s="166">
        <v>0</v>
      </c>
      <c r="I31" s="167">
        <v>45636.6</v>
      </c>
      <c r="J31" s="177" t="s">
        <v>1262</v>
      </c>
      <c r="K31" s="169" t="s">
        <v>1263</v>
      </c>
      <c r="L31" s="170"/>
      <c r="M31" s="171"/>
      <c r="O31" s="67"/>
    </row>
    <row r="32" s="157" customFormat="1" ht="18" spans="2:15">
      <c r="B32" s="174" t="s">
        <v>192</v>
      </c>
      <c r="C32" s="175">
        <v>400008</v>
      </c>
      <c r="D32" s="175" t="s">
        <v>941</v>
      </c>
      <c r="E32" s="167">
        <v>6567.2</v>
      </c>
      <c r="F32" s="176">
        <v>415.92</v>
      </c>
      <c r="G32" s="167">
        <v>5095.02</v>
      </c>
      <c r="H32" s="166">
        <v>0</v>
      </c>
      <c r="I32" s="167">
        <v>1472.18</v>
      </c>
      <c r="J32" s="177" t="s">
        <v>1262</v>
      </c>
      <c r="K32" s="169" t="s">
        <v>1263</v>
      </c>
      <c r="L32" s="170"/>
      <c r="M32" s="171"/>
      <c r="O32" s="67"/>
    </row>
    <row r="33" s="157" customFormat="1" ht="18" spans="2:15">
      <c r="B33" s="174" t="s">
        <v>192</v>
      </c>
      <c r="C33" s="175">
        <v>400009</v>
      </c>
      <c r="D33" s="175" t="s">
        <v>941</v>
      </c>
      <c r="E33" s="167">
        <v>6567.2</v>
      </c>
      <c r="F33" s="176">
        <v>415.92</v>
      </c>
      <c r="G33" s="167">
        <v>5095.02</v>
      </c>
      <c r="H33" s="166">
        <v>0</v>
      </c>
      <c r="I33" s="167">
        <v>1472.18</v>
      </c>
      <c r="J33" s="177" t="s">
        <v>1262</v>
      </c>
      <c r="K33" s="169" t="s">
        <v>1263</v>
      </c>
      <c r="L33" s="170"/>
      <c r="M33" s="171"/>
      <c r="O33" s="67"/>
    </row>
    <row r="34" s="157" customFormat="1" ht="18" spans="2:15">
      <c r="B34" s="174" t="s">
        <v>192</v>
      </c>
      <c r="C34" s="175">
        <v>400010</v>
      </c>
      <c r="D34" s="175" t="s">
        <v>941</v>
      </c>
      <c r="E34" s="167">
        <v>9850.8</v>
      </c>
      <c r="F34" s="176">
        <v>623.88</v>
      </c>
      <c r="G34" s="167">
        <v>7642.65</v>
      </c>
      <c r="H34" s="166">
        <v>0</v>
      </c>
      <c r="I34" s="167">
        <v>2208.15</v>
      </c>
      <c r="J34" s="177" t="s">
        <v>1262</v>
      </c>
      <c r="K34" s="169" t="s">
        <v>1263</v>
      </c>
      <c r="L34" s="170"/>
      <c r="M34" s="171"/>
      <c r="O34" s="67"/>
    </row>
    <row r="35" s="157" customFormat="1" ht="18" spans="2:15">
      <c r="B35" s="174" t="s">
        <v>192</v>
      </c>
      <c r="C35" s="175">
        <v>400011</v>
      </c>
      <c r="D35" s="175" t="s">
        <v>941</v>
      </c>
      <c r="E35" s="167">
        <v>6567.2</v>
      </c>
      <c r="F35" s="176">
        <v>415.92</v>
      </c>
      <c r="G35" s="167">
        <v>5095.02</v>
      </c>
      <c r="H35" s="166">
        <v>0</v>
      </c>
      <c r="I35" s="167">
        <v>1472.18</v>
      </c>
      <c r="J35" s="177" t="s">
        <v>1262</v>
      </c>
      <c r="K35" s="169" t="s">
        <v>1263</v>
      </c>
      <c r="L35" s="170"/>
      <c r="M35" s="171"/>
      <c r="O35" s="67"/>
    </row>
    <row r="36" s="157" customFormat="1" ht="18" spans="2:15">
      <c r="B36" s="174" t="s">
        <v>192</v>
      </c>
      <c r="C36" s="175">
        <v>400012</v>
      </c>
      <c r="D36" s="175" t="s">
        <v>941</v>
      </c>
      <c r="E36" s="167">
        <v>6567.2</v>
      </c>
      <c r="F36" s="176">
        <v>415.92</v>
      </c>
      <c r="G36" s="167">
        <v>5095.02</v>
      </c>
      <c r="H36" s="166">
        <v>0</v>
      </c>
      <c r="I36" s="167">
        <v>1472.18</v>
      </c>
      <c r="J36" s="177" t="s">
        <v>1262</v>
      </c>
      <c r="K36" s="169" t="s">
        <v>1263</v>
      </c>
      <c r="L36" s="170"/>
      <c r="M36" s="171"/>
      <c r="O36" s="67"/>
    </row>
    <row r="37" s="157" customFormat="1" ht="18" spans="2:15">
      <c r="B37" s="174" t="s">
        <v>192</v>
      </c>
      <c r="C37" s="175">
        <v>400013</v>
      </c>
      <c r="D37" s="175" t="s">
        <v>941</v>
      </c>
      <c r="E37" s="167">
        <v>98508</v>
      </c>
      <c r="F37" s="176">
        <v>6238.84</v>
      </c>
      <c r="G37" s="167">
        <v>76425.79</v>
      </c>
      <c r="H37" s="166">
        <v>0</v>
      </c>
      <c r="I37" s="167">
        <v>22082.21</v>
      </c>
      <c r="J37" s="177" t="s">
        <v>1262</v>
      </c>
      <c r="K37" s="169" t="s">
        <v>1263</v>
      </c>
      <c r="L37" s="170"/>
      <c r="M37" s="171"/>
      <c r="O37" s="67"/>
    </row>
    <row r="38" s="157" customFormat="1" ht="18" spans="2:15">
      <c r="B38" s="174" t="s">
        <v>192</v>
      </c>
      <c r="C38" s="175">
        <v>400014</v>
      </c>
      <c r="D38" s="175" t="s">
        <v>941</v>
      </c>
      <c r="E38" s="167">
        <v>45970.4</v>
      </c>
      <c r="F38" s="176">
        <v>2911.48</v>
      </c>
      <c r="G38" s="167">
        <v>35665.31</v>
      </c>
      <c r="H38" s="166">
        <v>0</v>
      </c>
      <c r="I38" s="167">
        <v>10305.09</v>
      </c>
      <c r="J38" s="177" t="s">
        <v>1262</v>
      </c>
      <c r="K38" s="169" t="s">
        <v>1263</v>
      </c>
      <c r="L38" s="170"/>
      <c r="M38" s="171"/>
      <c r="O38" s="67"/>
    </row>
    <row r="39" s="157" customFormat="1" ht="18" spans="2:15">
      <c r="B39" s="174" t="s">
        <v>192</v>
      </c>
      <c r="C39" s="175">
        <v>400015</v>
      </c>
      <c r="D39" s="175" t="s">
        <v>941</v>
      </c>
      <c r="E39" s="167">
        <v>164180</v>
      </c>
      <c r="F39" s="176">
        <v>10398.06</v>
      </c>
      <c r="G39" s="167">
        <v>127376.34</v>
      </c>
      <c r="H39" s="166">
        <v>0</v>
      </c>
      <c r="I39" s="167">
        <v>36803.66</v>
      </c>
      <c r="J39" s="177" t="s">
        <v>1262</v>
      </c>
      <c r="K39" s="169" t="s">
        <v>1263</v>
      </c>
      <c r="L39" s="170"/>
      <c r="M39" s="171"/>
      <c r="O39" s="67"/>
    </row>
    <row r="40" s="157" customFormat="1" ht="18" spans="2:15">
      <c r="B40" s="174" t="s">
        <v>192</v>
      </c>
      <c r="C40" s="175">
        <v>400016</v>
      </c>
      <c r="D40" s="175" t="s">
        <v>941</v>
      </c>
      <c r="E40" s="167">
        <v>197016</v>
      </c>
      <c r="F40" s="176">
        <v>12477.68</v>
      </c>
      <c r="G40" s="167">
        <v>152851.58</v>
      </c>
      <c r="H40" s="166">
        <v>0</v>
      </c>
      <c r="I40" s="167">
        <v>44164.42</v>
      </c>
      <c r="J40" s="177" t="s">
        <v>1262</v>
      </c>
      <c r="K40" s="169" t="s">
        <v>1263</v>
      </c>
      <c r="L40" s="170"/>
      <c r="M40" s="171"/>
      <c r="O40" s="67"/>
    </row>
    <row r="41" s="157" customFormat="1" ht="18" spans="2:15">
      <c r="B41" s="174" t="s">
        <v>192</v>
      </c>
      <c r="C41" s="175">
        <v>400017</v>
      </c>
      <c r="D41" s="175" t="s">
        <v>941</v>
      </c>
      <c r="E41" s="167">
        <v>6567.2</v>
      </c>
      <c r="F41" s="176">
        <v>415.92</v>
      </c>
      <c r="G41" s="167">
        <v>5095.02</v>
      </c>
      <c r="H41" s="166">
        <v>0</v>
      </c>
      <c r="I41" s="167">
        <v>1472.18</v>
      </c>
      <c r="J41" s="177" t="s">
        <v>1262</v>
      </c>
      <c r="K41" s="169" t="s">
        <v>1263</v>
      </c>
      <c r="L41" s="170"/>
      <c r="M41" s="171"/>
      <c r="O41" s="67"/>
    </row>
    <row r="42" s="157" customFormat="1" ht="18" spans="2:15">
      <c r="B42" s="174" t="s">
        <v>192</v>
      </c>
      <c r="C42" s="175">
        <v>400018</v>
      </c>
      <c r="D42" s="175" t="s">
        <v>941</v>
      </c>
      <c r="E42" s="167">
        <v>6567.2</v>
      </c>
      <c r="F42" s="176">
        <v>415.92</v>
      </c>
      <c r="G42" s="167">
        <v>5095.02</v>
      </c>
      <c r="H42" s="166">
        <v>0</v>
      </c>
      <c r="I42" s="167">
        <v>1472.18</v>
      </c>
      <c r="J42" s="177" t="s">
        <v>1262</v>
      </c>
      <c r="K42" s="169" t="s">
        <v>1263</v>
      </c>
      <c r="L42" s="170"/>
      <c r="M42" s="171"/>
      <c r="O42" s="67"/>
    </row>
    <row r="43" s="157" customFormat="1" ht="18" spans="2:15">
      <c r="B43" s="174" t="s">
        <v>192</v>
      </c>
      <c r="C43" s="175">
        <v>400019</v>
      </c>
      <c r="D43" s="175" t="s">
        <v>941</v>
      </c>
      <c r="E43" s="167">
        <v>6567.2</v>
      </c>
      <c r="F43" s="176">
        <v>415.92</v>
      </c>
      <c r="G43" s="167">
        <v>5095.02</v>
      </c>
      <c r="H43" s="166">
        <v>0</v>
      </c>
      <c r="I43" s="167">
        <v>1472.18</v>
      </c>
      <c r="J43" s="177" t="s">
        <v>1262</v>
      </c>
      <c r="K43" s="169" t="s">
        <v>1263</v>
      </c>
      <c r="L43" s="170"/>
      <c r="M43" s="171"/>
      <c r="O43" s="67"/>
    </row>
    <row r="44" s="157" customFormat="1" ht="18" spans="2:15">
      <c r="B44" s="174" t="s">
        <v>192</v>
      </c>
      <c r="C44" s="175">
        <v>400020</v>
      </c>
      <c r="D44" s="175" t="s">
        <v>941</v>
      </c>
      <c r="E44" s="167">
        <v>9850.8</v>
      </c>
      <c r="F44" s="176">
        <v>623.88</v>
      </c>
      <c r="G44" s="167">
        <v>7642.65</v>
      </c>
      <c r="H44" s="166">
        <v>0</v>
      </c>
      <c r="I44" s="167">
        <v>2208.15</v>
      </c>
      <c r="J44" s="177" t="s">
        <v>1262</v>
      </c>
      <c r="K44" s="169" t="s">
        <v>1263</v>
      </c>
      <c r="L44" s="170"/>
      <c r="M44" s="171"/>
      <c r="O44" s="67"/>
    </row>
    <row r="45" s="157" customFormat="1" ht="18" spans="2:15">
      <c r="B45" s="174" t="s">
        <v>192</v>
      </c>
      <c r="C45" s="175">
        <v>400021</v>
      </c>
      <c r="D45" s="175" t="s">
        <v>941</v>
      </c>
      <c r="E45" s="167">
        <v>6567.2</v>
      </c>
      <c r="F45" s="176">
        <v>415.92</v>
      </c>
      <c r="G45" s="167">
        <v>5095.02</v>
      </c>
      <c r="H45" s="166">
        <v>0</v>
      </c>
      <c r="I45" s="167">
        <v>1472.18</v>
      </c>
      <c r="J45" s="177" t="s">
        <v>1262</v>
      </c>
      <c r="K45" s="169" t="s">
        <v>1263</v>
      </c>
      <c r="L45" s="170"/>
      <c r="M45" s="171"/>
      <c r="O45" s="67"/>
    </row>
    <row r="46" s="157" customFormat="1" ht="18" spans="2:15">
      <c r="B46" s="174" t="s">
        <v>192</v>
      </c>
      <c r="C46" s="175">
        <v>400022</v>
      </c>
      <c r="D46" s="175" t="s">
        <v>941</v>
      </c>
      <c r="E46" s="167">
        <v>6567.2</v>
      </c>
      <c r="F46" s="176">
        <v>415.92</v>
      </c>
      <c r="G46" s="167">
        <v>5095.02</v>
      </c>
      <c r="H46" s="166">
        <v>0</v>
      </c>
      <c r="I46" s="167">
        <v>1472.18</v>
      </c>
      <c r="J46" s="177" t="s">
        <v>1262</v>
      </c>
      <c r="K46" s="169" t="s">
        <v>1263</v>
      </c>
      <c r="L46" s="170"/>
      <c r="M46" s="171"/>
      <c r="O46" s="67"/>
    </row>
    <row r="47" s="157" customFormat="1" ht="18" spans="2:15">
      <c r="B47" s="174" t="s">
        <v>192</v>
      </c>
      <c r="C47" s="175">
        <v>400023</v>
      </c>
      <c r="D47" s="175" t="s">
        <v>941</v>
      </c>
      <c r="E47" s="167">
        <v>98508</v>
      </c>
      <c r="F47" s="176">
        <v>6238.84</v>
      </c>
      <c r="G47" s="167">
        <v>76425.79</v>
      </c>
      <c r="H47" s="166">
        <v>0</v>
      </c>
      <c r="I47" s="167">
        <v>22082.21</v>
      </c>
      <c r="J47" s="177" t="s">
        <v>1262</v>
      </c>
      <c r="K47" s="169" t="s">
        <v>1263</v>
      </c>
      <c r="L47" s="170"/>
      <c r="M47" s="171"/>
      <c r="O47" s="67"/>
    </row>
    <row r="48" s="157" customFormat="1" ht="18" spans="2:15">
      <c r="B48" s="174" t="s">
        <v>192</v>
      </c>
      <c r="C48" s="175">
        <v>400024</v>
      </c>
      <c r="D48" s="175" t="s">
        <v>941</v>
      </c>
      <c r="E48" s="167">
        <v>45970.4</v>
      </c>
      <c r="F48" s="176">
        <v>2911.48</v>
      </c>
      <c r="G48" s="167">
        <v>35665.31</v>
      </c>
      <c r="H48" s="166">
        <v>0</v>
      </c>
      <c r="I48" s="167">
        <v>10305.09</v>
      </c>
      <c r="J48" s="177" t="s">
        <v>1262</v>
      </c>
      <c r="K48" s="169" t="s">
        <v>1263</v>
      </c>
      <c r="L48" s="170"/>
      <c r="M48" s="171"/>
      <c r="O48" s="67"/>
    </row>
    <row r="49" s="157" customFormat="1" ht="18" spans="1:15">
      <c r="B49" s="174" t="s">
        <v>192</v>
      </c>
      <c r="C49" s="175">
        <v>400025</v>
      </c>
      <c r="D49" s="175" t="s">
        <v>941</v>
      </c>
      <c r="E49" s="167">
        <v>144478.4</v>
      </c>
      <c r="F49" s="176">
        <v>9150.28</v>
      </c>
      <c r="G49" s="167">
        <v>112091.25</v>
      </c>
      <c r="H49" s="166">
        <v>0</v>
      </c>
      <c r="I49" s="167">
        <v>32387.15</v>
      </c>
      <c r="J49" s="177" t="s">
        <v>1262</v>
      </c>
      <c r="K49" s="169" t="s">
        <v>1263</v>
      </c>
      <c r="L49" s="170"/>
      <c r="M49" s="171"/>
      <c r="O49" s="67"/>
    </row>
    <row r="50" s="157" customFormat="1" ht="18" spans="1:15">
      <c r="B50" s="174" t="s">
        <v>192</v>
      </c>
      <c r="C50" s="175">
        <v>400026</v>
      </c>
      <c r="D50" s="175" t="s">
        <v>941</v>
      </c>
      <c r="E50" s="167">
        <v>6567.2</v>
      </c>
      <c r="F50" s="176">
        <v>415.92</v>
      </c>
      <c r="G50" s="167">
        <v>5095.02</v>
      </c>
      <c r="H50" s="166">
        <v>0</v>
      </c>
      <c r="I50" s="167">
        <v>1472.18</v>
      </c>
      <c r="J50" s="177" t="s">
        <v>1262</v>
      </c>
      <c r="K50" s="169" t="s">
        <v>1263</v>
      </c>
      <c r="L50" s="170"/>
      <c r="M50" s="171"/>
      <c r="O50" s="67"/>
    </row>
    <row r="51" s="157" customFormat="1" ht="18" spans="1:15">
      <c r="B51" s="174" t="s">
        <v>192</v>
      </c>
      <c r="C51" s="175">
        <v>400027</v>
      </c>
      <c r="D51" s="175" t="s">
        <v>941</v>
      </c>
      <c r="E51" s="167">
        <v>6567.2</v>
      </c>
      <c r="F51" s="176">
        <v>415.92</v>
      </c>
      <c r="G51" s="167">
        <v>5095.02</v>
      </c>
      <c r="H51" s="166">
        <v>0</v>
      </c>
      <c r="I51" s="167">
        <v>1472.18</v>
      </c>
      <c r="J51" s="177" t="s">
        <v>1262</v>
      </c>
      <c r="K51" s="169" t="s">
        <v>1263</v>
      </c>
      <c r="L51" s="170"/>
      <c r="M51" s="171"/>
      <c r="O51" s="67"/>
    </row>
    <row r="52" s="157" customFormat="1" ht="18" spans="1:15">
      <c r="B52" s="174" t="s">
        <v>195</v>
      </c>
      <c r="C52" s="175">
        <v>100027</v>
      </c>
      <c r="D52" s="175" t="s">
        <v>545</v>
      </c>
      <c r="E52" s="167">
        <v>5131.86</v>
      </c>
      <c r="F52" s="176">
        <v>0</v>
      </c>
      <c r="G52" s="176">
        <v>4875.27</v>
      </c>
      <c r="H52" s="166">
        <v>0</v>
      </c>
      <c r="I52" s="167">
        <v>256.59</v>
      </c>
      <c r="J52" s="177" t="s">
        <v>1262</v>
      </c>
      <c r="K52" s="169" t="s">
        <v>1263</v>
      </c>
      <c r="L52" s="160"/>
      <c r="M52" s="171"/>
      <c r="O52" s="67"/>
    </row>
    <row r="53" s="157" customFormat="1" ht="18" spans="1:15">
      <c r="B53" s="174" t="s">
        <v>195</v>
      </c>
      <c r="C53" s="175">
        <v>100055</v>
      </c>
      <c r="D53" s="175" t="s">
        <v>565</v>
      </c>
      <c r="E53" s="167">
        <v>4202.65</v>
      </c>
      <c r="F53" s="176">
        <v>0</v>
      </c>
      <c r="G53" s="176">
        <v>3992.52</v>
      </c>
      <c r="H53" s="166">
        <v>0</v>
      </c>
      <c r="I53" s="167">
        <v>210.13</v>
      </c>
      <c r="J53" s="177" t="s">
        <v>1262</v>
      </c>
      <c r="K53" s="169" t="s">
        <v>1263</v>
      </c>
      <c r="L53" s="160"/>
      <c r="M53" s="171"/>
      <c r="O53" s="67"/>
    </row>
    <row r="54" s="157" customFormat="1" ht="18" spans="1:15">
      <c r="B54" s="174" t="s">
        <v>195</v>
      </c>
      <c r="C54" s="175">
        <v>100008</v>
      </c>
      <c r="D54" s="175" t="s">
        <v>545</v>
      </c>
      <c r="E54" s="167">
        <v>5999</v>
      </c>
      <c r="F54" s="176">
        <v>0</v>
      </c>
      <c r="G54" s="176">
        <v>5699.05</v>
      </c>
      <c r="H54" s="166">
        <v>0</v>
      </c>
      <c r="I54" s="167">
        <v>299.95</v>
      </c>
      <c r="J54" s="177" t="s">
        <v>1262</v>
      </c>
      <c r="K54" s="169" t="s">
        <v>1263</v>
      </c>
      <c r="L54" s="160"/>
      <c r="M54" s="171"/>
      <c r="O54" s="67"/>
    </row>
    <row r="55" s="157" customFormat="1" ht="18" spans="1:15">
      <c r="B55" s="174" t="s">
        <v>195</v>
      </c>
      <c r="C55" s="175">
        <v>100065</v>
      </c>
      <c r="D55" s="175" t="s">
        <v>545</v>
      </c>
      <c r="E55" s="167">
        <v>5308.85</v>
      </c>
      <c r="F55" s="176">
        <v>0</v>
      </c>
      <c r="G55" s="176">
        <v>5043.41</v>
      </c>
      <c r="H55" s="166">
        <v>0</v>
      </c>
      <c r="I55" s="167">
        <v>265.44</v>
      </c>
      <c r="J55" s="177" t="s">
        <v>1262</v>
      </c>
      <c r="K55" s="169" t="s">
        <v>1263</v>
      </c>
      <c r="L55" s="160"/>
      <c r="M55" s="171"/>
      <c r="O55" s="67"/>
    </row>
    <row r="56" s="157" customFormat="1" ht="18" spans="1:15">
      <c r="B56" s="174" t="s">
        <v>196</v>
      </c>
      <c r="C56" s="175">
        <v>200003</v>
      </c>
      <c r="D56" s="175" t="s">
        <v>736</v>
      </c>
      <c r="E56" s="167">
        <v>137391.94</v>
      </c>
      <c r="F56" s="176">
        <v>2175.37</v>
      </c>
      <c r="G56" s="176">
        <v>130522.34</v>
      </c>
      <c r="H56" s="166">
        <v>0</v>
      </c>
      <c r="I56" s="167">
        <v>6869.6</v>
      </c>
      <c r="J56" s="177" t="s">
        <v>1262</v>
      </c>
      <c r="K56" s="169" t="s">
        <v>1263</v>
      </c>
      <c r="L56" s="160"/>
      <c r="M56" s="171"/>
      <c r="O56" s="67"/>
    </row>
    <row r="57" s="157" customFormat="1" ht="18" spans="1:15">
      <c r="B57" s="174" t="s">
        <v>195</v>
      </c>
      <c r="C57" s="175">
        <v>100001</v>
      </c>
      <c r="D57" s="175" t="s">
        <v>545</v>
      </c>
      <c r="E57" s="167">
        <v>6799</v>
      </c>
      <c r="F57" s="176">
        <v>0</v>
      </c>
      <c r="G57" s="176">
        <v>6459.05</v>
      </c>
      <c r="H57" s="166">
        <v>0</v>
      </c>
      <c r="I57" s="167">
        <v>339.95</v>
      </c>
      <c r="J57" s="177" t="s">
        <v>1262</v>
      </c>
      <c r="K57" s="169" t="s">
        <v>1263</v>
      </c>
      <c r="L57" s="160"/>
      <c r="M57" s="171"/>
      <c r="O57" s="67"/>
    </row>
    <row r="58" s="157" customFormat="1" ht="18" spans="1:15">
      <c r="B58" s="174" t="s">
        <v>195</v>
      </c>
      <c r="C58" s="175">
        <v>100079</v>
      </c>
      <c r="D58" s="175" t="s">
        <v>535</v>
      </c>
      <c r="E58" s="167">
        <v>3273.45</v>
      </c>
      <c r="F58" s="176">
        <v>0</v>
      </c>
      <c r="G58" s="176">
        <v>3109.78</v>
      </c>
      <c r="H58" s="166">
        <v>0</v>
      </c>
      <c r="I58" s="167">
        <v>163.67</v>
      </c>
      <c r="J58" s="177" t="s">
        <v>1262</v>
      </c>
      <c r="K58" s="169" t="s">
        <v>1263</v>
      </c>
      <c r="L58" s="160"/>
      <c r="M58" s="171"/>
      <c r="O58" s="67"/>
    </row>
    <row r="59" s="157" customFormat="1" ht="18" spans="1:15">
      <c r="B59" s="174" t="s">
        <v>196</v>
      </c>
      <c r="C59" s="175">
        <v>200006</v>
      </c>
      <c r="D59" s="175" t="s">
        <v>736</v>
      </c>
      <c r="E59" s="167">
        <v>143318.72</v>
      </c>
      <c r="F59" s="176">
        <v>2269.21000000001</v>
      </c>
      <c r="G59" s="176">
        <v>131614.35</v>
      </c>
      <c r="H59" s="166">
        <v>0</v>
      </c>
      <c r="I59" s="167">
        <v>11704.37</v>
      </c>
      <c r="J59" s="177" t="s">
        <v>1262</v>
      </c>
      <c r="K59" s="169" t="s">
        <v>1263</v>
      </c>
      <c r="L59" s="160"/>
      <c r="M59" s="171"/>
      <c r="O59" s="67"/>
    </row>
    <row r="60" s="157" customFormat="1" ht="18.75" spans="1:15">
      <c r="B60" s="178" t="s">
        <v>945</v>
      </c>
      <c r="C60" s="179"/>
      <c r="D60" s="179"/>
      <c r="E60" s="180">
        <f>SUM(E3:E59)</f>
        <v>3121070.65</v>
      </c>
      <c r="F60" s="180">
        <f>SUM(F3:F59)</f>
        <v>182388.72</v>
      </c>
      <c r="G60" s="180">
        <f>SUM(G3:G59)</f>
        <v>2471131.22</v>
      </c>
      <c r="H60" s="180">
        <f>SUM(H3:H59)</f>
        <v>0</v>
      </c>
      <c r="I60" s="180">
        <f>SUM(I3:I59)</f>
        <v>649939.43</v>
      </c>
      <c r="J60" s="179"/>
      <c r="K60" s="181"/>
      <c r="L60" s="160"/>
      <c r="M60" s="171"/>
      <c r="O60" s="67"/>
    </row>
    <row r="61" s="157" customFormat="1" ht="18" spans="1:15">
      <c r="B61" s="160"/>
      <c r="C61" s="160"/>
      <c r="D61" s="182"/>
      <c r="E61" s="183">
        <f>E60+'K.01 Agree SL to GL'!Z15</f>
        <v>0</v>
      </c>
      <c r="F61" s="183"/>
      <c r="G61" s="183">
        <f>G60+'K.01 Agree SL to GL'!Z21</f>
        <v>0</v>
      </c>
      <c r="H61" s="160"/>
      <c r="I61" s="182"/>
      <c r="J61" s="160"/>
      <c r="K61" s="160"/>
      <c r="L61" s="160"/>
      <c r="M61" s="171"/>
      <c r="O61" s="67"/>
    </row>
    <row r="62" s="157" customFormat="1" ht="12.75" spans="1:15">
      <c r="O62" s="67"/>
    </row>
    <row r="63" s="157" customFormat="1" ht="12.75" spans="1:15">
      <c r="O63" s="67"/>
    </row>
    <row r="64" ht="7.5" customHeight="1" spans="1:15">
      <c r="A64" s="67"/>
      <c r="B64" s="67"/>
      <c r="C64" s="67"/>
      <c r="D64" s="67"/>
      <c r="E64" s="67"/>
      <c r="F64" s="67"/>
      <c r="G64" s="67"/>
      <c r="H64" s="67"/>
      <c r="I64" s="67"/>
      <c r="J64" s="67"/>
      <c r="K64" s="67"/>
      <c r="L64" s="67"/>
      <c r="M64" s="67"/>
      <c r="N64" s="67"/>
      <c r="O64" s="67"/>
    </row>
  </sheetData>
  <pageMargins left="0.7" right="0.7" top="0.75" bottom="0.75" header="0.3" footer="0.3"/>
  <pageSetup paperSize="9" orientation="portrait" horizontalDpi="300"/>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howOutlineSymbols="0"/>
  </sheetPr>
  <dimension ref="A1:AP1005"/>
  <sheetViews>
    <sheetView showGridLines="0" showOutlineSymbols="0" zoomScale="80" zoomScaleNormal="80" zoomScaleSheetLayoutView="70" workbookViewId="0">
      <pane xSplit="2" ySplit="7" topLeftCell="C714" activePane="bottomRight" state="frozen"/>
      <selection/>
      <selection pane="topRight"/>
      <selection pane="bottomLeft"/>
      <selection pane="bottomRight" activeCell="J984" sqref="J984"/>
    </sheetView>
  </sheetViews>
  <sheetFormatPr defaultColWidth="8.26666666666667" defaultRowHeight="12.75" customHeight="1"/>
  <cols>
    <col min="1" max="1" width="4.45" style="61" customWidth="1"/>
    <col min="2" max="2" width="15.45" style="62" customWidth="1"/>
    <col min="3" max="3" width="16.725" style="62" customWidth="1"/>
    <col min="4" max="4" width="12.45" style="62" customWidth="1" outlineLevel="1"/>
    <col min="5" max="5" width="14.45" style="62" customWidth="1" outlineLevel="2"/>
    <col min="6" max="6" width="12.725" style="62" customWidth="1" outlineLevel="3"/>
    <col min="7" max="7" width="7.45" style="62" customWidth="1" outlineLevel="3"/>
    <col min="8" max="8" width="16.45" style="62" customWidth="1" outlineLevel="3"/>
    <col min="9" max="9" width="16.2666666666667" style="62" customWidth="1" outlineLevel="1"/>
    <col min="10" max="10" width="15.0916666666667" style="62" customWidth="1" outlineLevel="1"/>
    <col min="11" max="11" width="16.45" style="62" customWidth="1" outlineLevel="1"/>
    <col min="12" max="12" width="17.2666666666667" style="62" customWidth="1"/>
    <col min="13" max="14" width="11.45" style="62" customWidth="1"/>
    <col min="15" max="15" width="15.2666666666667" style="62" customWidth="1"/>
    <col min="16" max="16" width="14.2666666666667" style="62" customWidth="1"/>
    <col min="17" max="17" width="18.725" style="62" customWidth="1"/>
    <col min="18" max="18" width="14.45" style="62" customWidth="1"/>
    <col min="19" max="19" width="6.45" style="62" customWidth="1"/>
    <col min="20" max="20" width="3.45" style="62" customWidth="1"/>
    <col min="21" max="21" width="1.725" style="62" customWidth="1"/>
    <col min="22" max="22" width="4.725" style="62" customWidth="1"/>
    <col min="23" max="23" width="11.725" style="63" customWidth="1"/>
    <col min="24" max="24" width="10.2666666666667" style="63" customWidth="1"/>
    <col min="25" max="25" width="11.2666666666667" style="63" customWidth="1"/>
    <col min="26" max="26" width="11.725" style="63" customWidth="1"/>
    <col min="27" max="27" width="28.45" style="63" customWidth="1"/>
    <col min="28" max="16384" width="8.26666666666667" style="62"/>
  </cols>
  <sheetData>
    <row r="1" s="55" customFormat="1" ht="34.5" customHeight="1" spans="1:42">
      <c r="A1" s="64"/>
      <c r="B1" s="65"/>
      <c r="C1" s="66"/>
      <c r="D1" s="66"/>
      <c r="E1" s="66"/>
      <c r="F1" s="66"/>
      <c r="G1" s="66"/>
      <c r="H1" s="66"/>
      <c r="I1" s="66" t="s">
        <v>1264</v>
      </c>
      <c r="J1" s="66"/>
      <c r="K1" s="66"/>
      <c r="L1" s="66"/>
      <c r="M1" s="66"/>
      <c r="N1" s="66"/>
      <c r="O1" s="66"/>
      <c r="P1" s="66"/>
      <c r="Q1" s="66"/>
      <c r="R1" s="66"/>
      <c r="S1" s="66"/>
      <c r="U1" s="67"/>
      <c r="W1" s="57"/>
      <c r="X1" s="57"/>
      <c r="Y1" s="57"/>
      <c r="Z1" s="57"/>
      <c r="AA1" s="57"/>
    </row>
    <row r="2" s="55" customFormat="1" ht="18" spans="1:42">
      <c r="A2" s="68"/>
      <c r="B2" s="69" t="s">
        <v>1265</v>
      </c>
      <c r="C2" s="70"/>
      <c r="D2" s="70"/>
      <c r="E2" s="70"/>
      <c r="F2" s="70"/>
      <c r="G2" s="70"/>
      <c r="H2" s="70"/>
      <c r="I2" s="70"/>
      <c r="J2" s="70"/>
      <c r="K2" s="70"/>
      <c r="L2" s="70"/>
      <c r="M2" s="70"/>
      <c r="N2" s="70"/>
      <c r="O2" s="70"/>
      <c r="P2" s="70"/>
      <c r="Q2" s="70"/>
      <c r="R2" s="70"/>
      <c r="S2" s="70"/>
      <c r="U2" s="67"/>
      <c r="W2" s="57"/>
      <c r="X2" s="57"/>
      <c r="Y2" s="57"/>
      <c r="Z2" s="57"/>
      <c r="AA2" s="57"/>
      <c r="AB2" s="57"/>
      <c r="AC2" s="57"/>
      <c r="AD2" s="57"/>
      <c r="AE2" s="57"/>
      <c r="AF2" s="57"/>
      <c r="AG2" s="57"/>
      <c r="AH2" s="57"/>
      <c r="AI2" s="57"/>
      <c r="AJ2" s="57"/>
      <c r="AK2" s="57"/>
      <c r="AL2" s="57"/>
      <c r="AM2" s="57"/>
      <c r="AN2" s="57"/>
      <c r="AO2" s="57"/>
      <c r="AP2" s="57"/>
    </row>
    <row r="3" s="56" customFormat="1" spans="1:42">
      <c r="A3" s="71" t="s">
        <v>1266</v>
      </c>
      <c r="B3" s="72"/>
      <c r="C3" s="72"/>
      <c r="D3" s="73"/>
      <c r="E3" s="74"/>
      <c r="F3" s="75"/>
      <c r="G3" s="75"/>
      <c r="H3" s="75"/>
      <c r="I3" s="76"/>
      <c r="J3" s="76"/>
      <c r="K3" s="76"/>
      <c r="L3" s="76"/>
      <c r="M3" s="76"/>
      <c r="N3" s="76"/>
      <c r="O3" s="76"/>
      <c r="P3" s="76"/>
      <c r="Q3" s="76"/>
      <c r="R3" s="76"/>
      <c r="S3" s="76"/>
      <c r="T3" s="76"/>
      <c r="U3" s="67"/>
      <c r="V3" s="76"/>
      <c r="W3" s="57"/>
      <c r="X3" s="57"/>
      <c r="Y3" s="57"/>
      <c r="Z3" s="57"/>
      <c r="AA3" s="57"/>
      <c r="AB3" s="57"/>
      <c r="AC3" s="57"/>
      <c r="AD3" s="57"/>
      <c r="AE3" s="57"/>
      <c r="AF3" s="57"/>
      <c r="AG3" s="57"/>
      <c r="AH3" s="57"/>
      <c r="AI3" s="57"/>
      <c r="AJ3" s="57"/>
      <c r="AK3" s="57"/>
      <c r="AL3" s="57"/>
      <c r="AM3" s="57"/>
      <c r="AN3" s="57"/>
      <c r="AO3" s="57"/>
      <c r="AP3" s="57"/>
    </row>
    <row r="4" s="57" customFormat="1" ht="14.25" customHeight="1" spans="1:42">
      <c r="B4" s="77" t="s">
        <v>1267</v>
      </c>
      <c r="C4" s="78"/>
      <c r="D4" s="78"/>
      <c r="E4" s="78"/>
      <c r="F4" s="78"/>
      <c r="G4" s="78"/>
      <c r="H4" s="78"/>
      <c r="I4" s="78"/>
      <c r="J4" s="78"/>
      <c r="K4" s="78"/>
      <c r="M4" s="78"/>
      <c r="U4" s="67"/>
    </row>
    <row r="5" s="58" customFormat="1" ht="20.15" customHeight="1" spans="1:42">
      <c r="A5" s="79"/>
      <c r="B5" s="80"/>
      <c r="C5" s="81"/>
      <c r="D5" s="81"/>
      <c r="E5" s="81"/>
      <c r="I5" s="81"/>
      <c r="J5" s="81"/>
      <c r="K5" s="81"/>
      <c r="L5" s="82" t="s">
        <v>1268</v>
      </c>
      <c r="M5" s="83"/>
      <c r="N5" s="82"/>
      <c r="O5" s="82"/>
      <c r="P5" s="84" t="s">
        <v>1269</v>
      </c>
      <c r="Q5" s="85" t="s">
        <v>1270</v>
      </c>
      <c r="R5" s="85" t="s">
        <v>1271</v>
      </c>
      <c r="U5" s="67"/>
      <c r="W5" s="57"/>
      <c r="X5" s="57"/>
      <c r="Y5" s="57"/>
      <c r="Z5" s="57"/>
      <c r="AA5" s="57"/>
      <c r="AB5" s="57"/>
      <c r="AC5" s="57"/>
      <c r="AD5" s="57"/>
      <c r="AE5" s="57"/>
      <c r="AF5" s="57"/>
      <c r="AG5" s="57"/>
      <c r="AH5" s="57"/>
      <c r="AI5" s="57"/>
      <c r="AJ5" s="57"/>
      <c r="AK5" s="57"/>
      <c r="AL5" s="57"/>
      <c r="AM5" s="57"/>
      <c r="AN5" s="57"/>
      <c r="AO5" s="57"/>
      <c r="AP5" s="57"/>
    </row>
    <row r="6" s="59" customFormat="1" ht="17.25" customHeight="1" spans="1:42">
      <c r="A6" s="79"/>
      <c r="B6" s="86" t="s">
        <v>1272</v>
      </c>
      <c r="C6" s="87"/>
      <c r="D6" s="87"/>
      <c r="E6" s="88"/>
      <c r="F6" s="89" t="s">
        <v>1273</v>
      </c>
      <c r="G6" s="89" t="s">
        <v>1274</v>
      </c>
      <c r="H6" s="89" t="s">
        <v>1275</v>
      </c>
      <c r="I6" s="90"/>
      <c r="J6" s="90"/>
      <c r="K6" s="90"/>
      <c r="L6" s="91">
        <v>46142</v>
      </c>
      <c r="M6" s="92" t="s">
        <v>1276</v>
      </c>
      <c r="N6" s="93"/>
      <c r="O6" s="94" t="s">
        <v>1277</v>
      </c>
      <c r="P6" s="95"/>
      <c r="Q6" s="95"/>
      <c r="R6" s="95"/>
      <c r="S6" s="96"/>
      <c r="U6" s="67"/>
      <c r="X6" s="57"/>
      <c r="Y6" s="57"/>
      <c r="Z6" s="57"/>
      <c r="AA6" s="57"/>
      <c r="AB6" s="57"/>
      <c r="AC6" s="57"/>
      <c r="AD6" s="57"/>
      <c r="AE6" s="57"/>
      <c r="AF6" s="57"/>
      <c r="AG6" s="57"/>
      <c r="AH6" s="57"/>
      <c r="AI6" s="57"/>
      <c r="AJ6" s="57"/>
      <c r="AK6" s="57"/>
      <c r="AL6" s="57"/>
      <c r="AM6" s="57"/>
      <c r="AN6" s="57"/>
      <c r="AO6" s="57"/>
      <c r="AP6" s="57"/>
    </row>
    <row r="7" s="60" customFormat="1" ht="21" customHeight="1" spans="1:42">
      <c r="A7" s="97"/>
      <c r="B7" s="98" t="s">
        <v>1123</v>
      </c>
      <c r="C7" s="20" t="s">
        <v>1124</v>
      </c>
      <c r="D7" s="20" t="s">
        <v>1125</v>
      </c>
      <c r="E7" s="20" t="s">
        <v>1126</v>
      </c>
      <c r="F7" s="20" t="s">
        <v>1278</v>
      </c>
      <c r="G7" s="99" t="s">
        <v>1279</v>
      </c>
      <c r="H7" s="37" t="s">
        <v>1129</v>
      </c>
      <c r="I7" s="37" t="s">
        <v>1280</v>
      </c>
      <c r="J7" s="37" t="s">
        <v>1281</v>
      </c>
      <c r="K7" s="100" t="s">
        <v>1282</v>
      </c>
      <c r="L7" s="101" t="s">
        <v>1283</v>
      </c>
      <c r="M7" s="102" t="s">
        <v>1284</v>
      </c>
      <c r="N7" s="103" t="s">
        <v>1285</v>
      </c>
      <c r="O7" s="104" t="s">
        <v>1286</v>
      </c>
      <c r="P7" s="105" t="s">
        <v>1287</v>
      </c>
      <c r="Q7" s="104" t="s">
        <v>1288</v>
      </c>
      <c r="R7" s="104" t="s">
        <v>1289</v>
      </c>
      <c r="S7" s="106" t="s">
        <v>1290</v>
      </c>
      <c r="U7" s="67"/>
      <c r="W7" s="63"/>
      <c r="X7" s="63"/>
      <c r="Y7" s="63"/>
      <c r="Z7" s="63"/>
      <c r="AA7" s="57"/>
      <c r="AB7" s="57"/>
      <c r="AC7" s="57"/>
      <c r="AD7" s="57"/>
      <c r="AE7" s="57"/>
      <c r="AF7" s="57"/>
      <c r="AG7" s="57"/>
      <c r="AH7" s="57"/>
      <c r="AI7" s="57"/>
      <c r="AJ7" s="57"/>
      <c r="AK7" s="57"/>
      <c r="AL7" s="57"/>
      <c r="AM7" s="57"/>
      <c r="AN7" s="57"/>
      <c r="AO7" s="57"/>
      <c r="AP7" s="57"/>
    </row>
    <row r="8" s="59" customFormat="1" ht="16.5" spans="1:42">
      <c r="A8" s="79"/>
      <c r="B8" s="107" t="s">
        <v>192</v>
      </c>
      <c r="C8" s="108">
        <v>400202</v>
      </c>
      <c r="D8" s="109" t="s">
        <v>294</v>
      </c>
      <c r="E8" s="110">
        <v>45657</v>
      </c>
      <c r="F8" s="111">
        <v>120</v>
      </c>
      <c r="G8" s="112">
        <v>0.05</v>
      </c>
      <c r="H8" s="113">
        <v>9500</v>
      </c>
      <c r="I8" s="113">
        <v>1203.36</v>
      </c>
      <c r="J8" s="113">
        <v>0</v>
      </c>
      <c r="K8" s="114">
        <f>H8-I8-J8</f>
        <v>8296.64</v>
      </c>
      <c r="L8" s="114">
        <v>300.84</v>
      </c>
      <c r="M8" s="115"/>
      <c r="N8" s="116"/>
      <c r="O8" s="117">
        <f>IFERROR(EOMONTH(E8,F8),"")</f>
        <v>49309</v>
      </c>
      <c r="P8" s="118">
        <f>IFERROR(IF(OR(AND(M8&lt;&gt;"",YEAR(M8)&lt;YEAR($L$6)),AND(O8&lt;&gt;"",YEAR(O8)&lt;YEAR($L$6))),0,IF(YEAR(E8)&gt;YEAR($L$6),0,IF(OR((IF(YEAR(E8)&lt;YEAR($L$6),1,IF(MONTH(E8)=12,99,MONTH(E8)+1))&gt;12),(IF(YEAR(E8)&lt;YEAR($L$6),1,IF(MONTH(E8)=12,99,MONTH(E8)+1))&gt;MIN(MONTH($L$6),IF(AND(M8&lt;&gt;"",YEAR(M8)=YEAR($L$6)),MONTH(M8),99),IF(AND(O8&lt;&gt;"",YEAR(O8)=YEAR($L$6)),MONTH(O8),99)))),0,MIN(MONTH($L$6),IF(AND(M8&lt;&gt;"",YEAR(M8)=YEAR($L$6)),MONTH(M8),99),IF(AND(O8&lt;&gt;"",YEAR(O8)=YEAR($L$6)),MONTH(O8),99))-IF(YEAR(E8)&lt;YEAR($L$6),1,IF(MONTH(E8)=12,99,MONTH(E8)+1))+1))),0)</f>
        <v>4</v>
      </c>
      <c r="Q8" s="119">
        <f>IFERROR(IF(N8=0,(H8*(1-G8))/F8*P8,(N8*(1-G8))/F8*P8),0)</f>
        <v>300.833333333333</v>
      </c>
      <c r="R8" s="119">
        <f t="shared" ref="R8" si="0">Q8-L8</f>
        <v>-0.0066666666666606</v>
      </c>
      <c r="S8" s="120" t="s">
        <v>106</v>
      </c>
      <c r="U8" s="67"/>
      <c r="V8" s="121"/>
      <c r="W8" s="122"/>
      <c r="X8" s="57"/>
      <c r="Y8" s="57"/>
      <c r="Z8" s="57"/>
      <c r="AA8" s="57"/>
      <c r="AB8" s="57"/>
      <c r="AC8" s="57"/>
      <c r="AD8" s="57"/>
      <c r="AE8" s="57"/>
      <c r="AF8" s="57"/>
      <c r="AG8" s="57"/>
      <c r="AH8" s="57"/>
      <c r="AI8" s="57"/>
      <c r="AJ8" s="57"/>
      <c r="AK8" s="57"/>
      <c r="AL8" s="57"/>
      <c r="AM8" s="57"/>
      <c r="AN8" s="57"/>
      <c r="AO8" s="57"/>
      <c r="AP8" s="57"/>
    </row>
    <row r="9" s="59" customFormat="1" ht="16.5" spans="1:42">
      <c r="A9" s="79"/>
      <c r="B9" s="107" t="s">
        <v>192</v>
      </c>
      <c r="C9" s="108">
        <v>400203</v>
      </c>
      <c r="D9" s="109" t="s">
        <v>294</v>
      </c>
      <c r="E9" s="110">
        <v>45657</v>
      </c>
      <c r="F9" s="111">
        <v>120</v>
      </c>
      <c r="G9" s="112">
        <v>0.05</v>
      </c>
      <c r="H9" s="113">
        <v>9500</v>
      </c>
      <c r="I9" s="113">
        <v>1203.36</v>
      </c>
      <c r="J9" s="113">
        <v>0</v>
      </c>
      <c r="K9" s="114">
        <f t="shared" ref="K9:K72" si="1">H9-I9-J9</f>
        <v>8296.64</v>
      </c>
      <c r="L9" s="114">
        <v>300.84</v>
      </c>
      <c r="M9" s="115"/>
      <c r="N9" s="116"/>
      <c r="O9" s="117">
        <f t="shared" ref="O9:O72" si="2">IFERROR(EOMONTH(E9,F9),"")</f>
        <v>49309</v>
      </c>
      <c r="P9" s="118">
        <f t="shared" ref="P9:P72" si="3">IFERROR(IF(OR(AND(M9&lt;&gt;"",YEAR(M9)&lt;YEAR($L$6)),AND(O9&lt;&gt;"",YEAR(O9)&lt;YEAR($L$6))),0,IF(YEAR(E9)&gt;YEAR($L$6),0,IF(OR((IF(YEAR(E9)&lt;YEAR($L$6),1,IF(MONTH(E9)=12,99,MONTH(E9)+1))&gt;12),(IF(YEAR(E9)&lt;YEAR($L$6),1,IF(MONTH(E9)=12,99,MONTH(E9)+1))&gt;MIN(MONTH($L$6),IF(AND(M9&lt;&gt;"",YEAR(M9)=YEAR($L$6)),MONTH(M9),99),IF(AND(O9&lt;&gt;"",YEAR(O9)=YEAR($L$6)),MONTH(O9),99)))),0,MIN(MONTH($L$6),IF(AND(M9&lt;&gt;"",YEAR(M9)=YEAR($L$6)),MONTH(M9),99),IF(AND(O9&lt;&gt;"",YEAR(O9)=YEAR($L$6)),MONTH(O9),99))-IF(YEAR(E9)&lt;YEAR($L$6),1,IF(MONTH(E9)=12,99,MONTH(E9)+1))+1))),0)</f>
        <v>4</v>
      </c>
      <c r="Q9" s="119">
        <f t="shared" ref="Q9:Q72" si="4">IFERROR(IF(N9=0,(H9*(1-G9))/F9*P9,(N9*(1-G9))/F9*P9),0)</f>
        <v>300.833333333333</v>
      </c>
      <c r="R9" s="119">
        <f t="shared" ref="R9:R72" si="5">Q9-L9</f>
        <v>-0.0066666666666606</v>
      </c>
      <c r="S9" s="120" t="s">
        <v>106</v>
      </c>
      <c r="U9" s="67"/>
      <c r="V9" s="121"/>
      <c r="W9" s="122"/>
      <c r="X9" s="57"/>
      <c r="Y9" s="57"/>
      <c r="Z9" s="57"/>
      <c r="AA9" s="57"/>
      <c r="AB9" s="57"/>
      <c r="AC9" s="57"/>
      <c r="AD9" s="57"/>
      <c r="AE9" s="57"/>
      <c r="AF9" s="57"/>
      <c r="AG9" s="57"/>
      <c r="AH9" s="57"/>
      <c r="AI9" s="57"/>
      <c r="AJ9" s="57"/>
      <c r="AK9" s="57"/>
      <c r="AL9" s="57"/>
      <c r="AM9" s="57"/>
      <c r="AN9" s="57"/>
      <c r="AO9" s="57"/>
      <c r="AP9" s="57"/>
    </row>
    <row r="10" s="59" customFormat="1" ht="16.5" spans="1:42">
      <c r="A10" s="79"/>
      <c r="B10" s="107" t="s">
        <v>192</v>
      </c>
      <c r="C10" s="108">
        <v>400204</v>
      </c>
      <c r="D10" s="109" t="s">
        <v>294</v>
      </c>
      <c r="E10" s="110">
        <v>45657</v>
      </c>
      <c r="F10" s="111">
        <v>120</v>
      </c>
      <c r="G10" s="112">
        <v>0.05</v>
      </c>
      <c r="H10" s="113">
        <v>9500</v>
      </c>
      <c r="I10" s="113">
        <v>1203.36</v>
      </c>
      <c r="J10" s="113">
        <v>0</v>
      </c>
      <c r="K10" s="114">
        <f t="shared" si="1"/>
        <v>8296.64</v>
      </c>
      <c r="L10" s="114">
        <v>300.84</v>
      </c>
      <c r="M10" s="115"/>
      <c r="N10" s="116"/>
      <c r="O10" s="117">
        <f t="shared" si="2"/>
        <v>49309</v>
      </c>
      <c r="P10" s="118">
        <f t="shared" si="3"/>
        <v>4</v>
      </c>
      <c r="Q10" s="119">
        <f t="shared" si="4"/>
        <v>300.833333333333</v>
      </c>
      <c r="R10" s="119">
        <f t="shared" si="5"/>
        <v>-0.0066666666666606</v>
      </c>
      <c r="S10" s="120" t="s">
        <v>106</v>
      </c>
      <c r="U10" s="67"/>
      <c r="V10" s="121"/>
      <c r="W10" s="122"/>
      <c r="X10" s="57"/>
      <c r="Y10" s="57"/>
      <c r="Z10" s="57"/>
      <c r="AA10" s="57"/>
      <c r="AB10" s="57"/>
      <c r="AC10" s="57"/>
      <c r="AD10" s="57"/>
      <c r="AE10" s="57"/>
      <c r="AF10" s="57"/>
      <c r="AG10" s="57"/>
      <c r="AH10" s="57"/>
      <c r="AI10" s="57"/>
      <c r="AJ10" s="57"/>
      <c r="AK10" s="57"/>
      <c r="AL10" s="57"/>
      <c r="AM10" s="57"/>
      <c r="AN10" s="57"/>
      <c r="AO10" s="57"/>
      <c r="AP10" s="57"/>
    </row>
    <row r="11" s="59" customFormat="1" ht="16.5" spans="1:42">
      <c r="A11" s="79"/>
      <c r="B11" s="107" t="s">
        <v>192</v>
      </c>
      <c r="C11" s="108">
        <v>400205</v>
      </c>
      <c r="D11" s="109" t="s">
        <v>294</v>
      </c>
      <c r="E11" s="110">
        <v>45657</v>
      </c>
      <c r="F11" s="111">
        <v>120</v>
      </c>
      <c r="G11" s="112">
        <v>0.05</v>
      </c>
      <c r="H11" s="113">
        <v>9500</v>
      </c>
      <c r="I11" s="113">
        <v>1203.36</v>
      </c>
      <c r="J11" s="113">
        <v>0</v>
      </c>
      <c r="K11" s="114">
        <f t="shared" si="1"/>
        <v>8296.64</v>
      </c>
      <c r="L11" s="114">
        <v>300.84</v>
      </c>
      <c r="M11" s="115"/>
      <c r="N11" s="116"/>
      <c r="O11" s="117">
        <f t="shared" si="2"/>
        <v>49309</v>
      </c>
      <c r="P11" s="118">
        <f t="shared" si="3"/>
        <v>4</v>
      </c>
      <c r="Q11" s="119">
        <f t="shared" si="4"/>
        <v>300.833333333333</v>
      </c>
      <c r="R11" s="119">
        <f t="shared" si="5"/>
        <v>-0.0066666666666606</v>
      </c>
      <c r="S11" s="120" t="s">
        <v>106</v>
      </c>
      <c r="U11" s="67"/>
      <c r="V11" s="121"/>
      <c r="W11" s="122"/>
      <c r="X11" s="57"/>
      <c r="Y11" s="57"/>
      <c r="Z11" s="57"/>
      <c r="AA11" s="57"/>
      <c r="AB11" s="57"/>
      <c r="AC11" s="57"/>
      <c r="AD11" s="57"/>
      <c r="AE11" s="57"/>
      <c r="AF11" s="57"/>
      <c r="AG11" s="57"/>
      <c r="AH11" s="57"/>
      <c r="AI11" s="57"/>
      <c r="AJ11" s="57"/>
      <c r="AK11" s="57"/>
      <c r="AL11" s="57"/>
      <c r="AM11" s="57"/>
      <c r="AN11" s="57"/>
      <c r="AO11" s="57"/>
      <c r="AP11" s="57"/>
    </row>
    <row r="12" s="59" customFormat="1" ht="16.5" spans="1:42">
      <c r="A12" s="79"/>
      <c r="B12" s="107" t="s">
        <v>192</v>
      </c>
      <c r="C12" s="108">
        <v>400206</v>
      </c>
      <c r="D12" s="109" t="s">
        <v>294</v>
      </c>
      <c r="E12" s="110">
        <v>45657</v>
      </c>
      <c r="F12" s="111">
        <v>120</v>
      </c>
      <c r="G12" s="112">
        <v>0.05</v>
      </c>
      <c r="H12" s="113">
        <v>9500</v>
      </c>
      <c r="I12" s="113">
        <v>1203.36</v>
      </c>
      <c r="J12" s="113">
        <v>0</v>
      </c>
      <c r="K12" s="114">
        <f t="shared" si="1"/>
        <v>8296.64</v>
      </c>
      <c r="L12" s="114">
        <v>300.84</v>
      </c>
      <c r="M12" s="115"/>
      <c r="N12" s="116"/>
      <c r="O12" s="117">
        <f t="shared" si="2"/>
        <v>49309</v>
      </c>
      <c r="P12" s="118">
        <f t="shared" si="3"/>
        <v>4</v>
      </c>
      <c r="Q12" s="119">
        <f t="shared" si="4"/>
        <v>300.833333333333</v>
      </c>
      <c r="R12" s="119">
        <f t="shared" si="5"/>
        <v>-0.0066666666666606</v>
      </c>
      <c r="S12" s="120" t="s">
        <v>106</v>
      </c>
      <c r="U12" s="67"/>
      <c r="V12" s="121"/>
      <c r="W12" s="122"/>
      <c r="X12" s="57"/>
      <c r="Y12" s="57"/>
      <c r="Z12" s="57"/>
      <c r="AA12" s="57"/>
      <c r="AB12" s="57"/>
      <c r="AC12" s="57"/>
      <c r="AD12" s="57"/>
      <c r="AE12" s="57"/>
      <c r="AF12" s="57"/>
      <c r="AG12" s="57"/>
      <c r="AH12" s="57"/>
      <c r="AI12" s="57"/>
      <c r="AJ12" s="57"/>
      <c r="AK12" s="57"/>
      <c r="AL12" s="57"/>
      <c r="AM12" s="57"/>
      <c r="AN12" s="57"/>
      <c r="AO12" s="57"/>
      <c r="AP12" s="57"/>
    </row>
    <row r="13" s="59" customFormat="1" ht="16.5" spans="1:42">
      <c r="A13" s="79"/>
      <c r="B13" s="107" t="s">
        <v>192</v>
      </c>
      <c r="C13" s="108">
        <v>400207</v>
      </c>
      <c r="D13" s="109" t="s">
        <v>297</v>
      </c>
      <c r="E13" s="110">
        <v>45747</v>
      </c>
      <c r="F13" s="111">
        <v>60</v>
      </c>
      <c r="G13" s="112">
        <v>0.05</v>
      </c>
      <c r="H13" s="113">
        <v>1069334.7</v>
      </c>
      <c r="I13" s="113">
        <v>220104.69</v>
      </c>
      <c r="J13" s="113">
        <v>0</v>
      </c>
      <c r="K13" s="114">
        <f t="shared" si="1"/>
        <v>849230.01</v>
      </c>
      <c r="L13" s="114">
        <v>67724.52</v>
      </c>
      <c r="M13" s="115"/>
      <c r="N13" s="116"/>
      <c r="O13" s="117">
        <f t="shared" si="2"/>
        <v>47573</v>
      </c>
      <c r="P13" s="118">
        <f t="shared" si="3"/>
        <v>4</v>
      </c>
      <c r="Q13" s="119">
        <f t="shared" si="4"/>
        <v>67724.531</v>
      </c>
      <c r="R13" s="119">
        <f t="shared" si="5"/>
        <v>0.0109999999840511</v>
      </c>
      <c r="S13" s="120" t="s">
        <v>106</v>
      </c>
      <c r="U13" s="67"/>
      <c r="V13" s="121"/>
      <c r="W13" s="122"/>
      <c r="X13" s="57"/>
      <c r="Y13" s="57"/>
      <c r="Z13" s="57"/>
      <c r="AA13" s="57"/>
      <c r="AB13" s="57"/>
      <c r="AC13" s="57"/>
      <c r="AD13" s="57"/>
      <c r="AE13" s="57"/>
      <c r="AF13" s="57"/>
      <c r="AG13" s="57"/>
      <c r="AH13" s="57"/>
      <c r="AI13" s="57"/>
      <c r="AJ13" s="57"/>
      <c r="AK13" s="57"/>
      <c r="AL13" s="57"/>
      <c r="AM13" s="57"/>
      <c r="AN13" s="57"/>
      <c r="AO13" s="57"/>
      <c r="AP13" s="57"/>
    </row>
    <row r="14" s="59" customFormat="1" ht="16.5" spans="1:42">
      <c r="A14" s="79"/>
      <c r="B14" s="107" t="s">
        <v>192</v>
      </c>
      <c r="C14" s="108">
        <v>400208</v>
      </c>
      <c r="D14" s="109" t="s">
        <v>297</v>
      </c>
      <c r="E14" s="110">
        <v>45747</v>
      </c>
      <c r="F14" s="111">
        <v>60</v>
      </c>
      <c r="G14" s="112">
        <v>0.05</v>
      </c>
      <c r="H14" s="113">
        <v>807839.55</v>
      </c>
      <c r="I14" s="113">
        <v>166280.27</v>
      </c>
      <c r="J14" s="113">
        <v>0</v>
      </c>
      <c r="K14" s="114">
        <f t="shared" si="1"/>
        <v>641559.28</v>
      </c>
      <c r="L14" s="114">
        <v>51163.16</v>
      </c>
      <c r="M14" s="115"/>
      <c r="N14" s="116"/>
      <c r="O14" s="117">
        <f t="shared" si="2"/>
        <v>47573</v>
      </c>
      <c r="P14" s="118">
        <f t="shared" si="3"/>
        <v>4</v>
      </c>
      <c r="Q14" s="119">
        <f t="shared" si="4"/>
        <v>51163.1715</v>
      </c>
      <c r="R14" s="119">
        <f t="shared" si="5"/>
        <v>0.0115000000005239</v>
      </c>
      <c r="S14" s="120" t="s">
        <v>106</v>
      </c>
      <c r="U14" s="67"/>
      <c r="V14" s="121"/>
      <c r="W14" s="122"/>
      <c r="X14" s="57"/>
      <c r="Y14" s="57"/>
      <c r="Z14" s="57"/>
      <c r="AA14" s="57"/>
      <c r="AB14" s="57"/>
      <c r="AC14" s="57"/>
      <c r="AD14" s="57"/>
      <c r="AE14" s="57"/>
      <c r="AF14" s="57"/>
      <c r="AG14" s="57"/>
      <c r="AH14" s="57"/>
      <c r="AI14" s="57"/>
      <c r="AJ14" s="57"/>
      <c r="AK14" s="57"/>
      <c r="AL14" s="57"/>
      <c r="AM14" s="57"/>
      <c r="AN14" s="57"/>
      <c r="AO14" s="57"/>
      <c r="AP14" s="57"/>
    </row>
    <row r="15" s="59" customFormat="1" ht="16.5" spans="1:42">
      <c r="A15" s="79"/>
      <c r="B15" s="107" t="s">
        <v>192</v>
      </c>
      <c r="C15" s="108">
        <v>400209</v>
      </c>
      <c r="D15" s="109" t="s">
        <v>302</v>
      </c>
      <c r="E15" s="110">
        <v>45790</v>
      </c>
      <c r="F15" s="111">
        <v>60</v>
      </c>
      <c r="G15" s="112">
        <v>0.05</v>
      </c>
      <c r="H15" s="113">
        <v>2880320</v>
      </c>
      <c r="I15" s="113">
        <v>501655.77</v>
      </c>
      <c r="J15" s="113">
        <v>0</v>
      </c>
      <c r="K15" s="114">
        <f t="shared" si="1"/>
        <v>2378664.23</v>
      </c>
      <c r="L15" s="114">
        <v>182420.28</v>
      </c>
      <c r="M15" s="115"/>
      <c r="N15" s="116"/>
      <c r="O15" s="117">
        <f t="shared" si="2"/>
        <v>47634</v>
      </c>
      <c r="P15" s="118">
        <f t="shared" si="3"/>
        <v>4</v>
      </c>
      <c r="Q15" s="119">
        <f t="shared" si="4"/>
        <v>182420.266666667</v>
      </c>
      <c r="R15" s="119">
        <f t="shared" si="5"/>
        <v>-0.0133333333360497</v>
      </c>
      <c r="S15" s="120" t="s">
        <v>106</v>
      </c>
      <c r="U15" s="67"/>
      <c r="V15" s="121"/>
      <c r="W15" s="122"/>
      <c r="X15" s="57"/>
      <c r="Y15" s="57"/>
      <c r="Z15" s="57"/>
      <c r="AA15" s="57"/>
      <c r="AB15" s="57"/>
      <c r="AC15" s="57"/>
      <c r="AD15" s="57"/>
      <c r="AE15" s="57"/>
      <c r="AF15" s="57"/>
      <c r="AG15" s="57"/>
      <c r="AH15" s="57"/>
      <c r="AI15" s="57"/>
      <c r="AJ15" s="57"/>
      <c r="AK15" s="57"/>
      <c r="AL15" s="57"/>
      <c r="AM15" s="57"/>
      <c r="AN15" s="57"/>
      <c r="AO15" s="57"/>
      <c r="AP15" s="57"/>
    </row>
    <row r="16" s="59" customFormat="1" ht="16.5" spans="1:42">
      <c r="A16" s="79"/>
      <c r="B16" s="107" t="s">
        <v>192</v>
      </c>
      <c r="C16" s="108">
        <v>400210</v>
      </c>
      <c r="D16" s="109" t="s">
        <v>305</v>
      </c>
      <c r="E16" s="110">
        <v>45827</v>
      </c>
      <c r="F16" s="111">
        <v>60</v>
      </c>
      <c r="G16" s="112">
        <v>0.05</v>
      </c>
      <c r="H16" s="113">
        <v>633884.58</v>
      </c>
      <c r="I16" s="113">
        <v>100365.1</v>
      </c>
      <c r="J16" s="113">
        <v>0</v>
      </c>
      <c r="K16" s="114">
        <f t="shared" si="1"/>
        <v>533519.48</v>
      </c>
      <c r="L16" s="114">
        <v>40146.04</v>
      </c>
      <c r="M16" s="115"/>
      <c r="N16" s="116"/>
      <c r="O16" s="117">
        <f t="shared" si="2"/>
        <v>47664</v>
      </c>
      <c r="P16" s="118">
        <f t="shared" si="3"/>
        <v>4</v>
      </c>
      <c r="Q16" s="119">
        <f t="shared" si="4"/>
        <v>40146.0234</v>
      </c>
      <c r="R16" s="119">
        <f t="shared" si="5"/>
        <v>-0.0166000000099302</v>
      </c>
      <c r="S16" s="120" t="s">
        <v>106</v>
      </c>
      <c r="U16" s="67"/>
      <c r="V16" s="121"/>
      <c r="W16" s="122"/>
      <c r="X16" s="57"/>
      <c r="Y16" s="57"/>
      <c r="Z16" s="57"/>
      <c r="AA16" s="57"/>
      <c r="AB16" s="57"/>
      <c r="AC16" s="57"/>
      <c r="AD16" s="57"/>
      <c r="AE16" s="57"/>
      <c r="AF16" s="57"/>
      <c r="AG16" s="57"/>
      <c r="AH16" s="57"/>
      <c r="AI16" s="57"/>
      <c r="AJ16" s="57"/>
      <c r="AK16" s="57"/>
      <c r="AL16" s="57"/>
      <c r="AM16" s="57"/>
      <c r="AN16" s="57"/>
      <c r="AO16" s="57"/>
      <c r="AP16" s="57"/>
    </row>
    <row r="17" s="59" customFormat="1" ht="16.5" spans="1:42">
      <c r="A17" s="79"/>
      <c r="B17" s="107" t="s">
        <v>192</v>
      </c>
      <c r="C17" s="108">
        <v>400211</v>
      </c>
      <c r="D17" s="109" t="s">
        <v>308</v>
      </c>
      <c r="E17" s="110">
        <v>45824</v>
      </c>
      <c r="F17" s="111">
        <v>120</v>
      </c>
      <c r="G17" s="112">
        <v>0.05</v>
      </c>
      <c r="H17" s="113">
        <v>574952</v>
      </c>
      <c r="I17" s="113">
        <v>45517</v>
      </c>
      <c r="J17" s="113">
        <v>0</v>
      </c>
      <c r="K17" s="114">
        <f t="shared" si="1"/>
        <v>529435</v>
      </c>
      <c r="L17" s="114">
        <v>18206.8</v>
      </c>
      <c r="M17" s="115"/>
      <c r="N17" s="116"/>
      <c r="O17" s="117">
        <f t="shared" si="2"/>
        <v>49490</v>
      </c>
      <c r="P17" s="118">
        <f t="shared" si="3"/>
        <v>4</v>
      </c>
      <c r="Q17" s="119">
        <f t="shared" si="4"/>
        <v>18206.8133333333</v>
      </c>
      <c r="R17" s="119">
        <f t="shared" si="5"/>
        <v>0.0133333333360497</v>
      </c>
      <c r="S17" s="120" t="s">
        <v>106</v>
      </c>
      <c r="U17" s="67"/>
      <c r="V17" s="121"/>
      <c r="W17" s="122"/>
      <c r="X17" s="57"/>
      <c r="Y17" s="57"/>
      <c r="Z17" s="57"/>
      <c r="AA17" s="57"/>
      <c r="AB17" s="57"/>
      <c r="AC17" s="57"/>
      <c r="AD17" s="57"/>
      <c r="AE17" s="57"/>
      <c r="AF17" s="57"/>
      <c r="AG17" s="57"/>
      <c r="AH17" s="57"/>
      <c r="AI17" s="57"/>
      <c r="AJ17" s="57"/>
      <c r="AK17" s="57"/>
      <c r="AL17" s="57"/>
      <c r="AM17" s="57"/>
      <c r="AN17" s="57"/>
      <c r="AO17" s="57"/>
      <c r="AP17" s="57"/>
    </row>
    <row r="18" s="59" customFormat="1" ht="16.5" spans="1:42">
      <c r="A18" s="79"/>
      <c r="B18" s="107" t="s">
        <v>192</v>
      </c>
      <c r="C18" s="108">
        <v>400212</v>
      </c>
      <c r="D18" s="109" t="s">
        <v>310</v>
      </c>
      <c r="E18" s="110">
        <v>45875</v>
      </c>
      <c r="F18" s="111">
        <v>120</v>
      </c>
      <c r="G18" s="112">
        <v>0.05</v>
      </c>
      <c r="H18" s="113">
        <v>23008.85</v>
      </c>
      <c r="I18" s="113">
        <v>1457.2</v>
      </c>
      <c r="J18" s="113">
        <v>0</v>
      </c>
      <c r="K18" s="114">
        <f t="shared" si="1"/>
        <v>21551.65</v>
      </c>
      <c r="L18" s="114">
        <v>728.6</v>
      </c>
      <c r="M18" s="115"/>
      <c r="N18" s="116"/>
      <c r="O18" s="117">
        <f t="shared" si="2"/>
        <v>49552</v>
      </c>
      <c r="P18" s="118">
        <f t="shared" si="3"/>
        <v>4</v>
      </c>
      <c r="Q18" s="119">
        <f t="shared" si="4"/>
        <v>728.613583333333</v>
      </c>
      <c r="R18" s="119">
        <f t="shared" si="5"/>
        <v>0.0135833333332585</v>
      </c>
      <c r="S18" s="120" t="s">
        <v>106</v>
      </c>
      <c r="U18" s="67"/>
      <c r="V18" s="121"/>
      <c r="W18" s="122"/>
      <c r="X18" s="57"/>
      <c r="Y18" s="57"/>
      <c r="Z18" s="57"/>
      <c r="AA18" s="57"/>
      <c r="AB18" s="57"/>
      <c r="AC18" s="57"/>
      <c r="AD18" s="57"/>
      <c r="AE18" s="57"/>
      <c r="AF18" s="57"/>
      <c r="AG18" s="57"/>
      <c r="AH18" s="57"/>
      <c r="AI18" s="57"/>
      <c r="AJ18" s="57"/>
      <c r="AK18" s="57"/>
      <c r="AL18" s="57"/>
      <c r="AM18" s="57"/>
      <c r="AN18" s="57"/>
      <c r="AO18" s="57"/>
      <c r="AP18" s="57"/>
    </row>
    <row r="19" s="59" customFormat="1" ht="16.5" spans="1:42">
      <c r="A19" s="79"/>
      <c r="B19" s="107" t="s">
        <v>192</v>
      </c>
      <c r="C19" s="108">
        <v>400213</v>
      </c>
      <c r="D19" s="109" t="s">
        <v>310</v>
      </c>
      <c r="E19" s="110">
        <v>45875</v>
      </c>
      <c r="F19" s="111">
        <v>120</v>
      </c>
      <c r="G19" s="112">
        <v>0.05</v>
      </c>
      <c r="H19" s="113">
        <v>31858.4</v>
      </c>
      <c r="I19" s="113">
        <v>2017.68</v>
      </c>
      <c r="J19" s="113">
        <v>0</v>
      </c>
      <c r="K19" s="114">
        <f t="shared" si="1"/>
        <v>29840.72</v>
      </c>
      <c r="L19" s="114">
        <v>1008.84</v>
      </c>
      <c r="M19" s="115"/>
      <c r="N19" s="116"/>
      <c r="O19" s="117">
        <f t="shared" si="2"/>
        <v>49552</v>
      </c>
      <c r="P19" s="118">
        <f t="shared" si="3"/>
        <v>4</v>
      </c>
      <c r="Q19" s="119">
        <f t="shared" si="4"/>
        <v>1008.84933333333</v>
      </c>
      <c r="R19" s="119">
        <f t="shared" si="5"/>
        <v>0.00933333333330211</v>
      </c>
      <c r="S19" s="120" t="s">
        <v>106</v>
      </c>
      <c r="U19" s="67"/>
      <c r="V19" s="121"/>
      <c r="W19" s="122"/>
      <c r="X19" s="57"/>
      <c r="Y19" s="57"/>
      <c r="Z19" s="57"/>
      <c r="AA19" s="57"/>
      <c r="AB19" s="57"/>
      <c r="AC19" s="57"/>
      <c r="AD19" s="57"/>
      <c r="AE19" s="57"/>
      <c r="AF19" s="57"/>
      <c r="AG19" s="57"/>
      <c r="AH19" s="57"/>
      <c r="AI19" s="57"/>
      <c r="AJ19" s="57"/>
      <c r="AK19" s="57"/>
      <c r="AL19" s="57"/>
      <c r="AM19" s="57"/>
      <c r="AN19" s="57"/>
      <c r="AO19" s="57"/>
      <c r="AP19" s="57"/>
    </row>
    <row r="20" s="59" customFormat="1" ht="16.5" spans="1:42">
      <c r="A20" s="79"/>
      <c r="B20" s="107" t="s">
        <v>192</v>
      </c>
      <c r="C20" s="108">
        <v>400214</v>
      </c>
      <c r="D20" s="109" t="s">
        <v>315</v>
      </c>
      <c r="E20" s="110">
        <v>45923</v>
      </c>
      <c r="F20" s="111">
        <v>120</v>
      </c>
      <c r="G20" s="112">
        <v>0.05</v>
      </c>
      <c r="H20" s="113">
        <v>107180.49</v>
      </c>
      <c r="I20" s="113">
        <v>5939.57</v>
      </c>
      <c r="J20" s="113">
        <v>0</v>
      </c>
      <c r="K20" s="114">
        <f t="shared" si="1"/>
        <v>101240.92</v>
      </c>
      <c r="L20" s="114">
        <v>3394.04</v>
      </c>
      <c r="M20" s="115"/>
      <c r="N20" s="116"/>
      <c r="O20" s="117">
        <f t="shared" si="2"/>
        <v>49582</v>
      </c>
      <c r="P20" s="118">
        <f t="shared" si="3"/>
        <v>4</v>
      </c>
      <c r="Q20" s="119">
        <f t="shared" si="4"/>
        <v>3394.04885</v>
      </c>
      <c r="R20" s="119">
        <f t="shared" si="5"/>
        <v>0.00885000000016589</v>
      </c>
      <c r="S20" s="120" t="s">
        <v>106</v>
      </c>
      <c r="U20" s="67"/>
      <c r="V20" s="121"/>
      <c r="W20" s="122"/>
      <c r="X20" s="57"/>
      <c r="Y20" s="57"/>
      <c r="Z20" s="57"/>
      <c r="AA20" s="57"/>
      <c r="AB20" s="57"/>
      <c r="AC20" s="57"/>
      <c r="AD20" s="57"/>
      <c r="AE20" s="57"/>
      <c r="AF20" s="57"/>
      <c r="AG20" s="57"/>
      <c r="AH20" s="57"/>
      <c r="AI20" s="57"/>
      <c r="AJ20" s="57"/>
      <c r="AK20" s="57"/>
      <c r="AL20" s="57"/>
      <c r="AM20" s="57"/>
      <c r="AN20" s="57"/>
      <c r="AO20" s="57"/>
      <c r="AP20" s="57"/>
    </row>
    <row r="21" s="59" customFormat="1" ht="16.5" spans="1:42">
      <c r="A21" s="79"/>
      <c r="B21" s="107" t="s">
        <v>192</v>
      </c>
      <c r="C21" s="108">
        <v>400215</v>
      </c>
      <c r="D21" s="109" t="s">
        <v>317</v>
      </c>
      <c r="E21" s="110">
        <v>45950</v>
      </c>
      <c r="F21" s="111">
        <v>120</v>
      </c>
      <c r="G21" s="112">
        <v>0.05</v>
      </c>
      <c r="H21" s="113">
        <v>1741906.74</v>
      </c>
      <c r="I21" s="113">
        <v>82740.57</v>
      </c>
      <c r="J21" s="113">
        <v>0</v>
      </c>
      <c r="K21" s="114">
        <f t="shared" si="1"/>
        <v>1659166.17</v>
      </c>
      <c r="L21" s="114">
        <v>55160.38</v>
      </c>
      <c r="M21" s="115"/>
      <c r="N21" s="116"/>
      <c r="O21" s="117">
        <f t="shared" si="2"/>
        <v>49613</v>
      </c>
      <c r="P21" s="118">
        <f t="shared" si="3"/>
        <v>4</v>
      </c>
      <c r="Q21" s="119">
        <f t="shared" si="4"/>
        <v>55160.3801</v>
      </c>
      <c r="R21" s="119">
        <f t="shared" si="5"/>
        <v>9.99999974737875e-5</v>
      </c>
      <c r="S21" s="120" t="s">
        <v>106</v>
      </c>
      <c r="U21" s="67"/>
      <c r="V21" s="121"/>
      <c r="W21" s="122"/>
      <c r="X21" s="57"/>
      <c r="Y21" s="57"/>
      <c r="Z21" s="57"/>
      <c r="AA21" s="57"/>
      <c r="AB21" s="57"/>
      <c r="AC21" s="57"/>
      <c r="AD21" s="57"/>
      <c r="AE21" s="57"/>
      <c r="AF21" s="57"/>
      <c r="AG21" s="57"/>
      <c r="AH21" s="57"/>
      <c r="AI21" s="57"/>
      <c r="AJ21" s="57"/>
      <c r="AK21" s="57"/>
      <c r="AL21" s="57"/>
      <c r="AM21" s="57"/>
      <c r="AN21" s="57"/>
      <c r="AO21" s="57"/>
      <c r="AP21" s="57"/>
    </row>
    <row r="22" s="59" customFormat="1" ht="16.5" spans="1:42">
      <c r="A22" s="79"/>
      <c r="B22" s="107" t="s">
        <v>192</v>
      </c>
      <c r="C22" s="108">
        <v>400216</v>
      </c>
      <c r="D22" s="109" t="s">
        <v>320</v>
      </c>
      <c r="E22" s="110">
        <v>45959</v>
      </c>
      <c r="F22" s="111">
        <v>120</v>
      </c>
      <c r="G22" s="112">
        <v>0.05</v>
      </c>
      <c r="H22" s="113">
        <v>1241895.44</v>
      </c>
      <c r="I22" s="113">
        <v>58990.02</v>
      </c>
      <c r="J22" s="113">
        <v>0</v>
      </c>
      <c r="K22" s="114">
        <f t="shared" si="1"/>
        <v>1182905.42</v>
      </c>
      <c r="L22" s="114">
        <v>39326.68</v>
      </c>
      <c r="M22" s="115"/>
      <c r="N22" s="116"/>
      <c r="O22" s="117">
        <f t="shared" si="2"/>
        <v>49613</v>
      </c>
      <c r="P22" s="118">
        <f t="shared" si="3"/>
        <v>4</v>
      </c>
      <c r="Q22" s="119">
        <f t="shared" si="4"/>
        <v>39326.6889333333</v>
      </c>
      <c r="R22" s="119">
        <f t="shared" si="5"/>
        <v>0.00893333333078772</v>
      </c>
      <c r="S22" s="120" t="s">
        <v>106</v>
      </c>
      <c r="U22" s="67"/>
      <c r="V22" s="121"/>
      <c r="W22" s="122"/>
      <c r="X22" s="57"/>
      <c r="Y22" s="57"/>
      <c r="Z22" s="57"/>
      <c r="AA22" s="57"/>
      <c r="AB22" s="57"/>
      <c r="AC22" s="57"/>
      <c r="AD22" s="57"/>
      <c r="AE22" s="57"/>
      <c r="AF22" s="57"/>
      <c r="AG22" s="57"/>
      <c r="AH22" s="57"/>
      <c r="AI22" s="57"/>
      <c r="AJ22" s="57"/>
      <c r="AK22" s="57"/>
      <c r="AL22" s="57"/>
      <c r="AM22" s="57"/>
      <c r="AN22" s="57"/>
      <c r="AO22" s="57"/>
      <c r="AP22" s="57"/>
    </row>
    <row r="23" s="59" customFormat="1" ht="16.5" spans="1:42">
      <c r="A23" s="79"/>
      <c r="B23" s="107" t="s">
        <v>192</v>
      </c>
      <c r="C23" s="108">
        <v>400217</v>
      </c>
      <c r="D23" s="109" t="s">
        <v>323</v>
      </c>
      <c r="E23" s="110">
        <v>45982</v>
      </c>
      <c r="F23" s="111">
        <v>120</v>
      </c>
      <c r="G23" s="112">
        <v>0.05</v>
      </c>
      <c r="H23" s="113">
        <v>1755498.38</v>
      </c>
      <c r="I23" s="113">
        <v>69488.5</v>
      </c>
      <c r="J23" s="113">
        <v>0</v>
      </c>
      <c r="K23" s="114">
        <f t="shared" si="1"/>
        <v>1686009.88</v>
      </c>
      <c r="L23" s="114">
        <v>55590.8</v>
      </c>
      <c r="M23" s="115"/>
      <c r="N23" s="116"/>
      <c r="O23" s="117">
        <f t="shared" si="2"/>
        <v>49643</v>
      </c>
      <c r="P23" s="118">
        <f t="shared" si="3"/>
        <v>4</v>
      </c>
      <c r="Q23" s="119">
        <f t="shared" si="4"/>
        <v>55590.7820333333</v>
      </c>
      <c r="R23" s="119">
        <f t="shared" si="5"/>
        <v>-0.0179666666736011</v>
      </c>
      <c r="S23" s="120" t="s">
        <v>106</v>
      </c>
      <c r="U23" s="67"/>
      <c r="V23" s="121"/>
      <c r="W23" s="122"/>
      <c r="X23" s="57"/>
      <c r="Y23" s="57"/>
      <c r="Z23" s="57"/>
      <c r="AA23" s="57"/>
      <c r="AB23" s="57"/>
      <c r="AC23" s="57"/>
      <c r="AD23" s="57"/>
      <c r="AE23" s="57"/>
      <c r="AF23" s="57"/>
      <c r="AG23" s="57"/>
      <c r="AH23" s="57"/>
      <c r="AI23" s="57"/>
      <c r="AJ23" s="57"/>
      <c r="AK23" s="57"/>
      <c r="AL23" s="57"/>
      <c r="AM23" s="57"/>
      <c r="AN23" s="57"/>
      <c r="AO23" s="57"/>
      <c r="AP23" s="57"/>
    </row>
    <row r="24" s="59" customFormat="1" ht="16.5" spans="1:42">
      <c r="A24" s="79"/>
      <c r="B24" s="107" t="s">
        <v>192</v>
      </c>
      <c r="C24" s="108">
        <v>400218</v>
      </c>
      <c r="D24" s="109" t="s">
        <v>326</v>
      </c>
      <c r="E24" s="110">
        <v>46006</v>
      </c>
      <c r="F24" s="111">
        <v>120</v>
      </c>
      <c r="G24" s="112">
        <v>0.05</v>
      </c>
      <c r="H24" s="113">
        <v>16637.17</v>
      </c>
      <c r="I24" s="113">
        <v>526.84</v>
      </c>
      <c r="J24" s="113">
        <v>0</v>
      </c>
      <c r="K24" s="114">
        <f t="shared" si="1"/>
        <v>16110.33</v>
      </c>
      <c r="L24" s="114">
        <v>526.84</v>
      </c>
      <c r="M24" s="115"/>
      <c r="N24" s="116"/>
      <c r="O24" s="117">
        <f t="shared" si="2"/>
        <v>49674</v>
      </c>
      <c r="P24" s="118">
        <f t="shared" si="3"/>
        <v>4</v>
      </c>
      <c r="Q24" s="119">
        <f t="shared" si="4"/>
        <v>526.843716666667</v>
      </c>
      <c r="R24" s="119">
        <f t="shared" si="5"/>
        <v>0.00371666666660531</v>
      </c>
      <c r="S24" s="120" t="s">
        <v>106</v>
      </c>
      <c r="U24" s="67"/>
      <c r="V24" s="121"/>
      <c r="W24" s="122"/>
      <c r="X24" s="57"/>
      <c r="Y24" s="57"/>
      <c r="Z24" s="57"/>
      <c r="AA24" s="57"/>
      <c r="AB24" s="57"/>
      <c r="AC24" s="57"/>
      <c r="AD24" s="57"/>
      <c r="AE24" s="57"/>
      <c r="AF24" s="57"/>
      <c r="AG24" s="57"/>
      <c r="AH24" s="57"/>
      <c r="AI24" s="57"/>
      <c r="AJ24" s="57"/>
      <c r="AK24" s="57"/>
      <c r="AL24" s="57"/>
      <c r="AM24" s="57"/>
      <c r="AN24" s="57"/>
      <c r="AO24" s="57"/>
      <c r="AP24" s="57"/>
    </row>
    <row r="25" s="59" customFormat="1" ht="16.5" spans="1:42">
      <c r="A25" s="79"/>
      <c r="B25" s="107" t="s">
        <v>192</v>
      </c>
      <c r="C25" s="108">
        <v>400219</v>
      </c>
      <c r="D25" s="109" t="s">
        <v>329</v>
      </c>
      <c r="E25" s="110">
        <v>46035</v>
      </c>
      <c r="F25" s="109">
        <v>120</v>
      </c>
      <c r="G25" s="112">
        <v>0.05</v>
      </c>
      <c r="H25" s="113">
        <v>840303.95</v>
      </c>
      <c r="I25" s="113">
        <v>19957.23</v>
      </c>
      <c r="J25" s="113">
        <v>0</v>
      </c>
      <c r="K25" s="114">
        <f t="shared" si="1"/>
        <v>820346.72</v>
      </c>
      <c r="L25" s="114">
        <v>19957.23</v>
      </c>
      <c r="M25" s="115"/>
      <c r="N25" s="116"/>
      <c r="O25" s="117">
        <f t="shared" si="2"/>
        <v>49705</v>
      </c>
      <c r="P25" s="118">
        <f t="shared" si="3"/>
        <v>3</v>
      </c>
      <c r="Q25" s="119">
        <f t="shared" si="4"/>
        <v>19957.2188125</v>
      </c>
      <c r="R25" s="119">
        <f t="shared" si="5"/>
        <v>-0.0111875000002328</v>
      </c>
      <c r="S25" s="120" t="s">
        <v>106</v>
      </c>
      <c r="U25" s="67"/>
      <c r="V25" s="121"/>
      <c r="W25" s="122"/>
      <c r="X25" s="57"/>
      <c r="Y25" s="57"/>
      <c r="Z25" s="57"/>
      <c r="AA25" s="57"/>
      <c r="AB25" s="57"/>
      <c r="AC25" s="57"/>
      <c r="AD25" s="57"/>
      <c r="AE25" s="57"/>
      <c r="AF25" s="57"/>
      <c r="AG25" s="57"/>
      <c r="AH25" s="57"/>
      <c r="AI25" s="57"/>
      <c r="AJ25" s="57"/>
      <c r="AK25" s="57"/>
      <c r="AL25" s="57"/>
      <c r="AM25" s="57"/>
      <c r="AN25" s="57"/>
      <c r="AO25" s="57"/>
      <c r="AP25" s="57"/>
    </row>
    <row r="26" s="59" customFormat="1" ht="16.5" spans="1:42">
      <c r="A26" s="79"/>
      <c r="B26" s="107" t="s">
        <v>192</v>
      </c>
      <c r="C26" s="108">
        <v>400220</v>
      </c>
      <c r="D26" s="109" t="s">
        <v>332</v>
      </c>
      <c r="E26" s="110">
        <v>46051</v>
      </c>
      <c r="F26" s="109">
        <v>120</v>
      </c>
      <c r="G26" s="112">
        <v>0.05</v>
      </c>
      <c r="H26" s="113">
        <v>260065.6</v>
      </c>
      <c r="I26" s="113">
        <v>6176.55</v>
      </c>
      <c r="J26" s="113">
        <v>0</v>
      </c>
      <c r="K26" s="114">
        <f t="shared" si="1"/>
        <v>253889.05</v>
      </c>
      <c r="L26" s="114">
        <v>6176.55</v>
      </c>
      <c r="M26" s="115"/>
      <c r="N26" s="116"/>
      <c r="O26" s="117">
        <f t="shared" si="2"/>
        <v>49705</v>
      </c>
      <c r="P26" s="118">
        <f t="shared" si="3"/>
        <v>3</v>
      </c>
      <c r="Q26" s="119">
        <f t="shared" si="4"/>
        <v>6176.558</v>
      </c>
      <c r="R26" s="119">
        <f t="shared" si="5"/>
        <v>0.00799999999981083</v>
      </c>
      <c r="S26" s="120" t="s">
        <v>106</v>
      </c>
      <c r="U26" s="67"/>
      <c r="V26" s="121"/>
      <c r="W26" s="122"/>
      <c r="X26" s="57"/>
      <c r="Y26" s="57"/>
      <c r="Z26" s="57"/>
      <c r="AA26" s="57"/>
      <c r="AB26" s="57"/>
      <c r="AC26" s="57"/>
      <c r="AD26" s="57"/>
      <c r="AE26" s="57"/>
      <c r="AF26" s="57"/>
      <c r="AG26" s="57"/>
      <c r="AH26" s="57"/>
      <c r="AI26" s="57"/>
      <c r="AJ26" s="57"/>
      <c r="AK26" s="57"/>
      <c r="AL26" s="57"/>
      <c r="AM26" s="57"/>
      <c r="AN26" s="57"/>
      <c r="AO26" s="57"/>
      <c r="AP26" s="57"/>
    </row>
    <row r="27" s="59" customFormat="1" ht="16.5" spans="1:42">
      <c r="A27" s="79"/>
      <c r="B27" s="107" t="s">
        <v>192</v>
      </c>
      <c r="C27" s="108">
        <v>400221</v>
      </c>
      <c r="D27" s="109" t="s">
        <v>332</v>
      </c>
      <c r="E27" s="110">
        <v>46051</v>
      </c>
      <c r="F27" s="109">
        <v>120</v>
      </c>
      <c r="G27" s="112">
        <v>0.05</v>
      </c>
      <c r="H27" s="113">
        <v>309970.08</v>
      </c>
      <c r="I27" s="113">
        <v>7361.79</v>
      </c>
      <c r="J27" s="113">
        <v>0</v>
      </c>
      <c r="K27" s="114">
        <f t="shared" si="1"/>
        <v>302608.29</v>
      </c>
      <c r="L27" s="114">
        <v>7361.79</v>
      </c>
      <c r="M27" s="115"/>
      <c r="N27" s="116"/>
      <c r="O27" s="117">
        <f t="shared" si="2"/>
        <v>49705</v>
      </c>
      <c r="P27" s="118">
        <f t="shared" si="3"/>
        <v>3</v>
      </c>
      <c r="Q27" s="119">
        <f t="shared" si="4"/>
        <v>7361.7894</v>
      </c>
      <c r="R27" s="119">
        <f t="shared" si="5"/>
        <v>-0.000600000000304135</v>
      </c>
      <c r="S27" s="120" t="s">
        <v>106</v>
      </c>
      <c r="U27" s="67"/>
      <c r="V27" s="121"/>
      <c r="W27" s="122"/>
      <c r="X27" s="57"/>
      <c r="Y27" s="57"/>
      <c r="Z27" s="57"/>
      <c r="AA27" s="57"/>
      <c r="AB27" s="57"/>
      <c r="AC27" s="57"/>
      <c r="AD27" s="57"/>
      <c r="AE27" s="57"/>
      <c r="AF27" s="57"/>
      <c r="AG27" s="57"/>
      <c r="AH27" s="57"/>
      <c r="AI27" s="57"/>
      <c r="AJ27" s="57"/>
      <c r="AK27" s="57"/>
      <c r="AL27" s="57"/>
      <c r="AM27" s="57"/>
      <c r="AN27" s="57"/>
      <c r="AO27" s="57"/>
      <c r="AP27" s="57"/>
    </row>
    <row r="28" s="59" customFormat="1" ht="16.5" spans="1:42">
      <c r="A28" s="79"/>
      <c r="B28" s="107" t="s">
        <v>192</v>
      </c>
      <c r="C28" s="108">
        <v>400222</v>
      </c>
      <c r="D28" s="109" t="s">
        <v>332</v>
      </c>
      <c r="E28" s="110">
        <v>46051</v>
      </c>
      <c r="F28" s="109">
        <v>120</v>
      </c>
      <c r="G28" s="112">
        <v>0.05</v>
      </c>
      <c r="H28" s="113">
        <v>2757398.24</v>
      </c>
      <c r="I28" s="113">
        <v>65488.2</v>
      </c>
      <c r="J28" s="113">
        <v>0</v>
      </c>
      <c r="K28" s="114">
        <f t="shared" si="1"/>
        <v>2691910.04</v>
      </c>
      <c r="L28" s="114">
        <v>65488.2</v>
      </c>
      <c r="M28" s="115"/>
      <c r="N28" s="116"/>
      <c r="O28" s="117">
        <f t="shared" si="2"/>
        <v>49705</v>
      </c>
      <c r="P28" s="118">
        <f t="shared" si="3"/>
        <v>3</v>
      </c>
      <c r="Q28" s="119">
        <f t="shared" si="4"/>
        <v>65488.2082</v>
      </c>
      <c r="R28" s="119">
        <f t="shared" si="5"/>
        <v>0.0082000000111293</v>
      </c>
      <c r="S28" s="120" t="s">
        <v>106</v>
      </c>
      <c r="U28" s="67"/>
      <c r="V28" s="121"/>
      <c r="W28" s="122"/>
      <c r="X28" s="57"/>
      <c r="Y28" s="57"/>
      <c r="Z28" s="57"/>
      <c r="AA28" s="57"/>
      <c r="AB28" s="57"/>
      <c r="AC28" s="57"/>
      <c r="AD28" s="57"/>
      <c r="AE28" s="57"/>
      <c r="AF28" s="57"/>
      <c r="AG28" s="57"/>
      <c r="AH28" s="57"/>
      <c r="AI28" s="57"/>
      <c r="AJ28" s="57"/>
      <c r="AK28" s="57"/>
      <c r="AL28" s="57"/>
      <c r="AM28" s="57"/>
      <c r="AN28" s="57"/>
      <c r="AO28" s="57"/>
      <c r="AP28" s="57"/>
    </row>
    <row r="29" s="59" customFormat="1" ht="16.5" spans="1:42">
      <c r="A29" s="79"/>
      <c r="B29" s="107" t="s">
        <v>192</v>
      </c>
      <c r="C29" s="108">
        <v>400223</v>
      </c>
      <c r="D29" s="109" t="s">
        <v>332</v>
      </c>
      <c r="E29" s="110">
        <v>46051</v>
      </c>
      <c r="F29" s="109">
        <v>120</v>
      </c>
      <c r="G29" s="112">
        <v>0.05</v>
      </c>
      <c r="H29" s="113">
        <v>2757398.24</v>
      </c>
      <c r="I29" s="113">
        <v>65488.2</v>
      </c>
      <c r="J29" s="113">
        <v>0</v>
      </c>
      <c r="K29" s="114">
        <f t="shared" si="1"/>
        <v>2691910.04</v>
      </c>
      <c r="L29" s="114">
        <v>65488.2</v>
      </c>
      <c r="M29" s="115"/>
      <c r="N29" s="116"/>
      <c r="O29" s="117">
        <f t="shared" si="2"/>
        <v>49705</v>
      </c>
      <c r="P29" s="118">
        <f t="shared" si="3"/>
        <v>3</v>
      </c>
      <c r="Q29" s="119">
        <f t="shared" si="4"/>
        <v>65488.2082</v>
      </c>
      <c r="R29" s="119">
        <f t="shared" si="5"/>
        <v>0.0082000000111293</v>
      </c>
      <c r="S29" s="120" t="s">
        <v>106</v>
      </c>
      <c r="U29" s="67"/>
      <c r="V29" s="121"/>
      <c r="W29" s="122"/>
      <c r="X29" s="57"/>
      <c r="Y29" s="57"/>
      <c r="Z29" s="57"/>
      <c r="AA29" s="57"/>
      <c r="AB29" s="57"/>
      <c r="AC29" s="57"/>
      <c r="AD29" s="57"/>
      <c r="AE29" s="57"/>
      <c r="AF29" s="57"/>
      <c r="AG29" s="57"/>
      <c r="AH29" s="57"/>
      <c r="AI29" s="57"/>
      <c r="AJ29" s="57"/>
      <c r="AK29" s="57"/>
      <c r="AL29" s="57"/>
      <c r="AM29" s="57"/>
      <c r="AN29" s="57"/>
      <c r="AO29" s="57"/>
      <c r="AP29" s="57"/>
    </row>
    <row r="30" s="59" customFormat="1" ht="16.5" spans="1:42">
      <c r="A30" s="79"/>
      <c r="B30" s="107" t="s">
        <v>192</v>
      </c>
      <c r="C30" s="108">
        <v>400224</v>
      </c>
      <c r="D30" s="109" t="s">
        <v>341</v>
      </c>
      <c r="E30" s="110">
        <v>46056</v>
      </c>
      <c r="F30" s="109">
        <v>120</v>
      </c>
      <c r="G30" s="112">
        <v>0.05</v>
      </c>
      <c r="H30" s="113">
        <v>908210.92</v>
      </c>
      <c r="I30" s="113">
        <v>14380</v>
      </c>
      <c r="J30" s="113">
        <v>0</v>
      </c>
      <c r="K30" s="114">
        <f t="shared" si="1"/>
        <v>893830.92</v>
      </c>
      <c r="L30" s="114">
        <v>14380</v>
      </c>
      <c r="M30" s="115"/>
      <c r="N30" s="116"/>
      <c r="O30" s="117">
        <f t="shared" si="2"/>
        <v>49734</v>
      </c>
      <c r="P30" s="118">
        <f t="shared" si="3"/>
        <v>2</v>
      </c>
      <c r="Q30" s="119">
        <f t="shared" si="4"/>
        <v>14380.0062333333</v>
      </c>
      <c r="R30" s="119">
        <f t="shared" si="5"/>
        <v>0.00623333333169285</v>
      </c>
      <c r="S30" s="120" t="s">
        <v>106</v>
      </c>
      <c r="U30" s="67"/>
      <c r="V30" s="121"/>
      <c r="W30" s="122"/>
      <c r="X30" s="57"/>
      <c r="Y30" s="57"/>
      <c r="Z30" s="57"/>
      <c r="AA30" s="57"/>
      <c r="AB30" s="57"/>
      <c r="AC30" s="57"/>
      <c r="AD30" s="57"/>
      <c r="AE30" s="57"/>
      <c r="AF30" s="57"/>
      <c r="AG30" s="57"/>
      <c r="AH30" s="57"/>
      <c r="AI30" s="57"/>
      <c r="AJ30" s="57"/>
      <c r="AK30" s="57"/>
      <c r="AL30" s="57"/>
      <c r="AM30" s="57"/>
      <c r="AN30" s="57"/>
      <c r="AO30" s="57"/>
      <c r="AP30" s="57"/>
    </row>
    <row r="31" s="59" customFormat="1" ht="16.5" spans="1:42">
      <c r="A31" s="79"/>
      <c r="B31" s="107" t="s">
        <v>192</v>
      </c>
      <c r="C31" s="108">
        <v>400225</v>
      </c>
      <c r="D31" s="109" t="s">
        <v>344</v>
      </c>
      <c r="E31" s="110">
        <v>46142</v>
      </c>
      <c r="F31" s="109">
        <v>120</v>
      </c>
      <c r="G31" s="112">
        <v>0.05</v>
      </c>
      <c r="H31" s="113">
        <v>1298078.6</v>
      </c>
      <c r="I31" s="113">
        <v>0</v>
      </c>
      <c r="J31" s="113">
        <v>0</v>
      </c>
      <c r="K31" s="114">
        <f t="shared" si="1"/>
        <v>1298078.6</v>
      </c>
      <c r="L31" s="114">
        <v>0</v>
      </c>
      <c r="M31" s="115"/>
      <c r="N31" s="116"/>
      <c r="O31" s="117">
        <f t="shared" si="2"/>
        <v>49795</v>
      </c>
      <c r="P31" s="118">
        <f t="shared" si="3"/>
        <v>0</v>
      </c>
      <c r="Q31" s="119">
        <f t="shared" si="4"/>
        <v>0</v>
      </c>
      <c r="R31" s="119">
        <f t="shared" si="5"/>
        <v>0</v>
      </c>
      <c r="S31" s="120" t="s">
        <v>106</v>
      </c>
      <c r="U31" s="67"/>
      <c r="V31" s="121"/>
      <c r="W31" s="122"/>
      <c r="X31" s="57"/>
      <c r="Y31" s="57"/>
      <c r="Z31" s="57"/>
      <c r="AA31" s="57"/>
      <c r="AB31" s="57"/>
      <c r="AC31" s="57"/>
      <c r="AD31" s="57"/>
      <c r="AE31" s="57"/>
      <c r="AF31" s="57"/>
      <c r="AG31" s="57"/>
      <c r="AH31" s="57"/>
      <c r="AI31" s="57"/>
      <c r="AJ31" s="57"/>
      <c r="AK31" s="57"/>
      <c r="AL31" s="57"/>
      <c r="AM31" s="57"/>
      <c r="AN31" s="57"/>
      <c r="AO31" s="57"/>
      <c r="AP31" s="57"/>
    </row>
    <row r="32" s="59" customFormat="1" ht="16.5" spans="1:42">
      <c r="A32" s="79"/>
      <c r="B32" s="107" t="s">
        <v>192</v>
      </c>
      <c r="C32" s="108">
        <v>400226</v>
      </c>
      <c r="D32" s="109" t="s">
        <v>347</v>
      </c>
      <c r="E32" s="110">
        <v>46142</v>
      </c>
      <c r="F32" s="109">
        <v>120</v>
      </c>
      <c r="G32" s="112">
        <v>0.05</v>
      </c>
      <c r="H32" s="113">
        <v>797238.75</v>
      </c>
      <c r="I32" s="113">
        <v>0</v>
      </c>
      <c r="J32" s="113">
        <v>0</v>
      </c>
      <c r="K32" s="114">
        <f t="shared" si="1"/>
        <v>797238.75</v>
      </c>
      <c r="L32" s="114">
        <v>0</v>
      </c>
      <c r="M32" s="115"/>
      <c r="N32" s="116"/>
      <c r="O32" s="117">
        <f t="shared" si="2"/>
        <v>49795</v>
      </c>
      <c r="P32" s="118">
        <f t="shared" si="3"/>
        <v>0</v>
      </c>
      <c r="Q32" s="119">
        <f t="shared" si="4"/>
        <v>0</v>
      </c>
      <c r="R32" s="119">
        <f t="shared" si="5"/>
        <v>0</v>
      </c>
      <c r="S32" s="120" t="s">
        <v>106</v>
      </c>
      <c r="U32" s="67"/>
      <c r="V32" s="121"/>
      <c r="W32" s="122"/>
      <c r="X32" s="57"/>
      <c r="Y32" s="57"/>
      <c r="Z32" s="57"/>
      <c r="AA32" s="57"/>
      <c r="AB32" s="57"/>
      <c r="AC32" s="57"/>
      <c r="AD32" s="57"/>
      <c r="AE32" s="57"/>
      <c r="AF32" s="57"/>
      <c r="AG32" s="57"/>
      <c r="AH32" s="57"/>
      <c r="AI32" s="57"/>
      <c r="AJ32" s="57"/>
      <c r="AK32" s="57"/>
      <c r="AL32" s="57"/>
      <c r="AM32" s="57"/>
      <c r="AN32" s="57"/>
      <c r="AO32" s="57"/>
      <c r="AP32" s="57"/>
    </row>
    <row r="33" s="59" customFormat="1" ht="16.5" spans="1:42">
      <c r="A33" s="79"/>
      <c r="B33" s="107" t="s">
        <v>194</v>
      </c>
      <c r="C33" s="108">
        <v>500001</v>
      </c>
      <c r="D33" s="109" t="s">
        <v>350</v>
      </c>
      <c r="E33" s="110">
        <v>44855</v>
      </c>
      <c r="F33" s="111">
        <v>48</v>
      </c>
      <c r="G33" s="112">
        <v>0.05</v>
      </c>
      <c r="H33" s="113">
        <v>20092.92</v>
      </c>
      <c r="I33" s="113">
        <v>16702.22</v>
      </c>
      <c r="J33" s="113">
        <v>0</v>
      </c>
      <c r="K33" s="114">
        <f t="shared" si="1"/>
        <v>3390.7</v>
      </c>
      <c r="L33" s="114">
        <v>1590.7</v>
      </c>
      <c r="M33" s="115"/>
      <c r="N33" s="116"/>
      <c r="O33" s="117">
        <f t="shared" si="2"/>
        <v>46326</v>
      </c>
      <c r="P33" s="118">
        <f t="shared" si="3"/>
        <v>4</v>
      </c>
      <c r="Q33" s="119">
        <f t="shared" si="4"/>
        <v>1590.6895</v>
      </c>
      <c r="R33" s="119">
        <f t="shared" si="5"/>
        <v>-0.0105000000003201</v>
      </c>
      <c r="S33" s="120" t="s">
        <v>106</v>
      </c>
      <c r="U33" s="67"/>
      <c r="V33" s="121"/>
      <c r="W33" s="122"/>
      <c r="X33" s="57"/>
      <c r="Y33" s="57"/>
      <c r="Z33" s="57"/>
      <c r="AA33" s="57"/>
      <c r="AB33" s="57"/>
      <c r="AC33" s="57"/>
      <c r="AD33" s="57"/>
      <c r="AE33" s="57"/>
      <c r="AF33" s="57"/>
      <c r="AG33" s="57"/>
      <c r="AH33" s="57"/>
      <c r="AI33" s="57"/>
      <c r="AJ33" s="57"/>
      <c r="AK33" s="57"/>
      <c r="AL33" s="57"/>
      <c r="AM33" s="57"/>
      <c r="AN33" s="57"/>
      <c r="AO33" s="57"/>
      <c r="AP33" s="57"/>
    </row>
    <row r="34" s="59" customFormat="1" ht="16.5" spans="1:42">
      <c r="A34" s="79"/>
      <c r="B34" s="107" t="s">
        <v>194</v>
      </c>
      <c r="C34" s="108">
        <v>500002</v>
      </c>
      <c r="D34" s="109" t="s">
        <v>351</v>
      </c>
      <c r="E34" s="110">
        <v>44855</v>
      </c>
      <c r="F34" s="111">
        <v>48</v>
      </c>
      <c r="G34" s="112">
        <v>0.05</v>
      </c>
      <c r="H34" s="113">
        <v>72721.24</v>
      </c>
      <c r="I34" s="113">
        <v>60449.53</v>
      </c>
      <c r="J34" s="113">
        <v>0</v>
      </c>
      <c r="K34" s="114">
        <f t="shared" si="1"/>
        <v>12271.71</v>
      </c>
      <c r="L34" s="114">
        <v>5757.1</v>
      </c>
      <c r="M34" s="115"/>
      <c r="N34" s="116"/>
      <c r="O34" s="117">
        <f t="shared" si="2"/>
        <v>46326</v>
      </c>
      <c r="P34" s="118">
        <f t="shared" si="3"/>
        <v>4</v>
      </c>
      <c r="Q34" s="119">
        <f t="shared" si="4"/>
        <v>5757.09816666667</v>
      </c>
      <c r="R34" s="119">
        <f t="shared" si="5"/>
        <v>-0.00183333333370683</v>
      </c>
      <c r="S34" s="120" t="s">
        <v>106</v>
      </c>
      <c r="U34" s="67"/>
      <c r="V34" s="121"/>
      <c r="W34" s="122"/>
      <c r="X34" s="57"/>
      <c r="Y34" s="57"/>
      <c r="Z34" s="57"/>
      <c r="AA34" s="57"/>
      <c r="AB34" s="57"/>
      <c r="AC34" s="57"/>
      <c r="AD34" s="57"/>
      <c r="AE34" s="57"/>
      <c r="AF34" s="57"/>
      <c r="AG34" s="57"/>
      <c r="AH34" s="57"/>
      <c r="AI34" s="57"/>
      <c r="AJ34" s="57"/>
      <c r="AK34" s="57"/>
      <c r="AL34" s="57"/>
      <c r="AM34" s="57"/>
      <c r="AN34" s="57"/>
      <c r="AO34" s="57"/>
      <c r="AP34" s="57"/>
    </row>
    <row r="35" s="59" customFormat="1" ht="16.5" spans="1:42">
      <c r="A35" s="79"/>
      <c r="B35" s="107" t="s">
        <v>194</v>
      </c>
      <c r="C35" s="108">
        <v>500003</v>
      </c>
      <c r="D35" s="109" t="s">
        <v>352</v>
      </c>
      <c r="E35" s="110">
        <v>45657</v>
      </c>
      <c r="F35" s="111">
        <v>60</v>
      </c>
      <c r="G35" s="112">
        <v>0.05</v>
      </c>
      <c r="H35" s="113">
        <v>1371.68</v>
      </c>
      <c r="I35" s="113">
        <v>347.52</v>
      </c>
      <c r="J35" s="113">
        <v>0</v>
      </c>
      <c r="K35" s="114">
        <f t="shared" si="1"/>
        <v>1024.16</v>
      </c>
      <c r="L35" s="114">
        <v>86.88</v>
      </c>
      <c r="M35" s="115"/>
      <c r="N35" s="116"/>
      <c r="O35" s="117">
        <f t="shared" si="2"/>
        <v>47483</v>
      </c>
      <c r="P35" s="118">
        <f t="shared" si="3"/>
        <v>4</v>
      </c>
      <c r="Q35" s="119">
        <f t="shared" si="4"/>
        <v>86.8730666666667</v>
      </c>
      <c r="R35" s="119">
        <f t="shared" si="5"/>
        <v>-0.00693333333332191</v>
      </c>
      <c r="S35" s="120" t="s">
        <v>106</v>
      </c>
      <c r="U35" s="67"/>
      <c r="V35" s="121"/>
      <c r="W35" s="122"/>
      <c r="X35" s="57"/>
      <c r="Y35" s="57"/>
      <c r="Z35" s="57"/>
      <c r="AA35" s="57"/>
      <c r="AB35" s="57"/>
      <c r="AC35" s="57"/>
      <c r="AD35" s="57"/>
      <c r="AE35" s="57"/>
      <c r="AF35" s="57"/>
      <c r="AG35" s="57"/>
      <c r="AH35" s="57"/>
      <c r="AI35" s="57"/>
      <c r="AJ35" s="57"/>
      <c r="AK35" s="57"/>
      <c r="AL35" s="57"/>
      <c r="AM35" s="57"/>
      <c r="AN35" s="57"/>
      <c r="AO35" s="57"/>
      <c r="AP35" s="57"/>
    </row>
    <row r="36" s="59" customFormat="1" ht="16.5" spans="1:42">
      <c r="A36" s="79"/>
      <c r="B36" s="107" t="s">
        <v>194</v>
      </c>
      <c r="C36" s="108">
        <v>500004</v>
      </c>
      <c r="D36" s="109" t="s">
        <v>354</v>
      </c>
      <c r="E36" s="110">
        <v>45742</v>
      </c>
      <c r="F36" s="111">
        <v>48</v>
      </c>
      <c r="G36" s="112">
        <v>0.05</v>
      </c>
      <c r="H36" s="113">
        <v>2477.88</v>
      </c>
      <c r="I36" s="113">
        <v>637.52</v>
      </c>
      <c r="J36" s="113">
        <v>0</v>
      </c>
      <c r="K36" s="114">
        <f t="shared" si="1"/>
        <v>1840.36</v>
      </c>
      <c r="L36" s="114">
        <v>196.16</v>
      </c>
      <c r="M36" s="115"/>
      <c r="N36" s="116"/>
      <c r="O36" s="117">
        <f t="shared" si="2"/>
        <v>47208</v>
      </c>
      <c r="P36" s="118">
        <f t="shared" si="3"/>
        <v>4</v>
      </c>
      <c r="Q36" s="119">
        <f t="shared" si="4"/>
        <v>196.1655</v>
      </c>
      <c r="R36" s="119">
        <f t="shared" si="5"/>
        <v>0.00549999999998363</v>
      </c>
      <c r="S36" s="120" t="s">
        <v>106</v>
      </c>
      <c r="U36" s="67"/>
      <c r="V36" s="121"/>
      <c r="W36" s="122"/>
      <c r="X36" s="57"/>
      <c r="Y36" s="57"/>
      <c r="Z36" s="57"/>
      <c r="AA36" s="57"/>
      <c r="AB36" s="57"/>
      <c r="AC36" s="57"/>
      <c r="AD36" s="57"/>
      <c r="AE36" s="57"/>
      <c r="AF36" s="57"/>
      <c r="AG36" s="57"/>
      <c r="AH36" s="57"/>
      <c r="AI36" s="57"/>
      <c r="AJ36" s="57"/>
      <c r="AK36" s="57"/>
      <c r="AL36" s="57"/>
      <c r="AM36" s="57"/>
      <c r="AN36" s="57"/>
      <c r="AO36" s="57"/>
      <c r="AP36" s="57"/>
    </row>
    <row r="37" s="59" customFormat="1" ht="16.5" spans="1:42">
      <c r="A37" s="79"/>
      <c r="B37" s="107" t="s">
        <v>194</v>
      </c>
      <c r="C37" s="108">
        <v>500005</v>
      </c>
      <c r="D37" s="109" t="s">
        <v>356</v>
      </c>
      <c r="E37" s="110">
        <v>45964</v>
      </c>
      <c r="F37" s="111">
        <v>48</v>
      </c>
      <c r="G37" s="112">
        <v>0.05</v>
      </c>
      <c r="H37" s="113">
        <v>18584.07</v>
      </c>
      <c r="I37" s="113">
        <v>1839.05</v>
      </c>
      <c r="J37" s="113">
        <v>0</v>
      </c>
      <c r="K37" s="114">
        <f t="shared" si="1"/>
        <v>16745.02</v>
      </c>
      <c r="L37" s="114">
        <v>1471.24</v>
      </c>
      <c r="M37" s="115"/>
      <c r="N37" s="116"/>
      <c r="O37" s="117">
        <f t="shared" si="2"/>
        <v>47452</v>
      </c>
      <c r="P37" s="118">
        <f t="shared" si="3"/>
        <v>4</v>
      </c>
      <c r="Q37" s="119">
        <f t="shared" si="4"/>
        <v>1471.238875</v>
      </c>
      <c r="R37" s="119">
        <f t="shared" si="5"/>
        <v>-0.00112500000000182</v>
      </c>
      <c r="S37" s="120" t="s">
        <v>106</v>
      </c>
      <c r="U37" s="67"/>
      <c r="V37" s="121"/>
      <c r="W37" s="122"/>
      <c r="X37" s="57"/>
      <c r="Y37" s="57"/>
      <c r="Z37" s="57"/>
      <c r="AA37" s="57"/>
      <c r="AB37" s="57"/>
      <c r="AC37" s="57"/>
      <c r="AD37" s="57"/>
      <c r="AE37" s="57"/>
      <c r="AF37" s="57"/>
      <c r="AG37" s="57"/>
      <c r="AH37" s="57"/>
      <c r="AI37" s="57"/>
      <c r="AJ37" s="57"/>
      <c r="AK37" s="57"/>
      <c r="AL37" s="57"/>
      <c r="AM37" s="57"/>
      <c r="AN37" s="57"/>
      <c r="AO37" s="57"/>
      <c r="AP37" s="57"/>
    </row>
    <row r="38" s="59" customFormat="1" ht="16.5" spans="1:42">
      <c r="A38" s="79"/>
      <c r="B38" s="107" t="s">
        <v>191</v>
      </c>
      <c r="C38" s="108">
        <v>600001</v>
      </c>
      <c r="D38" s="109" t="s">
        <v>359</v>
      </c>
      <c r="E38" s="110">
        <v>45657</v>
      </c>
      <c r="F38" s="111">
        <v>120</v>
      </c>
      <c r="G38" s="112">
        <v>0.05</v>
      </c>
      <c r="H38" s="113">
        <v>2238913.8</v>
      </c>
      <c r="I38" s="113">
        <v>283595.68</v>
      </c>
      <c r="J38" s="113">
        <v>0</v>
      </c>
      <c r="K38" s="114">
        <f t="shared" si="1"/>
        <v>1955318.12</v>
      </c>
      <c r="L38" s="114">
        <v>70898.92</v>
      </c>
      <c r="M38" s="115"/>
      <c r="N38" s="116"/>
      <c r="O38" s="117">
        <f t="shared" si="2"/>
        <v>49309</v>
      </c>
      <c r="P38" s="118">
        <f t="shared" si="3"/>
        <v>4</v>
      </c>
      <c r="Q38" s="119">
        <f t="shared" si="4"/>
        <v>70898.937</v>
      </c>
      <c r="R38" s="119">
        <f t="shared" si="5"/>
        <v>0.0169999999925494</v>
      </c>
      <c r="S38" s="120" t="s">
        <v>106</v>
      </c>
      <c r="U38" s="67"/>
      <c r="V38" s="121"/>
      <c r="W38" s="122"/>
      <c r="X38" s="57"/>
      <c r="Y38" s="57"/>
      <c r="Z38" s="57"/>
      <c r="AA38" s="57"/>
      <c r="AB38" s="57"/>
      <c r="AC38" s="57"/>
      <c r="AD38" s="57"/>
      <c r="AE38" s="57"/>
      <c r="AF38" s="57"/>
      <c r="AG38" s="57"/>
      <c r="AH38" s="57"/>
      <c r="AI38" s="57"/>
      <c r="AJ38" s="57"/>
      <c r="AK38" s="57"/>
      <c r="AL38" s="57"/>
      <c r="AM38" s="57"/>
      <c r="AN38" s="57"/>
      <c r="AO38" s="57"/>
      <c r="AP38" s="57"/>
    </row>
    <row r="39" s="59" customFormat="1" ht="16.5" spans="1:42">
      <c r="A39" s="79"/>
      <c r="B39" s="107" t="s">
        <v>191</v>
      </c>
      <c r="C39" s="108">
        <v>600002</v>
      </c>
      <c r="D39" s="109" t="s">
        <v>296</v>
      </c>
      <c r="E39" s="110">
        <v>45657</v>
      </c>
      <c r="F39" s="111">
        <v>240</v>
      </c>
      <c r="G39" s="112">
        <v>0.05</v>
      </c>
      <c r="H39" s="113">
        <v>19391182.2</v>
      </c>
      <c r="I39" s="113">
        <v>1228108.16</v>
      </c>
      <c r="J39" s="113">
        <v>0</v>
      </c>
      <c r="K39" s="114">
        <f t="shared" si="1"/>
        <v>18163074.04</v>
      </c>
      <c r="L39" s="114">
        <v>307027.04</v>
      </c>
      <c r="M39" s="115"/>
      <c r="N39" s="116"/>
      <c r="O39" s="117">
        <f t="shared" si="2"/>
        <v>52962</v>
      </c>
      <c r="P39" s="118">
        <f t="shared" si="3"/>
        <v>4</v>
      </c>
      <c r="Q39" s="119">
        <f t="shared" si="4"/>
        <v>307027.0515</v>
      </c>
      <c r="R39" s="119">
        <f t="shared" si="5"/>
        <v>0.0115000000223517</v>
      </c>
      <c r="S39" s="120" t="s">
        <v>106</v>
      </c>
      <c r="U39" s="67"/>
      <c r="V39" s="121"/>
      <c r="W39" s="122"/>
      <c r="X39" s="57"/>
      <c r="Y39" s="57"/>
      <c r="Z39" s="57"/>
      <c r="AA39" s="57"/>
      <c r="AB39" s="57"/>
      <c r="AC39" s="57"/>
      <c r="AD39" s="57"/>
      <c r="AE39" s="57"/>
      <c r="AF39" s="57"/>
      <c r="AG39" s="57"/>
      <c r="AH39" s="57"/>
      <c r="AI39" s="57"/>
      <c r="AJ39" s="57"/>
      <c r="AK39" s="57"/>
      <c r="AL39" s="57"/>
      <c r="AM39" s="57"/>
      <c r="AN39" s="57"/>
      <c r="AO39" s="57"/>
      <c r="AP39" s="57"/>
    </row>
    <row r="40" s="59" customFormat="1" ht="16.5" spans="1:42">
      <c r="A40" s="79"/>
      <c r="B40" s="107" t="s">
        <v>191</v>
      </c>
      <c r="C40" s="108">
        <v>600003</v>
      </c>
      <c r="D40" s="109" t="s">
        <v>360</v>
      </c>
      <c r="E40" s="110">
        <v>45889</v>
      </c>
      <c r="F40" s="111">
        <v>240</v>
      </c>
      <c r="G40" s="112">
        <v>0.05</v>
      </c>
      <c r="H40" s="113">
        <v>2161467.89</v>
      </c>
      <c r="I40" s="113">
        <v>77002.29</v>
      </c>
      <c r="J40" s="113">
        <v>0</v>
      </c>
      <c r="K40" s="114">
        <f t="shared" si="1"/>
        <v>2084465.6</v>
      </c>
      <c r="L40" s="114">
        <v>34223.24</v>
      </c>
      <c r="M40" s="115"/>
      <c r="N40" s="116"/>
      <c r="O40" s="117">
        <f t="shared" si="2"/>
        <v>53205</v>
      </c>
      <c r="P40" s="118">
        <f t="shared" si="3"/>
        <v>4</v>
      </c>
      <c r="Q40" s="119">
        <f t="shared" si="4"/>
        <v>34223.2415916667</v>
      </c>
      <c r="R40" s="119">
        <f t="shared" si="5"/>
        <v>0.00159166666708188</v>
      </c>
      <c r="S40" s="120" t="s">
        <v>106</v>
      </c>
      <c r="U40" s="67"/>
      <c r="V40" s="121"/>
      <c r="W40" s="122"/>
      <c r="X40" s="57"/>
      <c r="Y40" s="57"/>
      <c r="Z40" s="57"/>
      <c r="AA40" s="57"/>
      <c r="AB40" s="57"/>
      <c r="AC40" s="57"/>
      <c r="AD40" s="57"/>
      <c r="AE40" s="57"/>
      <c r="AF40" s="57"/>
      <c r="AG40" s="57"/>
      <c r="AH40" s="57"/>
      <c r="AI40" s="57"/>
      <c r="AJ40" s="57"/>
      <c r="AK40" s="57"/>
      <c r="AL40" s="57"/>
      <c r="AM40" s="57"/>
      <c r="AN40" s="57"/>
      <c r="AO40" s="57"/>
      <c r="AP40" s="57"/>
    </row>
    <row r="41" s="59" customFormat="1" ht="16.5" spans="1:42">
      <c r="A41" s="79"/>
      <c r="B41" s="107" t="s">
        <v>193</v>
      </c>
      <c r="C41" s="108">
        <v>300095</v>
      </c>
      <c r="D41" s="109" t="s">
        <v>361</v>
      </c>
      <c r="E41" s="110">
        <v>45320</v>
      </c>
      <c r="F41" s="111">
        <v>60</v>
      </c>
      <c r="G41" s="112">
        <v>0.05</v>
      </c>
      <c r="H41" s="113">
        <v>7566.37</v>
      </c>
      <c r="I41" s="113">
        <v>3234.6</v>
      </c>
      <c r="J41" s="113">
        <v>0</v>
      </c>
      <c r="K41" s="114">
        <f t="shared" si="1"/>
        <v>4331.77</v>
      </c>
      <c r="L41" s="114">
        <v>479.2</v>
      </c>
      <c r="M41" s="115"/>
      <c r="N41" s="116"/>
      <c r="O41" s="117">
        <f t="shared" si="2"/>
        <v>47149</v>
      </c>
      <c r="P41" s="118">
        <f t="shared" si="3"/>
        <v>4</v>
      </c>
      <c r="Q41" s="119">
        <f t="shared" si="4"/>
        <v>479.203433333333</v>
      </c>
      <c r="R41" s="119">
        <f t="shared" si="5"/>
        <v>0.0034333333333052</v>
      </c>
      <c r="S41" s="120" t="s">
        <v>106</v>
      </c>
      <c r="U41" s="67"/>
      <c r="V41" s="121"/>
      <c r="W41" s="122"/>
      <c r="X41" s="57"/>
      <c r="Y41" s="57"/>
      <c r="Z41" s="57"/>
      <c r="AA41" s="57"/>
      <c r="AB41" s="57"/>
      <c r="AC41" s="57"/>
      <c r="AD41" s="57"/>
      <c r="AE41" s="57"/>
      <c r="AF41" s="57"/>
      <c r="AG41" s="57"/>
      <c r="AH41" s="57"/>
      <c r="AI41" s="57"/>
      <c r="AJ41" s="57"/>
      <c r="AK41" s="57"/>
      <c r="AL41" s="57"/>
      <c r="AM41" s="57"/>
      <c r="AN41" s="57"/>
      <c r="AO41" s="57"/>
      <c r="AP41" s="57"/>
    </row>
    <row r="42" s="59" customFormat="1" ht="16.5" spans="1:42">
      <c r="A42" s="79"/>
      <c r="B42" s="107" t="s">
        <v>193</v>
      </c>
      <c r="C42" s="108">
        <v>300096</v>
      </c>
      <c r="D42" s="109" t="s">
        <v>363</v>
      </c>
      <c r="E42" s="110">
        <v>45320</v>
      </c>
      <c r="F42" s="111">
        <v>60</v>
      </c>
      <c r="G42" s="112">
        <v>0.05</v>
      </c>
      <c r="H42" s="113">
        <v>9831.86</v>
      </c>
      <c r="I42" s="113">
        <v>4203.09</v>
      </c>
      <c r="J42" s="113">
        <v>0</v>
      </c>
      <c r="K42" s="114">
        <f t="shared" si="1"/>
        <v>5628.77</v>
      </c>
      <c r="L42" s="114">
        <v>622.68</v>
      </c>
      <c r="M42" s="115"/>
      <c r="N42" s="116"/>
      <c r="O42" s="117">
        <f t="shared" si="2"/>
        <v>47149</v>
      </c>
      <c r="P42" s="118">
        <f t="shared" si="3"/>
        <v>4</v>
      </c>
      <c r="Q42" s="119">
        <f t="shared" si="4"/>
        <v>622.684466666667</v>
      </c>
      <c r="R42" s="119">
        <f t="shared" si="5"/>
        <v>0.0044666666667581</v>
      </c>
      <c r="S42" s="120" t="s">
        <v>106</v>
      </c>
      <c r="U42" s="67"/>
      <c r="V42" s="121"/>
      <c r="W42" s="122"/>
      <c r="X42" s="57"/>
      <c r="Y42" s="57"/>
      <c r="Z42" s="57"/>
      <c r="AA42" s="57"/>
      <c r="AB42" s="57"/>
      <c r="AC42" s="57"/>
      <c r="AD42" s="57"/>
      <c r="AE42" s="57"/>
      <c r="AF42" s="57"/>
      <c r="AG42" s="57"/>
      <c r="AH42" s="57"/>
      <c r="AI42" s="57"/>
      <c r="AJ42" s="57"/>
      <c r="AK42" s="57"/>
      <c r="AL42" s="57"/>
      <c r="AM42" s="57"/>
      <c r="AN42" s="57"/>
      <c r="AO42" s="57"/>
      <c r="AP42" s="57"/>
    </row>
    <row r="43" s="59" customFormat="1" ht="16.5" spans="1:42">
      <c r="A43" s="79"/>
      <c r="B43" s="107" t="s">
        <v>193</v>
      </c>
      <c r="C43" s="108">
        <v>300097</v>
      </c>
      <c r="D43" s="109" t="s">
        <v>364</v>
      </c>
      <c r="E43" s="110">
        <v>45320</v>
      </c>
      <c r="F43" s="111">
        <v>60</v>
      </c>
      <c r="G43" s="112">
        <v>0.05</v>
      </c>
      <c r="H43" s="113">
        <v>1250.44</v>
      </c>
      <c r="I43" s="113">
        <v>534.6</v>
      </c>
      <c r="J43" s="113">
        <v>0</v>
      </c>
      <c r="K43" s="114">
        <f t="shared" si="1"/>
        <v>715.84</v>
      </c>
      <c r="L43" s="114">
        <v>79.2</v>
      </c>
      <c r="M43" s="115"/>
      <c r="N43" s="116"/>
      <c r="O43" s="117">
        <f t="shared" si="2"/>
        <v>47149</v>
      </c>
      <c r="P43" s="118">
        <f t="shared" si="3"/>
        <v>4</v>
      </c>
      <c r="Q43" s="119">
        <f t="shared" si="4"/>
        <v>79.1945333333333</v>
      </c>
      <c r="R43" s="119">
        <f t="shared" si="5"/>
        <v>-0.00546666666667761</v>
      </c>
      <c r="S43" s="120" t="s">
        <v>106</v>
      </c>
      <c r="U43" s="67"/>
      <c r="V43" s="121"/>
      <c r="W43" s="122"/>
      <c r="X43" s="57"/>
      <c r="Y43" s="57"/>
      <c r="Z43" s="57"/>
      <c r="AA43" s="57"/>
      <c r="AB43" s="57"/>
      <c r="AC43" s="57"/>
      <c r="AD43" s="57"/>
      <c r="AE43" s="57"/>
      <c r="AF43" s="57"/>
      <c r="AG43" s="57"/>
      <c r="AH43" s="57"/>
      <c r="AI43" s="57"/>
      <c r="AJ43" s="57"/>
      <c r="AK43" s="57"/>
      <c r="AL43" s="57"/>
      <c r="AM43" s="57"/>
      <c r="AN43" s="57"/>
      <c r="AO43" s="57"/>
      <c r="AP43" s="57"/>
    </row>
    <row r="44" s="59" customFormat="1" ht="16.5" spans="1:42">
      <c r="A44" s="79"/>
      <c r="B44" s="107" t="s">
        <v>193</v>
      </c>
      <c r="C44" s="108">
        <v>300098</v>
      </c>
      <c r="D44" s="109" t="s">
        <v>365</v>
      </c>
      <c r="E44" s="110">
        <v>45320</v>
      </c>
      <c r="F44" s="111">
        <v>60</v>
      </c>
      <c r="G44" s="112">
        <v>0.05</v>
      </c>
      <c r="H44" s="113">
        <v>8761.06</v>
      </c>
      <c r="I44" s="113">
        <v>3745.42</v>
      </c>
      <c r="J44" s="113">
        <v>0</v>
      </c>
      <c r="K44" s="114">
        <f t="shared" si="1"/>
        <v>5015.64</v>
      </c>
      <c r="L44" s="114">
        <v>554.86</v>
      </c>
      <c r="M44" s="115"/>
      <c r="N44" s="116"/>
      <c r="O44" s="117">
        <f t="shared" si="2"/>
        <v>47149</v>
      </c>
      <c r="P44" s="118">
        <f t="shared" si="3"/>
        <v>4</v>
      </c>
      <c r="Q44" s="119">
        <f t="shared" si="4"/>
        <v>554.867133333333</v>
      </c>
      <c r="R44" s="119">
        <f t="shared" si="5"/>
        <v>0.00713333333328592</v>
      </c>
      <c r="S44" s="120" t="s">
        <v>106</v>
      </c>
      <c r="U44" s="67"/>
      <c r="V44" s="121"/>
      <c r="W44" s="122"/>
      <c r="X44" s="57"/>
      <c r="Y44" s="57"/>
      <c r="Z44" s="57"/>
      <c r="AA44" s="57"/>
      <c r="AB44" s="57"/>
      <c r="AC44" s="57"/>
      <c r="AD44" s="57"/>
      <c r="AE44" s="57"/>
      <c r="AF44" s="57"/>
      <c r="AG44" s="57"/>
      <c r="AH44" s="57"/>
      <c r="AI44" s="57"/>
      <c r="AJ44" s="57"/>
      <c r="AK44" s="57"/>
      <c r="AL44" s="57"/>
      <c r="AM44" s="57"/>
      <c r="AN44" s="57"/>
      <c r="AO44" s="57"/>
      <c r="AP44" s="57"/>
    </row>
    <row r="45" s="59" customFormat="1" ht="16.5" spans="1:42">
      <c r="A45" s="79"/>
      <c r="B45" s="107" t="s">
        <v>193</v>
      </c>
      <c r="C45" s="108">
        <v>300099</v>
      </c>
      <c r="D45" s="109" t="s">
        <v>366</v>
      </c>
      <c r="E45" s="110">
        <v>45320</v>
      </c>
      <c r="F45" s="111">
        <v>60</v>
      </c>
      <c r="G45" s="112">
        <v>0.05</v>
      </c>
      <c r="H45" s="113">
        <v>2389.38</v>
      </c>
      <c r="I45" s="113">
        <v>1021.41</v>
      </c>
      <c r="J45" s="113">
        <v>0</v>
      </c>
      <c r="K45" s="114">
        <f t="shared" si="1"/>
        <v>1367.97</v>
      </c>
      <c r="L45" s="114">
        <v>151.32</v>
      </c>
      <c r="M45" s="115"/>
      <c r="N45" s="116"/>
      <c r="O45" s="117">
        <f t="shared" si="2"/>
        <v>47149</v>
      </c>
      <c r="P45" s="118">
        <f t="shared" si="3"/>
        <v>4</v>
      </c>
      <c r="Q45" s="119">
        <f t="shared" si="4"/>
        <v>151.3274</v>
      </c>
      <c r="R45" s="119">
        <f t="shared" si="5"/>
        <v>0.00740000000001828</v>
      </c>
      <c r="S45" s="120" t="s">
        <v>106</v>
      </c>
      <c r="U45" s="67"/>
      <c r="V45" s="121"/>
      <c r="W45" s="122"/>
      <c r="X45" s="57"/>
      <c r="Y45" s="57"/>
      <c r="Z45" s="57"/>
      <c r="AA45" s="57"/>
      <c r="AB45" s="57"/>
      <c r="AC45" s="57"/>
      <c r="AD45" s="57"/>
      <c r="AE45" s="57"/>
      <c r="AF45" s="57"/>
      <c r="AG45" s="57"/>
      <c r="AH45" s="57"/>
      <c r="AI45" s="57"/>
      <c r="AJ45" s="57"/>
      <c r="AK45" s="57"/>
      <c r="AL45" s="57"/>
      <c r="AM45" s="57"/>
      <c r="AN45" s="57"/>
      <c r="AO45" s="57"/>
      <c r="AP45" s="57"/>
    </row>
    <row r="46" s="59" customFormat="1" ht="16.5" spans="1:42">
      <c r="A46" s="79"/>
      <c r="B46" s="107" t="s">
        <v>193</v>
      </c>
      <c r="C46" s="108">
        <v>300100</v>
      </c>
      <c r="D46" s="109" t="s">
        <v>367</v>
      </c>
      <c r="E46" s="110">
        <v>45320</v>
      </c>
      <c r="F46" s="111">
        <v>60</v>
      </c>
      <c r="G46" s="112">
        <v>0.05</v>
      </c>
      <c r="H46" s="113">
        <v>5796.46</v>
      </c>
      <c r="I46" s="113">
        <v>2478.06</v>
      </c>
      <c r="J46" s="113">
        <v>0</v>
      </c>
      <c r="K46" s="114">
        <f t="shared" si="1"/>
        <v>3318.4</v>
      </c>
      <c r="L46" s="114">
        <v>367.12</v>
      </c>
      <c r="M46" s="115"/>
      <c r="N46" s="116"/>
      <c r="O46" s="117">
        <f t="shared" si="2"/>
        <v>47149</v>
      </c>
      <c r="P46" s="118">
        <f t="shared" si="3"/>
        <v>4</v>
      </c>
      <c r="Q46" s="119">
        <f t="shared" si="4"/>
        <v>367.109133333333</v>
      </c>
      <c r="R46" s="119">
        <f t="shared" si="5"/>
        <v>-0.0108666666666863</v>
      </c>
      <c r="S46" s="120" t="s">
        <v>106</v>
      </c>
      <c r="U46" s="67"/>
      <c r="V46" s="121"/>
      <c r="W46" s="122"/>
      <c r="X46" s="57"/>
      <c r="Y46" s="57"/>
      <c r="Z46" s="57"/>
      <c r="AA46" s="57"/>
      <c r="AB46" s="57"/>
      <c r="AC46" s="57"/>
      <c r="AD46" s="57"/>
      <c r="AE46" s="57"/>
      <c r="AF46" s="57"/>
      <c r="AG46" s="57"/>
      <c r="AH46" s="57"/>
      <c r="AI46" s="57"/>
      <c r="AJ46" s="57"/>
      <c r="AK46" s="57"/>
      <c r="AL46" s="57"/>
      <c r="AM46" s="57"/>
      <c r="AN46" s="57"/>
      <c r="AO46" s="57"/>
      <c r="AP46" s="57"/>
    </row>
    <row r="47" s="59" customFormat="1" ht="16.5" spans="1:42">
      <c r="A47" s="79"/>
      <c r="B47" s="107" t="s">
        <v>193</v>
      </c>
      <c r="C47" s="108">
        <v>300101</v>
      </c>
      <c r="D47" s="109" t="s">
        <v>368</v>
      </c>
      <c r="E47" s="110">
        <v>45320</v>
      </c>
      <c r="F47" s="111">
        <v>60</v>
      </c>
      <c r="G47" s="112">
        <v>0.05</v>
      </c>
      <c r="H47" s="113">
        <v>14803.54</v>
      </c>
      <c r="I47" s="113">
        <v>6328.53</v>
      </c>
      <c r="J47" s="113">
        <v>0</v>
      </c>
      <c r="K47" s="114">
        <f t="shared" si="1"/>
        <v>8475.01</v>
      </c>
      <c r="L47" s="114">
        <v>937.56</v>
      </c>
      <c r="M47" s="115"/>
      <c r="N47" s="116"/>
      <c r="O47" s="117">
        <f t="shared" si="2"/>
        <v>47149</v>
      </c>
      <c r="P47" s="118">
        <f t="shared" si="3"/>
        <v>4</v>
      </c>
      <c r="Q47" s="119">
        <f t="shared" si="4"/>
        <v>937.557533333333</v>
      </c>
      <c r="R47" s="119">
        <f t="shared" si="5"/>
        <v>-0.00246666666669171</v>
      </c>
      <c r="S47" s="120" t="s">
        <v>106</v>
      </c>
      <c r="U47" s="67"/>
      <c r="V47" s="121"/>
      <c r="W47" s="122"/>
      <c r="X47" s="57"/>
      <c r="Y47" s="57"/>
      <c r="Z47" s="57"/>
      <c r="AA47" s="57"/>
      <c r="AB47" s="57"/>
      <c r="AC47" s="57"/>
      <c r="AD47" s="57"/>
      <c r="AE47" s="57"/>
      <c r="AF47" s="57"/>
      <c r="AG47" s="57"/>
      <c r="AH47" s="57"/>
      <c r="AI47" s="57"/>
      <c r="AJ47" s="57"/>
      <c r="AK47" s="57"/>
      <c r="AL47" s="57"/>
      <c r="AM47" s="57"/>
      <c r="AN47" s="57"/>
      <c r="AO47" s="57"/>
      <c r="AP47" s="57"/>
    </row>
    <row r="48" s="59" customFormat="1" ht="16.5" spans="1:42">
      <c r="A48" s="79"/>
      <c r="B48" s="107" t="s">
        <v>193</v>
      </c>
      <c r="C48" s="108">
        <v>300102</v>
      </c>
      <c r="D48" s="109" t="s">
        <v>369</v>
      </c>
      <c r="E48" s="110">
        <v>45320</v>
      </c>
      <c r="F48" s="111">
        <v>60</v>
      </c>
      <c r="G48" s="112">
        <v>0.05</v>
      </c>
      <c r="H48" s="113">
        <v>7391.15</v>
      </c>
      <c r="I48" s="113">
        <v>3159.77</v>
      </c>
      <c r="J48" s="113">
        <v>0</v>
      </c>
      <c r="K48" s="114">
        <f t="shared" si="1"/>
        <v>4231.38</v>
      </c>
      <c r="L48" s="114">
        <v>468.1</v>
      </c>
      <c r="M48" s="115"/>
      <c r="N48" s="116"/>
      <c r="O48" s="117">
        <f t="shared" si="2"/>
        <v>47149</v>
      </c>
      <c r="P48" s="118">
        <f t="shared" si="3"/>
        <v>4</v>
      </c>
      <c r="Q48" s="119">
        <f t="shared" si="4"/>
        <v>468.106166666667</v>
      </c>
      <c r="R48" s="119">
        <f t="shared" si="5"/>
        <v>0.00616666666661558</v>
      </c>
      <c r="S48" s="120" t="s">
        <v>106</v>
      </c>
      <c r="U48" s="67"/>
      <c r="V48" s="121"/>
      <c r="W48" s="122"/>
      <c r="X48" s="57"/>
      <c r="Y48" s="57"/>
      <c r="Z48" s="57"/>
      <c r="AA48" s="57"/>
      <c r="AB48" s="57"/>
      <c r="AC48" s="57"/>
      <c r="AD48" s="57"/>
      <c r="AE48" s="57"/>
      <c r="AF48" s="57"/>
      <c r="AG48" s="57"/>
      <c r="AH48" s="57"/>
      <c r="AI48" s="57"/>
      <c r="AJ48" s="57"/>
      <c r="AK48" s="57"/>
      <c r="AL48" s="57"/>
      <c r="AM48" s="57"/>
      <c r="AN48" s="57"/>
      <c r="AO48" s="57"/>
      <c r="AP48" s="57"/>
    </row>
    <row r="49" s="59" customFormat="1" ht="16.5" spans="1:42">
      <c r="A49" s="79"/>
      <c r="B49" s="107" t="s">
        <v>193</v>
      </c>
      <c r="C49" s="108">
        <v>300103</v>
      </c>
      <c r="D49" s="109" t="s">
        <v>370</v>
      </c>
      <c r="E49" s="110">
        <v>45320</v>
      </c>
      <c r="F49" s="111">
        <v>60</v>
      </c>
      <c r="G49" s="112">
        <v>0.05</v>
      </c>
      <c r="H49" s="113">
        <v>3080.53</v>
      </c>
      <c r="I49" s="113">
        <v>1316.93</v>
      </c>
      <c r="J49" s="113">
        <v>0</v>
      </c>
      <c r="K49" s="114">
        <f t="shared" si="1"/>
        <v>1763.6</v>
      </c>
      <c r="L49" s="114">
        <v>195.1</v>
      </c>
      <c r="M49" s="115"/>
      <c r="N49" s="116"/>
      <c r="O49" s="117">
        <f t="shared" si="2"/>
        <v>47149</v>
      </c>
      <c r="P49" s="118">
        <f t="shared" si="3"/>
        <v>4</v>
      </c>
      <c r="Q49" s="119">
        <f t="shared" si="4"/>
        <v>195.100233333333</v>
      </c>
      <c r="R49" s="119">
        <f t="shared" si="5"/>
        <v>0.000233333333369501</v>
      </c>
      <c r="S49" s="120" t="s">
        <v>106</v>
      </c>
      <c r="U49" s="67"/>
      <c r="V49" s="121"/>
      <c r="W49" s="122"/>
      <c r="X49" s="57"/>
      <c r="Y49" s="57"/>
      <c r="Z49" s="57"/>
      <c r="AA49" s="57"/>
      <c r="AB49" s="57"/>
      <c r="AC49" s="57"/>
      <c r="AD49" s="57"/>
      <c r="AE49" s="57"/>
      <c r="AF49" s="57"/>
      <c r="AG49" s="57"/>
      <c r="AH49" s="57"/>
      <c r="AI49" s="57"/>
      <c r="AJ49" s="57"/>
      <c r="AK49" s="57"/>
      <c r="AL49" s="57"/>
      <c r="AM49" s="57"/>
      <c r="AN49" s="57"/>
      <c r="AO49" s="57"/>
      <c r="AP49" s="57"/>
    </row>
    <row r="50" s="59" customFormat="1" ht="16.5" spans="1:42">
      <c r="A50" s="79"/>
      <c r="B50" s="107" t="s">
        <v>193</v>
      </c>
      <c r="C50" s="108">
        <v>300104</v>
      </c>
      <c r="D50" s="109" t="s">
        <v>371</v>
      </c>
      <c r="E50" s="110">
        <v>45320</v>
      </c>
      <c r="F50" s="111">
        <v>60</v>
      </c>
      <c r="G50" s="112">
        <v>0.05</v>
      </c>
      <c r="H50" s="113">
        <v>823.89</v>
      </c>
      <c r="I50" s="113">
        <v>352.22</v>
      </c>
      <c r="J50" s="113">
        <v>0</v>
      </c>
      <c r="K50" s="114">
        <f t="shared" si="1"/>
        <v>471.67</v>
      </c>
      <c r="L50" s="114">
        <v>52.18</v>
      </c>
      <c r="M50" s="115"/>
      <c r="N50" s="116"/>
      <c r="O50" s="117">
        <f t="shared" si="2"/>
        <v>47149</v>
      </c>
      <c r="P50" s="118">
        <f t="shared" si="3"/>
        <v>4</v>
      </c>
      <c r="Q50" s="119">
        <f t="shared" si="4"/>
        <v>52.1797</v>
      </c>
      <c r="R50" s="119">
        <f t="shared" si="5"/>
        <v>-0.000300000000002854</v>
      </c>
      <c r="S50" s="120" t="s">
        <v>106</v>
      </c>
      <c r="U50" s="67"/>
      <c r="V50" s="121"/>
      <c r="W50" s="122"/>
      <c r="X50" s="57"/>
      <c r="Y50" s="57"/>
      <c r="Z50" s="57"/>
      <c r="AA50" s="57"/>
      <c r="AB50" s="57"/>
      <c r="AC50" s="57"/>
      <c r="AD50" s="57"/>
      <c r="AE50" s="57"/>
      <c r="AF50" s="57"/>
      <c r="AG50" s="57"/>
      <c r="AH50" s="57"/>
      <c r="AI50" s="57"/>
      <c r="AJ50" s="57"/>
      <c r="AK50" s="57"/>
      <c r="AL50" s="57"/>
      <c r="AM50" s="57"/>
      <c r="AN50" s="57"/>
      <c r="AO50" s="57"/>
      <c r="AP50" s="57"/>
    </row>
    <row r="51" s="59" customFormat="1" ht="16.5" spans="1:42">
      <c r="A51" s="79"/>
      <c r="B51" s="107" t="s">
        <v>193</v>
      </c>
      <c r="C51" s="108">
        <v>300105</v>
      </c>
      <c r="D51" s="109" t="s">
        <v>372</v>
      </c>
      <c r="E51" s="110">
        <v>45320</v>
      </c>
      <c r="F51" s="111">
        <v>60</v>
      </c>
      <c r="G51" s="112">
        <v>0.05</v>
      </c>
      <c r="H51" s="113">
        <v>3803.54</v>
      </c>
      <c r="I51" s="113">
        <v>1625.94</v>
      </c>
      <c r="J51" s="113">
        <v>0</v>
      </c>
      <c r="K51" s="114">
        <f t="shared" si="1"/>
        <v>2177.6</v>
      </c>
      <c r="L51" s="114">
        <v>240.88</v>
      </c>
      <c r="M51" s="115"/>
      <c r="N51" s="116"/>
      <c r="O51" s="117">
        <f t="shared" si="2"/>
        <v>47149</v>
      </c>
      <c r="P51" s="118">
        <f t="shared" si="3"/>
        <v>4</v>
      </c>
      <c r="Q51" s="119">
        <f t="shared" si="4"/>
        <v>240.890866666667</v>
      </c>
      <c r="R51" s="119">
        <f t="shared" si="5"/>
        <v>0.0108666666666579</v>
      </c>
      <c r="S51" s="120" t="s">
        <v>106</v>
      </c>
      <c r="U51" s="67"/>
      <c r="V51" s="121"/>
      <c r="W51" s="122"/>
      <c r="X51" s="57"/>
      <c r="Y51" s="57"/>
      <c r="Z51" s="57"/>
      <c r="AA51" s="57"/>
      <c r="AB51" s="57"/>
      <c r="AC51" s="57"/>
      <c r="AD51" s="57"/>
      <c r="AE51" s="57"/>
      <c r="AF51" s="57"/>
      <c r="AG51" s="57"/>
      <c r="AH51" s="57"/>
      <c r="AI51" s="57"/>
      <c r="AJ51" s="57"/>
      <c r="AK51" s="57"/>
      <c r="AL51" s="57"/>
      <c r="AM51" s="57"/>
      <c r="AN51" s="57"/>
      <c r="AO51" s="57"/>
      <c r="AP51" s="57"/>
    </row>
    <row r="52" s="59" customFormat="1" ht="16.5" spans="1:42">
      <c r="A52" s="79"/>
      <c r="B52" s="107" t="s">
        <v>193</v>
      </c>
      <c r="C52" s="108">
        <v>300106</v>
      </c>
      <c r="D52" s="109" t="s">
        <v>373</v>
      </c>
      <c r="E52" s="110">
        <v>45320</v>
      </c>
      <c r="F52" s="111">
        <v>60</v>
      </c>
      <c r="G52" s="112">
        <v>0.05</v>
      </c>
      <c r="H52" s="113">
        <v>597.35</v>
      </c>
      <c r="I52" s="113">
        <v>255.42</v>
      </c>
      <c r="J52" s="113">
        <v>0</v>
      </c>
      <c r="K52" s="114">
        <f t="shared" si="1"/>
        <v>341.93</v>
      </c>
      <c r="L52" s="114">
        <v>37.84</v>
      </c>
      <c r="M52" s="115"/>
      <c r="N52" s="116"/>
      <c r="O52" s="117">
        <f t="shared" si="2"/>
        <v>47149</v>
      </c>
      <c r="P52" s="118">
        <f t="shared" si="3"/>
        <v>4</v>
      </c>
      <c r="Q52" s="119">
        <f t="shared" si="4"/>
        <v>37.8321666666667</v>
      </c>
      <c r="R52" s="119">
        <f t="shared" si="5"/>
        <v>-0.00783333333333758</v>
      </c>
      <c r="S52" s="120" t="s">
        <v>106</v>
      </c>
      <c r="U52" s="67"/>
      <c r="V52" s="121"/>
      <c r="W52" s="122"/>
      <c r="X52" s="57"/>
      <c r="Y52" s="57"/>
      <c r="Z52" s="57"/>
      <c r="AA52" s="57"/>
      <c r="AB52" s="57"/>
      <c r="AC52" s="57"/>
      <c r="AD52" s="57"/>
      <c r="AE52" s="57"/>
      <c r="AF52" s="57"/>
      <c r="AG52" s="57"/>
      <c r="AH52" s="57"/>
      <c r="AI52" s="57"/>
      <c r="AJ52" s="57"/>
      <c r="AK52" s="57"/>
      <c r="AL52" s="57"/>
      <c r="AM52" s="57"/>
      <c r="AN52" s="57"/>
      <c r="AO52" s="57"/>
      <c r="AP52" s="57"/>
    </row>
    <row r="53" s="59" customFormat="1" ht="16.5" spans="1:42">
      <c r="A53" s="79"/>
      <c r="B53" s="107" t="s">
        <v>193</v>
      </c>
      <c r="C53" s="108">
        <v>300107</v>
      </c>
      <c r="D53" s="109" t="s">
        <v>373</v>
      </c>
      <c r="E53" s="110">
        <v>45320</v>
      </c>
      <c r="F53" s="111">
        <v>60</v>
      </c>
      <c r="G53" s="112">
        <v>0.05</v>
      </c>
      <c r="H53" s="113">
        <v>955.75</v>
      </c>
      <c r="I53" s="113">
        <v>408.51</v>
      </c>
      <c r="J53" s="113">
        <v>0</v>
      </c>
      <c r="K53" s="114">
        <f t="shared" si="1"/>
        <v>547.24</v>
      </c>
      <c r="L53" s="114">
        <v>60.52</v>
      </c>
      <c r="M53" s="115"/>
      <c r="N53" s="116"/>
      <c r="O53" s="117">
        <f t="shared" si="2"/>
        <v>47149</v>
      </c>
      <c r="P53" s="118">
        <f t="shared" si="3"/>
        <v>4</v>
      </c>
      <c r="Q53" s="119">
        <f t="shared" si="4"/>
        <v>60.5308333333333</v>
      </c>
      <c r="R53" s="119">
        <f t="shared" si="5"/>
        <v>0.0108333333333306</v>
      </c>
      <c r="S53" s="120" t="s">
        <v>106</v>
      </c>
      <c r="U53" s="67"/>
      <c r="V53" s="121"/>
      <c r="W53" s="122"/>
      <c r="X53" s="57"/>
      <c r="Y53" s="57"/>
      <c r="Z53" s="57"/>
      <c r="AA53" s="57"/>
      <c r="AB53" s="57"/>
      <c r="AC53" s="57"/>
      <c r="AD53" s="57"/>
      <c r="AE53" s="57"/>
      <c r="AF53" s="57"/>
      <c r="AG53" s="57"/>
      <c r="AH53" s="57"/>
      <c r="AI53" s="57"/>
      <c r="AJ53" s="57"/>
      <c r="AK53" s="57"/>
      <c r="AL53" s="57"/>
      <c r="AM53" s="57"/>
      <c r="AN53" s="57"/>
      <c r="AO53" s="57"/>
      <c r="AP53" s="57"/>
    </row>
    <row r="54" s="59" customFormat="1" ht="16.5" spans="1:42">
      <c r="A54" s="79"/>
      <c r="B54" s="107" t="s">
        <v>193</v>
      </c>
      <c r="C54" s="108">
        <v>300108</v>
      </c>
      <c r="D54" s="109" t="s">
        <v>376</v>
      </c>
      <c r="E54" s="110">
        <v>45320</v>
      </c>
      <c r="F54" s="111">
        <v>60</v>
      </c>
      <c r="G54" s="112">
        <v>0.05</v>
      </c>
      <c r="H54" s="113">
        <v>22101.77</v>
      </c>
      <c r="I54" s="113">
        <v>9448.5</v>
      </c>
      <c r="J54" s="113">
        <v>0</v>
      </c>
      <c r="K54" s="114">
        <f t="shared" si="1"/>
        <v>12653.27</v>
      </c>
      <c r="L54" s="114">
        <v>1399.78</v>
      </c>
      <c r="M54" s="115"/>
      <c r="N54" s="116"/>
      <c r="O54" s="117">
        <f t="shared" si="2"/>
        <v>47149</v>
      </c>
      <c r="P54" s="118">
        <f t="shared" si="3"/>
        <v>4</v>
      </c>
      <c r="Q54" s="119">
        <f t="shared" si="4"/>
        <v>1399.77876666667</v>
      </c>
      <c r="R54" s="119">
        <f t="shared" si="5"/>
        <v>-0.0012333333334027</v>
      </c>
      <c r="S54" s="120" t="s">
        <v>106</v>
      </c>
      <c r="U54" s="67"/>
      <c r="V54" s="121"/>
      <c r="W54" s="122"/>
      <c r="X54" s="57"/>
      <c r="Y54" s="57"/>
      <c r="Z54" s="57"/>
      <c r="AA54" s="57"/>
      <c r="AB54" s="57"/>
      <c r="AC54" s="57"/>
      <c r="AD54" s="57"/>
      <c r="AE54" s="57"/>
      <c r="AF54" s="57"/>
      <c r="AG54" s="57"/>
      <c r="AH54" s="57"/>
      <c r="AI54" s="57"/>
      <c r="AJ54" s="57"/>
      <c r="AK54" s="57"/>
      <c r="AL54" s="57"/>
      <c r="AM54" s="57"/>
      <c r="AN54" s="57"/>
      <c r="AO54" s="57"/>
      <c r="AP54" s="57"/>
    </row>
    <row r="55" s="59" customFormat="1" ht="16.5" spans="1:42">
      <c r="A55" s="79"/>
      <c r="B55" s="107" t="s">
        <v>193</v>
      </c>
      <c r="C55" s="108">
        <v>300109</v>
      </c>
      <c r="D55" s="109" t="s">
        <v>377</v>
      </c>
      <c r="E55" s="110">
        <v>45320</v>
      </c>
      <c r="F55" s="111">
        <v>60</v>
      </c>
      <c r="G55" s="112">
        <v>0.05</v>
      </c>
      <c r="H55" s="113">
        <v>3089.38</v>
      </c>
      <c r="I55" s="113">
        <v>1320.72</v>
      </c>
      <c r="J55" s="113">
        <v>0</v>
      </c>
      <c r="K55" s="114">
        <f t="shared" si="1"/>
        <v>1768.66</v>
      </c>
      <c r="L55" s="114">
        <v>195.66</v>
      </c>
      <c r="M55" s="115"/>
      <c r="N55" s="116"/>
      <c r="O55" s="117">
        <f t="shared" si="2"/>
        <v>47149</v>
      </c>
      <c r="P55" s="118">
        <f t="shared" si="3"/>
        <v>4</v>
      </c>
      <c r="Q55" s="119">
        <f t="shared" si="4"/>
        <v>195.660733333333</v>
      </c>
      <c r="R55" s="119">
        <f t="shared" si="5"/>
        <v>0.000733333333329256</v>
      </c>
      <c r="S55" s="120" t="s">
        <v>106</v>
      </c>
      <c r="U55" s="67"/>
      <c r="V55" s="121"/>
      <c r="W55" s="122"/>
      <c r="X55" s="57"/>
      <c r="Y55" s="57"/>
      <c r="Z55" s="57"/>
      <c r="AA55" s="57"/>
      <c r="AB55" s="57"/>
      <c r="AC55" s="57"/>
      <c r="AD55" s="57"/>
      <c r="AE55" s="57"/>
      <c r="AF55" s="57"/>
      <c r="AG55" s="57"/>
      <c r="AH55" s="57"/>
      <c r="AI55" s="57"/>
      <c r="AJ55" s="57"/>
      <c r="AK55" s="57"/>
      <c r="AL55" s="57"/>
      <c r="AM55" s="57"/>
      <c r="AN55" s="57"/>
      <c r="AO55" s="57"/>
      <c r="AP55" s="57"/>
    </row>
    <row r="56" s="59" customFormat="1" ht="16.5" spans="1:42">
      <c r="A56" s="79"/>
      <c r="B56" s="107" t="s">
        <v>193</v>
      </c>
      <c r="C56" s="108">
        <v>300110</v>
      </c>
      <c r="D56" s="109" t="s">
        <v>378</v>
      </c>
      <c r="E56" s="110">
        <v>45320</v>
      </c>
      <c r="F56" s="111">
        <v>60</v>
      </c>
      <c r="G56" s="112">
        <v>0.05</v>
      </c>
      <c r="H56" s="113">
        <v>14513.27</v>
      </c>
      <c r="I56" s="113">
        <v>6204.38</v>
      </c>
      <c r="J56" s="113">
        <v>0</v>
      </c>
      <c r="K56" s="114">
        <f t="shared" si="1"/>
        <v>8308.89</v>
      </c>
      <c r="L56" s="114">
        <v>919.18</v>
      </c>
      <c r="M56" s="115"/>
      <c r="N56" s="116"/>
      <c r="O56" s="117">
        <f t="shared" si="2"/>
        <v>47149</v>
      </c>
      <c r="P56" s="118">
        <f t="shared" si="3"/>
        <v>4</v>
      </c>
      <c r="Q56" s="119">
        <f t="shared" si="4"/>
        <v>919.173766666667</v>
      </c>
      <c r="R56" s="119">
        <f t="shared" si="5"/>
        <v>-0.00623333333328446</v>
      </c>
      <c r="S56" s="120" t="s">
        <v>106</v>
      </c>
      <c r="U56" s="67"/>
      <c r="V56" s="121"/>
      <c r="W56" s="122"/>
      <c r="X56" s="57"/>
      <c r="Y56" s="57"/>
      <c r="Z56" s="57"/>
      <c r="AA56" s="57"/>
      <c r="AB56" s="57"/>
      <c r="AC56" s="57"/>
      <c r="AD56" s="57"/>
      <c r="AE56" s="57"/>
      <c r="AF56" s="57"/>
      <c r="AG56" s="57"/>
      <c r="AH56" s="57"/>
      <c r="AI56" s="57"/>
      <c r="AJ56" s="57"/>
      <c r="AK56" s="57"/>
      <c r="AL56" s="57"/>
      <c r="AM56" s="57"/>
      <c r="AN56" s="57"/>
      <c r="AO56" s="57"/>
      <c r="AP56" s="57"/>
    </row>
    <row r="57" s="59" customFormat="1" ht="16.5" spans="1:42">
      <c r="A57" s="79"/>
      <c r="B57" s="107" t="s">
        <v>193</v>
      </c>
      <c r="C57" s="108">
        <v>300111</v>
      </c>
      <c r="D57" s="109" t="s">
        <v>379</v>
      </c>
      <c r="E57" s="110">
        <v>45320</v>
      </c>
      <c r="F57" s="111">
        <v>60</v>
      </c>
      <c r="G57" s="112">
        <v>0.05</v>
      </c>
      <c r="H57" s="113">
        <v>9226.55</v>
      </c>
      <c r="I57" s="113">
        <v>3944.42</v>
      </c>
      <c r="J57" s="113">
        <v>0</v>
      </c>
      <c r="K57" s="114">
        <f t="shared" si="1"/>
        <v>5282.13</v>
      </c>
      <c r="L57" s="114">
        <v>584.35</v>
      </c>
      <c r="M57" s="115"/>
      <c r="N57" s="116"/>
      <c r="O57" s="117">
        <f t="shared" si="2"/>
        <v>47149</v>
      </c>
      <c r="P57" s="118">
        <f t="shared" si="3"/>
        <v>4</v>
      </c>
      <c r="Q57" s="119">
        <f t="shared" si="4"/>
        <v>584.348166666667</v>
      </c>
      <c r="R57" s="119">
        <f t="shared" si="5"/>
        <v>-0.00183333333347946</v>
      </c>
      <c r="S57" s="120" t="s">
        <v>106</v>
      </c>
      <c r="U57" s="67"/>
      <c r="V57" s="121"/>
      <c r="W57" s="122"/>
      <c r="X57" s="57"/>
      <c r="Y57" s="57"/>
      <c r="Z57" s="57"/>
      <c r="AA57" s="57"/>
      <c r="AB57" s="57"/>
      <c r="AC57" s="57"/>
      <c r="AD57" s="57"/>
      <c r="AE57" s="57"/>
      <c r="AF57" s="57"/>
      <c r="AG57" s="57"/>
      <c r="AH57" s="57"/>
      <c r="AI57" s="57"/>
      <c r="AJ57" s="57"/>
      <c r="AK57" s="57"/>
      <c r="AL57" s="57"/>
      <c r="AM57" s="57"/>
      <c r="AN57" s="57"/>
      <c r="AO57" s="57"/>
      <c r="AP57" s="57"/>
    </row>
    <row r="58" s="59" customFormat="1" ht="16.5" spans="1:42">
      <c r="A58" s="79"/>
      <c r="B58" s="107" t="s">
        <v>193</v>
      </c>
      <c r="C58" s="108">
        <v>300112</v>
      </c>
      <c r="D58" s="109" t="s">
        <v>380</v>
      </c>
      <c r="E58" s="110">
        <v>45320</v>
      </c>
      <c r="F58" s="111">
        <v>60</v>
      </c>
      <c r="G58" s="112">
        <v>0.05</v>
      </c>
      <c r="H58" s="113">
        <v>7787.61</v>
      </c>
      <c r="I58" s="113">
        <v>3329.17</v>
      </c>
      <c r="J58" s="113">
        <v>0</v>
      </c>
      <c r="K58" s="114">
        <f t="shared" si="1"/>
        <v>4458.44</v>
      </c>
      <c r="L58" s="114">
        <v>493.22</v>
      </c>
      <c r="M58" s="115"/>
      <c r="N58" s="116"/>
      <c r="O58" s="117">
        <f t="shared" si="2"/>
        <v>47149</v>
      </c>
      <c r="P58" s="118">
        <f t="shared" si="3"/>
        <v>4</v>
      </c>
      <c r="Q58" s="119">
        <f t="shared" si="4"/>
        <v>493.2153</v>
      </c>
      <c r="R58" s="119">
        <f t="shared" si="5"/>
        <v>-0.00470000000007076</v>
      </c>
      <c r="S58" s="120" t="s">
        <v>106</v>
      </c>
      <c r="U58" s="67"/>
      <c r="V58" s="121"/>
      <c r="W58" s="122"/>
      <c r="X58" s="57"/>
      <c r="Y58" s="57"/>
      <c r="Z58" s="57"/>
      <c r="AA58" s="57"/>
      <c r="AB58" s="57"/>
      <c r="AC58" s="57"/>
      <c r="AD58" s="57"/>
      <c r="AE58" s="57"/>
      <c r="AF58" s="57"/>
      <c r="AG58" s="57"/>
      <c r="AH58" s="57"/>
      <c r="AI58" s="57"/>
      <c r="AJ58" s="57"/>
      <c r="AK58" s="57"/>
      <c r="AL58" s="57"/>
      <c r="AM58" s="57"/>
      <c r="AN58" s="57"/>
      <c r="AO58" s="57"/>
      <c r="AP58" s="57"/>
    </row>
    <row r="59" s="59" customFormat="1" ht="16.5" spans="1:42">
      <c r="A59" s="79"/>
      <c r="B59" s="107" t="s">
        <v>193</v>
      </c>
      <c r="C59" s="108">
        <v>300113</v>
      </c>
      <c r="D59" s="109" t="s">
        <v>381</v>
      </c>
      <c r="E59" s="110">
        <v>45320</v>
      </c>
      <c r="F59" s="111">
        <v>60</v>
      </c>
      <c r="G59" s="112">
        <v>0.05</v>
      </c>
      <c r="H59" s="113">
        <v>45876.11</v>
      </c>
      <c r="I59" s="113">
        <v>19611.99</v>
      </c>
      <c r="J59" s="113">
        <v>0</v>
      </c>
      <c r="K59" s="114">
        <f t="shared" si="1"/>
        <v>26264.12</v>
      </c>
      <c r="L59" s="114">
        <v>2905.48</v>
      </c>
      <c r="M59" s="115"/>
      <c r="N59" s="116"/>
      <c r="O59" s="117">
        <f t="shared" si="2"/>
        <v>47149</v>
      </c>
      <c r="P59" s="118">
        <f t="shared" si="3"/>
        <v>4</v>
      </c>
      <c r="Q59" s="119">
        <f t="shared" si="4"/>
        <v>2905.48696666667</v>
      </c>
      <c r="R59" s="119">
        <f t="shared" si="5"/>
        <v>0.00696666666635792</v>
      </c>
      <c r="S59" s="120" t="s">
        <v>106</v>
      </c>
      <c r="U59" s="67"/>
      <c r="V59" s="121"/>
      <c r="W59" s="122"/>
      <c r="X59" s="57"/>
      <c r="Y59" s="57"/>
      <c r="Z59" s="57"/>
      <c r="AA59" s="57"/>
      <c r="AB59" s="57"/>
      <c r="AC59" s="57"/>
      <c r="AD59" s="57"/>
      <c r="AE59" s="57"/>
      <c r="AF59" s="57"/>
      <c r="AG59" s="57"/>
      <c r="AH59" s="57"/>
      <c r="AI59" s="57"/>
      <c r="AJ59" s="57"/>
      <c r="AK59" s="57"/>
      <c r="AL59" s="57"/>
      <c r="AM59" s="57"/>
      <c r="AN59" s="57"/>
      <c r="AO59" s="57"/>
      <c r="AP59" s="57"/>
    </row>
    <row r="60" s="59" customFormat="1" ht="16.5" spans="1:42">
      <c r="A60" s="79"/>
      <c r="B60" s="107" t="s">
        <v>193</v>
      </c>
      <c r="C60" s="108">
        <v>300114</v>
      </c>
      <c r="D60" s="109" t="s">
        <v>382</v>
      </c>
      <c r="E60" s="110">
        <v>45320</v>
      </c>
      <c r="F60" s="111">
        <v>60</v>
      </c>
      <c r="G60" s="112">
        <v>0.05</v>
      </c>
      <c r="H60" s="113">
        <v>4725.66</v>
      </c>
      <c r="I60" s="113">
        <v>2020.16</v>
      </c>
      <c r="J60" s="113">
        <v>0</v>
      </c>
      <c r="K60" s="114">
        <f t="shared" si="1"/>
        <v>2705.5</v>
      </c>
      <c r="L60" s="114">
        <v>299.3</v>
      </c>
      <c r="M60" s="115"/>
      <c r="N60" s="116"/>
      <c r="O60" s="117">
        <f t="shared" si="2"/>
        <v>47149</v>
      </c>
      <c r="P60" s="118">
        <f t="shared" si="3"/>
        <v>4</v>
      </c>
      <c r="Q60" s="119">
        <f t="shared" si="4"/>
        <v>299.2918</v>
      </c>
      <c r="R60" s="119">
        <f t="shared" si="5"/>
        <v>-0.00820000000004484</v>
      </c>
      <c r="S60" s="120" t="s">
        <v>106</v>
      </c>
      <c r="U60" s="67"/>
      <c r="V60" s="121"/>
      <c r="W60" s="122"/>
      <c r="X60" s="57"/>
      <c r="Y60" s="57"/>
      <c r="Z60" s="57"/>
      <c r="AA60" s="57"/>
      <c r="AB60" s="57"/>
      <c r="AC60" s="57"/>
      <c r="AD60" s="57"/>
      <c r="AE60" s="57"/>
      <c r="AF60" s="57"/>
      <c r="AG60" s="57"/>
      <c r="AH60" s="57"/>
      <c r="AI60" s="57"/>
      <c r="AJ60" s="57"/>
      <c r="AK60" s="57"/>
      <c r="AL60" s="57"/>
      <c r="AM60" s="57"/>
      <c r="AN60" s="57"/>
      <c r="AO60" s="57"/>
      <c r="AP60" s="57"/>
    </row>
    <row r="61" s="59" customFormat="1" ht="16.5" spans="1:42">
      <c r="A61" s="79"/>
      <c r="B61" s="107" t="s">
        <v>193</v>
      </c>
      <c r="C61" s="108">
        <v>300115</v>
      </c>
      <c r="D61" s="109" t="s">
        <v>383</v>
      </c>
      <c r="E61" s="110">
        <v>45320</v>
      </c>
      <c r="F61" s="111">
        <v>60</v>
      </c>
      <c r="G61" s="112">
        <v>0.05</v>
      </c>
      <c r="H61" s="113">
        <v>4327.43</v>
      </c>
      <c r="I61" s="113">
        <v>1850.04</v>
      </c>
      <c r="J61" s="113">
        <v>0</v>
      </c>
      <c r="K61" s="114">
        <f t="shared" si="1"/>
        <v>2477.39</v>
      </c>
      <c r="L61" s="114">
        <v>274.08</v>
      </c>
      <c r="M61" s="115"/>
      <c r="N61" s="116"/>
      <c r="O61" s="117">
        <f t="shared" si="2"/>
        <v>47149</v>
      </c>
      <c r="P61" s="118">
        <f t="shared" si="3"/>
        <v>4</v>
      </c>
      <c r="Q61" s="119">
        <f t="shared" si="4"/>
        <v>274.070566666667</v>
      </c>
      <c r="R61" s="119">
        <f t="shared" si="5"/>
        <v>-0.00943333333333385</v>
      </c>
      <c r="S61" s="120" t="s">
        <v>106</v>
      </c>
      <c r="U61" s="67"/>
      <c r="V61" s="121"/>
      <c r="W61" s="122"/>
      <c r="X61" s="57"/>
      <c r="Y61" s="57"/>
      <c r="Z61" s="57"/>
      <c r="AA61" s="57"/>
      <c r="AB61" s="57"/>
      <c r="AC61" s="57"/>
      <c r="AD61" s="57"/>
      <c r="AE61" s="57"/>
      <c r="AF61" s="57"/>
      <c r="AG61" s="57"/>
      <c r="AH61" s="57"/>
      <c r="AI61" s="57"/>
      <c r="AJ61" s="57"/>
      <c r="AK61" s="57"/>
      <c r="AL61" s="57"/>
      <c r="AM61" s="57"/>
      <c r="AN61" s="57"/>
      <c r="AO61" s="57"/>
      <c r="AP61" s="57"/>
    </row>
    <row r="62" s="59" customFormat="1" ht="16.5" spans="1:42">
      <c r="A62" s="79"/>
      <c r="B62" s="107" t="s">
        <v>193</v>
      </c>
      <c r="C62" s="108">
        <v>300116</v>
      </c>
      <c r="D62" s="109" t="s">
        <v>384</v>
      </c>
      <c r="E62" s="110">
        <v>45320</v>
      </c>
      <c r="F62" s="111">
        <v>60</v>
      </c>
      <c r="G62" s="112">
        <v>0.05</v>
      </c>
      <c r="H62" s="113">
        <v>1315.04</v>
      </c>
      <c r="I62" s="113">
        <v>562.14</v>
      </c>
      <c r="J62" s="113">
        <v>0</v>
      </c>
      <c r="K62" s="114">
        <f t="shared" si="1"/>
        <v>752.9</v>
      </c>
      <c r="L62" s="114">
        <v>83.28</v>
      </c>
      <c r="M62" s="115"/>
      <c r="N62" s="116"/>
      <c r="O62" s="117">
        <f t="shared" si="2"/>
        <v>47149</v>
      </c>
      <c r="P62" s="118">
        <f t="shared" si="3"/>
        <v>4</v>
      </c>
      <c r="Q62" s="119">
        <f t="shared" si="4"/>
        <v>83.2858666666667</v>
      </c>
      <c r="R62" s="119">
        <f t="shared" si="5"/>
        <v>0.00586666666666247</v>
      </c>
      <c r="S62" s="120" t="s">
        <v>106</v>
      </c>
      <c r="U62" s="67"/>
      <c r="V62" s="121"/>
      <c r="W62" s="122"/>
      <c r="X62" s="57"/>
      <c r="Y62" s="57"/>
      <c r="Z62" s="57"/>
      <c r="AA62" s="57"/>
      <c r="AB62" s="57"/>
      <c r="AC62" s="57"/>
      <c r="AD62" s="57"/>
      <c r="AE62" s="57"/>
      <c r="AF62" s="57"/>
      <c r="AG62" s="57"/>
      <c r="AH62" s="57"/>
      <c r="AI62" s="57"/>
      <c r="AJ62" s="57"/>
      <c r="AK62" s="57"/>
      <c r="AL62" s="57"/>
      <c r="AM62" s="57"/>
      <c r="AN62" s="57"/>
      <c r="AO62" s="57"/>
      <c r="AP62" s="57"/>
    </row>
    <row r="63" s="59" customFormat="1" ht="16.5" spans="1:42">
      <c r="A63" s="79"/>
      <c r="B63" s="107" t="s">
        <v>193</v>
      </c>
      <c r="C63" s="108">
        <v>300117</v>
      </c>
      <c r="D63" s="109" t="s">
        <v>385</v>
      </c>
      <c r="E63" s="110">
        <v>45320</v>
      </c>
      <c r="F63" s="111">
        <v>60</v>
      </c>
      <c r="G63" s="112">
        <v>0.05</v>
      </c>
      <c r="H63" s="113">
        <v>14885.84</v>
      </c>
      <c r="I63" s="113">
        <v>6363.63</v>
      </c>
      <c r="J63" s="113">
        <v>0</v>
      </c>
      <c r="K63" s="114">
        <f t="shared" si="1"/>
        <v>8522.21</v>
      </c>
      <c r="L63" s="114">
        <v>942.76</v>
      </c>
      <c r="M63" s="115"/>
      <c r="N63" s="116"/>
      <c r="O63" s="117">
        <f t="shared" si="2"/>
        <v>47149</v>
      </c>
      <c r="P63" s="118">
        <f t="shared" si="3"/>
        <v>4</v>
      </c>
      <c r="Q63" s="119">
        <f t="shared" si="4"/>
        <v>942.769866666667</v>
      </c>
      <c r="R63" s="119">
        <f t="shared" si="5"/>
        <v>0.00986666666665315</v>
      </c>
      <c r="S63" s="120" t="s">
        <v>106</v>
      </c>
      <c r="U63" s="67"/>
      <c r="V63" s="121"/>
      <c r="W63" s="122"/>
      <c r="X63" s="57"/>
      <c r="Y63" s="57"/>
      <c r="Z63" s="57"/>
      <c r="AA63" s="57"/>
      <c r="AB63" s="57"/>
      <c r="AC63" s="57"/>
      <c r="AD63" s="57"/>
      <c r="AE63" s="57"/>
      <c r="AF63" s="57"/>
      <c r="AG63" s="57"/>
      <c r="AH63" s="57"/>
      <c r="AI63" s="57"/>
      <c r="AJ63" s="57"/>
      <c r="AK63" s="57"/>
      <c r="AL63" s="57"/>
      <c r="AM63" s="57"/>
      <c r="AN63" s="57"/>
      <c r="AO63" s="57"/>
      <c r="AP63" s="57"/>
    </row>
    <row r="64" s="59" customFormat="1" ht="16.5" spans="1:42">
      <c r="A64" s="79"/>
      <c r="B64" s="107" t="s">
        <v>193</v>
      </c>
      <c r="C64" s="108">
        <v>300118</v>
      </c>
      <c r="D64" s="109" t="s">
        <v>386</v>
      </c>
      <c r="E64" s="110">
        <v>45320</v>
      </c>
      <c r="F64" s="111">
        <v>60</v>
      </c>
      <c r="G64" s="112">
        <v>0.05</v>
      </c>
      <c r="H64" s="113">
        <v>2897.35</v>
      </c>
      <c r="I64" s="113">
        <v>1238.61</v>
      </c>
      <c r="J64" s="113">
        <v>0</v>
      </c>
      <c r="K64" s="114">
        <f t="shared" si="1"/>
        <v>1658.74</v>
      </c>
      <c r="L64" s="114">
        <v>183.5</v>
      </c>
      <c r="M64" s="115"/>
      <c r="N64" s="116"/>
      <c r="O64" s="117">
        <f t="shared" si="2"/>
        <v>47149</v>
      </c>
      <c r="P64" s="118">
        <f t="shared" si="3"/>
        <v>4</v>
      </c>
      <c r="Q64" s="119">
        <f t="shared" si="4"/>
        <v>183.498833333333</v>
      </c>
      <c r="R64" s="119">
        <f t="shared" si="5"/>
        <v>-0.0011666666667054</v>
      </c>
      <c r="S64" s="120" t="s">
        <v>106</v>
      </c>
      <c r="U64" s="67"/>
      <c r="V64" s="121"/>
      <c r="W64" s="122"/>
      <c r="X64" s="57"/>
      <c r="Y64" s="57"/>
      <c r="Z64" s="57"/>
      <c r="AA64" s="57"/>
      <c r="AB64" s="57"/>
      <c r="AC64" s="57"/>
      <c r="AD64" s="57"/>
      <c r="AE64" s="57"/>
      <c r="AF64" s="57"/>
      <c r="AG64" s="57"/>
      <c r="AH64" s="57"/>
      <c r="AI64" s="57"/>
      <c r="AJ64" s="57"/>
      <c r="AK64" s="57"/>
      <c r="AL64" s="57"/>
      <c r="AM64" s="57"/>
      <c r="AN64" s="57"/>
      <c r="AO64" s="57"/>
      <c r="AP64" s="57"/>
    </row>
    <row r="65" s="59" customFormat="1" ht="16.5" spans="1:42">
      <c r="A65" s="79"/>
      <c r="B65" s="107" t="s">
        <v>193</v>
      </c>
      <c r="C65" s="108">
        <v>300119</v>
      </c>
      <c r="D65" s="109" t="s">
        <v>387</v>
      </c>
      <c r="E65" s="110">
        <v>45320</v>
      </c>
      <c r="F65" s="111">
        <v>60</v>
      </c>
      <c r="G65" s="112">
        <v>0.05</v>
      </c>
      <c r="H65" s="113">
        <v>4566.37</v>
      </c>
      <c r="I65" s="113">
        <v>1952.1</v>
      </c>
      <c r="J65" s="113">
        <v>0</v>
      </c>
      <c r="K65" s="114">
        <f t="shared" si="1"/>
        <v>2614.27</v>
      </c>
      <c r="L65" s="114">
        <v>289.2</v>
      </c>
      <c r="M65" s="115"/>
      <c r="N65" s="116"/>
      <c r="O65" s="117">
        <f t="shared" si="2"/>
        <v>47149</v>
      </c>
      <c r="P65" s="118">
        <f t="shared" si="3"/>
        <v>4</v>
      </c>
      <c r="Q65" s="119">
        <f t="shared" si="4"/>
        <v>289.203433333333</v>
      </c>
      <c r="R65" s="119">
        <f t="shared" si="5"/>
        <v>0.0034333333333052</v>
      </c>
      <c r="S65" s="120" t="s">
        <v>106</v>
      </c>
      <c r="U65" s="67"/>
      <c r="V65" s="121"/>
      <c r="W65" s="122"/>
      <c r="X65" s="57"/>
      <c r="Y65" s="57"/>
      <c r="Z65" s="57"/>
      <c r="AA65" s="57"/>
      <c r="AB65" s="57"/>
      <c r="AC65" s="57"/>
      <c r="AD65" s="57"/>
      <c r="AE65" s="57"/>
      <c r="AF65" s="57"/>
      <c r="AG65" s="57"/>
      <c r="AH65" s="57"/>
      <c r="AI65" s="57"/>
      <c r="AJ65" s="57"/>
      <c r="AK65" s="57"/>
      <c r="AL65" s="57"/>
      <c r="AM65" s="57"/>
      <c r="AN65" s="57"/>
      <c r="AO65" s="57"/>
      <c r="AP65" s="57"/>
    </row>
    <row r="66" s="59" customFormat="1" ht="16.5" spans="1:42">
      <c r="A66" s="79"/>
      <c r="B66" s="107" t="s">
        <v>193</v>
      </c>
      <c r="C66" s="108">
        <v>300120</v>
      </c>
      <c r="D66" s="109" t="s">
        <v>388</v>
      </c>
      <c r="E66" s="110">
        <v>45320</v>
      </c>
      <c r="F66" s="111">
        <v>60</v>
      </c>
      <c r="G66" s="112">
        <v>0.05</v>
      </c>
      <c r="H66" s="113">
        <v>5231.86</v>
      </c>
      <c r="I66" s="113">
        <v>2236.68</v>
      </c>
      <c r="J66" s="113">
        <v>0</v>
      </c>
      <c r="K66" s="114">
        <f t="shared" si="1"/>
        <v>2995.18</v>
      </c>
      <c r="L66" s="114">
        <v>331.36</v>
      </c>
      <c r="M66" s="115"/>
      <c r="N66" s="116"/>
      <c r="O66" s="117">
        <f t="shared" si="2"/>
        <v>47149</v>
      </c>
      <c r="P66" s="118">
        <f t="shared" si="3"/>
        <v>4</v>
      </c>
      <c r="Q66" s="119">
        <f t="shared" si="4"/>
        <v>331.351133333333</v>
      </c>
      <c r="R66" s="119">
        <f t="shared" si="5"/>
        <v>-0.00886666666667679</v>
      </c>
      <c r="S66" s="120" t="s">
        <v>106</v>
      </c>
      <c r="U66" s="67"/>
      <c r="V66" s="121"/>
      <c r="W66" s="122"/>
      <c r="X66" s="57"/>
      <c r="Y66" s="57"/>
      <c r="Z66" s="57"/>
      <c r="AA66" s="57"/>
      <c r="AB66" s="57"/>
      <c r="AC66" s="57"/>
      <c r="AD66" s="57"/>
      <c r="AE66" s="57"/>
      <c r="AF66" s="57"/>
      <c r="AG66" s="57"/>
      <c r="AH66" s="57"/>
      <c r="AI66" s="57"/>
      <c r="AJ66" s="57"/>
      <c r="AK66" s="57"/>
      <c r="AL66" s="57"/>
      <c r="AM66" s="57"/>
      <c r="AN66" s="57"/>
      <c r="AO66" s="57"/>
      <c r="AP66" s="57"/>
    </row>
    <row r="67" s="59" customFormat="1" ht="16.5" spans="1:42">
      <c r="A67" s="79"/>
      <c r="B67" s="107" t="s">
        <v>193</v>
      </c>
      <c r="C67" s="108">
        <v>300121</v>
      </c>
      <c r="D67" s="109" t="s">
        <v>389</v>
      </c>
      <c r="E67" s="110">
        <v>45320</v>
      </c>
      <c r="F67" s="111">
        <v>60</v>
      </c>
      <c r="G67" s="112">
        <v>0.05</v>
      </c>
      <c r="H67" s="113">
        <v>2299.12</v>
      </c>
      <c r="I67" s="113">
        <v>982.8</v>
      </c>
      <c r="J67" s="113">
        <v>0</v>
      </c>
      <c r="K67" s="114">
        <f t="shared" si="1"/>
        <v>1316.32</v>
      </c>
      <c r="L67" s="114">
        <v>145.6</v>
      </c>
      <c r="M67" s="115"/>
      <c r="N67" s="116"/>
      <c r="O67" s="117">
        <f t="shared" si="2"/>
        <v>47149</v>
      </c>
      <c r="P67" s="118">
        <f t="shared" si="3"/>
        <v>4</v>
      </c>
      <c r="Q67" s="119">
        <f t="shared" si="4"/>
        <v>145.610933333333</v>
      </c>
      <c r="R67" s="119">
        <f t="shared" si="5"/>
        <v>0.0109333333333268</v>
      </c>
      <c r="S67" s="120" t="s">
        <v>106</v>
      </c>
      <c r="U67" s="67"/>
      <c r="V67" s="121"/>
      <c r="W67" s="122"/>
      <c r="X67" s="57"/>
      <c r="Y67" s="57"/>
      <c r="Z67" s="57"/>
      <c r="AA67" s="57"/>
      <c r="AB67" s="57"/>
      <c r="AC67" s="57"/>
      <c r="AD67" s="57"/>
      <c r="AE67" s="57"/>
      <c r="AF67" s="57"/>
      <c r="AG67" s="57"/>
      <c r="AH67" s="57"/>
      <c r="AI67" s="57"/>
      <c r="AJ67" s="57"/>
      <c r="AK67" s="57"/>
      <c r="AL67" s="57"/>
      <c r="AM67" s="57"/>
      <c r="AN67" s="57"/>
      <c r="AO67" s="57"/>
      <c r="AP67" s="57"/>
    </row>
    <row r="68" s="59" customFormat="1" ht="16.5" spans="1:42">
      <c r="A68" s="79"/>
      <c r="B68" s="107" t="s">
        <v>193</v>
      </c>
      <c r="C68" s="108">
        <v>300122</v>
      </c>
      <c r="D68" s="109" t="s">
        <v>389</v>
      </c>
      <c r="E68" s="110">
        <v>45320</v>
      </c>
      <c r="F68" s="111">
        <v>60</v>
      </c>
      <c r="G68" s="112">
        <v>0.05</v>
      </c>
      <c r="H68" s="113">
        <v>2299.12</v>
      </c>
      <c r="I68" s="113">
        <v>982.8</v>
      </c>
      <c r="J68" s="113">
        <v>0</v>
      </c>
      <c r="K68" s="114">
        <f t="shared" si="1"/>
        <v>1316.32</v>
      </c>
      <c r="L68" s="114">
        <v>145.6</v>
      </c>
      <c r="M68" s="115"/>
      <c r="N68" s="116"/>
      <c r="O68" s="117">
        <f t="shared" si="2"/>
        <v>47149</v>
      </c>
      <c r="P68" s="118">
        <f t="shared" si="3"/>
        <v>4</v>
      </c>
      <c r="Q68" s="119">
        <f t="shared" si="4"/>
        <v>145.610933333333</v>
      </c>
      <c r="R68" s="119">
        <f t="shared" si="5"/>
        <v>0.0109333333333268</v>
      </c>
      <c r="S68" s="120" t="s">
        <v>106</v>
      </c>
      <c r="U68" s="67"/>
      <c r="V68" s="121"/>
      <c r="W68" s="122"/>
      <c r="X68" s="57"/>
      <c r="Y68" s="57"/>
      <c r="Z68" s="57"/>
      <c r="AA68" s="57"/>
      <c r="AB68" s="57"/>
      <c r="AC68" s="57"/>
      <c r="AD68" s="57"/>
      <c r="AE68" s="57"/>
      <c r="AF68" s="57"/>
      <c r="AG68" s="57"/>
      <c r="AH68" s="57"/>
      <c r="AI68" s="57"/>
      <c r="AJ68" s="57"/>
      <c r="AK68" s="57"/>
      <c r="AL68" s="57"/>
      <c r="AM68" s="57"/>
      <c r="AN68" s="57"/>
      <c r="AO68" s="57"/>
      <c r="AP68" s="57"/>
    </row>
    <row r="69" s="59" customFormat="1" ht="16.5" spans="1:42">
      <c r="A69" s="79"/>
      <c r="B69" s="107" t="s">
        <v>193</v>
      </c>
      <c r="C69" s="108">
        <v>300123</v>
      </c>
      <c r="D69" s="109" t="s">
        <v>392</v>
      </c>
      <c r="E69" s="110">
        <v>45320</v>
      </c>
      <c r="F69" s="111">
        <v>60</v>
      </c>
      <c r="G69" s="112">
        <v>0.05</v>
      </c>
      <c r="H69" s="113">
        <v>13359.29</v>
      </c>
      <c r="I69" s="113">
        <v>5711.04</v>
      </c>
      <c r="J69" s="113">
        <v>0</v>
      </c>
      <c r="K69" s="114">
        <f t="shared" si="1"/>
        <v>7648.25</v>
      </c>
      <c r="L69" s="114">
        <v>846.08</v>
      </c>
      <c r="M69" s="115"/>
      <c r="N69" s="116"/>
      <c r="O69" s="117">
        <f t="shared" si="2"/>
        <v>47149</v>
      </c>
      <c r="P69" s="118">
        <f t="shared" si="3"/>
        <v>4</v>
      </c>
      <c r="Q69" s="119">
        <f t="shared" si="4"/>
        <v>846.088366666667</v>
      </c>
      <c r="R69" s="119">
        <f t="shared" si="5"/>
        <v>0.00836666666668862</v>
      </c>
      <c r="S69" s="120" t="s">
        <v>106</v>
      </c>
      <c r="U69" s="67"/>
      <c r="V69" s="121"/>
      <c r="W69" s="122"/>
      <c r="X69" s="57"/>
      <c r="Y69" s="57"/>
      <c r="Z69" s="57"/>
      <c r="AA69" s="57"/>
      <c r="AB69" s="57"/>
      <c r="AC69" s="57"/>
      <c r="AD69" s="57"/>
      <c r="AE69" s="57"/>
      <c r="AF69" s="57"/>
      <c r="AG69" s="57"/>
      <c r="AH69" s="57"/>
      <c r="AI69" s="57"/>
      <c r="AJ69" s="57"/>
      <c r="AK69" s="57"/>
      <c r="AL69" s="57"/>
      <c r="AM69" s="57"/>
      <c r="AN69" s="57"/>
      <c r="AO69" s="57"/>
      <c r="AP69" s="57"/>
    </row>
    <row r="70" s="59" customFormat="1" ht="16.5" spans="1:42">
      <c r="A70" s="79"/>
      <c r="B70" s="107" t="s">
        <v>193</v>
      </c>
      <c r="C70" s="108">
        <v>300124</v>
      </c>
      <c r="D70" s="109" t="s">
        <v>393</v>
      </c>
      <c r="E70" s="110">
        <v>45320</v>
      </c>
      <c r="F70" s="111">
        <v>60</v>
      </c>
      <c r="G70" s="112">
        <v>0.05</v>
      </c>
      <c r="H70" s="113">
        <v>13847.79</v>
      </c>
      <c r="I70" s="113">
        <v>5919.99</v>
      </c>
      <c r="J70" s="113">
        <v>0</v>
      </c>
      <c r="K70" s="114">
        <f t="shared" si="1"/>
        <v>7927.8</v>
      </c>
      <c r="L70" s="114">
        <v>877.02</v>
      </c>
      <c r="M70" s="115"/>
      <c r="N70" s="116"/>
      <c r="O70" s="117">
        <f t="shared" si="2"/>
        <v>47149</v>
      </c>
      <c r="P70" s="118">
        <f t="shared" si="3"/>
        <v>4</v>
      </c>
      <c r="Q70" s="119">
        <f t="shared" si="4"/>
        <v>877.0267</v>
      </c>
      <c r="R70" s="119">
        <f t="shared" si="5"/>
        <v>0.00670000000002346</v>
      </c>
      <c r="S70" s="120" t="s">
        <v>106</v>
      </c>
      <c r="U70" s="67"/>
      <c r="V70" s="121"/>
      <c r="W70" s="122"/>
      <c r="X70" s="57"/>
      <c r="Y70" s="57"/>
      <c r="Z70" s="57"/>
      <c r="AA70" s="57"/>
      <c r="AB70" s="57"/>
      <c r="AC70" s="57"/>
      <c r="AD70" s="57"/>
      <c r="AE70" s="57"/>
      <c r="AF70" s="57"/>
      <c r="AG70" s="57"/>
      <c r="AH70" s="57"/>
      <c r="AI70" s="57"/>
      <c r="AJ70" s="57"/>
      <c r="AK70" s="57"/>
      <c r="AL70" s="57"/>
      <c r="AM70" s="57"/>
      <c r="AN70" s="57"/>
      <c r="AO70" s="57"/>
      <c r="AP70" s="57"/>
    </row>
    <row r="71" s="59" customFormat="1" ht="16.5" spans="1:42">
      <c r="A71" s="79"/>
      <c r="B71" s="107" t="s">
        <v>193</v>
      </c>
      <c r="C71" s="108">
        <v>300125</v>
      </c>
      <c r="D71" s="109" t="s">
        <v>394</v>
      </c>
      <c r="E71" s="110">
        <v>45320</v>
      </c>
      <c r="F71" s="111">
        <v>60</v>
      </c>
      <c r="G71" s="112">
        <v>0.05</v>
      </c>
      <c r="H71" s="113">
        <v>1391.15</v>
      </c>
      <c r="I71" s="113">
        <v>594.77</v>
      </c>
      <c r="J71" s="113">
        <v>0</v>
      </c>
      <c r="K71" s="114">
        <f t="shared" si="1"/>
        <v>796.38</v>
      </c>
      <c r="L71" s="114">
        <v>88.1</v>
      </c>
      <c r="M71" s="115"/>
      <c r="N71" s="116"/>
      <c r="O71" s="117">
        <f t="shared" si="2"/>
        <v>47149</v>
      </c>
      <c r="P71" s="118">
        <f t="shared" si="3"/>
        <v>4</v>
      </c>
      <c r="Q71" s="119">
        <f t="shared" si="4"/>
        <v>88.1061666666667</v>
      </c>
      <c r="R71" s="119">
        <f t="shared" si="5"/>
        <v>0.00616666666667243</v>
      </c>
      <c r="S71" s="120" t="s">
        <v>106</v>
      </c>
      <c r="U71" s="67"/>
      <c r="V71" s="121"/>
      <c r="W71" s="122"/>
      <c r="X71" s="57"/>
      <c r="Y71" s="57"/>
      <c r="Z71" s="57"/>
      <c r="AA71" s="57"/>
      <c r="AB71" s="57"/>
      <c r="AC71" s="57"/>
      <c r="AD71" s="57"/>
      <c r="AE71" s="57"/>
      <c r="AF71" s="57"/>
      <c r="AG71" s="57"/>
      <c r="AH71" s="57"/>
      <c r="AI71" s="57"/>
      <c r="AJ71" s="57"/>
      <c r="AK71" s="57"/>
      <c r="AL71" s="57"/>
      <c r="AM71" s="57"/>
      <c r="AN71" s="57"/>
      <c r="AO71" s="57"/>
      <c r="AP71" s="57"/>
    </row>
    <row r="72" s="59" customFormat="1" ht="16.5" spans="1:42">
      <c r="A72" s="79"/>
      <c r="B72" s="107" t="s">
        <v>193</v>
      </c>
      <c r="C72" s="108">
        <v>300126</v>
      </c>
      <c r="D72" s="109" t="s">
        <v>395</v>
      </c>
      <c r="E72" s="110">
        <v>45320</v>
      </c>
      <c r="F72" s="111">
        <v>60</v>
      </c>
      <c r="G72" s="112">
        <v>0.05</v>
      </c>
      <c r="H72" s="113">
        <v>6244.25</v>
      </c>
      <c r="I72" s="113">
        <v>2669.49</v>
      </c>
      <c r="J72" s="113">
        <v>0</v>
      </c>
      <c r="K72" s="114">
        <f t="shared" si="1"/>
        <v>3574.76</v>
      </c>
      <c r="L72" s="114">
        <v>395.48</v>
      </c>
      <c r="M72" s="115"/>
      <c r="N72" s="116"/>
      <c r="O72" s="117">
        <f t="shared" si="2"/>
        <v>47149</v>
      </c>
      <c r="P72" s="118">
        <f t="shared" si="3"/>
        <v>4</v>
      </c>
      <c r="Q72" s="119">
        <f t="shared" si="4"/>
        <v>395.469166666667</v>
      </c>
      <c r="R72" s="119">
        <f t="shared" si="5"/>
        <v>-0.0108333333333803</v>
      </c>
      <c r="S72" s="120" t="s">
        <v>106</v>
      </c>
      <c r="U72" s="67"/>
      <c r="V72" s="121"/>
      <c r="W72" s="122"/>
      <c r="X72" s="57"/>
      <c r="Y72" s="57"/>
      <c r="Z72" s="57"/>
      <c r="AA72" s="57"/>
      <c r="AB72" s="57"/>
      <c r="AC72" s="57"/>
      <c r="AD72" s="57"/>
      <c r="AE72" s="57"/>
      <c r="AF72" s="57"/>
      <c r="AG72" s="57"/>
      <c r="AH72" s="57"/>
      <c r="AI72" s="57"/>
      <c r="AJ72" s="57"/>
      <c r="AK72" s="57"/>
      <c r="AL72" s="57"/>
      <c r="AM72" s="57"/>
      <c r="AN72" s="57"/>
      <c r="AO72" s="57"/>
      <c r="AP72" s="57"/>
    </row>
    <row r="73" s="59" customFormat="1" ht="16.5" spans="1:42">
      <c r="A73" s="79"/>
      <c r="B73" s="107" t="s">
        <v>193</v>
      </c>
      <c r="C73" s="108">
        <v>300127</v>
      </c>
      <c r="D73" s="109" t="s">
        <v>396</v>
      </c>
      <c r="E73" s="110">
        <v>45322</v>
      </c>
      <c r="F73" s="111">
        <v>60</v>
      </c>
      <c r="G73" s="112">
        <v>0.05</v>
      </c>
      <c r="H73" s="113">
        <v>977</v>
      </c>
      <c r="I73" s="113">
        <v>417.69</v>
      </c>
      <c r="J73" s="113">
        <v>0</v>
      </c>
      <c r="K73" s="114">
        <f t="shared" ref="K73:K136" si="6">H73-I73-J73</f>
        <v>559.31</v>
      </c>
      <c r="L73" s="114">
        <v>61.88</v>
      </c>
      <c r="M73" s="115"/>
      <c r="N73" s="116"/>
      <c r="O73" s="117">
        <f t="shared" ref="O73:O136" si="7">IFERROR(EOMONTH(E73,F73),"")</f>
        <v>47149</v>
      </c>
      <c r="P73" s="118">
        <f t="shared" ref="P73:P136" si="8">IFERROR(IF(OR(AND(M73&lt;&gt;"",YEAR(M73)&lt;YEAR($L$6)),AND(O73&lt;&gt;"",YEAR(O73)&lt;YEAR($L$6))),0,IF(YEAR(E73)&gt;YEAR($L$6),0,IF(OR((IF(YEAR(E73)&lt;YEAR($L$6),1,IF(MONTH(E73)=12,99,MONTH(E73)+1))&gt;12),(IF(YEAR(E73)&lt;YEAR($L$6),1,IF(MONTH(E73)=12,99,MONTH(E73)+1))&gt;MIN(MONTH($L$6),IF(AND(M73&lt;&gt;"",YEAR(M73)=YEAR($L$6)),MONTH(M73),99),IF(AND(O73&lt;&gt;"",YEAR(O73)=YEAR($L$6)),MONTH(O73),99)))),0,MIN(MONTH($L$6),IF(AND(M73&lt;&gt;"",YEAR(M73)=YEAR($L$6)),MONTH(M73),99),IF(AND(O73&lt;&gt;"",YEAR(O73)=YEAR($L$6)),MONTH(O73),99))-IF(YEAR(E73)&lt;YEAR($L$6),1,IF(MONTH(E73)=12,99,MONTH(E73)+1))+1))),0)</f>
        <v>4</v>
      </c>
      <c r="Q73" s="119">
        <f t="shared" ref="Q73:Q136" si="9">IFERROR(IF(N73=0,(H73*(1-G73))/F73*P73,(N73*(1-G73))/F73*P73),0)</f>
        <v>61.8766666666667</v>
      </c>
      <c r="R73" s="119">
        <f t="shared" ref="R73:R136" si="10">Q73-L73</f>
        <v>-0.00333333333333741</v>
      </c>
      <c r="S73" s="120" t="s">
        <v>106</v>
      </c>
      <c r="U73" s="67"/>
      <c r="V73" s="121"/>
      <c r="W73" s="122"/>
      <c r="X73" s="57"/>
      <c r="Y73" s="57"/>
      <c r="Z73" s="57"/>
      <c r="AA73" s="57"/>
      <c r="AB73" s="57"/>
      <c r="AC73" s="57"/>
      <c r="AD73" s="57"/>
      <c r="AE73" s="57"/>
      <c r="AF73" s="57"/>
      <c r="AG73" s="57"/>
      <c r="AH73" s="57"/>
      <c r="AI73" s="57"/>
      <c r="AJ73" s="57"/>
      <c r="AK73" s="57"/>
      <c r="AL73" s="57"/>
      <c r="AM73" s="57"/>
      <c r="AN73" s="57"/>
      <c r="AO73" s="57"/>
      <c r="AP73" s="57"/>
    </row>
    <row r="74" s="59" customFormat="1" ht="16.5" spans="1:42">
      <c r="A74" s="79"/>
      <c r="B74" s="107" t="s">
        <v>193</v>
      </c>
      <c r="C74" s="108">
        <v>300129</v>
      </c>
      <c r="D74" s="109" t="s">
        <v>398</v>
      </c>
      <c r="E74" s="110">
        <v>45348</v>
      </c>
      <c r="F74" s="111">
        <v>60</v>
      </c>
      <c r="G74" s="112">
        <v>0.05</v>
      </c>
      <c r="H74" s="113">
        <v>2654.87</v>
      </c>
      <c r="I74" s="113">
        <v>1092.94</v>
      </c>
      <c r="J74" s="113">
        <v>0</v>
      </c>
      <c r="K74" s="114">
        <f t="shared" si="6"/>
        <v>1561.93</v>
      </c>
      <c r="L74" s="114">
        <v>168.14</v>
      </c>
      <c r="M74" s="115"/>
      <c r="N74" s="116"/>
      <c r="O74" s="117">
        <f t="shared" si="7"/>
        <v>47177</v>
      </c>
      <c r="P74" s="118">
        <f t="shared" si="8"/>
        <v>4</v>
      </c>
      <c r="Q74" s="119">
        <f t="shared" si="9"/>
        <v>168.141766666667</v>
      </c>
      <c r="R74" s="119">
        <f t="shared" si="10"/>
        <v>0.00176666666666847</v>
      </c>
      <c r="S74" s="120" t="s">
        <v>106</v>
      </c>
      <c r="U74" s="67"/>
      <c r="V74" s="121"/>
      <c r="W74" s="122"/>
      <c r="X74" s="57"/>
      <c r="Y74" s="57"/>
      <c r="Z74" s="57"/>
      <c r="AA74" s="57"/>
      <c r="AB74" s="57"/>
      <c r="AC74" s="57"/>
      <c r="AD74" s="57"/>
      <c r="AE74" s="57"/>
      <c r="AF74" s="57"/>
      <c r="AG74" s="57"/>
      <c r="AH74" s="57"/>
      <c r="AI74" s="57"/>
      <c r="AJ74" s="57"/>
      <c r="AK74" s="57"/>
      <c r="AL74" s="57"/>
      <c r="AM74" s="57"/>
      <c r="AN74" s="57"/>
      <c r="AO74" s="57"/>
      <c r="AP74" s="57"/>
    </row>
    <row r="75" s="59" customFormat="1" ht="16.5" spans="1:42">
      <c r="A75" s="79"/>
      <c r="B75" s="107" t="s">
        <v>193</v>
      </c>
      <c r="C75" s="108">
        <v>300130</v>
      </c>
      <c r="D75" s="109" t="s">
        <v>380</v>
      </c>
      <c r="E75" s="110">
        <v>45348</v>
      </c>
      <c r="F75" s="111">
        <v>60</v>
      </c>
      <c r="G75" s="112">
        <v>0.05</v>
      </c>
      <c r="H75" s="113">
        <v>1061.94</v>
      </c>
      <c r="I75" s="113">
        <v>437.13</v>
      </c>
      <c r="J75" s="113">
        <v>0</v>
      </c>
      <c r="K75" s="114">
        <f t="shared" si="6"/>
        <v>624.81</v>
      </c>
      <c r="L75" s="114">
        <v>67.26</v>
      </c>
      <c r="M75" s="115"/>
      <c r="N75" s="116"/>
      <c r="O75" s="117">
        <f t="shared" si="7"/>
        <v>47177</v>
      </c>
      <c r="P75" s="118">
        <f t="shared" si="8"/>
        <v>4</v>
      </c>
      <c r="Q75" s="119">
        <f t="shared" si="9"/>
        <v>67.2562</v>
      </c>
      <c r="R75" s="119">
        <f t="shared" si="10"/>
        <v>-0.00380000000001246</v>
      </c>
      <c r="S75" s="120" t="s">
        <v>106</v>
      </c>
      <c r="U75" s="67"/>
      <c r="V75" s="121"/>
      <c r="W75" s="122"/>
      <c r="X75" s="57"/>
      <c r="Y75" s="57"/>
      <c r="Z75" s="57"/>
      <c r="AA75" s="57"/>
      <c r="AB75" s="57"/>
      <c r="AC75" s="57"/>
      <c r="AD75" s="57"/>
      <c r="AE75" s="57"/>
      <c r="AF75" s="57"/>
      <c r="AG75" s="57"/>
      <c r="AH75" s="57"/>
      <c r="AI75" s="57"/>
      <c r="AJ75" s="57"/>
      <c r="AK75" s="57"/>
      <c r="AL75" s="57"/>
      <c r="AM75" s="57"/>
      <c r="AN75" s="57"/>
      <c r="AO75" s="57"/>
      <c r="AP75" s="57"/>
    </row>
    <row r="76" s="59" customFormat="1" ht="16.5" spans="1:42">
      <c r="A76" s="79"/>
      <c r="B76" s="107" t="s">
        <v>193</v>
      </c>
      <c r="C76" s="108">
        <v>300131</v>
      </c>
      <c r="D76" s="109" t="s">
        <v>398</v>
      </c>
      <c r="E76" s="110">
        <v>45348</v>
      </c>
      <c r="F76" s="111">
        <v>60</v>
      </c>
      <c r="G76" s="112">
        <v>0.05</v>
      </c>
      <c r="H76" s="113">
        <v>2654.86</v>
      </c>
      <c r="I76" s="113">
        <v>1092.93</v>
      </c>
      <c r="J76" s="113">
        <v>0</v>
      </c>
      <c r="K76" s="114">
        <f t="shared" si="6"/>
        <v>1561.93</v>
      </c>
      <c r="L76" s="114">
        <v>168.14</v>
      </c>
      <c r="M76" s="115"/>
      <c r="N76" s="116"/>
      <c r="O76" s="117">
        <f t="shared" si="7"/>
        <v>47177</v>
      </c>
      <c r="P76" s="118">
        <f t="shared" si="8"/>
        <v>4</v>
      </c>
      <c r="Q76" s="119">
        <f t="shared" si="9"/>
        <v>168.141133333333</v>
      </c>
      <c r="R76" s="119">
        <f t="shared" si="10"/>
        <v>0.00113333333337096</v>
      </c>
      <c r="S76" s="120" t="s">
        <v>106</v>
      </c>
      <c r="U76" s="67"/>
      <c r="V76" s="121"/>
      <c r="W76" s="122"/>
      <c r="X76" s="57"/>
      <c r="Y76" s="57"/>
      <c r="Z76" s="57"/>
      <c r="AA76" s="57"/>
      <c r="AB76" s="57"/>
      <c r="AC76" s="57"/>
      <c r="AD76" s="57"/>
      <c r="AE76" s="57"/>
      <c r="AF76" s="57"/>
      <c r="AG76" s="57"/>
      <c r="AH76" s="57"/>
      <c r="AI76" s="57"/>
      <c r="AJ76" s="57"/>
      <c r="AK76" s="57"/>
      <c r="AL76" s="57"/>
      <c r="AM76" s="57"/>
      <c r="AN76" s="57"/>
      <c r="AO76" s="57"/>
      <c r="AP76" s="57"/>
    </row>
    <row r="77" s="59" customFormat="1" ht="16.5" spans="1:42">
      <c r="A77" s="79"/>
      <c r="B77" s="107" t="s">
        <v>193</v>
      </c>
      <c r="C77" s="108">
        <v>300132</v>
      </c>
      <c r="D77" s="109" t="s">
        <v>380</v>
      </c>
      <c r="E77" s="110">
        <v>45348</v>
      </c>
      <c r="F77" s="111">
        <v>60</v>
      </c>
      <c r="G77" s="112">
        <v>0.05</v>
      </c>
      <c r="H77" s="113">
        <v>1061.95</v>
      </c>
      <c r="I77" s="113">
        <v>437.14</v>
      </c>
      <c r="J77" s="113">
        <v>0</v>
      </c>
      <c r="K77" s="114">
        <f t="shared" si="6"/>
        <v>624.81</v>
      </c>
      <c r="L77" s="114">
        <v>67.26</v>
      </c>
      <c r="M77" s="115"/>
      <c r="N77" s="116"/>
      <c r="O77" s="117">
        <f t="shared" si="7"/>
        <v>47177</v>
      </c>
      <c r="P77" s="118">
        <f t="shared" si="8"/>
        <v>4</v>
      </c>
      <c r="Q77" s="119">
        <f t="shared" si="9"/>
        <v>67.2568333333333</v>
      </c>
      <c r="R77" s="119">
        <f t="shared" si="10"/>
        <v>-0.00316666666667231</v>
      </c>
      <c r="S77" s="120" t="s">
        <v>106</v>
      </c>
      <c r="U77" s="67"/>
      <c r="V77" s="121"/>
      <c r="W77" s="122"/>
      <c r="X77" s="57"/>
      <c r="Y77" s="57"/>
      <c r="Z77" s="57"/>
      <c r="AA77" s="57"/>
      <c r="AB77" s="57"/>
      <c r="AC77" s="57"/>
      <c r="AD77" s="57"/>
      <c r="AE77" s="57"/>
      <c r="AF77" s="57"/>
      <c r="AG77" s="57"/>
      <c r="AH77" s="57"/>
      <c r="AI77" s="57"/>
      <c r="AJ77" s="57"/>
      <c r="AK77" s="57"/>
      <c r="AL77" s="57"/>
      <c r="AM77" s="57"/>
      <c r="AN77" s="57"/>
      <c r="AO77" s="57"/>
      <c r="AP77" s="57"/>
    </row>
    <row r="78" s="59" customFormat="1" ht="16.5" spans="1:42">
      <c r="A78" s="79"/>
      <c r="B78" s="107" t="s">
        <v>193</v>
      </c>
      <c r="C78" s="108">
        <v>300133</v>
      </c>
      <c r="D78" s="109" t="s">
        <v>401</v>
      </c>
      <c r="E78" s="110">
        <v>45364</v>
      </c>
      <c r="F78" s="111">
        <v>60</v>
      </c>
      <c r="G78" s="112">
        <v>0.05</v>
      </c>
      <c r="H78" s="113">
        <v>1068</v>
      </c>
      <c r="I78" s="113">
        <v>422.75</v>
      </c>
      <c r="J78" s="113">
        <v>0</v>
      </c>
      <c r="K78" s="114">
        <f t="shared" si="6"/>
        <v>645.25</v>
      </c>
      <c r="L78" s="114">
        <v>67.64</v>
      </c>
      <c r="M78" s="115"/>
      <c r="N78" s="116"/>
      <c r="O78" s="117">
        <f t="shared" si="7"/>
        <v>47208</v>
      </c>
      <c r="P78" s="118">
        <f t="shared" si="8"/>
        <v>4</v>
      </c>
      <c r="Q78" s="119">
        <f t="shared" si="9"/>
        <v>67.64</v>
      </c>
      <c r="R78" s="119">
        <f t="shared" si="10"/>
        <v>0</v>
      </c>
      <c r="S78" s="120" t="s">
        <v>106</v>
      </c>
      <c r="U78" s="67"/>
      <c r="V78" s="121"/>
      <c r="W78" s="122"/>
      <c r="X78" s="57"/>
      <c r="Y78" s="57"/>
      <c r="Z78" s="57"/>
      <c r="AA78" s="57"/>
      <c r="AB78" s="57"/>
      <c r="AC78" s="57"/>
      <c r="AD78" s="57"/>
      <c r="AE78" s="57"/>
      <c r="AF78" s="57"/>
      <c r="AG78" s="57"/>
      <c r="AH78" s="57"/>
      <c r="AI78" s="57"/>
      <c r="AJ78" s="57"/>
      <c r="AK78" s="57"/>
      <c r="AL78" s="57"/>
      <c r="AM78" s="57"/>
      <c r="AN78" s="57"/>
      <c r="AO78" s="57"/>
      <c r="AP78" s="57"/>
    </row>
    <row r="79" s="59" customFormat="1" ht="16.5" spans="1:42">
      <c r="A79" s="79"/>
      <c r="B79" s="107" t="s">
        <v>193</v>
      </c>
      <c r="C79" s="108">
        <v>300134</v>
      </c>
      <c r="D79" s="109" t="s">
        <v>402</v>
      </c>
      <c r="E79" s="110">
        <v>45372</v>
      </c>
      <c r="F79" s="111">
        <v>60</v>
      </c>
      <c r="G79" s="112">
        <v>0.05</v>
      </c>
      <c r="H79" s="113">
        <v>600.88</v>
      </c>
      <c r="I79" s="113">
        <v>237.82</v>
      </c>
      <c r="J79" s="113">
        <v>0</v>
      </c>
      <c r="K79" s="114">
        <f t="shared" si="6"/>
        <v>363.06</v>
      </c>
      <c r="L79" s="114">
        <v>38.06</v>
      </c>
      <c r="M79" s="115"/>
      <c r="N79" s="116"/>
      <c r="O79" s="117">
        <f t="shared" si="7"/>
        <v>47208</v>
      </c>
      <c r="P79" s="118">
        <f t="shared" si="8"/>
        <v>4</v>
      </c>
      <c r="Q79" s="119">
        <f t="shared" si="9"/>
        <v>38.0557333333333</v>
      </c>
      <c r="R79" s="119">
        <f t="shared" si="10"/>
        <v>-0.0042666666666662</v>
      </c>
      <c r="S79" s="120" t="s">
        <v>106</v>
      </c>
      <c r="U79" s="67"/>
      <c r="V79" s="121"/>
      <c r="W79" s="122"/>
      <c r="X79" s="57"/>
      <c r="Y79" s="57"/>
      <c r="Z79" s="57"/>
      <c r="AA79" s="57"/>
      <c r="AB79" s="57"/>
      <c r="AC79" s="57"/>
      <c r="AD79" s="57"/>
      <c r="AE79" s="57"/>
      <c r="AF79" s="57"/>
      <c r="AG79" s="57"/>
      <c r="AH79" s="57"/>
      <c r="AI79" s="57"/>
      <c r="AJ79" s="57"/>
      <c r="AK79" s="57"/>
      <c r="AL79" s="57"/>
      <c r="AM79" s="57"/>
      <c r="AN79" s="57"/>
      <c r="AO79" s="57"/>
      <c r="AP79" s="57"/>
    </row>
    <row r="80" s="59" customFormat="1" ht="16.5" spans="1:42">
      <c r="A80" s="79"/>
      <c r="B80" s="107" t="s">
        <v>193</v>
      </c>
      <c r="C80" s="108">
        <v>300135</v>
      </c>
      <c r="D80" s="109" t="s">
        <v>403</v>
      </c>
      <c r="E80" s="110">
        <v>45410</v>
      </c>
      <c r="F80" s="111">
        <v>60</v>
      </c>
      <c r="G80" s="112">
        <v>0.05</v>
      </c>
      <c r="H80" s="113">
        <v>4545</v>
      </c>
      <c r="I80" s="113">
        <v>1727.04</v>
      </c>
      <c r="J80" s="113">
        <v>0</v>
      </c>
      <c r="K80" s="114">
        <f t="shared" si="6"/>
        <v>2817.96</v>
      </c>
      <c r="L80" s="114">
        <v>287.84</v>
      </c>
      <c r="M80" s="115"/>
      <c r="N80" s="116"/>
      <c r="O80" s="117">
        <f t="shared" si="7"/>
        <v>47238</v>
      </c>
      <c r="P80" s="118">
        <f t="shared" si="8"/>
        <v>4</v>
      </c>
      <c r="Q80" s="119">
        <f t="shared" si="9"/>
        <v>287.85</v>
      </c>
      <c r="R80" s="119">
        <f t="shared" si="10"/>
        <v>0.0100000000000477</v>
      </c>
      <c r="S80" s="120" t="s">
        <v>106</v>
      </c>
      <c r="U80" s="67"/>
      <c r="V80" s="121"/>
      <c r="W80" s="122"/>
      <c r="X80" s="57"/>
      <c r="Y80" s="57"/>
      <c r="Z80" s="57"/>
      <c r="AA80" s="57"/>
      <c r="AB80" s="57"/>
      <c r="AC80" s="57"/>
      <c r="AD80" s="57"/>
      <c r="AE80" s="57"/>
      <c r="AF80" s="57"/>
      <c r="AG80" s="57"/>
      <c r="AH80" s="57"/>
      <c r="AI80" s="57"/>
      <c r="AJ80" s="57"/>
      <c r="AK80" s="57"/>
      <c r="AL80" s="57"/>
      <c r="AM80" s="57"/>
      <c r="AN80" s="57"/>
      <c r="AO80" s="57"/>
      <c r="AP80" s="57"/>
    </row>
    <row r="81" s="59" customFormat="1" ht="16.5" spans="1:42">
      <c r="A81" s="79"/>
      <c r="B81" s="107" t="s">
        <v>193</v>
      </c>
      <c r="C81" s="108">
        <v>300136</v>
      </c>
      <c r="D81" s="109" t="s">
        <v>403</v>
      </c>
      <c r="E81" s="110">
        <v>45410</v>
      </c>
      <c r="F81" s="111">
        <v>60</v>
      </c>
      <c r="G81" s="112">
        <v>0.05</v>
      </c>
      <c r="H81" s="113">
        <v>3939</v>
      </c>
      <c r="I81" s="113">
        <v>1496.88</v>
      </c>
      <c r="J81" s="113">
        <v>0</v>
      </c>
      <c r="K81" s="114">
        <f t="shared" si="6"/>
        <v>2442.12</v>
      </c>
      <c r="L81" s="114">
        <v>249.48</v>
      </c>
      <c r="M81" s="115"/>
      <c r="N81" s="116"/>
      <c r="O81" s="117">
        <f t="shared" si="7"/>
        <v>47238</v>
      </c>
      <c r="P81" s="118">
        <f t="shared" si="8"/>
        <v>4</v>
      </c>
      <c r="Q81" s="119">
        <f t="shared" si="9"/>
        <v>249.47</v>
      </c>
      <c r="R81" s="119">
        <f t="shared" si="10"/>
        <v>-0.0100000000000193</v>
      </c>
      <c r="S81" s="120" t="s">
        <v>106</v>
      </c>
      <c r="U81" s="67"/>
      <c r="V81" s="121"/>
      <c r="W81" s="122"/>
      <c r="X81" s="57"/>
      <c r="Y81" s="57"/>
      <c r="Z81" s="57"/>
      <c r="AA81" s="57"/>
      <c r="AB81" s="57"/>
      <c r="AC81" s="57"/>
      <c r="AD81" s="57"/>
      <c r="AE81" s="57"/>
      <c r="AF81" s="57"/>
      <c r="AG81" s="57"/>
      <c r="AH81" s="57"/>
      <c r="AI81" s="57"/>
      <c r="AJ81" s="57"/>
      <c r="AK81" s="57"/>
      <c r="AL81" s="57"/>
      <c r="AM81" s="57"/>
      <c r="AN81" s="57"/>
      <c r="AO81" s="57"/>
      <c r="AP81" s="57"/>
    </row>
    <row r="82" s="59" customFormat="1" ht="16.5" spans="1:42">
      <c r="A82" s="79"/>
      <c r="B82" s="107" t="s">
        <v>193</v>
      </c>
      <c r="C82" s="108">
        <v>300137</v>
      </c>
      <c r="D82" s="109" t="s">
        <v>406</v>
      </c>
      <c r="E82" s="110">
        <v>45492</v>
      </c>
      <c r="F82" s="111">
        <v>60</v>
      </c>
      <c r="G82" s="112">
        <v>0.05</v>
      </c>
      <c r="H82" s="113">
        <v>530.09</v>
      </c>
      <c r="I82" s="113">
        <v>176.19</v>
      </c>
      <c r="J82" s="113">
        <v>0</v>
      </c>
      <c r="K82" s="114">
        <f t="shared" si="6"/>
        <v>353.9</v>
      </c>
      <c r="L82" s="114">
        <v>33.56</v>
      </c>
      <c r="M82" s="115"/>
      <c r="N82" s="116"/>
      <c r="O82" s="117">
        <f t="shared" si="7"/>
        <v>47330</v>
      </c>
      <c r="P82" s="118">
        <f t="shared" si="8"/>
        <v>4</v>
      </c>
      <c r="Q82" s="119">
        <f t="shared" si="9"/>
        <v>33.5723666666667</v>
      </c>
      <c r="R82" s="119">
        <f t="shared" si="10"/>
        <v>0.0123666666666651</v>
      </c>
      <c r="S82" s="120" t="s">
        <v>106</v>
      </c>
      <c r="U82" s="67"/>
      <c r="V82" s="121"/>
      <c r="W82" s="122"/>
      <c r="X82" s="57"/>
      <c r="Y82" s="57"/>
      <c r="Z82" s="57"/>
      <c r="AA82" s="57"/>
      <c r="AB82" s="57"/>
      <c r="AC82" s="57"/>
      <c r="AD82" s="57"/>
      <c r="AE82" s="57"/>
      <c r="AF82" s="57"/>
      <c r="AG82" s="57"/>
      <c r="AH82" s="57"/>
      <c r="AI82" s="57"/>
      <c r="AJ82" s="57"/>
      <c r="AK82" s="57"/>
      <c r="AL82" s="57"/>
      <c r="AM82" s="57"/>
      <c r="AN82" s="57"/>
      <c r="AO82" s="57"/>
      <c r="AP82" s="57"/>
    </row>
    <row r="83" s="59" customFormat="1" ht="16.5" spans="1:42">
      <c r="A83" s="79"/>
      <c r="B83" s="107" t="s">
        <v>193</v>
      </c>
      <c r="C83" s="108">
        <v>300138</v>
      </c>
      <c r="D83" s="109" t="s">
        <v>408</v>
      </c>
      <c r="E83" s="110">
        <v>45503</v>
      </c>
      <c r="F83" s="111">
        <v>60</v>
      </c>
      <c r="G83" s="112">
        <v>0.05</v>
      </c>
      <c r="H83" s="113">
        <v>799</v>
      </c>
      <c r="I83" s="113">
        <v>265.65</v>
      </c>
      <c r="J83" s="113">
        <v>0</v>
      </c>
      <c r="K83" s="114">
        <f t="shared" si="6"/>
        <v>533.35</v>
      </c>
      <c r="L83" s="114">
        <v>50.6</v>
      </c>
      <c r="M83" s="115"/>
      <c r="N83" s="116"/>
      <c r="O83" s="117">
        <f t="shared" si="7"/>
        <v>47330</v>
      </c>
      <c r="P83" s="118">
        <f t="shared" si="8"/>
        <v>4</v>
      </c>
      <c r="Q83" s="119">
        <f t="shared" si="9"/>
        <v>50.6033333333333</v>
      </c>
      <c r="R83" s="119">
        <f t="shared" si="10"/>
        <v>0.0033333333333303</v>
      </c>
      <c r="S83" s="120" t="s">
        <v>106</v>
      </c>
      <c r="U83" s="67"/>
      <c r="V83" s="121"/>
      <c r="W83" s="122"/>
      <c r="X83" s="57"/>
      <c r="Y83" s="57"/>
      <c r="Z83" s="57"/>
      <c r="AA83" s="57"/>
      <c r="AB83" s="57"/>
      <c r="AC83" s="57"/>
      <c r="AD83" s="57"/>
      <c r="AE83" s="57"/>
      <c r="AF83" s="57"/>
      <c r="AG83" s="57"/>
      <c r="AH83" s="57"/>
      <c r="AI83" s="57"/>
      <c r="AJ83" s="57"/>
      <c r="AK83" s="57"/>
      <c r="AL83" s="57"/>
      <c r="AM83" s="57"/>
      <c r="AN83" s="57"/>
      <c r="AO83" s="57"/>
      <c r="AP83" s="57"/>
    </row>
    <row r="84" s="59" customFormat="1" ht="16.5" spans="1:42">
      <c r="A84" s="79"/>
      <c r="B84" s="107" t="s">
        <v>193</v>
      </c>
      <c r="C84" s="108">
        <v>300139</v>
      </c>
      <c r="D84" s="109" t="s">
        <v>406</v>
      </c>
      <c r="E84" s="110">
        <v>45516</v>
      </c>
      <c r="F84" s="111">
        <v>60</v>
      </c>
      <c r="G84" s="112">
        <v>0.05</v>
      </c>
      <c r="H84" s="113">
        <v>450.44</v>
      </c>
      <c r="I84" s="113">
        <v>142.6</v>
      </c>
      <c r="J84" s="113">
        <v>0</v>
      </c>
      <c r="K84" s="114">
        <f t="shared" si="6"/>
        <v>307.84</v>
      </c>
      <c r="L84" s="114">
        <v>28.52</v>
      </c>
      <c r="M84" s="115"/>
      <c r="N84" s="116"/>
      <c r="O84" s="117">
        <f t="shared" si="7"/>
        <v>47361</v>
      </c>
      <c r="P84" s="118">
        <f t="shared" si="8"/>
        <v>4</v>
      </c>
      <c r="Q84" s="119">
        <f t="shared" si="9"/>
        <v>28.5278666666667</v>
      </c>
      <c r="R84" s="119">
        <f t="shared" si="10"/>
        <v>0.00786666666666491</v>
      </c>
      <c r="S84" s="120" t="s">
        <v>106</v>
      </c>
      <c r="U84" s="67"/>
      <c r="V84" s="121"/>
      <c r="W84" s="122"/>
      <c r="X84" s="57"/>
      <c r="Y84" s="57"/>
      <c r="Z84" s="57"/>
      <c r="AA84" s="57"/>
      <c r="AB84" s="57"/>
      <c r="AC84" s="57"/>
      <c r="AD84" s="57"/>
      <c r="AE84" s="57"/>
      <c r="AF84" s="57"/>
      <c r="AG84" s="57"/>
      <c r="AH84" s="57"/>
      <c r="AI84" s="57"/>
      <c r="AJ84" s="57"/>
      <c r="AK84" s="57"/>
      <c r="AL84" s="57"/>
      <c r="AM84" s="57"/>
      <c r="AN84" s="57"/>
      <c r="AO84" s="57"/>
      <c r="AP84" s="57"/>
    </row>
    <row r="85" s="59" customFormat="1" ht="16.5" spans="1:42">
      <c r="A85" s="79"/>
      <c r="B85" s="107" t="s">
        <v>193</v>
      </c>
      <c r="C85" s="108">
        <v>300140</v>
      </c>
      <c r="D85" s="109" t="s">
        <v>406</v>
      </c>
      <c r="E85" s="110">
        <v>45516</v>
      </c>
      <c r="F85" s="111">
        <v>60</v>
      </c>
      <c r="G85" s="112">
        <v>0.05</v>
      </c>
      <c r="H85" s="113">
        <v>450.44</v>
      </c>
      <c r="I85" s="113">
        <v>142.6</v>
      </c>
      <c r="J85" s="113">
        <v>0</v>
      </c>
      <c r="K85" s="114">
        <f t="shared" si="6"/>
        <v>307.84</v>
      </c>
      <c r="L85" s="114">
        <v>28.52</v>
      </c>
      <c r="M85" s="115"/>
      <c r="N85" s="116"/>
      <c r="O85" s="117">
        <f t="shared" si="7"/>
        <v>47361</v>
      </c>
      <c r="P85" s="118">
        <f t="shared" si="8"/>
        <v>4</v>
      </c>
      <c r="Q85" s="119">
        <f t="shared" si="9"/>
        <v>28.5278666666667</v>
      </c>
      <c r="R85" s="119">
        <f t="shared" si="10"/>
        <v>0.00786666666666491</v>
      </c>
      <c r="S85" s="120" t="s">
        <v>106</v>
      </c>
      <c r="U85" s="67"/>
      <c r="V85" s="121"/>
      <c r="W85" s="122"/>
      <c r="X85" s="57"/>
      <c r="Y85" s="57"/>
      <c r="Z85" s="57"/>
      <c r="AA85" s="57"/>
      <c r="AB85" s="57"/>
      <c r="AC85" s="57"/>
      <c r="AD85" s="57"/>
      <c r="AE85" s="57"/>
      <c r="AF85" s="57"/>
      <c r="AG85" s="57"/>
      <c r="AH85" s="57"/>
      <c r="AI85" s="57"/>
      <c r="AJ85" s="57"/>
      <c r="AK85" s="57"/>
      <c r="AL85" s="57"/>
      <c r="AM85" s="57"/>
      <c r="AN85" s="57"/>
      <c r="AO85" s="57"/>
      <c r="AP85" s="57"/>
    </row>
    <row r="86" s="59" customFormat="1" ht="16.5" spans="1:42">
      <c r="A86" s="79"/>
      <c r="B86" s="107" t="s">
        <v>193</v>
      </c>
      <c r="C86" s="108">
        <v>300141</v>
      </c>
      <c r="D86" s="109" t="s">
        <v>409</v>
      </c>
      <c r="E86" s="110">
        <v>45528</v>
      </c>
      <c r="F86" s="111">
        <v>60</v>
      </c>
      <c r="G86" s="112">
        <v>0.05</v>
      </c>
      <c r="H86" s="113">
        <v>3522.48</v>
      </c>
      <c r="I86" s="113">
        <v>1115.4</v>
      </c>
      <c r="J86" s="113">
        <v>0</v>
      </c>
      <c r="K86" s="114">
        <f t="shared" si="6"/>
        <v>2407.08</v>
      </c>
      <c r="L86" s="114">
        <v>223.08</v>
      </c>
      <c r="M86" s="115"/>
      <c r="N86" s="116"/>
      <c r="O86" s="117">
        <f t="shared" si="7"/>
        <v>47361</v>
      </c>
      <c r="P86" s="118">
        <f t="shared" si="8"/>
        <v>4</v>
      </c>
      <c r="Q86" s="119">
        <f t="shared" si="9"/>
        <v>223.0904</v>
      </c>
      <c r="R86" s="119">
        <f t="shared" si="10"/>
        <v>0.0103999999999758</v>
      </c>
      <c r="S86" s="120" t="s">
        <v>106</v>
      </c>
      <c r="U86" s="67"/>
      <c r="V86" s="121"/>
      <c r="W86" s="122"/>
      <c r="X86" s="57"/>
      <c r="Y86" s="57"/>
      <c r="Z86" s="57"/>
      <c r="AA86" s="57"/>
      <c r="AB86" s="57"/>
      <c r="AC86" s="57"/>
      <c r="AD86" s="57"/>
      <c r="AE86" s="57"/>
      <c r="AF86" s="57"/>
      <c r="AG86" s="57"/>
      <c r="AH86" s="57"/>
      <c r="AI86" s="57"/>
      <c r="AJ86" s="57"/>
      <c r="AK86" s="57"/>
      <c r="AL86" s="57"/>
      <c r="AM86" s="57"/>
      <c r="AN86" s="57"/>
      <c r="AO86" s="57"/>
      <c r="AP86" s="57"/>
    </row>
    <row r="87" s="59" customFormat="1" ht="16.5" spans="1:42">
      <c r="A87" s="79"/>
      <c r="B87" s="107" t="s">
        <v>193</v>
      </c>
      <c r="C87" s="108">
        <v>300142</v>
      </c>
      <c r="D87" s="109" t="s">
        <v>411</v>
      </c>
      <c r="E87" s="110">
        <v>45530</v>
      </c>
      <c r="F87" s="111">
        <v>60</v>
      </c>
      <c r="G87" s="112">
        <v>0.05</v>
      </c>
      <c r="H87" s="113">
        <v>3712.39</v>
      </c>
      <c r="I87" s="113">
        <v>1175.6</v>
      </c>
      <c r="J87" s="113">
        <v>0</v>
      </c>
      <c r="K87" s="114">
        <f t="shared" si="6"/>
        <v>2536.79</v>
      </c>
      <c r="L87" s="114">
        <v>235.12</v>
      </c>
      <c r="M87" s="115"/>
      <c r="N87" s="116"/>
      <c r="O87" s="117">
        <f t="shared" si="7"/>
        <v>47361</v>
      </c>
      <c r="P87" s="118">
        <f t="shared" si="8"/>
        <v>4</v>
      </c>
      <c r="Q87" s="119">
        <f t="shared" si="9"/>
        <v>235.118033333333</v>
      </c>
      <c r="R87" s="119">
        <f t="shared" si="10"/>
        <v>-0.00196666666670353</v>
      </c>
      <c r="S87" s="120" t="s">
        <v>106</v>
      </c>
      <c r="U87" s="67"/>
      <c r="V87" s="121"/>
      <c r="W87" s="122"/>
      <c r="X87" s="57"/>
      <c r="Y87" s="57"/>
      <c r="Z87" s="57"/>
      <c r="AA87" s="57"/>
      <c r="AB87" s="57"/>
      <c r="AC87" s="57"/>
      <c r="AD87" s="57"/>
      <c r="AE87" s="57"/>
      <c r="AF87" s="57"/>
      <c r="AG87" s="57"/>
      <c r="AH87" s="57"/>
      <c r="AI87" s="57"/>
      <c r="AJ87" s="57"/>
      <c r="AK87" s="57"/>
      <c r="AL87" s="57"/>
      <c r="AM87" s="57"/>
      <c r="AN87" s="57"/>
      <c r="AO87" s="57"/>
      <c r="AP87" s="57"/>
    </row>
    <row r="88" s="59" customFormat="1" ht="16.5" spans="1:42">
      <c r="A88" s="79"/>
      <c r="B88" s="107" t="s">
        <v>193</v>
      </c>
      <c r="C88" s="108">
        <v>300143</v>
      </c>
      <c r="D88" s="109" t="s">
        <v>413</v>
      </c>
      <c r="E88" s="110">
        <v>45530</v>
      </c>
      <c r="F88" s="111">
        <v>60</v>
      </c>
      <c r="G88" s="112">
        <v>0.05</v>
      </c>
      <c r="H88" s="113">
        <v>619.47</v>
      </c>
      <c r="I88" s="113">
        <v>196.2</v>
      </c>
      <c r="J88" s="113">
        <v>0</v>
      </c>
      <c r="K88" s="114">
        <f t="shared" si="6"/>
        <v>423.27</v>
      </c>
      <c r="L88" s="114">
        <v>39.24</v>
      </c>
      <c r="M88" s="115"/>
      <c r="N88" s="116"/>
      <c r="O88" s="117">
        <f t="shared" si="7"/>
        <v>47361</v>
      </c>
      <c r="P88" s="118">
        <f t="shared" si="8"/>
        <v>4</v>
      </c>
      <c r="Q88" s="119">
        <f t="shared" si="9"/>
        <v>39.2331</v>
      </c>
      <c r="R88" s="119">
        <f t="shared" si="10"/>
        <v>-0.00690000000000168</v>
      </c>
      <c r="S88" s="120" t="s">
        <v>106</v>
      </c>
      <c r="U88" s="67"/>
      <c r="V88" s="121"/>
      <c r="W88" s="122"/>
      <c r="X88" s="57"/>
      <c r="Y88" s="57"/>
      <c r="Z88" s="57"/>
      <c r="AA88" s="57"/>
      <c r="AB88" s="57"/>
      <c r="AC88" s="57"/>
      <c r="AD88" s="57"/>
      <c r="AE88" s="57"/>
      <c r="AF88" s="57"/>
      <c r="AG88" s="57"/>
      <c r="AH88" s="57"/>
      <c r="AI88" s="57"/>
      <c r="AJ88" s="57"/>
      <c r="AK88" s="57"/>
      <c r="AL88" s="57"/>
      <c r="AM88" s="57"/>
      <c r="AN88" s="57"/>
      <c r="AO88" s="57"/>
      <c r="AP88" s="57"/>
    </row>
    <row r="89" s="59" customFormat="1" ht="16.5" spans="1:42">
      <c r="A89" s="79"/>
      <c r="B89" s="107" t="s">
        <v>193</v>
      </c>
      <c r="C89" s="108">
        <v>300144</v>
      </c>
      <c r="D89" s="109" t="s">
        <v>415</v>
      </c>
      <c r="E89" s="110">
        <v>45559</v>
      </c>
      <c r="F89" s="111">
        <v>60</v>
      </c>
      <c r="G89" s="112">
        <v>0.05</v>
      </c>
      <c r="H89" s="113">
        <v>2433.63</v>
      </c>
      <c r="I89" s="113">
        <v>732.07</v>
      </c>
      <c r="J89" s="113">
        <v>0</v>
      </c>
      <c r="K89" s="114">
        <f t="shared" si="6"/>
        <v>1701.56</v>
      </c>
      <c r="L89" s="114">
        <v>154.12</v>
      </c>
      <c r="M89" s="115"/>
      <c r="N89" s="116"/>
      <c r="O89" s="117">
        <f t="shared" si="7"/>
        <v>47391</v>
      </c>
      <c r="P89" s="118">
        <f t="shared" si="8"/>
        <v>4</v>
      </c>
      <c r="Q89" s="119">
        <f t="shared" si="9"/>
        <v>154.1299</v>
      </c>
      <c r="R89" s="119">
        <f t="shared" si="10"/>
        <v>0.00989999999998759</v>
      </c>
      <c r="S89" s="120" t="s">
        <v>106</v>
      </c>
      <c r="U89" s="67"/>
      <c r="V89" s="121"/>
      <c r="W89" s="122"/>
      <c r="X89" s="57"/>
      <c r="Y89" s="57"/>
      <c r="Z89" s="57"/>
      <c r="AA89" s="57"/>
      <c r="AB89" s="57"/>
      <c r="AC89" s="57"/>
      <c r="AD89" s="57"/>
      <c r="AE89" s="57"/>
      <c r="AF89" s="57"/>
      <c r="AG89" s="57"/>
      <c r="AH89" s="57"/>
      <c r="AI89" s="57"/>
      <c r="AJ89" s="57"/>
      <c r="AK89" s="57"/>
      <c r="AL89" s="57"/>
      <c r="AM89" s="57"/>
      <c r="AN89" s="57"/>
      <c r="AO89" s="57"/>
      <c r="AP89" s="57"/>
    </row>
    <row r="90" s="59" customFormat="1" ht="16.5" spans="1:42">
      <c r="A90" s="79"/>
      <c r="B90" s="107" t="s">
        <v>193</v>
      </c>
      <c r="C90" s="108">
        <v>300145</v>
      </c>
      <c r="D90" s="109" t="s">
        <v>415</v>
      </c>
      <c r="E90" s="110">
        <v>45559</v>
      </c>
      <c r="F90" s="111">
        <v>60</v>
      </c>
      <c r="G90" s="112">
        <v>0.05</v>
      </c>
      <c r="H90" s="113">
        <v>2433.63</v>
      </c>
      <c r="I90" s="113">
        <v>732.07</v>
      </c>
      <c r="J90" s="113">
        <v>0</v>
      </c>
      <c r="K90" s="114">
        <f t="shared" si="6"/>
        <v>1701.56</v>
      </c>
      <c r="L90" s="114">
        <v>154.12</v>
      </c>
      <c r="M90" s="115"/>
      <c r="N90" s="116"/>
      <c r="O90" s="117">
        <f t="shared" si="7"/>
        <v>47391</v>
      </c>
      <c r="P90" s="118">
        <f t="shared" si="8"/>
        <v>4</v>
      </c>
      <c r="Q90" s="119">
        <f t="shared" si="9"/>
        <v>154.1299</v>
      </c>
      <c r="R90" s="119">
        <f t="shared" si="10"/>
        <v>0.00989999999998759</v>
      </c>
      <c r="S90" s="120" t="s">
        <v>106</v>
      </c>
      <c r="U90" s="67"/>
      <c r="V90" s="121"/>
      <c r="W90" s="122"/>
      <c r="X90" s="57"/>
      <c r="Y90" s="57"/>
      <c r="Z90" s="57"/>
      <c r="AA90" s="57"/>
      <c r="AB90" s="57"/>
      <c r="AC90" s="57"/>
      <c r="AD90" s="57"/>
      <c r="AE90" s="57"/>
      <c r="AF90" s="57"/>
      <c r="AG90" s="57"/>
      <c r="AH90" s="57"/>
      <c r="AI90" s="57"/>
      <c r="AJ90" s="57"/>
      <c r="AK90" s="57"/>
      <c r="AL90" s="57"/>
      <c r="AM90" s="57"/>
      <c r="AN90" s="57"/>
      <c r="AO90" s="57"/>
      <c r="AP90" s="57"/>
    </row>
    <row r="91" s="59" customFormat="1" ht="16.5" spans="1:42">
      <c r="A91" s="79"/>
      <c r="B91" s="107" t="s">
        <v>193</v>
      </c>
      <c r="C91" s="108">
        <v>300146</v>
      </c>
      <c r="D91" s="109" t="s">
        <v>417</v>
      </c>
      <c r="E91" s="110">
        <v>45565</v>
      </c>
      <c r="F91" s="111">
        <v>60</v>
      </c>
      <c r="G91" s="112">
        <v>0.05</v>
      </c>
      <c r="H91" s="113">
        <v>1494.69</v>
      </c>
      <c r="I91" s="113">
        <v>449.7</v>
      </c>
      <c r="J91" s="113">
        <v>0</v>
      </c>
      <c r="K91" s="114">
        <f t="shared" si="6"/>
        <v>1044.99</v>
      </c>
      <c r="L91" s="114">
        <v>94.66</v>
      </c>
      <c r="M91" s="115"/>
      <c r="N91" s="116"/>
      <c r="O91" s="117">
        <f t="shared" si="7"/>
        <v>47391</v>
      </c>
      <c r="P91" s="118">
        <f t="shared" si="8"/>
        <v>4</v>
      </c>
      <c r="Q91" s="119">
        <f t="shared" si="9"/>
        <v>94.6637</v>
      </c>
      <c r="R91" s="119">
        <f t="shared" si="10"/>
        <v>0.00370000000000914</v>
      </c>
      <c r="S91" s="120" t="s">
        <v>106</v>
      </c>
      <c r="U91" s="67"/>
      <c r="V91" s="121"/>
      <c r="W91" s="122"/>
      <c r="X91" s="57"/>
      <c r="Y91" s="57"/>
      <c r="Z91" s="57"/>
      <c r="AA91" s="57"/>
      <c r="AB91" s="57"/>
      <c r="AC91" s="57"/>
      <c r="AD91" s="57"/>
      <c r="AE91" s="57"/>
      <c r="AF91" s="57"/>
      <c r="AG91" s="57"/>
      <c r="AH91" s="57"/>
      <c r="AI91" s="57"/>
      <c r="AJ91" s="57"/>
      <c r="AK91" s="57"/>
      <c r="AL91" s="57"/>
      <c r="AM91" s="57"/>
      <c r="AN91" s="57"/>
      <c r="AO91" s="57"/>
      <c r="AP91" s="57"/>
    </row>
    <row r="92" s="59" customFormat="1" ht="16.5" spans="1:42">
      <c r="A92" s="79"/>
      <c r="B92" s="107" t="s">
        <v>193</v>
      </c>
      <c r="C92" s="108">
        <v>300147</v>
      </c>
      <c r="D92" s="109" t="s">
        <v>417</v>
      </c>
      <c r="E92" s="110">
        <v>45565</v>
      </c>
      <c r="F92" s="111">
        <v>60</v>
      </c>
      <c r="G92" s="112">
        <v>0.05</v>
      </c>
      <c r="H92" s="113">
        <v>1494.69</v>
      </c>
      <c r="I92" s="113">
        <v>449.7</v>
      </c>
      <c r="J92" s="113">
        <v>0</v>
      </c>
      <c r="K92" s="114">
        <f t="shared" si="6"/>
        <v>1044.99</v>
      </c>
      <c r="L92" s="114">
        <v>94.66</v>
      </c>
      <c r="M92" s="115"/>
      <c r="N92" s="116"/>
      <c r="O92" s="117">
        <f t="shared" si="7"/>
        <v>47391</v>
      </c>
      <c r="P92" s="118">
        <f t="shared" si="8"/>
        <v>4</v>
      </c>
      <c r="Q92" s="119">
        <f t="shared" si="9"/>
        <v>94.6637</v>
      </c>
      <c r="R92" s="119">
        <f t="shared" si="10"/>
        <v>0.00370000000000914</v>
      </c>
      <c r="S92" s="120" t="s">
        <v>106</v>
      </c>
      <c r="U92" s="67"/>
      <c r="V92" s="121"/>
      <c r="W92" s="122"/>
      <c r="X92" s="57"/>
      <c r="Y92" s="57"/>
      <c r="Z92" s="57"/>
      <c r="AA92" s="57"/>
      <c r="AB92" s="57"/>
      <c r="AC92" s="57"/>
      <c r="AD92" s="57"/>
      <c r="AE92" s="57"/>
      <c r="AF92" s="57"/>
      <c r="AG92" s="57"/>
      <c r="AH92" s="57"/>
      <c r="AI92" s="57"/>
      <c r="AJ92" s="57"/>
      <c r="AK92" s="57"/>
      <c r="AL92" s="57"/>
      <c r="AM92" s="57"/>
      <c r="AN92" s="57"/>
      <c r="AO92" s="57"/>
      <c r="AP92" s="57"/>
    </row>
    <row r="93" s="59" customFormat="1" ht="16.5" spans="1:42">
      <c r="A93" s="79"/>
      <c r="B93" s="107" t="s">
        <v>193</v>
      </c>
      <c r="C93" s="108">
        <v>300148</v>
      </c>
      <c r="D93" s="109" t="s">
        <v>411</v>
      </c>
      <c r="E93" s="110">
        <v>45589</v>
      </c>
      <c r="F93" s="111">
        <v>60</v>
      </c>
      <c r="G93" s="112">
        <v>0.05</v>
      </c>
      <c r="H93" s="113">
        <v>639.82</v>
      </c>
      <c r="I93" s="113">
        <v>182.34</v>
      </c>
      <c r="J93" s="113">
        <v>0</v>
      </c>
      <c r="K93" s="114">
        <f t="shared" si="6"/>
        <v>457.48</v>
      </c>
      <c r="L93" s="114">
        <v>40.52</v>
      </c>
      <c r="M93" s="115"/>
      <c r="N93" s="116"/>
      <c r="O93" s="117">
        <f t="shared" si="7"/>
        <v>47422</v>
      </c>
      <c r="P93" s="118">
        <f t="shared" si="8"/>
        <v>4</v>
      </c>
      <c r="Q93" s="119">
        <f t="shared" si="9"/>
        <v>40.5219333333333</v>
      </c>
      <c r="R93" s="119">
        <f t="shared" si="10"/>
        <v>0.00193333333333356</v>
      </c>
      <c r="S93" s="120" t="s">
        <v>106</v>
      </c>
      <c r="U93" s="67"/>
      <c r="V93" s="121"/>
      <c r="W93" s="122"/>
      <c r="X93" s="57"/>
      <c r="Y93" s="57"/>
      <c r="Z93" s="57"/>
      <c r="AA93" s="57"/>
      <c r="AB93" s="57"/>
      <c r="AC93" s="57"/>
      <c r="AD93" s="57"/>
      <c r="AE93" s="57"/>
      <c r="AF93" s="57"/>
      <c r="AG93" s="57"/>
      <c r="AH93" s="57"/>
      <c r="AI93" s="57"/>
      <c r="AJ93" s="57"/>
      <c r="AK93" s="57"/>
      <c r="AL93" s="57"/>
      <c r="AM93" s="57"/>
      <c r="AN93" s="57"/>
      <c r="AO93" s="57"/>
      <c r="AP93" s="57"/>
    </row>
    <row r="94" s="59" customFormat="1" ht="16.5" spans="1:42">
      <c r="A94" s="79"/>
      <c r="B94" s="107" t="s">
        <v>193</v>
      </c>
      <c r="C94" s="108">
        <v>300149</v>
      </c>
      <c r="D94" s="109" t="s">
        <v>411</v>
      </c>
      <c r="E94" s="110">
        <v>45589</v>
      </c>
      <c r="F94" s="111">
        <v>60</v>
      </c>
      <c r="G94" s="112">
        <v>0.05</v>
      </c>
      <c r="H94" s="113">
        <v>639.82</v>
      </c>
      <c r="I94" s="113">
        <v>182.34</v>
      </c>
      <c r="J94" s="113">
        <v>0</v>
      </c>
      <c r="K94" s="114">
        <f t="shared" si="6"/>
        <v>457.48</v>
      </c>
      <c r="L94" s="114">
        <v>40.52</v>
      </c>
      <c r="M94" s="115"/>
      <c r="N94" s="116"/>
      <c r="O94" s="117">
        <f t="shared" si="7"/>
        <v>47422</v>
      </c>
      <c r="P94" s="118">
        <f t="shared" si="8"/>
        <v>4</v>
      </c>
      <c r="Q94" s="119">
        <f t="shared" si="9"/>
        <v>40.5219333333333</v>
      </c>
      <c r="R94" s="119">
        <f t="shared" si="10"/>
        <v>0.00193333333333356</v>
      </c>
      <c r="S94" s="120" t="s">
        <v>106</v>
      </c>
      <c r="U94" s="67"/>
      <c r="V94" s="121"/>
      <c r="W94" s="122"/>
      <c r="X94" s="57"/>
      <c r="Y94" s="57"/>
      <c r="Z94" s="57"/>
      <c r="AA94" s="57"/>
      <c r="AB94" s="57"/>
      <c r="AC94" s="57"/>
      <c r="AD94" s="57"/>
      <c r="AE94" s="57"/>
      <c r="AF94" s="57"/>
      <c r="AG94" s="57"/>
      <c r="AH94" s="57"/>
      <c r="AI94" s="57"/>
      <c r="AJ94" s="57"/>
      <c r="AK94" s="57"/>
      <c r="AL94" s="57"/>
      <c r="AM94" s="57"/>
      <c r="AN94" s="57"/>
      <c r="AO94" s="57"/>
      <c r="AP94" s="57"/>
    </row>
    <row r="95" s="59" customFormat="1" ht="16.5" spans="1:42">
      <c r="A95" s="79"/>
      <c r="B95" s="107" t="s">
        <v>193</v>
      </c>
      <c r="C95" s="108">
        <v>300150</v>
      </c>
      <c r="D95" s="109" t="s">
        <v>411</v>
      </c>
      <c r="E95" s="110">
        <v>45589</v>
      </c>
      <c r="F95" s="111">
        <v>60</v>
      </c>
      <c r="G95" s="112">
        <v>0.05</v>
      </c>
      <c r="H95" s="113">
        <v>639.82</v>
      </c>
      <c r="I95" s="113">
        <v>182.34</v>
      </c>
      <c r="J95" s="113">
        <v>0</v>
      </c>
      <c r="K95" s="114">
        <f t="shared" si="6"/>
        <v>457.48</v>
      </c>
      <c r="L95" s="114">
        <v>40.52</v>
      </c>
      <c r="M95" s="115"/>
      <c r="N95" s="116"/>
      <c r="O95" s="117">
        <f t="shared" si="7"/>
        <v>47422</v>
      </c>
      <c r="P95" s="118">
        <f t="shared" si="8"/>
        <v>4</v>
      </c>
      <c r="Q95" s="119">
        <f t="shared" si="9"/>
        <v>40.5219333333333</v>
      </c>
      <c r="R95" s="119">
        <f t="shared" si="10"/>
        <v>0.00193333333333356</v>
      </c>
      <c r="S95" s="120" t="s">
        <v>106</v>
      </c>
      <c r="U95" s="67"/>
      <c r="V95" s="121"/>
      <c r="W95" s="122"/>
      <c r="X95" s="57"/>
      <c r="Y95" s="57"/>
      <c r="Z95" s="57"/>
      <c r="AA95" s="57"/>
      <c r="AB95" s="57"/>
      <c r="AC95" s="57"/>
      <c r="AD95" s="57"/>
      <c r="AE95" s="57"/>
      <c r="AF95" s="57"/>
      <c r="AG95" s="57"/>
      <c r="AH95" s="57"/>
      <c r="AI95" s="57"/>
      <c r="AJ95" s="57"/>
      <c r="AK95" s="57"/>
      <c r="AL95" s="57"/>
      <c r="AM95" s="57"/>
      <c r="AN95" s="57"/>
      <c r="AO95" s="57"/>
      <c r="AP95" s="57"/>
    </row>
    <row r="96" s="59" customFormat="1" ht="16.5" spans="1:42">
      <c r="A96" s="79"/>
      <c r="B96" s="107" t="s">
        <v>193</v>
      </c>
      <c r="C96" s="108">
        <v>300151</v>
      </c>
      <c r="D96" s="109" t="s">
        <v>411</v>
      </c>
      <c r="E96" s="110">
        <v>45589</v>
      </c>
      <c r="F96" s="111">
        <v>60</v>
      </c>
      <c r="G96" s="112">
        <v>0.05</v>
      </c>
      <c r="H96" s="113">
        <v>639.82</v>
      </c>
      <c r="I96" s="113">
        <v>182.34</v>
      </c>
      <c r="J96" s="113">
        <v>0</v>
      </c>
      <c r="K96" s="114">
        <f t="shared" si="6"/>
        <v>457.48</v>
      </c>
      <c r="L96" s="114">
        <v>40.52</v>
      </c>
      <c r="M96" s="115"/>
      <c r="N96" s="116"/>
      <c r="O96" s="117">
        <f t="shared" si="7"/>
        <v>47422</v>
      </c>
      <c r="P96" s="118">
        <f t="shared" si="8"/>
        <v>4</v>
      </c>
      <c r="Q96" s="119">
        <f t="shared" si="9"/>
        <v>40.5219333333333</v>
      </c>
      <c r="R96" s="119">
        <f t="shared" si="10"/>
        <v>0.00193333333333356</v>
      </c>
      <c r="S96" s="120" t="s">
        <v>106</v>
      </c>
      <c r="U96" s="67"/>
      <c r="V96" s="121"/>
      <c r="W96" s="122"/>
      <c r="X96" s="57"/>
      <c r="Y96" s="57"/>
      <c r="Z96" s="57"/>
      <c r="AA96" s="57"/>
      <c r="AB96" s="57"/>
      <c r="AC96" s="57"/>
      <c r="AD96" s="57"/>
      <c r="AE96" s="57"/>
      <c r="AF96" s="57"/>
      <c r="AG96" s="57"/>
      <c r="AH96" s="57"/>
      <c r="AI96" s="57"/>
      <c r="AJ96" s="57"/>
      <c r="AK96" s="57"/>
      <c r="AL96" s="57"/>
      <c r="AM96" s="57"/>
      <c r="AN96" s="57"/>
      <c r="AO96" s="57"/>
      <c r="AP96" s="57"/>
    </row>
    <row r="97" s="59" customFormat="1" ht="16.5" spans="1:42">
      <c r="A97" s="79"/>
      <c r="B97" s="107" t="s">
        <v>193</v>
      </c>
      <c r="C97" s="108">
        <v>300152</v>
      </c>
      <c r="D97" s="109" t="s">
        <v>411</v>
      </c>
      <c r="E97" s="110">
        <v>45589</v>
      </c>
      <c r="F97" s="111">
        <v>60</v>
      </c>
      <c r="G97" s="112">
        <v>0.05</v>
      </c>
      <c r="H97" s="113">
        <v>639.83</v>
      </c>
      <c r="I97" s="113">
        <v>182.34</v>
      </c>
      <c r="J97" s="113">
        <v>0</v>
      </c>
      <c r="K97" s="114">
        <f t="shared" si="6"/>
        <v>457.49</v>
      </c>
      <c r="L97" s="114">
        <v>40.52</v>
      </c>
      <c r="M97" s="115"/>
      <c r="N97" s="116"/>
      <c r="O97" s="117">
        <f t="shared" si="7"/>
        <v>47422</v>
      </c>
      <c r="P97" s="118">
        <f t="shared" si="8"/>
        <v>4</v>
      </c>
      <c r="Q97" s="119">
        <f t="shared" si="9"/>
        <v>40.5225666666667</v>
      </c>
      <c r="R97" s="119">
        <f t="shared" si="10"/>
        <v>0.00256666666666661</v>
      </c>
      <c r="S97" s="120" t="s">
        <v>106</v>
      </c>
      <c r="U97" s="67"/>
      <c r="V97" s="121"/>
      <c r="W97" s="122"/>
      <c r="X97" s="57"/>
      <c r="Y97" s="57"/>
      <c r="Z97" s="57"/>
      <c r="AA97" s="57"/>
      <c r="AB97" s="57"/>
      <c r="AC97" s="57"/>
      <c r="AD97" s="57"/>
      <c r="AE97" s="57"/>
      <c r="AF97" s="57"/>
      <c r="AG97" s="57"/>
      <c r="AH97" s="57"/>
      <c r="AI97" s="57"/>
      <c r="AJ97" s="57"/>
      <c r="AK97" s="57"/>
      <c r="AL97" s="57"/>
      <c r="AM97" s="57"/>
      <c r="AN97" s="57"/>
      <c r="AO97" s="57"/>
      <c r="AP97" s="57"/>
    </row>
    <row r="98" s="59" customFormat="1" ht="16.5" spans="1:42">
      <c r="A98" s="79"/>
      <c r="B98" s="107" t="s">
        <v>193</v>
      </c>
      <c r="C98" s="108">
        <v>300153</v>
      </c>
      <c r="D98" s="109" t="s">
        <v>408</v>
      </c>
      <c r="E98" s="110">
        <v>45601</v>
      </c>
      <c r="F98" s="111">
        <v>60</v>
      </c>
      <c r="G98" s="112">
        <v>0.05</v>
      </c>
      <c r="H98" s="113">
        <v>799</v>
      </c>
      <c r="I98" s="113">
        <v>215.05</v>
      </c>
      <c r="J98" s="113">
        <v>0</v>
      </c>
      <c r="K98" s="114">
        <f t="shared" si="6"/>
        <v>583.95</v>
      </c>
      <c r="L98" s="114">
        <v>50.6</v>
      </c>
      <c r="M98" s="115"/>
      <c r="N98" s="116"/>
      <c r="O98" s="117">
        <f t="shared" si="7"/>
        <v>47452</v>
      </c>
      <c r="P98" s="118">
        <f t="shared" si="8"/>
        <v>4</v>
      </c>
      <c r="Q98" s="119">
        <f t="shared" si="9"/>
        <v>50.6033333333333</v>
      </c>
      <c r="R98" s="119">
        <f t="shared" si="10"/>
        <v>0.0033333333333303</v>
      </c>
      <c r="S98" s="120" t="s">
        <v>106</v>
      </c>
      <c r="U98" s="67"/>
      <c r="V98" s="121"/>
      <c r="W98" s="122"/>
      <c r="X98" s="57"/>
      <c r="Y98" s="57"/>
      <c r="Z98" s="57"/>
      <c r="AA98" s="57"/>
      <c r="AB98" s="57"/>
      <c r="AC98" s="57"/>
      <c r="AD98" s="57"/>
      <c r="AE98" s="57"/>
      <c r="AF98" s="57"/>
      <c r="AG98" s="57"/>
      <c r="AH98" s="57"/>
      <c r="AI98" s="57"/>
      <c r="AJ98" s="57"/>
      <c r="AK98" s="57"/>
      <c r="AL98" s="57"/>
      <c r="AM98" s="57"/>
      <c r="AN98" s="57"/>
      <c r="AO98" s="57"/>
      <c r="AP98" s="57"/>
    </row>
    <row r="99" s="59" customFormat="1" ht="16.5" spans="1:42">
      <c r="A99" s="79"/>
      <c r="B99" s="107" t="s">
        <v>193</v>
      </c>
      <c r="C99" s="108">
        <v>300154</v>
      </c>
      <c r="D99" s="109" t="s">
        <v>411</v>
      </c>
      <c r="E99" s="110">
        <v>45657</v>
      </c>
      <c r="F99" s="111">
        <v>60</v>
      </c>
      <c r="G99" s="112">
        <v>0.05</v>
      </c>
      <c r="H99" s="113">
        <v>3982.3</v>
      </c>
      <c r="I99" s="113">
        <v>1008.8</v>
      </c>
      <c r="J99" s="113">
        <v>0</v>
      </c>
      <c r="K99" s="114">
        <f t="shared" si="6"/>
        <v>2973.5</v>
      </c>
      <c r="L99" s="114">
        <v>252.2</v>
      </c>
      <c r="M99" s="115"/>
      <c r="N99" s="116"/>
      <c r="O99" s="117">
        <f t="shared" si="7"/>
        <v>47483</v>
      </c>
      <c r="P99" s="118">
        <f t="shared" si="8"/>
        <v>4</v>
      </c>
      <c r="Q99" s="119">
        <f t="shared" si="9"/>
        <v>252.212333333333</v>
      </c>
      <c r="R99" s="119">
        <f t="shared" si="10"/>
        <v>0.0123333333333449</v>
      </c>
      <c r="S99" s="120" t="s">
        <v>106</v>
      </c>
      <c r="U99" s="67"/>
      <c r="V99" s="121"/>
      <c r="W99" s="122"/>
      <c r="X99" s="57"/>
      <c r="Y99" s="57"/>
      <c r="Z99" s="57"/>
      <c r="AA99" s="57"/>
      <c r="AB99" s="57"/>
      <c r="AC99" s="57"/>
      <c r="AD99" s="57"/>
      <c r="AE99" s="57"/>
      <c r="AF99" s="57"/>
      <c r="AG99" s="57"/>
      <c r="AH99" s="57"/>
      <c r="AI99" s="57"/>
      <c r="AJ99" s="57"/>
      <c r="AK99" s="57"/>
      <c r="AL99" s="57"/>
      <c r="AM99" s="57"/>
      <c r="AN99" s="57"/>
      <c r="AO99" s="57"/>
      <c r="AP99" s="57"/>
    </row>
    <row r="100" s="59" customFormat="1" ht="16.5" spans="1:42">
      <c r="A100" s="79"/>
      <c r="B100" s="107" t="s">
        <v>193</v>
      </c>
      <c r="C100" s="108">
        <v>300155</v>
      </c>
      <c r="D100" s="109" t="s">
        <v>411</v>
      </c>
      <c r="E100" s="110">
        <v>45657</v>
      </c>
      <c r="F100" s="111">
        <v>60</v>
      </c>
      <c r="G100" s="112">
        <v>0.05</v>
      </c>
      <c r="H100" s="113">
        <v>3982.3</v>
      </c>
      <c r="I100" s="113">
        <v>1008.8</v>
      </c>
      <c r="J100" s="113">
        <v>0</v>
      </c>
      <c r="K100" s="114">
        <f t="shared" si="6"/>
        <v>2973.5</v>
      </c>
      <c r="L100" s="114">
        <v>252.2</v>
      </c>
      <c r="M100" s="115"/>
      <c r="N100" s="116"/>
      <c r="O100" s="117">
        <f t="shared" si="7"/>
        <v>47483</v>
      </c>
      <c r="P100" s="118">
        <f t="shared" si="8"/>
        <v>4</v>
      </c>
      <c r="Q100" s="119">
        <f t="shared" si="9"/>
        <v>252.212333333333</v>
      </c>
      <c r="R100" s="119">
        <f t="shared" si="10"/>
        <v>0.0123333333333449</v>
      </c>
      <c r="S100" s="120" t="s">
        <v>106</v>
      </c>
      <c r="U100" s="67"/>
      <c r="V100" s="121"/>
      <c r="W100" s="122"/>
      <c r="X100" s="57"/>
      <c r="Y100" s="57"/>
      <c r="Z100" s="57"/>
      <c r="AA100" s="57"/>
      <c r="AB100" s="57"/>
      <c r="AC100" s="57"/>
      <c r="AD100" s="57"/>
      <c r="AE100" s="57"/>
      <c r="AF100" s="57"/>
      <c r="AG100" s="57"/>
      <c r="AH100" s="57"/>
      <c r="AI100" s="57"/>
      <c r="AJ100" s="57"/>
      <c r="AK100" s="57"/>
      <c r="AL100" s="57"/>
      <c r="AM100" s="57"/>
      <c r="AN100" s="57"/>
      <c r="AO100" s="57"/>
      <c r="AP100" s="57"/>
    </row>
    <row r="101" s="59" customFormat="1" ht="16.5" spans="1:42">
      <c r="A101" s="79"/>
      <c r="B101" s="107" t="s">
        <v>193</v>
      </c>
      <c r="C101" s="108">
        <v>300156</v>
      </c>
      <c r="D101" s="109" t="s">
        <v>411</v>
      </c>
      <c r="E101" s="110">
        <v>45657</v>
      </c>
      <c r="F101" s="111">
        <v>60</v>
      </c>
      <c r="G101" s="112">
        <v>0.05</v>
      </c>
      <c r="H101" s="113">
        <v>3982.3</v>
      </c>
      <c r="I101" s="113">
        <v>1008.8</v>
      </c>
      <c r="J101" s="113">
        <v>0</v>
      </c>
      <c r="K101" s="114">
        <f t="shared" si="6"/>
        <v>2973.5</v>
      </c>
      <c r="L101" s="114">
        <v>252.2</v>
      </c>
      <c r="M101" s="115"/>
      <c r="N101" s="116"/>
      <c r="O101" s="117">
        <f t="shared" si="7"/>
        <v>47483</v>
      </c>
      <c r="P101" s="118">
        <f t="shared" si="8"/>
        <v>4</v>
      </c>
      <c r="Q101" s="119">
        <f t="shared" si="9"/>
        <v>252.212333333333</v>
      </c>
      <c r="R101" s="119">
        <f t="shared" si="10"/>
        <v>0.0123333333333449</v>
      </c>
      <c r="S101" s="120" t="s">
        <v>106</v>
      </c>
      <c r="U101" s="67"/>
      <c r="V101" s="121"/>
      <c r="W101" s="122"/>
      <c r="X101" s="57"/>
      <c r="Y101" s="57"/>
      <c r="Z101" s="57"/>
      <c r="AA101" s="57"/>
      <c r="AB101" s="57"/>
      <c r="AC101" s="57"/>
      <c r="AD101" s="57"/>
      <c r="AE101" s="57"/>
      <c r="AF101" s="57"/>
      <c r="AG101" s="57"/>
      <c r="AH101" s="57"/>
      <c r="AI101" s="57"/>
      <c r="AJ101" s="57"/>
      <c r="AK101" s="57"/>
      <c r="AL101" s="57"/>
      <c r="AM101" s="57"/>
      <c r="AN101" s="57"/>
      <c r="AO101" s="57"/>
      <c r="AP101" s="57"/>
    </row>
    <row r="102" s="59" customFormat="1" ht="16.5" spans="1:42">
      <c r="A102" s="79"/>
      <c r="B102" s="107" t="s">
        <v>193</v>
      </c>
      <c r="C102" s="108">
        <v>300157</v>
      </c>
      <c r="D102" s="109" t="s">
        <v>411</v>
      </c>
      <c r="E102" s="110">
        <v>45657</v>
      </c>
      <c r="F102" s="111">
        <v>60</v>
      </c>
      <c r="G102" s="112">
        <v>0.05</v>
      </c>
      <c r="H102" s="113">
        <v>3716.81</v>
      </c>
      <c r="I102" s="113">
        <v>941.6</v>
      </c>
      <c r="J102" s="113">
        <v>0</v>
      </c>
      <c r="K102" s="114">
        <f t="shared" si="6"/>
        <v>2775.21</v>
      </c>
      <c r="L102" s="114">
        <v>235.4</v>
      </c>
      <c r="M102" s="115"/>
      <c r="N102" s="116"/>
      <c r="O102" s="117">
        <f t="shared" si="7"/>
        <v>47483</v>
      </c>
      <c r="P102" s="118">
        <f t="shared" si="8"/>
        <v>4</v>
      </c>
      <c r="Q102" s="119">
        <f t="shared" si="9"/>
        <v>235.397966666667</v>
      </c>
      <c r="R102" s="119">
        <f t="shared" si="10"/>
        <v>-0.00203333333337241</v>
      </c>
      <c r="S102" s="120" t="s">
        <v>106</v>
      </c>
      <c r="U102" s="67"/>
      <c r="V102" s="121"/>
      <c r="W102" s="122"/>
      <c r="X102" s="57"/>
      <c r="Y102" s="57"/>
      <c r="Z102" s="57"/>
      <c r="AA102" s="57"/>
      <c r="AB102" s="57"/>
      <c r="AC102" s="57"/>
      <c r="AD102" s="57"/>
      <c r="AE102" s="57"/>
      <c r="AF102" s="57"/>
      <c r="AG102" s="57"/>
      <c r="AH102" s="57"/>
      <c r="AI102" s="57"/>
      <c r="AJ102" s="57"/>
      <c r="AK102" s="57"/>
      <c r="AL102" s="57"/>
      <c r="AM102" s="57"/>
      <c r="AN102" s="57"/>
      <c r="AO102" s="57"/>
      <c r="AP102" s="57"/>
    </row>
    <row r="103" s="59" customFormat="1" ht="16.5" spans="1:42">
      <c r="A103" s="79"/>
      <c r="B103" s="107" t="s">
        <v>193</v>
      </c>
      <c r="C103" s="108">
        <v>300158</v>
      </c>
      <c r="D103" s="109" t="s">
        <v>411</v>
      </c>
      <c r="E103" s="110">
        <v>45657</v>
      </c>
      <c r="F103" s="111">
        <v>60</v>
      </c>
      <c r="G103" s="112">
        <v>0.05</v>
      </c>
      <c r="H103" s="113">
        <v>3716.81</v>
      </c>
      <c r="I103" s="113">
        <v>941.6</v>
      </c>
      <c r="J103" s="113">
        <v>0</v>
      </c>
      <c r="K103" s="114">
        <f t="shared" si="6"/>
        <v>2775.21</v>
      </c>
      <c r="L103" s="114">
        <v>235.4</v>
      </c>
      <c r="M103" s="115"/>
      <c r="N103" s="116"/>
      <c r="O103" s="117">
        <f t="shared" si="7"/>
        <v>47483</v>
      </c>
      <c r="P103" s="118">
        <f t="shared" si="8"/>
        <v>4</v>
      </c>
      <c r="Q103" s="119">
        <f t="shared" si="9"/>
        <v>235.397966666667</v>
      </c>
      <c r="R103" s="119">
        <f t="shared" si="10"/>
        <v>-0.00203333333337241</v>
      </c>
      <c r="S103" s="120" t="s">
        <v>106</v>
      </c>
      <c r="U103" s="67"/>
      <c r="V103" s="121"/>
      <c r="W103" s="122"/>
      <c r="X103" s="57"/>
      <c r="Y103" s="57"/>
      <c r="Z103" s="57"/>
      <c r="AA103" s="57"/>
      <c r="AB103" s="57"/>
      <c r="AC103" s="57"/>
      <c r="AD103" s="57"/>
      <c r="AE103" s="57"/>
      <c r="AF103" s="57"/>
      <c r="AG103" s="57"/>
      <c r="AH103" s="57"/>
      <c r="AI103" s="57"/>
      <c r="AJ103" s="57"/>
      <c r="AK103" s="57"/>
      <c r="AL103" s="57"/>
      <c r="AM103" s="57"/>
      <c r="AN103" s="57"/>
      <c r="AO103" s="57"/>
      <c r="AP103" s="57"/>
    </row>
    <row r="104" s="59" customFormat="1" ht="16.5" spans="1:42">
      <c r="A104" s="79"/>
      <c r="B104" s="107" t="s">
        <v>193</v>
      </c>
      <c r="C104" s="108">
        <v>300159</v>
      </c>
      <c r="D104" s="109" t="s">
        <v>422</v>
      </c>
      <c r="E104" s="110">
        <v>45657</v>
      </c>
      <c r="F104" s="111">
        <v>60</v>
      </c>
      <c r="G104" s="112">
        <v>0.05</v>
      </c>
      <c r="H104" s="113">
        <v>1238.94</v>
      </c>
      <c r="I104" s="113">
        <v>313.92</v>
      </c>
      <c r="J104" s="113">
        <v>0</v>
      </c>
      <c r="K104" s="114">
        <f t="shared" si="6"/>
        <v>925.02</v>
      </c>
      <c r="L104" s="114">
        <v>78.48</v>
      </c>
      <c r="M104" s="115"/>
      <c r="N104" s="116"/>
      <c r="O104" s="117">
        <f t="shared" si="7"/>
        <v>47483</v>
      </c>
      <c r="P104" s="118">
        <f t="shared" si="8"/>
        <v>4</v>
      </c>
      <c r="Q104" s="119">
        <f t="shared" si="9"/>
        <v>78.4662</v>
      </c>
      <c r="R104" s="119">
        <f t="shared" si="10"/>
        <v>-0.0138000000000034</v>
      </c>
      <c r="S104" s="120" t="s">
        <v>106</v>
      </c>
      <c r="U104" s="67"/>
      <c r="V104" s="121"/>
      <c r="W104" s="122"/>
      <c r="X104" s="57"/>
      <c r="Y104" s="57"/>
      <c r="Z104" s="57"/>
      <c r="AA104" s="57"/>
      <c r="AB104" s="57"/>
      <c r="AC104" s="57"/>
      <c r="AD104" s="57"/>
      <c r="AE104" s="57"/>
      <c r="AF104" s="57"/>
      <c r="AG104" s="57"/>
      <c r="AH104" s="57"/>
      <c r="AI104" s="57"/>
      <c r="AJ104" s="57"/>
      <c r="AK104" s="57"/>
      <c r="AL104" s="57"/>
      <c r="AM104" s="57"/>
      <c r="AN104" s="57"/>
      <c r="AO104" s="57"/>
      <c r="AP104" s="57"/>
    </row>
    <row r="105" s="59" customFormat="1" ht="16.5" spans="1:42">
      <c r="A105" s="79"/>
      <c r="B105" s="107" t="s">
        <v>193</v>
      </c>
      <c r="C105" s="108">
        <v>300160</v>
      </c>
      <c r="D105" s="109" t="s">
        <v>422</v>
      </c>
      <c r="E105" s="110">
        <v>45657</v>
      </c>
      <c r="F105" s="111">
        <v>60</v>
      </c>
      <c r="G105" s="112">
        <v>0.05</v>
      </c>
      <c r="H105" s="113">
        <v>1238.94</v>
      </c>
      <c r="I105" s="113">
        <v>313.92</v>
      </c>
      <c r="J105" s="113">
        <v>0</v>
      </c>
      <c r="K105" s="114">
        <f t="shared" si="6"/>
        <v>925.02</v>
      </c>
      <c r="L105" s="114">
        <v>78.48</v>
      </c>
      <c r="M105" s="115"/>
      <c r="N105" s="116"/>
      <c r="O105" s="117">
        <f t="shared" si="7"/>
        <v>47483</v>
      </c>
      <c r="P105" s="118">
        <f t="shared" si="8"/>
        <v>4</v>
      </c>
      <c r="Q105" s="119">
        <f t="shared" si="9"/>
        <v>78.4662</v>
      </c>
      <c r="R105" s="119">
        <f t="shared" si="10"/>
        <v>-0.0138000000000034</v>
      </c>
      <c r="S105" s="120" t="s">
        <v>106</v>
      </c>
      <c r="U105" s="67"/>
      <c r="V105" s="121"/>
      <c r="W105" s="122"/>
      <c r="X105" s="57"/>
      <c r="Y105" s="57"/>
      <c r="Z105" s="57"/>
      <c r="AA105" s="57"/>
      <c r="AB105" s="57"/>
      <c r="AC105" s="57"/>
      <c r="AD105" s="57"/>
      <c r="AE105" s="57"/>
      <c r="AF105" s="57"/>
      <c r="AG105" s="57"/>
      <c r="AH105" s="57"/>
      <c r="AI105" s="57"/>
      <c r="AJ105" s="57"/>
      <c r="AK105" s="57"/>
      <c r="AL105" s="57"/>
      <c r="AM105" s="57"/>
      <c r="AN105" s="57"/>
      <c r="AO105" s="57"/>
      <c r="AP105" s="57"/>
    </row>
    <row r="106" s="59" customFormat="1" ht="16.5" spans="1:42">
      <c r="A106" s="79"/>
      <c r="B106" s="107" t="s">
        <v>193</v>
      </c>
      <c r="C106" s="108">
        <v>300161</v>
      </c>
      <c r="D106" s="109" t="s">
        <v>422</v>
      </c>
      <c r="E106" s="110">
        <v>45657</v>
      </c>
      <c r="F106" s="111">
        <v>60</v>
      </c>
      <c r="G106" s="112">
        <v>0.05</v>
      </c>
      <c r="H106" s="113">
        <v>1238.93</v>
      </c>
      <c r="I106" s="113">
        <v>313.92</v>
      </c>
      <c r="J106" s="113">
        <v>0</v>
      </c>
      <c r="K106" s="114">
        <f t="shared" si="6"/>
        <v>925.01</v>
      </c>
      <c r="L106" s="114">
        <v>78.48</v>
      </c>
      <c r="M106" s="115"/>
      <c r="N106" s="116"/>
      <c r="O106" s="117">
        <f t="shared" si="7"/>
        <v>47483</v>
      </c>
      <c r="P106" s="118">
        <f t="shared" si="8"/>
        <v>4</v>
      </c>
      <c r="Q106" s="119">
        <f t="shared" si="9"/>
        <v>78.4655666666667</v>
      </c>
      <c r="R106" s="119">
        <f t="shared" si="10"/>
        <v>-0.0144333333333293</v>
      </c>
      <c r="S106" s="120" t="s">
        <v>106</v>
      </c>
      <c r="U106" s="67"/>
      <c r="V106" s="121"/>
      <c r="W106" s="122"/>
      <c r="X106" s="57"/>
      <c r="Y106" s="57"/>
      <c r="Z106" s="57"/>
      <c r="AA106" s="57"/>
      <c r="AB106" s="57"/>
      <c r="AC106" s="57"/>
      <c r="AD106" s="57"/>
      <c r="AE106" s="57"/>
      <c r="AF106" s="57"/>
      <c r="AG106" s="57"/>
      <c r="AH106" s="57"/>
      <c r="AI106" s="57"/>
      <c r="AJ106" s="57"/>
      <c r="AK106" s="57"/>
      <c r="AL106" s="57"/>
      <c r="AM106" s="57"/>
      <c r="AN106" s="57"/>
      <c r="AO106" s="57"/>
      <c r="AP106" s="57"/>
    </row>
    <row r="107" s="59" customFormat="1" ht="16.5" spans="1:42">
      <c r="A107" s="79"/>
      <c r="B107" s="107" t="s">
        <v>193</v>
      </c>
      <c r="C107" s="108">
        <v>300162</v>
      </c>
      <c r="D107" s="109" t="s">
        <v>422</v>
      </c>
      <c r="E107" s="110">
        <v>45657</v>
      </c>
      <c r="F107" s="111">
        <v>60</v>
      </c>
      <c r="G107" s="112">
        <v>0.05</v>
      </c>
      <c r="H107" s="113">
        <v>1592.92</v>
      </c>
      <c r="I107" s="113">
        <v>403.52</v>
      </c>
      <c r="J107" s="113">
        <v>0</v>
      </c>
      <c r="K107" s="114">
        <f t="shared" si="6"/>
        <v>1189.4</v>
      </c>
      <c r="L107" s="114">
        <v>100.88</v>
      </c>
      <c r="M107" s="115"/>
      <c r="N107" s="116"/>
      <c r="O107" s="117">
        <f t="shared" si="7"/>
        <v>47483</v>
      </c>
      <c r="P107" s="118">
        <f t="shared" si="8"/>
        <v>4</v>
      </c>
      <c r="Q107" s="119">
        <f t="shared" si="9"/>
        <v>100.884933333333</v>
      </c>
      <c r="R107" s="119">
        <f t="shared" si="10"/>
        <v>0.00493333333332657</v>
      </c>
      <c r="S107" s="120" t="s">
        <v>106</v>
      </c>
      <c r="U107" s="67"/>
      <c r="V107" s="121"/>
      <c r="W107" s="122"/>
      <c r="X107" s="57"/>
      <c r="Y107" s="57"/>
      <c r="Z107" s="57"/>
      <c r="AA107" s="57"/>
      <c r="AB107" s="57"/>
      <c r="AC107" s="57"/>
      <c r="AD107" s="57"/>
      <c r="AE107" s="57"/>
      <c r="AF107" s="57"/>
      <c r="AG107" s="57"/>
      <c r="AH107" s="57"/>
      <c r="AI107" s="57"/>
      <c r="AJ107" s="57"/>
      <c r="AK107" s="57"/>
      <c r="AL107" s="57"/>
      <c r="AM107" s="57"/>
      <c r="AN107" s="57"/>
      <c r="AO107" s="57"/>
      <c r="AP107" s="57"/>
    </row>
    <row r="108" s="59" customFormat="1" ht="16.5" spans="1:42">
      <c r="A108" s="79"/>
      <c r="B108" s="107" t="s">
        <v>193</v>
      </c>
      <c r="C108" s="108">
        <v>300163</v>
      </c>
      <c r="D108" s="109" t="s">
        <v>425</v>
      </c>
      <c r="E108" s="110">
        <v>45657</v>
      </c>
      <c r="F108" s="111">
        <v>60</v>
      </c>
      <c r="G108" s="112">
        <v>0.05</v>
      </c>
      <c r="H108" s="113">
        <v>1100</v>
      </c>
      <c r="I108" s="113">
        <v>278.72</v>
      </c>
      <c r="J108" s="113">
        <v>0</v>
      </c>
      <c r="K108" s="114">
        <f t="shared" si="6"/>
        <v>821.28</v>
      </c>
      <c r="L108" s="114">
        <v>69.68</v>
      </c>
      <c r="M108" s="115"/>
      <c r="N108" s="116"/>
      <c r="O108" s="117">
        <f t="shared" si="7"/>
        <v>47483</v>
      </c>
      <c r="P108" s="118">
        <f t="shared" si="8"/>
        <v>4</v>
      </c>
      <c r="Q108" s="119">
        <f t="shared" si="9"/>
        <v>69.6666666666667</v>
      </c>
      <c r="R108" s="119">
        <f t="shared" si="10"/>
        <v>-0.0133333333333354</v>
      </c>
      <c r="S108" s="120" t="s">
        <v>106</v>
      </c>
      <c r="U108" s="67"/>
      <c r="V108" s="121"/>
      <c r="W108" s="122"/>
      <c r="X108" s="57"/>
      <c r="Y108" s="57"/>
      <c r="Z108" s="57"/>
      <c r="AA108" s="57"/>
      <c r="AB108" s="57"/>
      <c r="AC108" s="57"/>
      <c r="AD108" s="57"/>
      <c r="AE108" s="57"/>
      <c r="AF108" s="57"/>
      <c r="AG108" s="57"/>
      <c r="AH108" s="57"/>
      <c r="AI108" s="57"/>
      <c r="AJ108" s="57"/>
      <c r="AK108" s="57"/>
      <c r="AL108" s="57"/>
      <c r="AM108" s="57"/>
      <c r="AN108" s="57"/>
      <c r="AO108" s="57"/>
      <c r="AP108" s="57"/>
    </row>
    <row r="109" s="59" customFormat="1" ht="16.5" spans="1:42">
      <c r="A109" s="79"/>
      <c r="B109" s="107" t="s">
        <v>193</v>
      </c>
      <c r="C109" s="108">
        <v>300164</v>
      </c>
      <c r="D109" s="109" t="s">
        <v>426</v>
      </c>
      <c r="E109" s="110">
        <v>45657</v>
      </c>
      <c r="F109" s="111">
        <v>60</v>
      </c>
      <c r="G109" s="112">
        <v>0.05</v>
      </c>
      <c r="H109" s="113">
        <v>120</v>
      </c>
      <c r="I109" s="113">
        <v>30.4</v>
      </c>
      <c r="J109" s="113">
        <v>0</v>
      </c>
      <c r="K109" s="114">
        <f t="shared" si="6"/>
        <v>89.6</v>
      </c>
      <c r="L109" s="114">
        <v>7.6</v>
      </c>
      <c r="M109" s="115"/>
      <c r="N109" s="116"/>
      <c r="O109" s="117">
        <f t="shared" si="7"/>
        <v>47483</v>
      </c>
      <c r="P109" s="118">
        <f t="shared" si="8"/>
        <v>4</v>
      </c>
      <c r="Q109" s="119">
        <f t="shared" si="9"/>
        <v>7.6</v>
      </c>
      <c r="R109" s="119">
        <f t="shared" si="10"/>
        <v>0</v>
      </c>
      <c r="S109" s="120" t="s">
        <v>106</v>
      </c>
      <c r="U109" s="67"/>
      <c r="V109" s="121"/>
      <c r="W109" s="122"/>
      <c r="X109" s="57"/>
      <c r="Y109" s="57"/>
      <c r="Z109" s="57"/>
      <c r="AA109" s="57"/>
      <c r="AB109" s="57"/>
      <c r="AC109" s="57"/>
      <c r="AD109" s="57"/>
      <c r="AE109" s="57"/>
      <c r="AF109" s="57"/>
      <c r="AG109" s="57"/>
      <c r="AH109" s="57"/>
      <c r="AI109" s="57"/>
      <c r="AJ109" s="57"/>
      <c r="AK109" s="57"/>
      <c r="AL109" s="57"/>
      <c r="AM109" s="57"/>
      <c r="AN109" s="57"/>
      <c r="AO109" s="57"/>
      <c r="AP109" s="57"/>
    </row>
    <row r="110" s="59" customFormat="1" ht="16.5" spans="1:42">
      <c r="A110" s="79"/>
      <c r="B110" s="107" t="s">
        <v>193</v>
      </c>
      <c r="C110" s="108">
        <v>300165</v>
      </c>
      <c r="D110" s="109" t="s">
        <v>427</v>
      </c>
      <c r="E110" s="110">
        <v>45657</v>
      </c>
      <c r="F110" s="111">
        <v>60</v>
      </c>
      <c r="G110" s="112">
        <v>0.05</v>
      </c>
      <c r="H110" s="113">
        <v>1500</v>
      </c>
      <c r="I110" s="113">
        <v>380</v>
      </c>
      <c r="J110" s="113">
        <v>0</v>
      </c>
      <c r="K110" s="114">
        <f t="shared" si="6"/>
        <v>1120</v>
      </c>
      <c r="L110" s="114">
        <v>95</v>
      </c>
      <c r="M110" s="115"/>
      <c r="N110" s="116"/>
      <c r="O110" s="117">
        <f t="shared" si="7"/>
        <v>47483</v>
      </c>
      <c r="P110" s="118">
        <f t="shared" si="8"/>
        <v>4</v>
      </c>
      <c r="Q110" s="119">
        <f t="shared" si="9"/>
        <v>95</v>
      </c>
      <c r="R110" s="119">
        <f t="shared" si="10"/>
        <v>0</v>
      </c>
      <c r="S110" s="120" t="s">
        <v>106</v>
      </c>
      <c r="U110" s="67"/>
      <c r="V110" s="121"/>
      <c r="W110" s="122"/>
      <c r="X110" s="57"/>
      <c r="Y110" s="57"/>
      <c r="Z110" s="57"/>
      <c r="AA110" s="57"/>
      <c r="AB110" s="57"/>
      <c r="AC110" s="57"/>
      <c r="AD110" s="57"/>
      <c r="AE110" s="57"/>
      <c r="AF110" s="57"/>
      <c r="AG110" s="57"/>
      <c r="AH110" s="57"/>
      <c r="AI110" s="57"/>
      <c r="AJ110" s="57"/>
      <c r="AK110" s="57"/>
      <c r="AL110" s="57"/>
      <c r="AM110" s="57"/>
      <c r="AN110" s="57"/>
      <c r="AO110" s="57"/>
      <c r="AP110" s="57"/>
    </row>
    <row r="111" s="59" customFormat="1" ht="16.5" spans="1:42">
      <c r="A111" s="79"/>
      <c r="B111" s="107" t="s">
        <v>193</v>
      </c>
      <c r="C111" s="108">
        <v>300166</v>
      </c>
      <c r="D111" s="109" t="s">
        <v>429</v>
      </c>
      <c r="E111" s="110">
        <v>45657</v>
      </c>
      <c r="F111" s="111">
        <v>60</v>
      </c>
      <c r="G111" s="112">
        <v>0.05</v>
      </c>
      <c r="H111" s="113">
        <v>1650</v>
      </c>
      <c r="I111" s="113">
        <v>418</v>
      </c>
      <c r="J111" s="113">
        <v>0</v>
      </c>
      <c r="K111" s="114">
        <f t="shared" si="6"/>
        <v>1232</v>
      </c>
      <c r="L111" s="114">
        <v>104.5</v>
      </c>
      <c r="M111" s="115"/>
      <c r="N111" s="116"/>
      <c r="O111" s="117">
        <f t="shared" si="7"/>
        <v>47483</v>
      </c>
      <c r="P111" s="118">
        <f t="shared" si="8"/>
        <v>4</v>
      </c>
      <c r="Q111" s="119">
        <f t="shared" si="9"/>
        <v>104.5</v>
      </c>
      <c r="R111" s="119">
        <f t="shared" si="10"/>
        <v>0</v>
      </c>
      <c r="S111" s="120" t="s">
        <v>106</v>
      </c>
      <c r="U111" s="67"/>
      <c r="V111" s="121"/>
      <c r="W111" s="122"/>
      <c r="X111" s="57"/>
      <c r="Y111" s="57"/>
      <c r="Z111" s="57"/>
      <c r="AA111" s="57"/>
      <c r="AB111" s="57"/>
      <c r="AC111" s="57"/>
      <c r="AD111" s="57"/>
      <c r="AE111" s="57"/>
      <c r="AF111" s="57"/>
      <c r="AG111" s="57"/>
      <c r="AH111" s="57"/>
      <c r="AI111" s="57"/>
      <c r="AJ111" s="57"/>
      <c r="AK111" s="57"/>
      <c r="AL111" s="57"/>
      <c r="AM111" s="57"/>
      <c r="AN111" s="57"/>
      <c r="AO111" s="57"/>
      <c r="AP111" s="57"/>
    </row>
    <row r="112" s="59" customFormat="1" ht="16.5" spans="1:42">
      <c r="A112" s="79"/>
      <c r="B112" s="107" t="s">
        <v>193</v>
      </c>
      <c r="C112" s="108">
        <v>300167</v>
      </c>
      <c r="D112" s="109" t="s">
        <v>429</v>
      </c>
      <c r="E112" s="110">
        <v>45657</v>
      </c>
      <c r="F112" s="111">
        <v>60</v>
      </c>
      <c r="G112" s="112">
        <v>0.05</v>
      </c>
      <c r="H112" s="113">
        <v>1600</v>
      </c>
      <c r="I112" s="113">
        <v>405.28</v>
      </c>
      <c r="J112" s="113">
        <v>0</v>
      </c>
      <c r="K112" s="114">
        <f t="shared" si="6"/>
        <v>1194.72</v>
      </c>
      <c r="L112" s="114">
        <v>101.32</v>
      </c>
      <c r="M112" s="115"/>
      <c r="N112" s="116"/>
      <c r="O112" s="117">
        <f t="shared" si="7"/>
        <v>47483</v>
      </c>
      <c r="P112" s="118">
        <f t="shared" si="8"/>
        <v>4</v>
      </c>
      <c r="Q112" s="119">
        <f t="shared" si="9"/>
        <v>101.333333333333</v>
      </c>
      <c r="R112" s="119">
        <f t="shared" si="10"/>
        <v>0.0133333333333354</v>
      </c>
      <c r="S112" s="120" t="s">
        <v>106</v>
      </c>
      <c r="U112" s="67"/>
      <c r="V112" s="121"/>
      <c r="W112" s="122"/>
      <c r="X112" s="57"/>
      <c r="Y112" s="57"/>
      <c r="Z112" s="57"/>
      <c r="AA112" s="57"/>
      <c r="AB112" s="57"/>
      <c r="AC112" s="57"/>
      <c r="AD112" s="57"/>
      <c r="AE112" s="57"/>
      <c r="AF112" s="57"/>
      <c r="AG112" s="57"/>
      <c r="AH112" s="57"/>
      <c r="AI112" s="57"/>
      <c r="AJ112" s="57"/>
      <c r="AK112" s="57"/>
      <c r="AL112" s="57"/>
      <c r="AM112" s="57"/>
      <c r="AN112" s="57"/>
      <c r="AO112" s="57"/>
      <c r="AP112" s="57"/>
    </row>
    <row r="113" s="59" customFormat="1" ht="16.5" spans="1:42">
      <c r="A113" s="79"/>
      <c r="B113" s="107" t="s">
        <v>193</v>
      </c>
      <c r="C113" s="108">
        <v>300168</v>
      </c>
      <c r="D113" s="109" t="s">
        <v>432</v>
      </c>
      <c r="E113" s="110">
        <v>45657</v>
      </c>
      <c r="F113" s="111">
        <v>60</v>
      </c>
      <c r="G113" s="112">
        <v>0.05</v>
      </c>
      <c r="H113" s="113">
        <v>1600</v>
      </c>
      <c r="I113" s="113">
        <v>405.28</v>
      </c>
      <c r="J113" s="113">
        <v>0</v>
      </c>
      <c r="K113" s="114">
        <f t="shared" si="6"/>
        <v>1194.72</v>
      </c>
      <c r="L113" s="114">
        <v>101.32</v>
      </c>
      <c r="M113" s="115"/>
      <c r="N113" s="116"/>
      <c r="O113" s="117">
        <f t="shared" si="7"/>
        <v>47483</v>
      </c>
      <c r="P113" s="118">
        <f t="shared" si="8"/>
        <v>4</v>
      </c>
      <c r="Q113" s="119">
        <f t="shared" si="9"/>
        <v>101.333333333333</v>
      </c>
      <c r="R113" s="119">
        <f t="shared" si="10"/>
        <v>0.0133333333333354</v>
      </c>
      <c r="S113" s="120" t="s">
        <v>106</v>
      </c>
      <c r="U113" s="67"/>
      <c r="V113" s="121"/>
      <c r="W113" s="122"/>
      <c r="X113" s="57"/>
      <c r="Y113" s="57"/>
      <c r="Z113" s="57"/>
      <c r="AA113" s="57"/>
      <c r="AB113" s="57"/>
      <c r="AC113" s="57"/>
      <c r="AD113" s="57"/>
      <c r="AE113" s="57"/>
      <c r="AF113" s="57"/>
      <c r="AG113" s="57"/>
      <c r="AH113" s="57"/>
      <c r="AI113" s="57"/>
      <c r="AJ113" s="57"/>
      <c r="AK113" s="57"/>
      <c r="AL113" s="57"/>
      <c r="AM113" s="57"/>
      <c r="AN113" s="57"/>
      <c r="AO113" s="57"/>
      <c r="AP113" s="57"/>
    </row>
    <row r="114" s="59" customFormat="1" ht="16.5" spans="1:42">
      <c r="A114" s="79"/>
      <c r="B114" s="107" t="s">
        <v>193</v>
      </c>
      <c r="C114" s="108">
        <v>300169</v>
      </c>
      <c r="D114" s="109" t="s">
        <v>434</v>
      </c>
      <c r="E114" s="110">
        <v>45657</v>
      </c>
      <c r="F114" s="111">
        <v>60</v>
      </c>
      <c r="G114" s="112">
        <v>0.05</v>
      </c>
      <c r="H114" s="113">
        <v>1380</v>
      </c>
      <c r="I114" s="113">
        <v>349.6</v>
      </c>
      <c r="J114" s="113">
        <v>0</v>
      </c>
      <c r="K114" s="114">
        <f t="shared" si="6"/>
        <v>1030.4</v>
      </c>
      <c r="L114" s="114">
        <v>87.4</v>
      </c>
      <c r="M114" s="115"/>
      <c r="N114" s="116"/>
      <c r="O114" s="117">
        <f t="shared" si="7"/>
        <v>47483</v>
      </c>
      <c r="P114" s="118">
        <f t="shared" si="8"/>
        <v>4</v>
      </c>
      <c r="Q114" s="119">
        <f t="shared" si="9"/>
        <v>87.4</v>
      </c>
      <c r="R114" s="119">
        <f t="shared" si="10"/>
        <v>0</v>
      </c>
      <c r="S114" s="120" t="s">
        <v>106</v>
      </c>
      <c r="U114" s="67"/>
      <c r="V114" s="121"/>
      <c r="W114" s="122"/>
      <c r="X114" s="57"/>
      <c r="Y114" s="57"/>
      <c r="Z114" s="57"/>
      <c r="AA114" s="57"/>
      <c r="AB114" s="57"/>
      <c r="AC114" s="57"/>
      <c r="AD114" s="57"/>
      <c r="AE114" s="57"/>
      <c r="AF114" s="57"/>
      <c r="AG114" s="57"/>
      <c r="AH114" s="57"/>
      <c r="AI114" s="57"/>
      <c r="AJ114" s="57"/>
      <c r="AK114" s="57"/>
      <c r="AL114" s="57"/>
      <c r="AM114" s="57"/>
      <c r="AN114" s="57"/>
      <c r="AO114" s="57"/>
      <c r="AP114" s="57"/>
    </row>
    <row r="115" s="59" customFormat="1" ht="16.5" spans="1:42">
      <c r="A115" s="79"/>
      <c r="B115" s="107" t="s">
        <v>193</v>
      </c>
      <c r="C115" s="108">
        <v>300170</v>
      </c>
      <c r="D115" s="109" t="s">
        <v>436</v>
      </c>
      <c r="E115" s="110">
        <v>45657</v>
      </c>
      <c r="F115" s="111">
        <v>60</v>
      </c>
      <c r="G115" s="112">
        <v>0.05</v>
      </c>
      <c r="H115" s="113">
        <v>1050</v>
      </c>
      <c r="I115" s="113">
        <v>266</v>
      </c>
      <c r="J115" s="113">
        <v>0</v>
      </c>
      <c r="K115" s="114">
        <f t="shared" si="6"/>
        <v>784</v>
      </c>
      <c r="L115" s="114">
        <v>66.5</v>
      </c>
      <c r="M115" s="115"/>
      <c r="N115" s="116"/>
      <c r="O115" s="117">
        <f t="shared" si="7"/>
        <v>47483</v>
      </c>
      <c r="P115" s="118">
        <f t="shared" si="8"/>
        <v>4</v>
      </c>
      <c r="Q115" s="119">
        <f t="shared" si="9"/>
        <v>66.5</v>
      </c>
      <c r="R115" s="119">
        <f t="shared" si="10"/>
        <v>0</v>
      </c>
      <c r="S115" s="120" t="s">
        <v>106</v>
      </c>
      <c r="U115" s="67"/>
      <c r="V115" s="121"/>
      <c r="W115" s="122"/>
      <c r="X115" s="57"/>
      <c r="Y115" s="57"/>
      <c r="Z115" s="57"/>
      <c r="AA115" s="57"/>
      <c r="AB115" s="57"/>
      <c r="AC115" s="57"/>
      <c r="AD115" s="57"/>
      <c r="AE115" s="57"/>
      <c r="AF115" s="57"/>
      <c r="AG115" s="57"/>
      <c r="AH115" s="57"/>
      <c r="AI115" s="57"/>
      <c r="AJ115" s="57"/>
      <c r="AK115" s="57"/>
      <c r="AL115" s="57"/>
      <c r="AM115" s="57"/>
      <c r="AN115" s="57"/>
      <c r="AO115" s="57"/>
      <c r="AP115" s="57"/>
    </row>
    <row r="116" s="59" customFormat="1" ht="16.5" spans="1:42">
      <c r="A116" s="79"/>
      <c r="B116" s="107" t="s">
        <v>193</v>
      </c>
      <c r="C116" s="108">
        <v>300171</v>
      </c>
      <c r="D116" s="109" t="s">
        <v>438</v>
      </c>
      <c r="E116" s="110">
        <v>45716</v>
      </c>
      <c r="F116" s="111">
        <v>60</v>
      </c>
      <c r="G116" s="112">
        <v>0.05</v>
      </c>
      <c r="H116" s="113">
        <v>738</v>
      </c>
      <c r="I116" s="113">
        <v>163.59</v>
      </c>
      <c r="J116" s="113">
        <v>0</v>
      </c>
      <c r="K116" s="114">
        <f t="shared" si="6"/>
        <v>574.41</v>
      </c>
      <c r="L116" s="114">
        <v>46.74</v>
      </c>
      <c r="M116" s="115"/>
      <c r="N116" s="116"/>
      <c r="O116" s="117">
        <f t="shared" si="7"/>
        <v>47542</v>
      </c>
      <c r="P116" s="118">
        <f t="shared" si="8"/>
        <v>4</v>
      </c>
      <c r="Q116" s="119">
        <f t="shared" si="9"/>
        <v>46.74</v>
      </c>
      <c r="R116" s="119">
        <f t="shared" si="10"/>
        <v>0</v>
      </c>
      <c r="S116" s="120" t="s">
        <v>106</v>
      </c>
      <c r="U116" s="67"/>
      <c r="V116" s="121"/>
      <c r="W116" s="122"/>
      <c r="X116" s="57"/>
      <c r="Y116" s="57"/>
      <c r="Z116" s="57"/>
      <c r="AA116" s="57"/>
      <c r="AB116" s="57"/>
      <c r="AC116" s="57"/>
      <c r="AD116" s="57"/>
      <c r="AE116" s="57"/>
      <c r="AF116" s="57"/>
      <c r="AG116" s="57"/>
      <c r="AH116" s="57"/>
      <c r="AI116" s="57"/>
      <c r="AJ116" s="57"/>
      <c r="AK116" s="57"/>
      <c r="AL116" s="57"/>
      <c r="AM116" s="57"/>
      <c r="AN116" s="57"/>
      <c r="AO116" s="57"/>
      <c r="AP116" s="57"/>
    </row>
    <row r="117" s="59" customFormat="1" ht="16.5" spans="1:42">
      <c r="A117" s="79"/>
      <c r="B117" s="107" t="s">
        <v>193</v>
      </c>
      <c r="C117" s="108">
        <v>300172</v>
      </c>
      <c r="D117" s="109" t="s">
        <v>440</v>
      </c>
      <c r="E117" s="110">
        <v>45716</v>
      </c>
      <c r="F117" s="111">
        <v>60</v>
      </c>
      <c r="G117" s="112">
        <v>0.05</v>
      </c>
      <c r="H117" s="113">
        <v>778</v>
      </c>
      <c r="I117" s="113">
        <v>172.48</v>
      </c>
      <c r="J117" s="113">
        <v>0</v>
      </c>
      <c r="K117" s="114">
        <f t="shared" si="6"/>
        <v>605.52</v>
      </c>
      <c r="L117" s="114">
        <v>49.28</v>
      </c>
      <c r="M117" s="115"/>
      <c r="N117" s="116"/>
      <c r="O117" s="117">
        <f t="shared" si="7"/>
        <v>47542</v>
      </c>
      <c r="P117" s="118">
        <f t="shared" si="8"/>
        <v>4</v>
      </c>
      <c r="Q117" s="119">
        <f t="shared" si="9"/>
        <v>49.2733333333333</v>
      </c>
      <c r="R117" s="119">
        <f t="shared" si="10"/>
        <v>-0.00666666666667481</v>
      </c>
      <c r="S117" s="120" t="s">
        <v>106</v>
      </c>
      <c r="U117" s="67"/>
      <c r="V117" s="121"/>
      <c r="W117" s="122"/>
      <c r="X117" s="57"/>
      <c r="Y117" s="57"/>
      <c r="Z117" s="57"/>
      <c r="AA117" s="57"/>
      <c r="AB117" s="57"/>
      <c r="AC117" s="57"/>
      <c r="AD117" s="57"/>
      <c r="AE117" s="57"/>
      <c r="AF117" s="57"/>
      <c r="AG117" s="57"/>
      <c r="AH117" s="57"/>
      <c r="AI117" s="57"/>
      <c r="AJ117" s="57"/>
      <c r="AK117" s="57"/>
      <c r="AL117" s="57"/>
      <c r="AM117" s="57"/>
      <c r="AN117" s="57"/>
      <c r="AO117" s="57"/>
      <c r="AP117" s="57"/>
    </row>
    <row r="118" s="59" customFormat="1" ht="16.5" spans="1:42">
      <c r="A118" s="79"/>
      <c r="B118" s="107" t="s">
        <v>193</v>
      </c>
      <c r="C118" s="108">
        <v>300173</v>
      </c>
      <c r="D118" s="109" t="s">
        <v>442</v>
      </c>
      <c r="E118" s="110">
        <v>45752</v>
      </c>
      <c r="F118" s="111">
        <v>60</v>
      </c>
      <c r="G118" s="112">
        <v>0.05</v>
      </c>
      <c r="H118" s="113">
        <v>7300.88</v>
      </c>
      <c r="I118" s="113">
        <v>1387.2</v>
      </c>
      <c r="J118" s="113">
        <v>0</v>
      </c>
      <c r="K118" s="114">
        <f t="shared" si="6"/>
        <v>5913.68</v>
      </c>
      <c r="L118" s="114">
        <v>462.4</v>
      </c>
      <c r="M118" s="115"/>
      <c r="N118" s="116"/>
      <c r="O118" s="117">
        <f t="shared" si="7"/>
        <v>47603</v>
      </c>
      <c r="P118" s="118">
        <f t="shared" si="8"/>
        <v>4</v>
      </c>
      <c r="Q118" s="119">
        <f t="shared" si="9"/>
        <v>462.389066666667</v>
      </c>
      <c r="R118" s="119">
        <f t="shared" si="10"/>
        <v>-0.0109333333333552</v>
      </c>
      <c r="S118" s="120" t="s">
        <v>106</v>
      </c>
      <c r="U118" s="67"/>
      <c r="V118" s="121"/>
      <c r="W118" s="122"/>
      <c r="X118" s="57"/>
      <c r="Y118" s="57"/>
      <c r="Z118" s="57"/>
      <c r="AA118" s="57"/>
      <c r="AB118" s="57"/>
      <c r="AC118" s="57"/>
      <c r="AD118" s="57"/>
      <c r="AE118" s="57"/>
      <c r="AF118" s="57"/>
      <c r="AG118" s="57"/>
      <c r="AH118" s="57"/>
      <c r="AI118" s="57"/>
      <c r="AJ118" s="57"/>
      <c r="AK118" s="57"/>
      <c r="AL118" s="57"/>
      <c r="AM118" s="57"/>
      <c r="AN118" s="57"/>
      <c r="AO118" s="57"/>
      <c r="AP118" s="57"/>
    </row>
    <row r="119" s="59" customFormat="1" ht="16.5" spans="1:42">
      <c r="A119" s="79"/>
      <c r="B119" s="107" t="s">
        <v>193</v>
      </c>
      <c r="C119" s="108">
        <v>300174</v>
      </c>
      <c r="D119" s="109" t="s">
        <v>444</v>
      </c>
      <c r="E119" s="110">
        <v>45911</v>
      </c>
      <c r="F119" s="111">
        <v>60</v>
      </c>
      <c r="G119" s="112">
        <v>0.05</v>
      </c>
      <c r="H119" s="113">
        <v>2000</v>
      </c>
      <c r="I119" s="113">
        <v>221.69</v>
      </c>
      <c r="J119" s="113">
        <v>0</v>
      </c>
      <c r="K119" s="114">
        <f t="shared" si="6"/>
        <v>1778.31</v>
      </c>
      <c r="L119" s="114">
        <v>126.68</v>
      </c>
      <c r="M119" s="115"/>
      <c r="N119" s="116"/>
      <c r="O119" s="117">
        <f t="shared" si="7"/>
        <v>47756</v>
      </c>
      <c r="P119" s="118">
        <f t="shared" si="8"/>
        <v>4</v>
      </c>
      <c r="Q119" s="119">
        <f t="shared" si="9"/>
        <v>126.666666666667</v>
      </c>
      <c r="R119" s="119">
        <f t="shared" si="10"/>
        <v>-0.0133333333333354</v>
      </c>
      <c r="S119" s="120" t="s">
        <v>106</v>
      </c>
      <c r="U119" s="67"/>
      <c r="V119" s="121"/>
      <c r="W119" s="122"/>
      <c r="X119" s="57"/>
      <c r="Y119" s="57"/>
      <c r="Z119" s="57"/>
      <c r="AA119" s="57"/>
      <c r="AB119" s="57"/>
      <c r="AC119" s="57"/>
      <c r="AD119" s="57"/>
      <c r="AE119" s="57"/>
      <c r="AF119" s="57"/>
      <c r="AG119" s="57"/>
      <c r="AH119" s="57"/>
      <c r="AI119" s="57"/>
      <c r="AJ119" s="57"/>
      <c r="AK119" s="57"/>
      <c r="AL119" s="57"/>
      <c r="AM119" s="57"/>
      <c r="AN119" s="57"/>
      <c r="AO119" s="57"/>
      <c r="AP119" s="57"/>
    </row>
    <row r="120" s="59" customFormat="1" ht="16.5" spans="1:42">
      <c r="A120" s="79"/>
      <c r="B120" s="107" t="s">
        <v>193</v>
      </c>
      <c r="C120" s="108">
        <v>300175</v>
      </c>
      <c r="D120" s="109" t="s">
        <v>411</v>
      </c>
      <c r="E120" s="110">
        <v>45929</v>
      </c>
      <c r="F120" s="111">
        <v>60</v>
      </c>
      <c r="G120" s="112">
        <v>0.05</v>
      </c>
      <c r="H120" s="113">
        <v>23893.81</v>
      </c>
      <c r="I120" s="113">
        <v>2648.24</v>
      </c>
      <c r="J120" s="113">
        <v>0</v>
      </c>
      <c r="K120" s="114">
        <f t="shared" si="6"/>
        <v>21245.57</v>
      </c>
      <c r="L120" s="114">
        <v>1513.28</v>
      </c>
      <c r="M120" s="115"/>
      <c r="N120" s="116"/>
      <c r="O120" s="117">
        <f t="shared" si="7"/>
        <v>47756</v>
      </c>
      <c r="P120" s="118">
        <f t="shared" si="8"/>
        <v>4</v>
      </c>
      <c r="Q120" s="119">
        <f t="shared" si="9"/>
        <v>1513.27463333333</v>
      </c>
      <c r="R120" s="119">
        <f t="shared" si="10"/>
        <v>-0.00536666666653218</v>
      </c>
      <c r="S120" s="120" t="s">
        <v>106</v>
      </c>
      <c r="U120" s="67"/>
      <c r="V120" s="121"/>
      <c r="W120" s="122"/>
      <c r="X120" s="57"/>
      <c r="Y120" s="57"/>
      <c r="Z120" s="57"/>
      <c r="AA120" s="57"/>
      <c r="AB120" s="57"/>
      <c r="AC120" s="57"/>
      <c r="AD120" s="57"/>
      <c r="AE120" s="57"/>
      <c r="AF120" s="57"/>
      <c r="AG120" s="57"/>
      <c r="AH120" s="57"/>
      <c r="AI120" s="57"/>
      <c r="AJ120" s="57"/>
      <c r="AK120" s="57"/>
      <c r="AL120" s="57"/>
      <c r="AM120" s="57"/>
      <c r="AN120" s="57"/>
      <c r="AO120" s="57"/>
      <c r="AP120" s="57"/>
    </row>
    <row r="121" s="59" customFormat="1" ht="16.5" spans="1:42">
      <c r="A121" s="79"/>
      <c r="B121" s="107" t="s">
        <v>193</v>
      </c>
      <c r="C121" s="108">
        <v>300176</v>
      </c>
      <c r="D121" s="109" t="s">
        <v>398</v>
      </c>
      <c r="E121" s="110">
        <v>45941</v>
      </c>
      <c r="F121" s="111">
        <v>60</v>
      </c>
      <c r="G121" s="112">
        <v>0.05</v>
      </c>
      <c r="H121" s="113">
        <v>15897.35</v>
      </c>
      <c r="I121" s="113">
        <v>1510.26</v>
      </c>
      <c r="J121" s="113">
        <v>0</v>
      </c>
      <c r="K121" s="114">
        <f t="shared" si="6"/>
        <v>14387.09</v>
      </c>
      <c r="L121" s="114">
        <v>1006.84</v>
      </c>
      <c r="M121" s="115"/>
      <c r="N121" s="116"/>
      <c r="O121" s="117">
        <f t="shared" si="7"/>
        <v>47787</v>
      </c>
      <c r="P121" s="118">
        <f t="shared" si="8"/>
        <v>4</v>
      </c>
      <c r="Q121" s="119">
        <f t="shared" si="9"/>
        <v>1006.83216666667</v>
      </c>
      <c r="R121" s="119">
        <f t="shared" si="10"/>
        <v>-0.00783333333333758</v>
      </c>
      <c r="S121" s="120" t="s">
        <v>106</v>
      </c>
      <c r="U121" s="67"/>
      <c r="V121" s="121"/>
      <c r="W121" s="122"/>
      <c r="X121" s="57"/>
      <c r="Y121" s="57"/>
      <c r="Z121" s="57"/>
      <c r="AA121" s="57"/>
      <c r="AB121" s="57"/>
      <c r="AC121" s="57"/>
      <c r="AD121" s="57"/>
      <c r="AE121" s="57"/>
      <c r="AF121" s="57"/>
      <c r="AG121" s="57"/>
      <c r="AH121" s="57"/>
      <c r="AI121" s="57"/>
      <c r="AJ121" s="57"/>
      <c r="AK121" s="57"/>
      <c r="AL121" s="57"/>
      <c r="AM121" s="57"/>
      <c r="AN121" s="57"/>
      <c r="AO121" s="57"/>
      <c r="AP121" s="57"/>
    </row>
    <row r="122" s="59" customFormat="1" ht="16.5" spans="1:42">
      <c r="A122" s="79"/>
      <c r="B122" s="107" t="s">
        <v>193</v>
      </c>
      <c r="C122" s="108">
        <v>300177</v>
      </c>
      <c r="D122" s="109" t="s">
        <v>447</v>
      </c>
      <c r="E122" s="110">
        <v>45964</v>
      </c>
      <c r="F122" s="111">
        <v>48</v>
      </c>
      <c r="G122" s="112">
        <v>0.05</v>
      </c>
      <c r="H122" s="113">
        <v>5752.21</v>
      </c>
      <c r="I122" s="113">
        <v>569.25</v>
      </c>
      <c r="J122" s="113">
        <v>0</v>
      </c>
      <c r="K122" s="114">
        <f t="shared" si="6"/>
        <v>5182.96</v>
      </c>
      <c r="L122" s="114">
        <v>455.4</v>
      </c>
      <c r="M122" s="115"/>
      <c r="N122" s="116"/>
      <c r="O122" s="117">
        <f t="shared" si="7"/>
        <v>47452</v>
      </c>
      <c r="P122" s="118">
        <f t="shared" si="8"/>
        <v>4</v>
      </c>
      <c r="Q122" s="119">
        <f t="shared" si="9"/>
        <v>455.383291666667</v>
      </c>
      <c r="R122" s="119">
        <f t="shared" si="10"/>
        <v>-0.0167083333333835</v>
      </c>
      <c r="S122" s="120" t="s">
        <v>106</v>
      </c>
      <c r="U122" s="67"/>
      <c r="V122" s="121"/>
      <c r="W122" s="122"/>
      <c r="X122" s="57"/>
      <c r="Y122" s="57"/>
      <c r="Z122" s="57"/>
      <c r="AA122" s="57"/>
      <c r="AB122" s="57"/>
      <c r="AC122" s="57"/>
      <c r="AD122" s="57"/>
      <c r="AE122" s="57"/>
      <c r="AF122" s="57"/>
      <c r="AG122" s="57"/>
      <c r="AH122" s="57"/>
      <c r="AI122" s="57"/>
      <c r="AJ122" s="57"/>
      <c r="AK122" s="57"/>
      <c r="AL122" s="57"/>
      <c r="AM122" s="57"/>
      <c r="AN122" s="57"/>
      <c r="AO122" s="57"/>
      <c r="AP122" s="57"/>
    </row>
    <row r="123" s="59" customFormat="1" ht="16.5" spans="1:42">
      <c r="A123" s="79"/>
      <c r="B123" s="107" t="s">
        <v>193</v>
      </c>
      <c r="C123" s="108">
        <v>300178</v>
      </c>
      <c r="D123" s="109" t="s">
        <v>449</v>
      </c>
      <c r="E123" s="110">
        <v>45964</v>
      </c>
      <c r="F123" s="111">
        <v>48</v>
      </c>
      <c r="G123" s="112">
        <v>0.05</v>
      </c>
      <c r="H123" s="113">
        <v>5309.73</v>
      </c>
      <c r="I123" s="113">
        <v>525.45</v>
      </c>
      <c r="J123" s="113">
        <v>0</v>
      </c>
      <c r="K123" s="114">
        <f t="shared" si="6"/>
        <v>4784.28</v>
      </c>
      <c r="L123" s="114">
        <v>420.36</v>
      </c>
      <c r="M123" s="115"/>
      <c r="N123" s="116"/>
      <c r="O123" s="117">
        <f t="shared" si="7"/>
        <v>47452</v>
      </c>
      <c r="P123" s="118">
        <f t="shared" si="8"/>
        <v>4</v>
      </c>
      <c r="Q123" s="119">
        <f t="shared" si="9"/>
        <v>420.353625</v>
      </c>
      <c r="R123" s="119">
        <f t="shared" si="10"/>
        <v>-0.0063750000000482</v>
      </c>
      <c r="S123" s="120" t="s">
        <v>106</v>
      </c>
      <c r="U123" s="67"/>
      <c r="V123" s="121"/>
      <c r="W123" s="122"/>
      <c r="X123" s="57"/>
      <c r="Y123" s="57"/>
      <c r="Z123" s="57"/>
      <c r="AA123" s="57"/>
      <c r="AB123" s="57"/>
      <c r="AC123" s="57"/>
      <c r="AD123" s="57"/>
      <c r="AE123" s="57"/>
      <c r="AF123" s="57"/>
      <c r="AG123" s="57"/>
      <c r="AH123" s="57"/>
      <c r="AI123" s="57"/>
      <c r="AJ123" s="57"/>
      <c r="AK123" s="57"/>
      <c r="AL123" s="57"/>
      <c r="AM123" s="57"/>
      <c r="AN123" s="57"/>
      <c r="AO123" s="57"/>
      <c r="AP123" s="57"/>
    </row>
    <row r="124" s="59" customFormat="1" ht="16.5" spans="1:42">
      <c r="A124" s="79"/>
      <c r="B124" s="107" t="s">
        <v>193</v>
      </c>
      <c r="C124" s="108">
        <v>300179</v>
      </c>
      <c r="D124" s="109" t="s">
        <v>451</v>
      </c>
      <c r="E124" s="110">
        <v>45964</v>
      </c>
      <c r="F124" s="111">
        <v>48</v>
      </c>
      <c r="G124" s="112">
        <v>0.05</v>
      </c>
      <c r="H124" s="113">
        <v>11681.42</v>
      </c>
      <c r="I124" s="113">
        <v>1155.97</v>
      </c>
      <c r="J124" s="113">
        <v>0</v>
      </c>
      <c r="K124" s="114">
        <f t="shared" si="6"/>
        <v>10525.45</v>
      </c>
      <c r="L124" s="114">
        <v>924.78</v>
      </c>
      <c r="M124" s="115"/>
      <c r="N124" s="116"/>
      <c r="O124" s="117">
        <f t="shared" si="7"/>
        <v>47452</v>
      </c>
      <c r="P124" s="118">
        <f t="shared" si="8"/>
        <v>4</v>
      </c>
      <c r="Q124" s="119">
        <f t="shared" si="9"/>
        <v>924.779083333333</v>
      </c>
      <c r="R124" s="119">
        <f t="shared" si="10"/>
        <v>-0.000916666666626043</v>
      </c>
      <c r="S124" s="120" t="s">
        <v>106</v>
      </c>
      <c r="U124" s="67"/>
      <c r="V124" s="121"/>
      <c r="W124" s="122"/>
      <c r="X124" s="57"/>
      <c r="Y124" s="57"/>
      <c r="Z124" s="57"/>
      <c r="AA124" s="57"/>
      <c r="AB124" s="57"/>
      <c r="AC124" s="57"/>
      <c r="AD124" s="57"/>
      <c r="AE124" s="57"/>
      <c r="AF124" s="57"/>
      <c r="AG124" s="57"/>
      <c r="AH124" s="57"/>
      <c r="AI124" s="57"/>
      <c r="AJ124" s="57"/>
      <c r="AK124" s="57"/>
      <c r="AL124" s="57"/>
      <c r="AM124" s="57"/>
      <c r="AN124" s="57"/>
      <c r="AO124" s="57"/>
      <c r="AP124" s="57"/>
    </row>
    <row r="125" s="59" customFormat="1" ht="16.5" spans="1:42">
      <c r="A125" s="79"/>
      <c r="B125" s="107" t="s">
        <v>193</v>
      </c>
      <c r="C125" s="108">
        <v>300180</v>
      </c>
      <c r="D125" s="109" t="s">
        <v>453</v>
      </c>
      <c r="E125" s="110">
        <v>45964</v>
      </c>
      <c r="F125" s="111">
        <v>48</v>
      </c>
      <c r="G125" s="112">
        <v>0.05</v>
      </c>
      <c r="H125" s="113">
        <v>265.49</v>
      </c>
      <c r="I125" s="113">
        <v>26.26</v>
      </c>
      <c r="J125" s="113">
        <v>0</v>
      </c>
      <c r="K125" s="114">
        <f t="shared" si="6"/>
        <v>239.23</v>
      </c>
      <c r="L125" s="114">
        <v>21.01</v>
      </c>
      <c r="M125" s="115"/>
      <c r="N125" s="116"/>
      <c r="O125" s="117">
        <f t="shared" si="7"/>
        <v>47452</v>
      </c>
      <c r="P125" s="118">
        <f t="shared" si="8"/>
        <v>4</v>
      </c>
      <c r="Q125" s="119">
        <f t="shared" si="9"/>
        <v>21.0179583333333</v>
      </c>
      <c r="R125" s="119">
        <f t="shared" si="10"/>
        <v>0.00795833333333107</v>
      </c>
      <c r="S125" s="120" t="s">
        <v>106</v>
      </c>
      <c r="U125" s="67"/>
      <c r="V125" s="121"/>
      <c r="W125" s="122"/>
      <c r="X125" s="57"/>
      <c r="Y125" s="57"/>
      <c r="Z125" s="57"/>
      <c r="AA125" s="57"/>
      <c r="AB125" s="57"/>
      <c r="AC125" s="57"/>
      <c r="AD125" s="57"/>
      <c r="AE125" s="57"/>
      <c r="AF125" s="57"/>
      <c r="AG125" s="57"/>
      <c r="AH125" s="57"/>
      <c r="AI125" s="57"/>
      <c r="AJ125" s="57"/>
      <c r="AK125" s="57"/>
      <c r="AL125" s="57"/>
      <c r="AM125" s="57"/>
      <c r="AN125" s="57"/>
      <c r="AO125" s="57"/>
      <c r="AP125" s="57"/>
    </row>
    <row r="126" s="59" customFormat="1" ht="16.5" spans="1:42">
      <c r="A126" s="79"/>
      <c r="B126" s="107" t="s">
        <v>193</v>
      </c>
      <c r="C126" s="108">
        <v>300181</v>
      </c>
      <c r="D126" s="109" t="s">
        <v>455</v>
      </c>
      <c r="E126" s="110">
        <v>45964</v>
      </c>
      <c r="F126" s="111">
        <v>60</v>
      </c>
      <c r="G126" s="112">
        <v>0.05</v>
      </c>
      <c r="H126" s="113">
        <v>1017.7</v>
      </c>
      <c r="I126" s="113">
        <v>80.55</v>
      </c>
      <c r="J126" s="113">
        <v>0</v>
      </c>
      <c r="K126" s="114">
        <f t="shared" si="6"/>
        <v>937.15</v>
      </c>
      <c r="L126" s="114">
        <v>64.44</v>
      </c>
      <c r="M126" s="115"/>
      <c r="N126" s="116"/>
      <c r="O126" s="117">
        <f t="shared" si="7"/>
        <v>47817</v>
      </c>
      <c r="P126" s="118">
        <f t="shared" si="8"/>
        <v>4</v>
      </c>
      <c r="Q126" s="119">
        <f t="shared" si="9"/>
        <v>64.4543333333333</v>
      </c>
      <c r="R126" s="119">
        <f t="shared" si="10"/>
        <v>0.0143333333333402</v>
      </c>
      <c r="S126" s="120" t="s">
        <v>106</v>
      </c>
      <c r="U126" s="67"/>
      <c r="V126" s="121"/>
      <c r="W126" s="122"/>
      <c r="X126" s="57"/>
      <c r="Y126" s="57"/>
      <c r="Z126" s="57"/>
      <c r="AA126" s="57"/>
      <c r="AB126" s="57"/>
      <c r="AC126" s="57"/>
      <c r="AD126" s="57"/>
      <c r="AE126" s="57"/>
      <c r="AF126" s="57"/>
      <c r="AG126" s="57"/>
      <c r="AH126" s="57"/>
      <c r="AI126" s="57"/>
      <c r="AJ126" s="57"/>
      <c r="AK126" s="57"/>
      <c r="AL126" s="57"/>
      <c r="AM126" s="57"/>
      <c r="AN126" s="57"/>
      <c r="AO126" s="57"/>
      <c r="AP126" s="57"/>
    </row>
    <row r="127" s="59" customFormat="1" ht="16.5" spans="1:42">
      <c r="A127" s="79"/>
      <c r="B127" s="107" t="s">
        <v>193</v>
      </c>
      <c r="C127" s="108">
        <v>300182</v>
      </c>
      <c r="D127" s="109" t="s">
        <v>458</v>
      </c>
      <c r="E127" s="110">
        <v>46055</v>
      </c>
      <c r="F127" s="109">
        <v>60</v>
      </c>
      <c r="G127" s="112">
        <v>0.05</v>
      </c>
      <c r="H127" s="113">
        <v>17946.9</v>
      </c>
      <c r="I127" s="113">
        <v>568.32</v>
      </c>
      <c r="J127" s="113">
        <v>0</v>
      </c>
      <c r="K127" s="114">
        <f t="shared" si="6"/>
        <v>17378.58</v>
      </c>
      <c r="L127" s="114">
        <v>568.32</v>
      </c>
      <c r="M127" s="115"/>
      <c r="N127" s="116"/>
      <c r="O127" s="117">
        <f t="shared" si="7"/>
        <v>47907</v>
      </c>
      <c r="P127" s="118">
        <f t="shared" si="8"/>
        <v>2</v>
      </c>
      <c r="Q127" s="119">
        <f t="shared" si="9"/>
        <v>568.3185</v>
      </c>
      <c r="R127" s="119">
        <f t="shared" si="10"/>
        <v>-0.00150000000007822</v>
      </c>
      <c r="S127" s="120" t="s">
        <v>106</v>
      </c>
      <c r="U127" s="67"/>
      <c r="V127" s="121"/>
      <c r="W127" s="122"/>
      <c r="X127" s="57"/>
      <c r="Y127" s="57"/>
      <c r="Z127" s="57"/>
      <c r="AA127" s="57"/>
      <c r="AB127" s="57"/>
      <c r="AC127" s="57"/>
      <c r="AD127" s="57"/>
      <c r="AE127" s="57"/>
      <c r="AF127" s="57"/>
      <c r="AG127" s="57"/>
      <c r="AH127" s="57"/>
      <c r="AI127" s="57"/>
      <c r="AJ127" s="57"/>
      <c r="AK127" s="57"/>
      <c r="AL127" s="57"/>
      <c r="AM127" s="57"/>
      <c r="AN127" s="57"/>
      <c r="AO127" s="57"/>
      <c r="AP127" s="57"/>
    </row>
    <row r="128" s="59" customFormat="1" ht="16.5" spans="1:42">
      <c r="A128" s="79"/>
      <c r="B128" s="107" t="s">
        <v>193</v>
      </c>
      <c r="C128" s="108">
        <v>300183</v>
      </c>
      <c r="D128" s="109" t="s">
        <v>458</v>
      </c>
      <c r="E128" s="110">
        <v>46115</v>
      </c>
      <c r="F128" s="109">
        <v>60</v>
      </c>
      <c r="G128" s="112">
        <v>0.05</v>
      </c>
      <c r="H128" s="113">
        <v>4336.28</v>
      </c>
      <c r="I128" s="113">
        <v>0</v>
      </c>
      <c r="J128" s="113">
        <v>0</v>
      </c>
      <c r="K128" s="114">
        <f t="shared" si="6"/>
        <v>4336.28</v>
      </c>
      <c r="L128" s="114">
        <v>0</v>
      </c>
      <c r="M128" s="115"/>
      <c r="N128" s="116"/>
      <c r="O128" s="117">
        <f t="shared" si="7"/>
        <v>47968</v>
      </c>
      <c r="P128" s="118">
        <f t="shared" si="8"/>
        <v>0</v>
      </c>
      <c r="Q128" s="119">
        <f t="shared" si="9"/>
        <v>0</v>
      </c>
      <c r="R128" s="119">
        <f t="shared" si="10"/>
        <v>0</v>
      </c>
      <c r="S128" s="120" t="s">
        <v>106</v>
      </c>
      <c r="U128" s="67"/>
      <c r="V128" s="121"/>
      <c r="W128" s="122"/>
      <c r="X128" s="57"/>
      <c r="Y128" s="57"/>
      <c r="Z128" s="57"/>
      <c r="AA128" s="57"/>
      <c r="AB128" s="57"/>
      <c r="AC128" s="57"/>
      <c r="AD128" s="57"/>
      <c r="AE128" s="57"/>
      <c r="AF128" s="57"/>
      <c r="AG128" s="57"/>
      <c r="AH128" s="57"/>
      <c r="AI128" s="57"/>
      <c r="AJ128" s="57"/>
      <c r="AK128" s="57"/>
      <c r="AL128" s="57"/>
      <c r="AM128" s="57"/>
      <c r="AN128" s="57"/>
      <c r="AO128" s="57"/>
      <c r="AP128" s="57"/>
    </row>
    <row r="129" s="59" customFormat="1" ht="16.5" spans="1:42">
      <c r="A129" s="79"/>
      <c r="B129" s="107" t="s">
        <v>192</v>
      </c>
      <c r="C129" s="108">
        <v>400002</v>
      </c>
      <c r="D129" s="109" t="s">
        <v>463</v>
      </c>
      <c r="E129" s="110">
        <v>44638</v>
      </c>
      <c r="F129" s="111" t="s">
        <v>465</v>
      </c>
      <c r="G129" s="112">
        <v>0.05</v>
      </c>
      <c r="H129" s="113">
        <v>175403.34</v>
      </c>
      <c r="I129" s="113">
        <v>136083.78</v>
      </c>
      <c r="J129" s="113">
        <v>0</v>
      </c>
      <c r="K129" s="114">
        <f t="shared" si="6"/>
        <v>39319.56</v>
      </c>
      <c r="L129" s="114">
        <v>11108.88</v>
      </c>
      <c r="M129" s="115"/>
      <c r="N129" s="116"/>
      <c r="O129" s="117">
        <f t="shared" si="7"/>
        <v>46477</v>
      </c>
      <c r="P129" s="118">
        <f t="shared" si="8"/>
        <v>4</v>
      </c>
      <c r="Q129" s="119">
        <f t="shared" si="9"/>
        <v>11108.8782</v>
      </c>
      <c r="R129" s="119">
        <f t="shared" si="10"/>
        <v>-0.00180000000000291</v>
      </c>
      <c r="S129" s="120" t="s">
        <v>106</v>
      </c>
      <c r="U129" s="67"/>
      <c r="V129" s="121"/>
      <c r="W129" s="122"/>
      <c r="X129" s="57"/>
      <c r="Y129" s="57"/>
      <c r="Z129" s="57"/>
      <c r="AA129" s="57"/>
      <c r="AB129" s="57"/>
      <c r="AC129" s="57"/>
      <c r="AD129" s="57"/>
      <c r="AE129" s="57"/>
      <c r="AF129" s="57"/>
      <c r="AG129" s="57"/>
      <c r="AH129" s="57"/>
      <c r="AI129" s="57"/>
      <c r="AJ129" s="57"/>
      <c r="AK129" s="57"/>
      <c r="AL129" s="57"/>
      <c r="AM129" s="57"/>
      <c r="AN129" s="57"/>
      <c r="AO129" s="57"/>
      <c r="AP129" s="57"/>
    </row>
    <row r="130" s="59" customFormat="1" ht="16.5" spans="1:42">
      <c r="A130" s="79"/>
      <c r="B130" s="107" t="s">
        <v>192</v>
      </c>
      <c r="C130" s="108">
        <v>400051</v>
      </c>
      <c r="D130" s="109" t="s">
        <v>466</v>
      </c>
      <c r="E130" s="110">
        <v>44910</v>
      </c>
      <c r="F130" s="111" t="s">
        <v>465</v>
      </c>
      <c r="G130" s="112">
        <v>0.05</v>
      </c>
      <c r="H130" s="113">
        <v>208200</v>
      </c>
      <c r="I130" s="113">
        <v>131860</v>
      </c>
      <c r="J130" s="113">
        <v>0</v>
      </c>
      <c r="K130" s="114">
        <f t="shared" si="6"/>
        <v>76340</v>
      </c>
      <c r="L130" s="114">
        <v>13186</v>
      </c>
      <c r="M130" s="115"/>
      <c r="N130" s="116"/>
      <c r="O130" s="117">
        <f t="shared" si="7"/>
        <v>46752</v>
      </c>
      <c r="P130" s="118">
        <f t="shared" si="8"/>
        <v>4</v>
      </c>
      <c r="Q130" s="119">
        <f t="shared" si="9"/>
        <v>13186</v>
      </c>
      <c r="R130" s="119">
        <f t="shared" si="10"/>
        <v>0</v>
      </c>
      <c r="S130" s="120" t="s">
        <v>106</v>
      </c>
      <c r="U130" s="67"/>
      <c r="V130" s="121"/>
      <c r="W130" s="122"/>
      <c r="X130" s="57"/>
      <c r="Y130" s="57"/>
      <c r="Z130" s="57"/>
      <c r="AA130" s="57"/>
      <c r="AB130" s="57"/>
      <c r="AC130" s="57"/>
      <c r="AD130" s="57"/>
      <c r="AE130" s="57"/>
      <c r="AF130" s="57"/>
      <c r="AG130" s="57"/>
      <c r="AH130" s="57"/>
      <c r="AI130" s="57"/>
      <c r="AJ130" s="57"/>
      <c r="AK130" s="57"/>
      <c r="AL130" s="57"/>
      <c r="AM130" s="57"/>
      <c r="AN130" s="57"/>
      <c r="AO130" s="57"/>
      <c r="AP130" s="57"/>
    </row>
    <row r="131" s="59" customFormat="1" ht="16.5" spans="1:42">
      <c r="A131" s="79"/>
      <c r="B131" s="107" t="s">
        <v>192</v>
      </c>
      <c r="C131" s="108">
        <v>400052</v>
      </c>
      <c r="D131" s="109" t="s">
        <v>466</v>
      </c>
      <c r="E131" s="110">
        <v>44910</v>
      </c>
      <c r="F131" s="111" t="s">
        <v>465</v>
      </c>
      <c r="G131" s="112">
        <v>0.05</v>
      </c>
      <c r="H131" s="113">
        <v>9369</v>
      </c>
      <c r="I131" s="113">
        <v>5933.65</v>
      </c>
      <c r="J131" s="113">
        <v>0</v>
      </c>
      <c r="K131" s="114">
        <f t="shared" si="6"/>
        <v>3435.35</v>
      </c>
      <c r="L131" s="114">
        <v>593.38</v>
      </c>
      <c r="M131" s="115"/>
      <c r="N131" s="116"/>
      <c r="O131" s="117">
        <f t="shared" si="7"/>
        <v>46752</v>
      </c>
      <c r="P131" s="118">
        <f t="shared" si="8"/>
        <v>4</v>
      </c>
      <c r="Q131" s="119">
        <f t="shared" si="9"/>
        <v>593.37</v>
      </c>
      <c r="R131" s="119">
        <f t="shared" si="10"/>
        <v>-0.00999999999999091</v>
      </c>
      <c r="S131" s="120" t="s">
        <v>106</v>
      </c>
      <c r="U131" s="67"/>
      <c r="V131" s="121"/>
      <c r="W131" s="122"/>
      <c r="X131" s="57"/>
      <c r="Y131" s="57"/>
      <c r="Z131" s="57"/>
      <c r="AA131" s="57"/>
      <c r="AB131" s="57"/>
      <c r="AC131" s="57"/>
      <c r="AD131" s="57"/>
      <c r="AE131" s="57"/>
      <c r="AF131" s="57"/>
      <c r="AG131" s="57"/>
      <c r="AH131" s="57"/>
      <c r="AI131" s="57"/>
      <c r="AJ131" s="57"/>
      <c r="AK131" s="57"/>
      <c r="AL131" s="57"/>
      <c r="AM131" s="57"/>
      <c r="AN131" s="57"/>
      <c r="AO131" s="57"/>
      <c r="AP131" s="57"/>
    </row>
    <row r="132" s="59" customFormat="1" ht="16.5" spans="1:42">
      <c r="A132" s="79"/>
      <c r="B132" s="107" t="s">
        <v>192</v>
      </c>
      <c r="C132" s="108">
        <v>400053</v>
      </c>
      <c r="D132" s="109" t="s">
        <v>466</v>
      </c>
      <c r="E132" s="110">
        <v>44910</v>
      </c>
      <c r="F132" s="111" t="s">
        <v>465</v>
      </c>
      <c r="G132" s="112">
        <v>0.05</v>
      </c>
      <c r="H132" s="113">
        <v>208200</v>
      </c>
      <c r="I132" s="113">
        <v>131860</v>
      </c>
      <c r="J132" s="113">
        <v>0</v>
      </c>
      <c r="K132" s="114">
        <f t="shared" si="6"/>
        <v>76340</v>
      </c>
      <c r="L132" s="114">
        <v>13186</v>
      </c>
      <c r="M132" s="115"/>
      <c r="N132" s="116"/>
      <c r="O132" s="117">
        <f t="shared" si="7"/>
        <v>46752</v>
      </c>
      <c r="P132" s="118">
        <f t="shared" si="8"/>
        <v>4</v>
      </c>
      <c r="Q132" s="119">
        <f t="shared" si="9"/>
        <v>13186</v>
      </c>
      <c r="R132" s="119">
        <f t="shared" si="10"/>
        <v>0</v>
      </c>
      <c r="S132" s="120" t="s">
        <v>106</v>
      </c>
      <c r="U132" s="67"/>
      <c r="V132" s="121"/>
      <c r="W132" s="122"/>
      <c r="X132" s="57"/>
      <c r="Y132" s="57"/>
      <c r="Z132" s="57"/>
      <c r="AA132" s="57"/>
      <c r="AB132" s="57"/>
      <c r="AC132" s="57"/>
      <c r="AD132" s="57"/>
      <c r="AE132" s="57"/>
      <c r="AF132" s="57"/>
      <c r="AG132" s="57"/>
      <c r="AH132" s="57"/>
      <c r="AI132" s="57"/>
      <c r="AJ132" s="57"/>
      <c r="AK132" s="57"/>
      <c r="AL132" s="57"/>
      <c r="AM132" s="57"/>
      <c r="AN132" s="57"/>
      <c r="AO132" s="57"/>
      <c r="AP132" s="57"/>
    </row>
    <row r="133" s="59" customFormat="1" ht="16.5" spans="1:42">
      <c r="A133" s="79"/>
      <c r="B133" s="107" t="s">
        <v>192</v>
      </c>
      <c r="C133" s="108">
        <v>400054</v>
      </c>
      <c r="D133" s="109" t="s">
        <v>466</v>
      </c>
      <c r="E133" s="110">
        <v>44910</v>
      </c>
      <c r="F133" s="111" t="s">
        <v>465</v>
      </c>
      <c r="G133" s="112">
        <v>0.05</v>
      </c>
      <c r="H133" s="113">
        <v>9369</v>
      </c>
      <c r="I133" s="113">
        <v>5933.57</v>
      </c>
      <c r="J133" s="113">
        <v>0</v>
      </c>
      <c r="K133" s="114">
        <f t="shared" si="6"/>
        <v>3435.43</v>
      </c>
      <c r="L133" s="114">
        <v>593.4</v>
      </c>
      <c r="M133" s="115"/>
      <c r="N133" s="116"/>
      <c r="O133" s="117">
        <f t="shared" si="7"/>
        <v>46752</v>
      </c>
      <c r="P133" s="118">
        <f t="shared" si="8"/>
        <v>4</v>
      </c>
      <c r="Q133" s="119">
        <f t="shared" si="9"/>
        <v>593.37</v>
      </c>
      <c r="R133" s="119">
        <f t="shared" si="10"/>
        <v>-0.0299999999999727</v>
      </c>
      <c r="S133" s="120" t="s">
        <v>106</v>
      </c>
      <c r="U133" s="67"/>
      <c r="V133" s="121"/>
      <c r="W133" s="122"/>
      <c r="X133" s="57"/>
      <c r="Y133" s="57"/>
      <c r="Z133" s="57"/>
      <c r="AA133" s="57"/>
      <c r="AB133" s="57"/>
      <c r="AC133" s="57"/>
      <c r="AD133" s="57"/>
      <c r="AE133" s="57"/>
      <c r="AF133" s="57"/>
      <c r="AG133" s="57"/>
      <c r="AH133" s="57"/>
      <c r="AI133" s="57"/>
      <c r="AJ133" s="57"/>
      <c r="AK133" s="57"/>
      <c r="AL133" s="57"/>
      <c r="AM133" s="57"/>
      <c r="AN133" s="57"/>
      <c r="AO133" s="57"/>
      <c r="AP133" s="57"/>
    </row>
    <row r="134" s="59" customFormat="1" ht="16.5" spans="1:42">
      <c r="A134" s="79"/>
      <c r="B134" s="107" t="s">
        <v>192</v>
      </c>
      <c r="C134" s="108">
        <v>400055</v>
      </c>
      <c r="D134" s="109" t="s">
        <v>466</v>
      </c>
      <c r="E134" s="110">
        <v>44910</v>
      </c>
      <c r="F134" s="111" t="s">
        <v>465</v>
      </c>
      <c r="G134" s="112">
        <v>0.05</v>
      </c>
      <c r="H134" s="113">
        <v>9369</v>
      </c>
      <c r="I134" s="113">
        <v>5933.57</v>
      </c>
      <c r="J134" s="113">
        <v>0</v>
      </c>
      <c r="K134" s="114">
        <f t="shared" si="6"/>
        <v>3435.43</v>
      </c>
      <c r="L134" s="114">
        <v>593.4</v>
      </c>
      <c r="M134" s="115"/>
      <c r="N134" s="116"/>
      <c r="O134" s="117">
        <f t="shared" si="7"/>
        <v>46752</v>
      </c>
      <c r="P134" s="118">
        <f t="shared" si="8"/>
        <v>4</v>
      </c>
      <c r="Q134" s="119">
        <f t="shared" si="9"/>
        <v>593.37</v>
      </c>
      <c r="R134" s="119">
        <f t="shared" si="10"/>
        <v>-0.0299999999999727</v>
      </c>
      <c r="S134" s="120" t="s">
        <v>106</v>
      </c>
      <c r="U134" s="67"/>
      <c r="V134" s="121"/>
      <c r="W134" s="122"/>
      <c r="X134" s="57"/>
      <c r="Y134" s="57"/>
      <c r="Z134" s="57"/>
      <c r="AA134" s="57"/>
      <c r="AB134" s="57"/>
      <c r="AC134" s="57"/>
      <c r="AD134" s="57"/>
      <c r="AE134" s="57"/>
      <c r="AF134" s="57"/>
      <c r="AG134" s="57"/>
      <c r="AH134" s="57"/>
      <c r="AI134" s="57"/>
      <c r="AJ134" s="57"/>
      <c r="AK134" s="57"/>
      <c r="AL134" s="57"/>
      <c r="AM134" s="57"/>
      <c r="AN134" s="57"/>
      <c r="AO134" s="57"/>
      <c r="AP134" s="57"/>
    </row>
    <row r="135" s="59" customFormat="1" ht="16.5" spans="1:42">
      <c r="A135" s="79"/>
      <c r="B135" s="107" t="s">
        <v>192</v>
      </c>
      <c r="C135" s="108">
        <v>400056</v>
      </c>
      <c r="D135" s="109" t="s">
        <v>466</v>
      </c>
      <c r="E135" s="110">
        <v>44910</v>
      </c>
      <c r="F135" s="111" t="s">
        <v>465</v>
      </c>
      <c r="G135" s="112">
        <v>0.05</v>
      </c>
      <c r="H135" s="113">
        <v>9369</v>
      </c>
      <c r="I135" s="113">
        <v>5933.57</v>
      </c>
      <c r="J135" s="113">
        <v>0</v>
      </c>
      <c r="K135" s="114">
        <f t="shared" si="6"/>
        <v>3435.43</v>
      </c>
      <c r="L135" s="114">
        <v>593.4</v>
      </c>
      <c r="M135" s="115"/>
      <c r="N135" s="116"/>
      <c r="O135" s="117">
        <f t="shared" si="7"/>
        <v>46752</v>
      </c>
      <c r="P135" s="118">
        <f t="shared" si="8"/>
        <v>4</v>
      </c>
      <c r="Q135" s="119">
        <f t="shared" si="9"/>
        <v>593.37</v>
      </c>
      <c r="R135" s="119">
        <f t="shared" si="10"/>
        <v>-0.0299999999999727</v>
      </c>
      <c r="S135" s="120" t="s">
        <v>106</v>
      </c>
      <c r="U135" s="67"/>
      <c r="V135" s="121"/>
      <c r="W135" s="122"/>
      <c r="X135" s="57"/>
      <c r="Y135" s="57"/>
      <c r="Z135" s="57"/>
      <c r="AA135" s="57"/>
      <c r="AB135" s="57"/>
      <c r="AC135" s="57"/>
      <c r="AD135" s="57"/>
      <c r="AE135" s="57"/>
      <c r="AF135" s="57"/>
      <c r="AG135" s="57"/>
      <c r="AH135" s="57"/>
      <c r="AI135" s="57"/>
      <c r="AJ135" s="57"/>
      <c r="AK135" s="57"/>
      <c r="AL135" s="57"/>
      <c r="AM135" s="57"/>
      <c r="AN135" s="57"/>
      <c r="AO135" s="57"/>
      <c r="AP135" s="57"/>
    </row>
    <row r="136" s="59" customFormat="1" ht="16.5" spans="1:42">
      <c r="A136" s="79"/>
      <c r="B136" s="107" t="s">
        <v>192</v>
      </c>
      <c r="C136" s="108">
        <v>400057</v>
      </c>
      <c r="D136" s="109" t="s">
        <v>466</v>
      </c>
      <c r="E136" s="110">
        <v>44910</v>
      </c>
      <c r="F136" s="111" t="s">
        <v>465</v>
      </c>
      <c r="G136" s="112">
        <v>0.05</v>
      </c>
      <c r="H136" s="113">
        <v>9369</v>
      </c>
      <c r="I136" s="113">
        <v>5933.57</v>
      </c>
      <c r="J136" s="113">
        <v>0</v>
      </c>
      <c r="K136" s="114">
        <f t="shared" si="6"/>
        <v>3435.43</v>
      </c>
      <c r="L136" s="114">
        <v>593.4</v>
      </c>
      <c r="M136" s="115"/>
      <c r="N136" s="116"/>
      <c r="O136" s="117">
        <f t="shared" si="7"/>
        <v>46752</v>
      </c>
      <c r="P136" s="118">
        <f t="shared" si="8"/>
        <v>4</v>
      </c>
      <c r="Q136" s="119">
        <f t="shared" si="9"/>
        <v>593.37</v>
      </c>
      <c r="R136" s="119">
        <f t="shared" si="10"/>
        <v>-0.0299999999999727</v>
      </c>
      <c r="S136" s="120" t="s">
        <v>106</v>
      </c>
      <c r="U136" s="67"/>
      <c r="V136" s="121"/>
      <c r="W136" s="122"/>
      <c r="X136" s="57"/>
      <c r="Y136" s="57"/>
      <c r="Z136" s="57"/>
      <c r="AA136" s="57"/>
      <c r="AB136" s="57"/>
      <c r="AC136" s="57"/>
      <c r="AD136" s="57"/>
      <c r="AE136" s="57"/>
      <c r="AF136" s="57"/>
      <c r="AG136" s="57"/>
      <c r="AH136" s="57"/>
      <c r="AI136" s="57"/>
      <c r="AJ136" s="57"/>
      <c r="AK136" s="57"/>
      <c r="AL136" s="57"/>
      <c r="AM136" s="57"/>
      <c r="AN136" s="57"/>
      <c r="AO136" s="57"/>
      <c r="AP136" s="57"/>
    </row>
    <row r="137" s="59" customFormat="1" ht="16.5" spans="1:42">
      <c r="A137" s="79"/>
      <c r="B137" s="107" t="s">
        <v>192</v>
      </c>
      <c r="C137" s="108">
        <v>400058</v>
      </c>
      <c r="D137" s="109" t="s">
        <v>466</v>
      </c>
      <c r="E137" s="110">
        <v>44910</v>
      </c>
      <c r="F137" s="111" t="s">
        <v>465</v>
      </c>
      <c r="G137" s="112">
        <v>0.05</v>
      </c>
      <c r="H137" s="113">
        <v>9369</v>
      </c>
      <c r="I137" s="113">
        <v>5933.57</v>
      </c>
      <c r="J137" s="113">
        <v>0</v>
      </c>
      <c r="K137" s="114">
        <f t="shared" ref="K137:K200" si="11">H137-I137-J137</f>
        <v>3435.43</v>
      </c>
      <c r="L137" s="114">
        <v>593.4</v>
      </c>
      <c r="M137" s="115"/>
      <c r="N137" s="116"/>
      <c r="O137" s="117">
        <f t="shared" ref="O137:O200" si="12">IFERROR(EOMONTH(E137,F137),"")</f>
        <v>46752</v>
      </c>
      <c r="P137" s="118">
        <f t="shared" ref="P137:P200" si="13">IFERROR(IF(OR(AND(M137&lt;&gt;"",YEAR(M137)&lt;YEAR($L$6)),AND(O137&lt;&gt;"",YEAR(O137)&lt;YEAR($L$6))),0,IF(YEAR(E137)&gt;YEAR($L$6),0,IF(OR((IF(YEAR(E137)&lt;YEAR($L$6),1,IF(MONTH(E137)=12,99,MONTH(E137)+1))&gt;12),(IF(YEAR(E137)&lt;YEAR($L$6),1,IF(MONTH(E137)=12,99,MONTH(E137)+1))&gt;MIN(MONTH($L$6),IF(AND(M137&lt;&gt;"",YEAR(M137)=YEAR($L$6)),MONTH(M137),99),IF(AND(O137&lt;&gt;"",YEAR(O137)=YEAR($L$6)),MONTH(O137),99)))),0,MIN(MONTH($L$6),IF(AND(M137&lt;&gt;"",YEAR(M137)=YEAR($L$6)),MONTH(M137),99),IF(AND(O137&lt;&gt;"",YEAR(O137)=YEAR($L$6)),MONTH(O137),99))-IF(YEAR(E137)&lt;YEAR($L$6),1,IF(MONTH(E137)=12,99,MONTH(E137)+1))+1))),0)</f>
        <v>4</v>
      </c>
      <c r="Q137" s="119">
        <f t="shared" ref="Q137:Q150" si="14">IFERROR(IF(N137=0,(H137*(1-G137))/F137*P137,(N137*(1-G137))/F137*P137),0)</f>
        <v>593.37</v>
      </c>
      <c r="R137" s="119">
        <f t="shared" ref="R137:R150" si="15">Q137-L137</f>
        <v>-0.0299999999999727</v>
      </c>
      <c r="S137" s="120" t="s">
        <v>106</v>
      </c>
      <c r="U137" s="67"/>
      <c r="V137" s="121"/>
      <c r="W137" s="122"/>
      <c r="X137" s="57"/>
      <c r="Y137" s="57"/>
      <c r="Z137" s="57"/>
      <c r="AA137" s="57"/>
      <c r="AB137" s="57"/>
      <c r="AC137" s="57"/>
      <c r="AD137" s="57"/>
      <c r="AE137" s="57"/>
      <c r="AF137" s="57"/>
      <c r="AG137" s="57"/>
      <c r="AH137" s="57"/>
      <c r="AI137" s="57"/>
      <c r="AJ137" s="57"/>
      <c r="AK137" s="57"/>
      <c r="AL137" s="57"/>
      <c r="AM137" s="57"/>
      <c r="AN137" s="57"/>
      <c r="AO137" s="57"/>
      <c r="AP137" s="57"/>
    </row>
    <row r="138" s="59" customFormat="1" ht="16.5" spans="1:42">
      <c r="A138" s="79"/>
      <c r="B138" s="107" t="s">
        <v>192</v>
      </c>
      <c r="C138" s="108">
        <v>400059</v>
      </c>
      <c r="D138" s="109" t="s">
        <v>466</v>
      </c>
      <c r="E138" s="110">
        <v>44910</v>
      </c>
      <c r="F138" s="111" t="s">
        <v>465</v>
      </c>
      <c r="G138" s="112">
        <v>0.05</v>
      </c>
      <c r="H138" s="113">
        <v>9369</v>
      </c>
      <c r="I138" s="113">
        <v>5933.57</v>
      </c>
      <c r="J138" s="113">
        <v>0</v>
      </c>
      <c r="K138" s="114">
        <f t="shared" si="11"/>
        <v>3435.43</v>
      </c>
      <c r="L138" s="114">
        <v>593.4</v>
      </c>
      <c r="M138" s="115"/>
      <c r="N138" s="116"/>
      <c r="O138" s="117">
        <f t="shared" si="12"/>
        <v>46752</v>
      </c>
      <c r="P138" s="118">
        <f t="shared" si="13"/>
        <v>4</v>
      </c>
      <c r="Q138" s="119">
        <f t="shared" si="14"/>
        <v>593.37</v>
      </c>
      <c r="R138" s="119">
        <f t="shared" si="15"/>
        <v>-0.0299999999999727</v>
      </c>
      <c r="S138" s="120" t="s">
        <v>106</v>
      </c>
      <c r="U138" s="67"/>
      <c r="V138" s="121"/>
      <c r="W138" s="122"/>
      <c r="X138" s="57"/>
      <c r="Y138" s="57"/>
      <c r="Z138" s="57"/>
      <c r="AA138" s="57"/>
      <c r="AB138" s="57"/>
      <c r="AC138" s="57"/>
      <c r="AD138" s="57"/>
      <c r="AE138" s="57"/>
      <c r="AF138" s="57"/>
      <c r="AG138" s="57"/>
      <c r="AH138" s="57"/>
      <c r="AI138" s="57"/>
      <c r="AJ138" s="57"/>
      <c r="AK138" s="57"/>
      <c r="AL138" s="57"/>
      <c r="AM138" s="57"/>
      <c r="AN138" s="57"/>
      <c r="AO138" s="57"/>
      <c r="AP138" s="57"/>
    </row>
    <row r="139" s="59" customFormat="1" ht="16.5" spans="1:42">
      <c r="A139" s="79"/>
      <c r="B139" s="107" t="s">
        <v>192</v>
      </c>
      <c r="C139" s="108">
        <v>400060</v>
      </c>
      <c r="D139" s="109" t="s">
        <v>466</v>
      </c>
      <c r="E139" s="110">
        <v>44910</v>
      </c>
      <c r="F139" s="111" t="s">
        <v>465</v>
      </c>
      <c r="G139" s="112">
        <v>0.05</v>
      </c>
      <c r="H139" s="113">
        <v>9369</v>
      </c>
      <c r="I139" s="113">
        <v>5933.57</v>
      </c>
      <c r="J139" s="113">
        <v>0</v>
      </c>
      <c r="K139" s="114">
        <f t="shared" si="11"/>
        <v>3435.43</v>
      </c>
      <c r="L139" s="114">
        <v>593.4</v>
      </c>
      <c r="M139" s="115"/>
      <c r="N139" s="116"/>
      <c r="O139" s="117">
        <f t="shared" si="12"/>
        <v>46752</v>
      </c>
      <c r="P139" s="118">
        <f t="shared" si="13"/>
        <v>4</v>
      </c>
      <c r="Q139" s="119">
        <f t="shared" si="14"/>
        <v>593.37</v>
      </c>
      <c r="R139" s="119">
        <f t="shared" si="15"/>
        <v>-0.0299999999999727</v>
      </c>
      <c r="S139" s="120" t="s">
        <v>106</v>
      </c>
      <c r="U139" s="67"/>
      <c r="V139" s="121"/>
      <c r="W139" s="122"/>
      <c r="X139" s="57"/>
      <c r="Y139" s="57"/>
      <c r="Z139" s="57"/>
      <c r="AA139" s="57"/>
      <c r="AB139" s="57"/>
      <c r="AC139" s="57"/>
      <c r="AD139" s="57"/>
      <c r="AE139" s="57"/>
      <c r="AF139" s="57"/>
      <c r="AG139" s="57"/>
      <c r="AH139" s="57"/>
      <c r="AI139" s="57"/>
      <c r="AJ139" s="57"/>
      <c r="AK139" s="57"/>
      <c r="AL139" s="57"/>
      <c r="AM139" s="57"/>
      <c r="AN139" s="57"/>
      <c r="AO139" s="57"/>
      <c r="AP139" s="57"/>
    </row>
    <row r="140" s="59" customFormat="1" ht="16.5" spans="1:42">
      <c r="A140" s="79"/>
      <c r="B140" s="107" t="s">
        <v>192</v>
      </c>
      <c r="C140" s="108">
        <v>400061</v>
      </c>
      <c r="D140" s="109" t="s">
        <v>466</v>
      </c>
      <c r="E140" s="110">
        <v>44910</v>
      </c>
      <c r="F140" s="111" t="s">
        <v>465</v>
      </c>
      <c r="G140" s="112">
        <v>0.05</v>
      </c>
      <c r="H140" s="113">
        <v>9369</v>
      </c>
      <c r="I140" s="113">
        <v>5933.57</v>
      </c>
      <c r="J140" s="113">
        <v>0</v>
      </c>
      <c r="K140" s="114">
        <f t="shared" si="11"/>
        <v>3435.43</v>
      </c>
      <c r="L140" s="114">
        <v>593.4</v>
      </c>
      <c r="M140" s="115"/>
      <c r="N140" s="116"/>
      <c r="O140" s="117">
        <f t="shared" si="12"/>
        <v>46752</v>
      </c>
      <c r="P140" s="118">
        <f t="shared" si="13"/>
        <v>4</v>
      </c>
      <c r="Q140" s="119">
        <f t="shared" si="14"/>
        <v>593.37</v>
      </c>
      <c r="R140" s="119">
        <f t="shared" si="15"/>
        <v>-0.0299999999999727</v>
      </c>
      <c r="S140" s="120" t="s">
        <v>106</v>
      </c>
      <c r="U140" s="67"/>
      <c r="V140" s="121"/>
      <c r="W140" s="122"/>
      <c r="X140" s="57"/>
      <c r="Y140" s="57"/>
      <c r="Z140" s="57"/>
      <c r="AA140" s="57"/>
      <c r="AB140" s="57"/>
      <c r="AC140" s="57"/>
      <c r="AD140" s="57"/>
      <c r="AE140" s="57"/>
      <c r="AF140" s="57"/>
      <c r="AG140" s="57"/>
      <c r="AH140" s="57"/>
      <c r="AI140" s="57"/>
      <c r="AJ140" s="57"/>
      <c r="AK140" s="57"/>
      <c r="AL140" s="57"/>
      <c r="AM140" s="57"/>
      <c r="AN140" s="57"/>
      <c r="AO140" s="57"/>
      <c r="AP140" s="57"/>
    </row>
    <row r="141" s="59" customFormat="1" ht="16.5" spans="1:42">
      <c r="A141" s="79"/>
      <c r="B141" s="107" t="s">
        <v>192</v>
      </c>
      <c r="C141" s="108">
        <v>400062</v>
      </c>
      <c r="D141" s="109" t="s">
        <v>466</v>
      </c>
      <c r="E141" s="110">
        <v>44910</v>
      </c>
      <c r="F141" s="111" t="s">
        <v>465</v>
      </c>
      <c r="G141" s="112">
        <v>0.05</v>
      </c>
      <c r="H141" s="113">
        <v>9369</v>
      </c>
      <c r="I141" s="113">
        <v>5933.57</v>
      </c>
      <c r="J141" s="113">
        <v>0</v>
      </c>
      <c r="K141" s="114">
        <f t="shared" si="11"/>
        <v>3435.43</v>
      </c>
      <c r="L141" s="114">
        <v>593.4</v>
      </c>
      <c r="M141" s="115"/>
      <c r="N141" s="116"/>
      <c r="O141" s="117">
        <f t="shared" si="12"/>
        <v>46752</v>
      </c>
      <c r="P141" s="118">
        <f t="shared" si="13"/>
        <v>4</v>
      </c>
      <c r="Q141" s="119">
        <f t="shared" si="14"/>
        <v>593.37</v>
      </c>
      <c r="R141" s="119">
        <f t="shared" si="15"/>
        <v>-0.0299999999999727</v>
      </c>
      <c r="S141" s="120" t="s">
        <v>106</v>
      </c>
      <c r="U141" s="67"/>
      <c r="V141" s="121"/>
      <c r="W141" s="122"/>
      <c r="X141" s="57"/>
      <c r="Y141" s="57"/>
      <c r="Z141" s="57"/>
      <c r="AA141" s="57"/>
      <c r="AB141" s="57"/>
      <c r="AC141" s="57"/>
      <c r="AD141" s="57"/>
      <c r="AE141" s="57"/>
      <c r="AF141" s="57"/>
      <c r="AG141" s="57"/>
      <c r="AH141" s="57"/>
      <c r="AI141" s="57"/>
      <c r="AJ141" s="57"/>
      <c r="AK141" s="57"/>
      <c r="AL141" s="57"/>
      <c r="AM141" s="57"/>
      <c r="AN141" s="57"/>
      <c r="AO141" s="57"/>
      <c r="AP141" s="57"/>
    </row>
    <row r="142" s="59" customFormat="1" ht="16.5" spans="1:42">
      <c r="A142" s="79"/>
      <c r="B142" s="107" t="s">
        <v>192</v>
      </c>
      <c r="C142" s="108">
        <v>400063</v>
      </c>
      <c r="D142" s="109" t="s">
        <v>466</v>
      </c>
      <c r="E142" s="110">
        <v>44910</v>
      </c>
      <c r="F142" s="111" t="s">
        <v>465</v>
      </c>
      <c r="G142" s="112">
        <v>0.05</v>
      </c>
      <c r="H142" s="113">
        <v>9369</v>
      </c>
      <c r="I142" s="113">
        <v>5933.57</v>
      </c>
      <c r="J142" s="113">
        <v>0</v>
      </c>
      <c r="K142" s="114">
        <f t="shared" si="11"/>
        <v>3435.43</v>
      </c>
      <c r="L142" s="114">
        <v>593.4</v>
      </c>
      <c r="M142" s="115"/>
      <c r="N142" s="116"/>
      <c r="O142" s="117">
        <f t="shared" si="12"/>
        <v>46752</v>
      </c>
      <c r="P142" s="118">
        <f t="shared" si="13"/>
        <v>4</v>
      </c>
      <c r="Q142" s="119">
        <f t="shared" si="14"/>
        <v>593.37</v>
      </c>
      <c r="R142" s="119">
        <f t="shared" si="15"/>
        <v>-0.0299999999999727</v>
      </c>
      <c r="S142" s="120" t="s">
        <v>106</v>
      </c>
      <c r="U142" s="67"/>
      <c r="V142" s="121"/>
      <c r="W142" s="122"/>
      <c r="X142" s="57"/>
      <c r="Y142" s="57"/>
      <c r="Z142" s="57"/>
      <c r="AA142" s="57"/>
      <c r="AB142" s="57"/>
      <c r="AC142" s="57"/>
      <c r="AD142" s="57"/>
      <c r="AE142" s="57"/>
      <c r="AF142" s="57"/>
      <c r="AG142" s="57"/>
      <c r="AH142" s="57"/>
      <c r="AI142" s="57"/>
      <c r="AJ142" s="57"/>
      <c r="AK142" s="57"/>
      <c r="AL142" s="57"/>
      <c r="AM142" s="57"/>
      <c r="AN142" s="57"/>
      <c r="AO142" s="57"/>
      <c r="AP142" s="57"/>
    </row>
    <row r="143" s="59" customFormat="1" ht="16.5" spans="1:42">
      <c r="A143" s="79"/>
      <c r="B143" s="107" t="s">
        <v>192</v>
      </c>
      <c r="C143" s="108">
        <v>400064</v>
      </c>
      <c r="D143" s="109" t="s">
        <v>466</v>
      </c>
      <c r="E143" s="110">
        <v>44910</v>
      </c>
      <c r="F143" s="111" t="s">
        <v>465</v>
      </c>
      <c r="G143" s="112">
        <v>0.05</v>
      </c>
      <c r="H143" s="113">
        <v>9369</v>
      </c>
      <c r="I143" s="113">
        <v>5933.57</v>
      </c>
      <c r="J143" s="113">
        <v>0</v>
      </c>
      <c r="K143" s="114">
        <f t="shared" si="11"/>
        <v>3435.43</v>
      </c>
      <c r="L143" s="114">
        <v>593.4</v>
      </c>
      <c r="M143" s="115"/>
      <c r="N143" s="116"/>
      <c r="O143" s="117">
        <f t="shared" si="12"/>
        <v>46752</v>
      </c>
      <c r="P143" s="118">
        <f t="shared" si="13"/>
        <v>4</v>
      </c>
      <c r="Q143" s="119">
        <f t="shared" si="14"/>
        <v>593.37</v>
      </c>
      <c r="R143" s="119">
        <f t="shared" si="15"/>
        <v>-0.0299999999999727</v>
      </c>
      <c r="S143" s="120" t="s">
        <v>106</v>
      </c>
      <c r="U143" s="67"/>
      <c r="V143" s="121"/>
      <c r="W143" s="122"/>
      <c r="X143" s="57"/>
      <c r="Y143" s="57"/>
      <c r="Z143" s="57"/>
      <c r="AA143" s="57"/>
      <c r="AB143" s="57"/>
      <c r="AC143" s="57"/>
      <c r="AD143" s="57"/>
      <c r="AE143" s="57"/>
      <c r="AF143" s="57"/>
      <c r="AG143" s="57"/>
      <c r="AH143" s="57"/>
      <c r="AI143" s="57"/>
      <c r="AJ143" s="57"/>
      <c r="AK143" s="57"/>
      <c r="AL143" s="57"/>
      <c r="AM143" s="57"/>
      <c r="AN143" s="57"/>
      <c r="AO143" s="57"/>
      <c r="AP143" s="57"/>
    </row>
    <row r="144" s="59" customFormat="1" ht="16.5" spans="1:42">
      <c r="A144" s="79"/>
      <c r="B144" s="107" t="s">
        <v>192</v>
      </c>
      <c r="C144" s="108">
        <v>400065</v>
      </c>
      <c r="D144" s="109" t="s">
        <v>466</v>
      </c>
      <c r="E144" s="110">
        <v>44910</v>
      </c>
      <c r="F144" s="111" t="s">
        <v>465</v>
      </c>
      <c r="G144" s="112">
        <v>0.05</v>
      </c>
      <c r="H144" s="113">
        <v>9369</v>
      </c>
      <c r="I144" s="113">
        <v>5933.57</v>
      </c>
      <c r="J144" s="113">
        <v>0</v>
      </c>
      <c r="K144" s="114">
        <f t="shared" si="11"/>
        <v>3435.43</v>
      </c>
      <c r="L144" s="114">
        <v>593.4</v>
      </c>
      <c r="M144" s="115"/>
      <c r="N144" s="116"/>
      <c r="O144" s="117">
        <f t="shared" si="12"/>
        <v>46752</v>
      </c>
      <c r="P144" s="118">
        <f t="shared" si="13"/>
        <v>4</v>
      </c>
      <c r="Q144" s="119">
        <f t="shared" si="14"/>
        <v>593.37</v>
      </c>
      <c r="R144" s="119">
        <f t="shared" si="15"/>
        <v>-0.0299999999999727</v>
      </c>
      <c r="S144" s="120" t="s">
        <v>106</v>
      </c>
      <c r="U144" s="67"/>
      <c r="V144" s="121"/>
      <c r="W144" s="122"/>
      <c r="X144" s="57"/>
      <c r="Y144" s="57"/>
      <c r="Z144" s="57"/>
      <c r="AA144" s="57"/>
      <c r="AB144" s="57"/>
      <c r="AC144" s="57"/>
      <c r="AD144" s="57"/>
      <c r="AE144" s="57"/>
      <c r="AF144" s="57"/>
      <c r="AG144" s="57"/>
      <c r="AH144" s="57"/>
      <c r="AI144" s="57"/>
      <c r="AJ144" s="57"/>
      <c r="AK144" s="57"/>
      <c r="AL144" s="57"/>
      <c r="AM144" s="57"/>
      <c r="AN144" s="57"/>
      <c r="AO144" s="57"/>
      <c r="AP144" s="57"/>
    </row>
    <row r="145" s="59" customFormat="1" ht="16.5" spans="1:42">
      <c r="A145" s="79"/>
      <c r="B145" s="107" t="s">
        <v>192</v>
      </c>
      <c r="C145" s="108">
        <v>400066</v>
      </c>
      <c r="D145" s="109" t="s">
        <v>466</v>
      </c>
      <c r="E145" s="110">
        <v>44910</v>
      </c>
      <c r="F145" s="111" t="s">
        <v>465</v>
      </c>
      <c r="G145" s="112">
        <v>0.05</v>
      </c>
      <c r="H145" s="113">
        <v>9369</v>
      </c>
      <c r="I145" s="113">
        <v>5933.57</v>
      </c>
      <c r="J145" s="113">
        <v>0</v>
      </c>
      <c r="K145" s="114">
        <f t="shared" si="11"/>
        <v>3435.43</v>
      </c>
      <c r="L145" s="114">
        <v>593.4</v>
      </c>
      <c r="M145" s="115"/>
      <c r="N145" s="116"/>
      <c r="O145" s="117">
        <f t="shared" si="12"/>
        <v>46752</v>
      </c>
      <c r="P145" s="118">
        <f t="shared" si="13"/>
        <v>4</v>
      </c>
      <c r="Q145" s="119">
        <f t="shared" si="14"/>
        <v>593.37</v>
      </c>
      <c r="R145" s="119">
        <f t="shared" si="15"/>
        <v>-0.0299999999999727</v>
      </c>
      <c r="S145" s="120" t="s">
        <v>106</v>
      </c>
      <c r="U145" s="67"/>
      <c r="V145" s="121"/>
      <c r="W145" s="122"/>
      <c r="X145" s="57"/>
      <c r="Y145" s="57"/>
      <c r="Z145" s="57"/>
      <c r="AA145" s="57"/>
      <c r="AB145" s="57"/>
      <c r="AC145" s="57"/>
      <c r="AD145" s="57"/>
      <c r="AE145" s="57"/>
      <c r="AF145" s="57"/>
      <c r="AG145" s="57"/>
      <c r="AH145" s="57"/>
      <c r="AI145" s="57"/>
      <c r="AJ145" s="57"/>
      <c r="AK145" s="57"/>
      <c r="AL145" s="57"/>
      <c r="AM145" s="57"/>
      <c r="AN145" s="57"/>
      <c r="AO145" s="57"/>
      <c r="AP145" s="57"/>
    </row>
    <row r="146" s="59" customFormat="1" ht="16.5" spans="1:42">
      <c r="A146" s="79"/>
      <c r="B146" s="107" t="s">
        <v>192</v>
      </c>
      <c r="C146" s="108">
        <v>400067</v>
      </c>
      <c r="D146" s="109" t="s">
        <v>466</v>
      </c>
      <c r="E146" s="110">
        <v>44910</v>
      </c>
      <c r="F146" s="111" t="s">
        <v>465</v>
      </c>
      <c r="G146" s="112">
        <v>0.05</v>
      </c>
      <c r="H146" s="113">
        <v>9369</v>
      </c>
      <c r="I146" s="113">
        <v>5933.57</v>
      </c>
      <c r="J146" s="113">
        <v>0</v>
      </c>
      <c r="K146" s="114">
        <f t="shared" si="11"/>
        <v>3435.43</v>
      </c>
      <c r="L146" s="114">
        <v>593.4</v>
      </c>
      <c r="M146" s="115"/>
      <c r="N146" s="116"/>
      <c r="O146" s="117">
        <f t="shared" si="12"/>
        <v>46752</v>
      </c>
      <c r="P146" s="118">
        <f t="shared" si="13"/>
        <v>4</v>
      </c>
      <c r="Q146" s="119">
        <f t="shared" si="14"/>
        <v>593.37</v>
      </c>
      <c r="R146" s="119">
        <f t="shared" si="15"/>
        <v>-0.0299999999999727</v>
      </c>
      <c r="S146" s="120" t="s">
        <v>106</v>
      </c>
      <c r="U146" s="67"/>
      <c r="V146" s="121"/>
      <c r="W146" s="122"/>
      <c r="X146" s="57"/>
      <c r="Y146" s="57"/>
      <c r="Z146" s="57"/>
      <c r="AA146" s="57"/>
      <c r="AB146" s="57"/>
      <c r="AC146" s="57"/>
      <c r="AD146" s="57"/>
      <c r="AE146" s="57"/>
      <c r="AF146" s="57"/>
      <c r="AG146" s="57"/>
      <c r="AH146" s="57"/>
      <c r="AI146" s="57"/>
      <c r="AJ146" s="57"/>
      <c r="AK146" s="57"/>
      <c r="AL146" s="57"/>
      <c r="AM146" s="57"/>
      <c r="AN146" s="57"/>
      <c r="AO146" s="57"/>
      <c r="AP146" s="57"/>
    </row>
    <row r="147" s="59" customFormat="1" ht="16.5" spans="1:42">
      <c r="A147" s="79"/>
      <c r="B147" s="107" t="s">
        <v>192</v>
      </c>
      <c r="C147" s="108">
        <v>400068</v>
      </c>
      <c r="D147" s="109" t="s">
        <v>466</v>
      </c>
      <c r="E147" s="110">
        <v>44910</v>
      </c>
      <c r="F147" s="111" t="s">
        <v>465</v>
      </c>
      <c r="G147" s="112">
        <v>0.05</v>
      </c>
      <c r="H147" s="113">
        <v>9369</v>
      </c>
      <c r="I147" s="113">
        <v>5933.57</v>
      </c>
      <c r="J147" s="113">
        <v>0</v>
      </c>
      <c r="K147" s="114">
        <f t="shared" si="11"/>
        <v>3435.43</v>
      </c>
      <c r="L147" s="114">
        <v>593.4</v>
      </c>
      <c r="M147" s="115"/>
      <c r="N147" s="116"/>
      <c r="O147" s="117">
        <f t="shared" si="12"/>
        <v>46752</v>
      </c>
      <c r="P147" s="118">
        <f t="shared" si="13"/>
        <v>4</v>
      </c>
      <c r="Q147" s="119">
        <f t="shared" si="14"/>
        <v>593.37</v>
      </c>
      <c r="R147" s="119">
        <f t="shared" si="15"/>
        <v>-0.0299999999999727</v>
      </c>
      <c r="S147" s="120" t="s">
        <v>106</v>
      </c>
      <c r="U147" s="67"/>
      <c r="V147" s="121"/>
      <c r="W147" s="122"/>
      <c r="X147" s="57"/>
      <c r="Y147" s="57"/>
      <c r="Z147" s="57"/>
      <c r="AA147" s="57"/>
      <c r="AB147" s="57"/>
      <c r="AC147" s="57"/>
      <c r="AD147" s="57"/>
      <c r="AE147" s="57"/>
      <c r="AF147" s="57"/>
      <c r="AG147" s="57"/>
      <c r="AH147" s="57"/>
      <c r="AI147" s="57"/>
      <c r="AJ147" s="57"/>
      <c r="AK147" s="57"/>
      <c r="AL147" s="57"/>
      <c r="AM147" s="57"/>
      <c r="AN147" s="57"/>
      <c r="AO147" s="57"/>
      <c r="AP147" s="57"/>
    </row>
    <row r="148" s="59" customFormat="1" ht="16.5" spans="1:42">
      <c r="A148" s="79"/>
      <c r="B148" s="107" t="s">
        <v>192</v>
      </c>
      <c r="C148" s="108">
        <v>400069</v>
      </c>
      <c r="D148" s="109" t="s">
        <v>466</v>
      </c>
      <c r="E148" s="110">
        <v>44910</v>
      </c>
      <c r="F148" s="111" t="s">
        <v>465</v>
      </c>
      <c r="G148" s="112">
        <v>0.05</v>
      </c>
      <c r="H148" s="113">
        <v>9369</v>
      </c>
      <c r="I148" s="113">
        <v>5933.57</v>
      </c>
      <c r="J148" s="113">
        <v>0</v>
      </c>
      <c r="K148" s="114">
        <f t="shared" si="11"/>
        <v>3435.43</v>
      </c>
      <c r="L148" s="114">
        <v>593.4</v>
      </c>
      <c r="M148" s="115"/>
      <c r="N148" s="116"/>
      <c r="O148" s="117">
        <f t="shared" si="12"/>
        <v>46752</v>
      </c>
      <c r="P148" s="118">
        <f t="shared" si="13"/>
        <v>4</v>
      </c>
      <c r="Q148" s="119">
        <f t="shared" si="14"/>
        <v>593.37</v>
      </c>
      <c r="R148" s="119">
        <f t="shared" si="15"/>
        <v>-0.0299999999999727</v>
      </c>
      <c r="S148" s="120" t="s">
        <v>106</v>
      </c>
      <c r="U148" s="67"/>
      <c r="V148" s="121"/>
      <c r="W148" s="122"/>
      <c r="X148" s="57"/>
      <c r="Y148" s="57"/>
      <c r="Z148" s="57"/>
      <c r="AA148" s="57"/>
      <c r="AB148" s="57"/>
      <c r="AC148" s="57"/>
      <c r="AD148" s="57"/>
      <c r="AE148" s="57"/>
      <c r="AF148" s="57"/>
      <c r="AG148" s="57"/>
      <c r="AH148" s="57"/>
      <c r="AI148" s="57"/>
      <c r="AJ148" s="57"/>
      <c r="AK148" s="57"/>
      <c r="AL148" s="57"/>
      <c r="AM148" s="57"/>
      <c r="AN148" s="57"/>
      <c r="AO148" s="57"/>
      <c r="AP148" s="57"/>
    </row>
    <row r="149" s="59" customFormat="1" ht="16.5" spans="1:42">
      <c r="A149" s="79"/>
      <c r="B149" s="107" t="s">
        <v>192</v>
      </c>
      <c r="C149" s="108">
        <v>400070</v>
      </c>
      <c r="D149" s="109" t="s">
        <v>466</v>
      </c>
      <c r="E149" s="110">
        <v>44910</v>
      </c>
      <c r="F149" s="111" t="s">
        <v>465</v>
      </c>
      <c r="G149" s="112">
        <v>0.05</v>
      </c>
      <c r="H149" s="113">
        <v>9369</v>
      </c>
      <c r="I149" s="113">
        <v>5933.57</v>
      </c>
      <c r="J149" s="113">
        <v>0</v>
      </c>
      <c r="K149" s="114">
        <f t="shared" si="11"/>
        <v>3435.43</v>
      </c>
      <c r="L149" s="114">
        <v>593.4</v>
      </c>
      <c r="M149" s="115"/>
      <c r="N149" s="116"/>
      <c r="O149" s="117">
        <f t="shared" si="12"/>
        <v>46752</v>
      </c>
      <c r="P149" s="118">
        <f t="shared" si="13"/>
        <v>4</v>
      </c>
      <c r="Q149" s="119">
        <f t="shared" si="14"/>
        <v>593.37</v>
      </c>
      <c r="R149" s="119">
        <f t="shared" si="15"/>
        <v>-0.0299999999999727</v>
      </c>
      <c r="S149" s="120" t="s">
        <v>106</v>
      </c>
      <c r="U149" s="67"/>
      <c r="V149" s="121"/>
      <c r="W149" s="122"/>
      <c r="X149" s="57"/>
      <c r="Y149" s="57"/>
      <c r="Z149" s="57"/>
      <c r="AA149" s="57"/>
      <c r="AB149" s="57"/>
      <c r="AC149" s="57"/>
      <c r="AD149" s="57"/>
      <c r="AE149" s="57"/>
      <c r="AF149" s="57"/>
      <c r="AG149" s="57"/>
      <c r="AH149" s="57"/>
      <c r="AI149" s="57"/>
      <c r="AJ149" s="57"/>
      <c r="AK149" s="57"/>
      <c r="AL149" s="57"/>
      <c r="AM149" s="57"/>
      <c r="AN149" s="57"/>
      <c r="AO149" s="57"/>
      <c r="AP149" s="57"/>
    </row>
    <row r="150" s="59" customFormat="1" ht="16.5" spans="1:42">
      <c r="A150" s="79"/>
      <c r="B150" s="107" t="s">
        <v>192</v>
      </c>
      <c r="C150" s="108">
        <v>400071</v>
      </c>
      <c r="D150" s="109" t="s">
        <v>466</v>
      </c>
      <c r="E150" s="110">
        <v>44910</v>
      </c>
      <c r="F150" s="111" t="s">
        <v>465</v>
      </c>
      <c r="G150" s="112">
        <v>0.05</v>
      </c>
      <c r="H150" s="113">
        <v>9369</v>
      </c>
      <c r="I150" s="113">
        <v>5933.57</v>
      </c>
      <c r="J150" s="113">
        <v>0</v>
      </c>
      <c r="K150" s="114">
        <f t="shared" si="11"/>
        <v>3435.43</v>
      </c>
      <c r="L150" s="114">
        <v>593.4</v>
      </c>
      <c r="M150" s="115"/>
      <c r="N150" s="116"/>
      <c r="O150" s="117">
        <f t="shared" si="12"/>
        <v>46752</v>
      </c>
      <c r="P150" s="118">
        <f t="shared" si="13"/>
        <v>4</v>
      </c>
      <c r="Q150" s="119">
        <f t="shared" si="14"/>
        <v>593.37</v>
      </c>
      <c r="R150" s="119">
        <f t="shared" si="15"/>
        <v>-0.0299999999999727</v>
      </c>
      <c r="S150" s="120" t="s">
        <v>106</v>
      </c>
      <c r="U150" s="67"/>
      <c r="V150" s="121"/>
      <c r="W150" s="122"/>
      <c r="X150" s="57"/>
      <c r="Y150" s="57"/>
      <c r="Z150" s="57"/>
      <c r="AA150" s="57"/>
      <c r="AB150" s="57"/>
      <c r="AC150" s="57"/>
      <c r="AD150" s="57"/>
      <c r="AE150" s="57"/>
      <c r="AF150" s="57"/>
      <c r="AG150" s="57"/>
      <c r="AH150" s="57"/>
      <c r="AI150" s="57"/>
      <c r="AJ150" s="57"/>
      <c r="AK150" s="57"/>
      <c r="AL150" s="57"/>
      <c r="AM150" s="57"/>
      <c r="AN150" s="57"/>
      <c r="AO150" s="57"/>
      <c r="AP150" s="57"/>
    </row>
    <row r="151" s="59" customFormat="1" ht="16.5" spans="1:42">
      <c r="A151" s="79"/>
      <c r="B151" s="107" t="s">
        <v>192</v>
      </c>
      <c r="C151" s="108">
        <v>400072</v>
      </c>
      <c r="D151" s="109" t="s">
        <v>466</v>
      </c>
      <c r="E151" s="110">
        <v>44910</v>
      </c>
      <c r="F151" s="111" t="s">
        <v>465</v>
      </c>
      <c r="G151" s="112">
        <v>0.05</v>
      </c>
      <c r="H151" s="113">
        <v>9369</v>
      </c>
      <c r="I151" s="113">
        <v>5933.57</v>
      </c>
      <c r="J151" s="113">
        <v>0</v>
      </c>
      <c r="K151" s="114">
        <f t="shared" si="11"/>
        <v>3435.43</v>
      </c>
      <c r="L151" s="113">
        <v>593.4</v>
      </c>
      <c r="M151" s="115"/>
      <c r="N151" s="116"/>
      <c r="O151" s="117">
        <f t="shared" si="12"/>
        <v>46752</v>
      </c>
      <c r="P151" s="118">
        <f t="shared" si="13"/>
        <v>4</v>
      </c>
      <c r="Q151" s="119">
        <f t="shared" ref="Q151:Q214" si="16">IFERROR(IF(N151=0,(H151*(1-G151))/F151*P151,(N151*(1-G151))/F151*P151),0)</f>
        <v>593.37</v>
      </c>
      <c r="R151" s="119">
        <f t="shared" ref="R151:R214" si="17">Q151-L151</f>
        <v>-0.0299999999999727</v>
      </c>
      <c r="S151" s="120" t="s">
        <v>106</v>
      </c>
      <c r="U151" s="67"/>
      <c r="V151" s="121"/>
      <c r="W151" s="122"/>
      <c r="X151" s="57"/>
      <c r="Y151" s="57"/>
      <c r="Z151" s="57"/>
      <c r="AA151" s="57"/>
      <c r="AB151" s="57"/>
      <c r="AC151" s="57"/>
      <c r="AD151" s="57"/>
      <c r="AE151" s="57"/>
      <c r="AF151" s="57"/>
      <c r="AG151" s="57"/>
      <c r="AH151" s="57"/>
      <c r="AI151" s="57"/>
      <c r="AJ151" s="57"/>
      <c r="AK151" s="57"/>
      <c r="AL151" s="57"/>
      <c r="AM151" s="57"/>
      <c r="AN151" s="57"/>
      <c r="AO151" s="57"/>
      <c r="AP151" s="57"/>
    </row>
    <row r="152" s="59" customFormat="1" ht="16.5" spans="1:42">
      <c r="A152" s="79"/>
      <c r="B152" s="107" t="s">
        <v>192</v>
      </c>
      <c r="C152" s="108">
        <v>400073</v>
      </c>
      <c r="D152" s="109" t="s">
        <v>466</v>
      </c>
      <c r="E152" s="110">
        <v>44910</v>
      </c>
      <c r="F152" s="111" t="s">
        <v>465</v>
      </c>
      <c r="G152" s="112">
        <v>0.05</v>
      </c>
      <c r="H152" s="113">
        <v>9369</v>
      </c>
      <c r="I152" s="113">
        <v>5933.57</v>
      </c>
      <c r="J152" s="113">
        <v>0</v>
      </c>
      <c r="K152" s="114">
        <f t="shared" si="11"/>
        <v>3435.43</v>
      </c>
      <c r="L152" s="113">
        <v>593.4</v>
      </c>
      <c r="M152" s="115"/>
      <c r="N152" s="116"/>
      <c r="O152" s="117">
        <f t="shared" si="12"/>
        <v>46752</v>
      </c>
      <c r="P152" s="118">
        <f t="shared" si="13"/>
        <v>4</v>
      </c>
      <c r="Q152" s="119">
        <f t="shared" si="16"/>
        <v>593.37</v>
      </c>
      <c r="R152" s="119">
        <f t="shared" si="17"/>
        <v>-0.0299999999999727</v>
      </c>
      <c r="S152" s="120" t="s">
        <v>106</v>
      </c>
      <c r="U152" s="67"/>
      <c r="V152" s="121"/>
      <c r="W152" s="122"/>
      <c r="X152" s="57"/>
      <c r="Y152" s="57"/>
      <c r="Z152" s="57"/>
      <c r="AA152" s="57"/>
      <c r="AB152" s="57"/>
      <c r="AC152" s="57"/>
      <c r="AD152" s="57"/>
      <c r="AE152" s="57"/>
      <c r="AF152" s="57"/>
      <c r="AG152" s="57"/>
      <c r="AH152" s="57"/>
      <c r="AI152" s="57"/>
      <c r="AJ152" s="57"/>
      <c r="AK152" s="57"/>
      <c r="AL152" s="57"/>
      <c r="AM152" s="57"/>
      <c r="AN152" s="57"/>
      <c r="AO152" s="57"/>
      <c r="AP152" s="57"/>
    </row>
    <row r="153" s="59" customFormat="1" ht="16.5" spans="1:42">
      <c r="A153" s="79"/>
      <c r="B153" s="123" t="s">
        <v>192</v>
      </c>
      <c r="C153" s="124">
        <v>400074</v>
      </c>
      <c r="D153" s="125" t="s">
        <v>466</v>
      </c>
      <c r="E153" s="126">
        <v>44910</v>
      </c>
      <c r="F153" s="111" t="s">
        <v>465</v>
      </c>
      <c r="G153" s="127">
        <v>0.05</v>
      </c>
      <c r="H153" s="128">
        <v>9369</v>
      </c>
      <c r="I153" s="113">
        <v>5933.57</v>
      </c>
      <c r="J153" s="113">
        <v>0</v>
      </c>
      <c r="K153" s="114">
        <f t="shared" si="11"/>
        <v>3435.43</v>
      </c>
      <c r="L153" s="128">
        <v>593.4</v>
      </c>
      <c r="M153" s="115"/>
      <c r="N153" s="116"/>
      <c r="O153" s="117">
        <f t="shared" si="12"/>
        <v>46752</v>
      </c>
      <c r="P153" s="118">
        <f t="shared" si="13"/>
        <v>4</v>
      </c>
      <c r="Q153" s="119">
        <f t="shared" si="16"/>
        <v>593.37</v>
      </c>
      <c r="R153" s="119">
        <f t="shared" si="17"/>
        <v>-0.0299999999999727</v>
      </c>
      <c r="S153" s="120" t="s">
        <v>106</v>
      </c>
      <c r="U153" s="67"/>
      <c r="V153" s="121"/>
      <c r="W153" s="122"/>
      <c r="X153" s="57"/>
      <c r="Y153" s="57"/>
      <c r="Z153" s="57"/>
      <c r="AA153" s="57"/>
      <c r="AB153" s="57"/>
      <c r="AC153" s="57"/>
      <c r="AD153" s="57"/>
      <c r="AE153" s="57"/>
      <c r="AF153" s="57"/>
      <c r="AG153" s="57"/>
      <c r="AH153" s="57"/>
      <c r="AI153" s="57"/>
      <c r="AJ153" s="57"/>
      <c r="AK153" s="57"/>
      <c r="AL153" s="57"/>
      <c r="AM153" s="57"/>
      <c r="AN153" s="57"/>
      <c r="AO153" s="57"/>
      <c r="AP153" s="57"/>
    </row>
    <row r="154" s="59" customFormat="1" ht="16.5" spans="1:42">
      <c r="A154" s="79"/>
      <c r="B154" s="123" t="s">
        <v>192</v>
      </c>
      <c r="C154" s="124">
        <v>400075</v>
      </c>
      <c r="D154" s="125" t="s">
        <v>466</v>
      </c>
      <c r="E154" s="126">
        <v>44910</v>
      </c>
      <c r="F154" s="111" t="s">
        <v>465</v>
      </c>
      <c r="G154" s="127">
        <v>0.05</v>
      </c>
      <c r="H154" s="128">
        <v>242900</v>
      </c>
      <c r="I154" s="113">
        <v>153836.7</v>
      </c>
      <c r="J154" s="113">
        <v>0</v>
      </c>
      <c r="K154" s="114">
        <f t="shared" si="11"/>
        <v>89063.3</v>
      </c>
      <c r="L154" s="128">
        <v>15383.66</v>
      </c>
      <c r="M154" s="115"/>
      <c r="N154" s="116"/>
      <c r="O154" s="117">
        <f t="shared" si="12"/>
        <v>46752</v>
      </c>
      <c r="P154" s="118">
        <f t="shared" si="13"/>
        <v>4</v>
      </c>
      <c r="Q154" s="119">
        <f t="shared" si="16"/>
        <v>15383.6666666667</v>
      </c>
      <c r="R154" s="119">
        <f t="shared" si="17"/>
        <v>0.00666666666620586</v>
      </c>
      <c r="S154" s="120" t="s">
        <v>106</v>
      </c>
      <c r="U154" s="67"/>
      <c r="V154" s="121"/>
      <c r="W154" s="122"/>
      <c r="X154" s="57"/>
      <c r="Y154" s="57"/>
      <c r="Z154" s="57"/>
      <c r="AA154" s="57"/>
      <c r="AB154" s="57"/>
      <c r="AC154" s="57"/>
      <c r="AD154" s="57"/>
      <c r="AE154" s="57"/>
      <c r="AF154" s="57"/>
      <c r="AG154" s="57"/>
      <c r="AH154" s="57"/>
      <c r="AI154" s="57"/>
      <c r="AJ154" s="57"/>
      <c r="AK154" s="57"/>
      <c r="AL154" s="57"/>
      <c r="AM154" s="57"/>
      <c r="AN154" s="57"/>
      <c r="AO154" s="57"/>
      <c r="AP154" s="57"/>
    </row>
    <row r="155" s="59" customFormat="1" ht="14.65" customHeight="1" outlineLevel="1" spans="1:42">
      <c r="A155" s="79"/>
      <c r="B155" s="123" t="s">
        <v>192</v>
      </c>
      <c r="C155" s="124">
        <v>400076</v>
      </c>
      <c r="D155" s="125" t="s">
        <v>466</v>
      </c>
      <c r="E155" s="126">
        <v>44910</v>
      </c>
      <c r="F155" s="111" t="s">
        <v>465</v>
      </c>
      <c r="G155" s="127">
        <v>0.05</v>
      </c>
      <c r="H155" s="128">
        <v>9369</v>
      </c>
      <c r="I155" s="113">
        <v>5933.57</v>
      </c>
      <c r="J155" s="113">
        <v>0</v>
      </c>
      <c r="K155" s="114">
        <f t="shared" si="11"/>
        <v>3435.43</v>
      </c>
      <c r="L155" s="128">
        <v>593.4</v>
      </c>
      <c r="M155" s="115"/>
      <c r="N155" s="116"/>
      <c r="O155" s="117">
        <f t="shared" si="12"/>
        <v>46752</v>
      </c>
      <c r="P155" s="118">
        <f t="shared" si="13"/>
        <v>4</v>
      </c>
      <c r="Q155" s="119">
        <f t="shared" si="16"/>
        <v>593.37</v>
      </c>
      <c r="R155" s="119">
        <f t="shared" si="17"/>
        <v>-0.0299999999999727</v>
      </c>
      <c r="S155" s="120" t="s">
        <v>106</v>
      </c>
      <c r="U155" s="67"/>
      <c r="V155" s="121"/>
      <c r="W155" s="122"/>
      <c r="X155" s="57"/>
      <c r="Y155" s="57"/>
      <c r="Z155" s="57"/>
      <c r="AA155" s="57"/>
      <c r="AB155" s="57"/>
      <c r="AC155" s="57"/>
      <c r="AD155" s="57"/>
      <c r="AE155" s="57"/>
      <c r="AF155" s="57"/>
      <c r="AG155" s="57"/>
      <c r="AH155" s="57"/>
      <c r="AI155" s="57"/>
      <c r="AJ155" s="57"/>
      <c r="AK155" s="57"/>
      <c r="AL155" s="57"/>
      <c r="AM155" s="57"/>
      <c r="AN155" s="57"/>
      <c r="AO155" s="57"/>
      <c r="AP155" s="57"/>
    </row>
    <row r="156" s="59" customFormat="1" ht="16.5" outlineLevel="1" spans="1:42">
      <c r="A156" s="79"/>
      <c r="B156" s="123" t="s">
        <v>192</v>
      </c>
      <c r="C156" s="124">
        <v>400077</v>
      </c>
      <c r="D156" s="125" t="s">
        <v>466</v>
      </c>
      <c r="E156" s="126">
        <v>44910</v>
      </c>
      <c r="F156" s="111" t="s">
        <v>465</v>
      </c>
      <c r="G156" s="127">
        <v>0.05</v>
      </c>
      <c r="H156" s="128">
        <v>9369</v>
      </c>
      <c r="I156" s="113">
        <v>5933.57</v>
      </c>
      <c r="J156" s="113">
        <v>0</v>
      </c>
      <c r="K156" s="114">
        <f t="shared" si="11"/>
        <v>3435.43</v>
      </c>
      <c r="L156" s="128">
        <v>593.4</v>
      </c>
      <c r="M156" s="115"/>
      <c r="N156" s="116"/>
      <c r="O156" s="117">
        <f t="shared" si="12"/>
        <v>46752</v>
      </c>
      <c r="P156" s="118">
        <f t="shared" si="13"/>
        <v>4</v>
      </c>
      <c r="Q156" s="119">
        <f t="shared" si="16"/>
        <v>593.37</v>
      </c>
      <c r="R156" s="119">
        <f t="shared" si="17"/>
        <v>-0.0299999999999727</v>
      </c>
      <c r="S156" s="120" t="s">
        <v>106</v>
      </c>
      <c r="U156" s="67"/>
      <c r="V156" s="121"/>
      <c r="W156" s="122"/>
      <c r="X156" s="57"/>
      <c r="Y156" s="57"/>
      <c r="Z156" s="57"/>
      <c r="AA156" s="57"/>
      <c r="AB156" s="57"/>
      <c r="AC156" s="57"/>
      <c r="AD156" s="57"/>
      <c r="AE156" s="57"/>
      <c r="AF156" s="57"/>
      <c r="AG156" s="57"/>
      <c r="AH156" s="57"/>
      <c r="AI156" s="57"/>
      <c r="AJ156" s="57"/>
      <c r="AK156" s="57"/>
      <c r="AL156" s="57"/>
      <c r="AM156" s="57"/>
      <c r="AN156" s="57"/>
      <c r="AO156" s="57"/>
      <c r="AP156" s="57"/>
    </row>
    <row r="157" s="59" customFormat="1" ht="16.5" outlineLevel="1" spans="1:42">
      <c r="A157" s="79"/>
      <c r="B157" s="123" t="s">
        <v>192</v>
      </c>
      <c r="C157" s="124">
        <v>400078</v>
      </c>
      <c r="D157" s="125" t="s">
        <v>466</v>
      </c>
      <c r="E157" s="126">
        <v>44910</v>
      </c>
      <c r="F157" s="111" t="s">
        <v>465</v>
      </c>
      <c r="G157" s="127">
        <v>0.05</v>
      </c>
      <c r="H157" s="128">
        <v>9369</v>
      </c>
      <c r="I157" s="113">
        <v>5933.57</v>
      </c>
      <c r="J157" s="113">
        <v>0</v>
      </c>
      <c r="K157" s="114">
        <f t="shared" si="11"/>
        <v>3435.43</v>
      </c>
      <c r="L157" s="128">
        <v>593.4</v>
      </c>
      <c r="M157" s="115"/>
      <c r="N157" s="116"/>
      <c r="O157" s="117">
        <f t="shared" si="12"/>
        <v>46752</v>
      </c>
      <c r="P157" s="118">
        <f t="shared" si="13"/>
        <v>4</v>
      </c>
      <c r="Q157" s="119">
        <f t="shared" si="16"/>
        <v>593.37</v>
      </c>
      <c r="R157" s="119">
        <f t="shared" si="17"/>
        <v>-0.0299999999999727</v>
      </c>
      <c r="S157" s="120" t="s">
        <v>106</v>
      </c>
      <c r="U157" s="67"/>
      <c r="V157" s="121"/>
      <c r="W157" s="122"/>
      <c r="X157" s="57"/>
      <c r="Y157" s="57"/>
      <c r="Z157" s="57"/>
      <c r="AA157" s="57"/>
      <c r="AB157" s="57"/>
      <c r="AC157" s="57"/>
      <c r="AD157" s="57"/>
      <c r="AE157" s="57"/>
      <c r="AF157" s="57"/>
      <c r="AG157" s="57"/>
      <c r="AH157" s="57"/>
      <c r="AI157" s="57"/>
      <c r="AJ157" s="57"/>
      <c r="AK157" s="57"/>
      <c r="AL157" s="57"/>
      <c r="AM157" s="57"/>
      <c r="AN157" s="57"/>
      <c r="AO157" s="57"/>
      <c r="AP157" s="57"/>
    </row>
    <row r="158" s="59" customFormat="1" ht="16.5" outlineLevel="1" spans="1:42">
      <c r="A158" s="79"/>
      <c r="B158" s="107" t="s">
        <v>192</v>
      </c>
      <c r="C158" s="108">
        <v>400079</v>
      </c>
      <c r="D158" s="109" t="s">
        <v>466</v>
      </c>
      <c r="E158" s="110">
        <v>44910</v>
      </c>
      <c r="F158" s="111" t="s">
        <v>465</v>
      </c>
      <c r="G158" s="112">
        <v>0.05</v>
      </c>
      <c r="H158" s="113">
        <v>9369</v>
      </c>
      <c r="I158" s="113">
        <v>5933.57</v>
      </c>
      <c r="J158" s="113">
        <v>0</v>
      </c>
      <c r="K158" s="114">
        <f t="shared" si="11"/>
        <v>3435.43</v>
      </c>
      <c r="L158" s="113">
        <v>593.4</v>
      </c>
      <c r="M158" s="115"/>
      <c r="N158" s="116"/>
      <c r="O158" s="117">
        <f t="shared" si="12"/>
        <v>46752</v>
      </c>
      <c r="P158" s="118">
        <f t="shared" si="13"/>
        <v>4</v>
      </c>
      <c r="Q158" s="119">
        <f t="shared" si="16"/>
        <v>593.37</v>
      </c>
      <c r="R158" s="119">
        <f t="shared" si="17"/>
        <v>-0.0299999999999727</v>
      </c>
      <c r="S158" s="120" t="s">
        <v>106</v>
      </c>
      <c r="U158" s="67"/>
      <c r="V158" s="121"/>
      <c r="W158" s="122"/>
      <c r="X158" s="57"/>
      <c r="Y158" s="57"/>
      <c r="Z158" s="57"/>
      <c r="AA158" s="57"/>
      <c r="AB158" s="57"/>
      <c r="AC158" s="57"/>
      <c r="AD158" s="57"/>
      <c r="AE158" s="57"/>
      <c r="AF158" s="57"/>
      <c r="AG158" s="57"/>
      <c r="AH158" s="57"/>
      <c r="AI158" s="57"/>
      <c r="AJ158" s="57"/>
      <c r="AK158" s="57"/>
      <c r="AL158" s="57"/>
      <c r="AM158" s="57"/>
      <c r="AN158" s="57"/>
      <c r="AO158" s="57"/>
      <c r="AP158" s="57"/>
    </row>
    <row r="159" s="59" customFormat="1" ht="16.5" outlineLevel="3" spans="1:42">
      <c r="A159" s="79"/>
      <c r="B159" s="107" t="s">
        <v>192</v>
      </c>
      <c r="C159" s="108">
        <v>400080</v>
      </c>
      <c r="D159" s="109" t="s">
        <v>466</v>
      </c>
      <c r="E159" s="110">
        <v>44910</v>
      </c>
      <c r="F159" s="111" t="s">
        <v>465</v>
      </c>
      <c r="G159" s="112">
        <v>0.05</v>
      </c>
      <c r="H159" s="113">
        <v>9369</v>
      </c>
      <c r="I159" s="113">
        <v>5933.57</v>
      </c>
      <c r="J159" s="113">
        <v>0</v>
      </c>
      <c r="K159" s="114">
        <f t="shared" si="11"/>
        <v>3435.43</v>
      </c>
      <c r="L159" s="113">
        <v>593.4</v>
      </c>
      <c r="M159" s="115"/>
      <c r="N159" s="116"/>
      <c r="O159" s="117">
        <f t="shared" si="12"/>
        <v>46752</v>
      </c>
      <c r="P159" s="118">
        <f t="shared" si="13"/>
        <v>4</v>
      </c>
      <c r="Q159" s="119">
        <f t="shared" si="16"/>
        <v>593.37</v>
      </c>
      <c r="R159" s="119">
        <f t="shared" si="17"/>
        <v>-0.0299999999999727</v>
      </c>
      <c r="S159" s="120" t="s">
        <v>106</v>
      </c>
      <c r="U159" s="67"/>
      <c r="V159" s="121"/>
      <c r="W159" s="122"/>
      <c r="X159" s="57"/>
      <c r="Y159" s="57"/>
      <c r="Z159" s="57"/>
      <c r="AA159" s="57"/>
      <c r="AB159" s="57"/>
      <c r="AC159" s="57"/>
      <c r="AD159" s="57"/>
      <c r="AE159" s="57"/>
      <c r="AF159" s="57"/>
      <c r="AG159" s="57"/>
      <c r="AH159" s="57"/>
      <c r="AI159" s="57"/>
      <c r="AJ159" s="57"/>
      <c r="AK159" s="57"/>
      <c r="AL159" s="57"/>
      <c r="AM159" s="57"/>
      <c r="AN159" s="57"/>
      <c r="AO159" s="57"/>
      <c r="AP159" s="57"/>
    </row>
    <row r="160" s="59" customFormat="1" ht="16.5" outlineLevel="3" spans="1:42">
      <c r="A160" s="79"/>
      <c r="B160" s="123" t="s">
        <v>192</v>
      </c>
      <c r="C160" s="124">
        <v>400083</v>
      </c>
      <c r="D160" s="125" t="s">
        <v>466</v>
      </c>
      <c r="E160" s="126">
        <v>44910</v>
      </c>
      <c r="F160" s="111" t="s">
        <v>465</v>
      </c>
      <c r="G160" s="127">
        <v>0.05</v>
      </c>
      <c r="H160" s="128">
        <v>277600</v>
      </c>
      <c r="I160" s="113">
        <v>175813.41</v>
      </c>
      <c r="J160" s="113">
        <v>0</v>
      </c>
      <c r="K160" s="114">
        <f t="shared" si="11"/>
        <v>101786.59</v>
      </c>
      <c r="L160" s="128">
        <v>17581.32</v>
      </c>
      <c r="M160" s="115"/>
      <c r="N160" s="116"/>
      <c r="O160" s="117">
        <f t="shared" si="12"/>
        <v>46752</v>
      </c>
      <c r="P160" s="118">
        <f t="shared" si="13"/>
        <v>4</v>
      </c>
      <c r="Q160" s="119">
        <f t="shared" si="16"/>
        <v>17581.3333333333</v>
      </c>
      <c r="R160" s="119">
        <f t="shared" si="17"/>
        <v>0.0133333333324117</v>
      </c>
      <c r="S160" s="120" t="s">
        <v>106</v>
      </c>
      <c r="U160" s="67"/>
      <c r="V160" s="121"/>
      <c r="W160" s="122"/>
      <c r="X160" s="57"/>
      <c r="Y160" s="57"/>
      <c r="Z160" s="57"/>
      <c r="AA160" s="57"/>
      <c r="AB160" s="57"/>
      <c r="AC160" s="57"/>
      <c r="AD160" s="57"/>
      <c r="AE160" s="57"/>
      <c r="AF160" s="57"/>
      <c r="AG160" s="57"/>
      <c r="AH160" s="57"/>
      <c r="AI160" s="57"/>
      <c r="AJ160" s="57"/>
      <c r="AK160" s="57"/>
      <c r="AL160" s="57"/>
      <c r="AM160" s="57"/>
      <c r="AN160" s="57"/>
      <c r="AO160" s="57"/>
      <c r="AP160" s="57"/>
    </row>
    <row r="161" s="59" customFormat="1" ht="16.5" outlineLevel="3" spans="1:42">
      <c r="A161" s="79"/>
      <c r="B161" s="123" t="s">
        <v>192</v>
      </c>
      <c r="C161" s="124">
        <v>400084</v>
      </c>
      <c r="D161" s="125" t="s">
        <v>466</v>
      </c>
      <c r="E161" s="126">
        <v>44910</v>
      </c>
      <c r="F161" s="111" t="s">
        <v>465</v>
      </c>
      <c r="G161" s="127">
        <v>0.05</v>
      </c>
      <c r="H161" s="128">
        <v>9369</v>
      </c>
      <c r="I161" s="113">
        <v>5933.57</v>
      </c>
      <c r="J161" s="113">
        <v>0</v>
      </c>
      <c r="K161" s="114">
        <f t="shared" si="11"/>
        <v>3435.43</v>
      </c>
      <c r="L161" s="128">
        <v>593.4</v>
      </c>
      <c r="M161" s="115"/>
      <c r="N161" s="116"/>
      <c r="O161" s="117">
        <f t="shared" si="12"/>
        <v>46752</v>
      </c>
      <c r="P161" s="118">
        <f t="shared" si="13"/>
        <v>4</v>
      </c>
      <c r="Q161" s="119">
        <f t="shared" si="16"/>
        <v>593.37</v>
      </c>
      <c r="R161" s="119">
        <f t="shared" si="17"/>
        <v>-0.0299999999999727</v>
      </c>
      <c r="S161" s="120" t="s">
        <v>106</v>
      </c>
      <c r="U161" s="67"/>
      <c r="V161" s="121"/>
      <c r="W161" s="122"/>
      <c r="X161" s="57"/>
      <c r="Y161" s="57"/>
      <c r="Z161" s="57"/>
      <c r="AA161" s="57"/>
      <c r="AB161" s="57"/>
      <c r="AC161" s="57"/>
      <c r="AD161" s="57"/>
      <c r="AE161" s="57"/>
      <c r="AF161" s="57"/>
      <c r="AG161" s="57"/>
      <c r="AH161" s="57"/>
      <c r="AI161" s="57"/>
      <c r="AJ161" s="57"/>
      <c r="AK161" s="57"/>
      <c r="AL161" s="57"/>
      <c r="AM161" s="57"/>
      <c r="AN161" s="57"/>
      <c r="AO161" s="57"/>
      <c r="AP161" s="57"/>
    </row>
    <row r="162" s="59" customFormat="1" ht="16.5" outlineLevel="3" spans="1:42">
      <c r="A162" s="79"/>
      <c r="B162" s="123" t="s">
        <v>192</v>
      </c>
      <c r="C162" s="124">
        <v>400085</v>
      </c>
      <c r="D162" s="125" t="s">
        <v>466</v>
      </c>
      <c r="E162" s="126">
        <v>44910</v>
      </c>
      <c r="F162" s="111" t="s">
        <v>465</v>
      </c>
      <c r="G162" s="127">
        <v>0.05</v>
      </c>
      <c r="H162" s="128">
        <v>31230</v>
      </c>
      <c r="I162" s="113">
        <v>19779.03</v>
      </c>
      <c r="J162" s="113">
        <v>0</v>
      </c>
      <c r="K162" s="114">
        <f t="shared" si="11"/>
        <v>11450.97</v>
      </c>
      <c r="L162" s="128">
        <v>1977.88</v>
      </c>
      <c r="M162" s="115"/>
      <c r="N162" s="116"/>
      <c r="O162" s="117">
        <f t="shared" si="12"/>
        <v>46752</v>
      </c>
      <c r="P162" s="118">
        <f t="shared" si="13"/>
        <v>4</v>
      </c>
      <c r="Q162" s="119">
        <f t="shared" si="16"/>
        <v>1977.9</v>
      </c>
      <c r="R162" s="119">
        <f t="shared" si="17"/>
        <v>0.0199999999999818</v>
      </c>
      <c r="S162" s="120" t="s">
        <v>106</v>
      </c>
      <c r="U162" s="67"/>
      <c r="V162" s="121"/>
      <c r="W162" s="122"/>
      <c r="X162" s="57"/>
      <c r="Y162" s="57"/>
      <c r="Z162" s="57"/>
      <c r="AA162" s="57"/>
      <c r="AB162" s="57"/>
      <c r="AC162" s="57"/>
      <c r="AD162" s="57"/>
      <c r="AE162" s="57"/>
      <c r="AF162" s="57"/>
      <c r="AG162" s="57"/>
      <c r="AH162" s="57"/>
      <c r="AI162" s="57"/>
      <c r="AJ162" s="57"/>
      <c r="AK162" s="57"/>
      <c r="AL162" s="57"/>
      <c r="AM162" s="57"/>
      <c r="AN162" s="57"/>
      <c r="AO162" s="57"/>
      <c r="AP162" s="57"/>
    </row>
    <row r="163" s="59" customFormat="1" ht="16.5" outlineLevel="2" spans="1:42">
      <c r="A163" s="79"/>
      <c r="B163" s="123" t="s">
        <v>192</v>
      </c>
      <c r="C163" s="124">
        <v>400081</v>
      </c>
      <c r="D163" s="125" t="s">
        <v>466</v>
      </c>
      <c r="E163" s="126">
        <v>44910</v>
      </c>
      <c r="F163" s="111" t="s">
        <v>465</v>
      </c>
      <c r="G163" s="127">
        <v>0.05</v>
      </c>
      <c r="H163" s="128">
        <v>208200</v>
      </c>
      <c r="I163" s="113">
        <v>131860</v>
      </c>
      <c r="J163" s="113">
        <v>0</v>
      </c>
      <c r="K163" s="114">
        <f t="shared" si="11"/>
        <v>76340</v>
      </c>
      <c r="L163" s="128">
        <v>13186</v>
      </c>
      <c r="M163" s="115"/>
      <c r="N163" s="116"/>
      <c r="O163" s="117">
        <f t="shared" si="12"/>
        <v>46752</v>
      </c>
      <c r="P163" s="118">
        <f t="shared" si="13"/>
        <v>4</v>
      </c>
      <c r="Q163" s="119">
        <f t="shared" si="16"/>
        <v>13186</v>
      </c>
      <c r="R163" s="119">
        <f t="shared" si="17"/>
        <v>0</v>
      </c>
      <c r="S163" s="120" t="s">
        <v>106</v>
      </c>
      <c r="U163" s="67"/>
      <c r="V163" s="121"/>
      <c r="W163" s="122"/>
      <c r="X163" s="57"/>
      <c r="Y163" s="57"/>
      <c r="Z163" s="57"/>
      <c r="AA163" s="57"/>
      <c r="AB163" s="57"/>
      <c r="AC163" s="57"/>
      <c r="AD163" s="57"/>
      <c r="AE163" s="57"/>
      <c r="AF163" s="57"/>
      <c r="AG163" s="57"/>
      <c r="AH163" s="57"/>
      <c r="AI163" s="57"/>
      <c r="AJ163" s="57"/>
      <c r="AK163" s="57"/>
      <c r="AL163" s="57"/>
      <c r="AM163" s="57"/>
      <c r="AN163" s="57"/>
      <c r="AO163" s="57"/>
      <c r="AP163" s="57"/>
    </row>
    <row r="164" s="59" customFormat="1" ht="16.5" outlineLevel="2" spans="1:42">
      <c r="A164" s="79"/>
      <c r="B164" s="123" t="s">
        <v>192</v>
      </c>
      <c r="C164" s="124">
        <v>400082</v>
      </c>
      <c r="D164" s="125" t="s">
        <v>466</v>
      </c>
      <c r="E164" s="126">
        <v>44910</v>
      </c>
      <c r="F164" s="111" t="s">
        <v>465</v>
      </c>
      <c r="G164" s="127">
        <v>0.05</v>
      </c>
      <c r="H164" s="128">
        <v>180440</v>
      </c>
      <c r="I164" s="113">
        <v>114278.59</v>
      </c>
      <c r="J164" s="113">
        <v>0</v>
      </c>
      <c r="K164" s="114">
        <f t="shared" si="11"/>
        <v>66161.41</v>
      </c>
      <c r="L164" s="128">
        <v>11427.88</v>
      </c>
      <c r="M164" s="115"/>
      <c r="N164" s="116"/>
      <c r="O164" s="117">
        <f t="shared" si="12"/>
        <v>46752</v>
      </c>
      <c r="P164" s="118">
        <f t="shared" si="13"/>
        <v>4</v>
      </c>
      <c r="Q164" s="119">
        <f t="shared" si="16"/>
        <v>11427.8666666667</v>
      </c>
      <c r="R164" s="119">
        <f t="shared" si="17"/>
        <v>-0.0133333333324117</v>
      </c>
      <c r="S164" s="120" t="s">
        <v>106</v>
      </c>
      <c r="U164" s="67"/>
      <c r="V164" s="121"/>
      <c r="W164" s="122"/>
      <c r="X164" s="57"/>
      <c r="Y164" s="57"/>
      <c r="Z164" s="57"/>
      <c r="AA164" s="57"/>
      <c r="AB164" s="57"/>
      <c r="AC164" s="57"/>
      <c r="AD164" s="57"/>
      <c r="AE164" s="57"/>
      <c r="AF164" s="57"/>
      <c r="AG164" s="57"/>
      <c r="AH164" s="57"/>
      <c r="AI164" s="57"/>
      <c r="AJ164" s="57"/>
      <c r="AK164" s="57"/>
      <c r="AL164" s="57"/>
      <c r="AM164" s="57"/>
      <c r="AN164" s="57"/>
      <c r="AO164" s="57"/>
      <c r="AP164" s="57"/>
    </row>
    <row r="165" s="59" customFormat="1" ht="16.5" outlineLevel="2" spans="1:42">
      <c r="A165" s="79"/>
      <c r="B165" s="107" t="s">
        <v>192</v>
      </c>
      <c r="C165" s="108">
        <v>400086</v>
      </c>
      <c r="D165" s="109" t="s">
        <v>466</v>
      </c>
      <c r="E165" s="110">
        <v>44910</v>
      </c>
      <c r="F165" s="111" t="s">
        <v>465</v>
      </c>
      <c r="G165" s="112">
        <v>0.05</v>
      </c>
      <c r="H165" s="113">
        <v>208200</v>
      </c>
      <c r="I165" s="113">
        <v>131860</v>
      </c>
      <c r="J165" s="113">
        <v>0</v>
      </c>
      <c r="K165" s="114">
        <f t="shared" si="11"/>
        <v>76340</v>
      </c>
      <c r="L165" s="113">
        <v>13186</v>
      </c>
      <c r="M165" s="115"/>
      <c r="N165" s="116"/>
      <c r="O165" s="117">
        <f t="shared" si="12"/>
        <v>46752</v>
      </c>
      <c r="P165" s="118">
        <f t="shared" si="13"/>
        <v>4</v>
      </c>
      <c r="Q165" s="119">
        <f t="shared" si="16"/>
        <v>13186</v>
      </c>
      <c r="R165" s="119">
        <f t="shared" si="17"/>
        <v>0</v>
      </c>
      <c r="S165" s="120" t="s">
        <v>106</v>
      </c>
      <c r="U165" s="67"/>
      <c r="V165" s="121"/>
      <c r="W165" s="122"/>
      <c r="X165" s="57"/>
      <c r="Y165" s="57"/>
      <c r="Z165" s="57"/>
      <c r="AA165" s="57"/>
      <c r="AB165" s="57"/>
      <c r="AC165" s="57"/>
      <c r="AD165" s="57"/>
      <c r="AE165" s="57"/>
      <c r="AF165" s="57"/>
      <c r="AG165" s="57"/>
      <c r="AH165" s="57"/>
      <c r="AI165" s="57"/>
      <c r="AJ165" s="57"/>
      <c r="AK165" s="57"/>
      <c r="AL165" s="57"/>
      <c r="AM165" s="57"/>
      <c r="AN165" s="57"/>
      <c r="AO165" s="57"/>
      <c r="AP165" s="57"/>
    </row>
    <row r="166" s="59" customFormat="1" ht="16.5" outlineLevel="2" spans="1:42">
      <c r="A166" s="79"/>
      <c r="B166" s="107" t="s">
        <v>192</v>
      </c>
      <c r="C166" s="108">
        <v>400087</v>
      </c>
      <c r="D166" s="109" t="s">
        <v>466</v>
      </c>
      <c r="E166" s="110">
        <v>44910</v>
      </c>
      <c r="F166" s="111" t="s">
        <v>465</v>
      </c>
      <c r="G166" s="112">
        <v>0.05</v>
      </c>
      <c r="H166" s="113">
        <v>62460</v>
      </c>
      <c r="I166" s="113">
        <v>39558.01</v>
      </c>
      <c r="J166" s="113">
        <v>0</v>
      </c>
      <c r="K166" s="114">
        <f t="shared" si="11"/>
        <v>22901.99</v>
      </c>
      <c r="L166" s="113">
        <v>3955.8</v>
      </c>
      <c r="M166" s="115"/>
      <c r="N166" s="116"/>
      <c r="O166" s="117">
        <f t="shared" si="12"/>
        <v>46752</v>
      </c>
      <c r="P166" s="118">
        <f t="shared" si="13"/>
        <v>4</v>
      </c>
      <c r="Q166" s="119">
        <f t="shared" si="16"/>
        <v>3955.8</v>
      </c>
      <c r="R166" s="119">
        <f t="shared" si="17"/>
        <v>0</v>
      </c>
      <c r="S166" s="120" t="s">
        <v>106</v>
      </c>
      <c r="U166" s="67"/>
      <c r="V166" s="121"/>
      <c r="W166" s="122"/>
      <c r="X166" s="57"/>
      <c r="Y166" s="57"/>
      <c r="Z166" s="57"/>
      <c r="AA166" s="57"/>
      <c r="AB166" s="57"/>
      <c r="AC166" s="57"/>
      <c r="AD166" s="57"/>
      <c r="AE166" s="57"/>
      <c r="AF166" s="57"/>
      <c r="AG166" s="57"/>
      <c r="AH166" s="57"/>
      <c r="AI166" s="57"/>
      <c r="AJ166" s="57"/>
      <c r="AK166" s="57"/>
      <c r="AL166" s="57"/>
      <c r="AM166" s="57"/>
      <c r="AN166" s="57"/>
      <c r="AO166" s="57"/>
      <c r="AP166" s="57"/>
    </row>
    <row r="167" s="59" customFormat="1" ht="16.5" outlineLevel="2" spans="1:42">
      <c r="A167" s="79"/>
      <c r="B167" s="123" t="s">
        <v>192</v>
      </c>
      <c r="C167" s="124">
        <v>400088</v>
      </c>
      <c r="D167" s="125" t="s">
        <v>466</v>
      </c>
      <c r="E167" s="126">
        <v>44910</v>
      </c>
      <c r="F167" s="111" t="s">
        <v>465</v>
      </c>
      <c r="G167" s="127">
        <v>0.05</v>
      </c>
      <c r="H167" s="128">
        <v>242900</v>
      </c>
      <c r="I167" s="113">
        <v>153836.7</v>
      </c>
      <c r="J167" s="113">
        <v>0</v>
      </c>
      <c r="K167" s="114">
        <f t="shared" si="11"/>
        <v>89063.3</v>
      </c>
      <c r="L167" s="128">
        <v>15383.66</v>
      </c>
      <c r="M167" s="115"/>
      <c r="N167" s="116"/>
      <c r="O167" s="117">
        <f t="shared" si="12"/>
        <v>46752</v>
      </c>
      <c r="P167" s="118">
        <f t="shared" si="13"/>
        <v>4</v>
      </c>
      <c r="Q167" s="119">
        <f t="shared" si="16"/>
        <v>15383.6666666667</v>
      </c>
      <c r="R167" s="119">
        <f t="shared" si="17"/>
        <v>0.00666666666620586</v>
      </c>
      <c r="S167" s="120" t="s">
        <v>106</v>
      </c>
      <c r="U167" s="67"/>
      <c r="V167" s="121"/>
      <c r="W167" s="122"/>
      <c r="X167" s="57"/>
      <c r="Y167" s="57"/>
      <c r="Z167" s="57"/>
      <c r="AA167" s="57"/>
      <c r="AB167" s="57"/>
      <c r="AC167" s="57"/>
      <c r="AD167" s="57"/>
      <c r="AE167" s="57"/>
      <c r="AF167" s="57"/>
      <c r="AG167" s="57"/>
      <c r="AH167" s="57"/>
      <c r="AI167" s="57"/>
      <c r="AJ167" s="57"/>
      <c r="AK167" s="57"/>
      <c r="AL167" s="57"/>
      <c r="AM167" s="57"/>
      <c r="AN167" s="57"/>
      <c r="AO167" s="57"/>
      <c r="AP167" s="57"/>
    </row>
    <row r="168" s="59" customFormat="1" ht="16.5" outlineLevel="6" spans="1:42">
      <c r="A168" s="79"/>
      <c r="B168" s="123" t="s">
        <v>192</v>
      </c>
      <c r="C168" s="124">
        <v>400089</v>
      </c>
      <c r="D168" s="125" t="s">
        <v>466</v>
      </c>
      <c r="E168" s="126">
        <v>44910</v>
      </c>
      <c r="F168" s="111" t="s">
        <v>465</v>
      </c>
      <c r="G168" s="127">
        <v>0.05</v>
      </c>
      <c r="H168" s="128">
        <v>208200</v>
      </c>
      <c r="I168" s="113">
        <v>131860</v>
      </c>
      <c r="J168" s="113">
        <v>0</v>
      </c>
      <c r="K168" s="114">
        <f t="shared" si="11"/>
        <v>76340</v>
      </c>
      <c r="L168" s="128">
        <v>13186</v>
      </c>
      <c r="M168" s="115"/>
      <c r="N168" s="116"/>
      <c r="O168" s="117">
        <f t="shared" si="12"/>
        <v>46752</v>
      </c>
      <c r="P168" s="118">
        <f t="shared" si="13"/>
        <v>4</v>
      </c>
      <c r="Q168" s="119">
        <f t="shared" si="16"/>
        <v>13186</v>
      </c>
      <c r="R168" s="119">
        <f t="shared" si="17"/>
        <v>0</v>
      </c>
      <c r="S168" s="120" t="s">
        <v>106</v>
      </c>
      <c r="U168" s="67"/>
      <c r="V168" s="121"/>
      <c r="W168" s="122"/>
      <c r="X168" s="57"/>
      <c r="Y168" s="57"/>
      <c r="Z168" s="57"/>
      <c r="AA168" s="57"/>
      <c r="AB168" s="57"/>
      <c r="AC168" s="57"/>
      <c r="AD168" s="57"/>
      <c r="AE168" s="57"/>
      <c r="AF168" s="57"/>
      <c r="AG168" s="57"/>
      <c r="AH168" s="57"/>
      <c r="AI168" s="57"/>
      <c r="AJ168" s="57"/>
      <c r="AK168" s="57"/>
      <c r="AL168" s="57"/>
      <c r="AM168" s="57"/>
      <c r="AN168" s="57"/>
      <c r="AO168" s="57"/>
      <c r="AP168" s="57"/>
    </row>
    <row r="169" s="59" customFormat="1" ht="16.5" outlineLevel="6" spans="1:42">
      <c r="A169" s="79"/>
      <c r="B169" s="123" t="s">
        <v>192</v>
      </c>
      <c r="C169" s="124">
        <v>400090</v>
      </c>
      <c r="D169" s="125" t="s">
        <v>466</v>
      </c>
      <c r="E169" s="126">
        <v>44910</v>
      </c>
      <c r="F169" s="111" t="s">
        <v>465</v>
      </c>
      <c r="G169" s="127">
        <v>0.05</v>
      </c>
      <c r="H169" s="128">
        <v>31230</v>
      </c>
      <c r="I169" s="113">
        <v>19779.03</v>
      </c>
      <c r="J169" s="113">
        <v>0</v>
      </c>
      <c r="K169" s="114">
        <f t="shared" si="11"/>
        <v>11450.97</v>
      </c>
      <c r="L169" s="128">
        <v>1977.88</v>
      </c>
      <c r="M169" s="115"/>
      <c r="N169" s="116"/>
      <c r="O169" s="117">
        <f t="shared" si="12"/>
        <v>46752</v>
      </c>
      <c r="P169" s="118">
        <f t="shared" si="13"/>
        <v>4</v>
      </c>
      <c r="Q169" s="119">
        <f t="shared" si="16"/>
        <v>1977.9</v>
      </c>
      <c r="R169" s="119">
        <f t="shared" si="17"/>
        <v>0.0199999999999818</v>
      </c>
      <c r="S169" s="120" t="s">
        <v>106</v>
      </c>
      <c r="U169" s="67"/>
      <c r="V169" s="121"/>
      <c r="W169" s="122"/>
      <c r="X169" s="57"/>
      <c r="Y169" s="57"/>
      <c r="Z169" s="57"/>
      <c r="AA169" s="57"/>
      <c r="AB169" s="57"/>
      <c r="AC169" s="57"/>
      <c r="AD169" s="57"/>
      <c r="AE169" s="57"/>
      <c r="AF169" s="57"/>
      <c r="AG169" s="57"/>
      <c r="AH169" s="57"/>
      <c r="AI169" s="57"/>
      <c r="AJ169" s="57"/>
      <c r="AK169" s="57"/>
      <c r="AL169" s="57"/>
      <c r="AM169" s="57"/>
      <c r="AN169" s="57"/>
      <c r="AO169" s="57"/>
      <c r="AP169" s="57"/>
    </row>
    <row r="170" s="59" customFormat="1" ht="16.5" outlineLevel="6" spans="1:42">
      <c r="A170" s="79"/>
      <c r="B170" s="123" t="s">
        <v>192</v>
      </c>
      <c r="C170" s="124">
        <v>400091</v>
      </c>
      <c r="D170" s="125" t="s">
        <v>466</v>
      </c>
      <c r="E170" s="126">
        <v>44910</v>
      </c>
      <c r="F170" s="111" t="s">
        <v>465</v>
      </c>
      <c r="G170" s="127">
        <v>0.05</v>
      </c>
      <c r="H170" s="128">
        <v>208200</v>
      </c>
      <c r="I170" s="113">
        <v>131860</v>
      </c>
      <c r="J170" s="113">
        <v>0</v>
      </c>
      <c r="K170" s="114">
        <f t="shared" si="11"/>
        <v>76340</v>
      </c>
      <c r="L170" s="128">
        <v>13186</v>
      </c>
      <c r="M170" s="115"/>
      <c r="N170" s="116"/>
      <c r="O170" s="117">
        <f t="shared" si="12"/>
        <v>46752</v>
      </c>
      <c r="P170" s="118">
        <f t="shared" si="13"/>
        <v>4</v>
      </c>
      <c r="Q170" s="119">
        <f t="shared" si="16"/>
        <v>13186</v>
      </c>
      <c r="R170" s="119">
        <f t="shared" si="17"/>
        <v>0</v>
      </c>
      <c r="S170" s="120" t="s">
        <v>106</v>
      </c>
      <c r="U170" s="67"/>
      <c r="V170" s="121"/>
      <c r="W170" s="122"/>
      <c r="X170" s="57"/>
      <c r="Y170" s="57"/>
      <c r="Z170" s="57"/>
      <c r="AA170" s="57"/>
      <c r="AB170" s="57"/>
      <c r="AC170" s="57"/>
      <c r="AD170" s="57"/>
      <c r="AE170" s="57"/>
      <c r="AF170" s="57"/>
      <c r="AG170" s="57"/>
      <c r="AH170" s="57"/>
      <c r="AI170" s="57"/>
      <c r="AJ170" s="57"/>
      <c r="AK170" s="57"/>
      <c r="AL170" s="57"/>
      <c r="AM170" s="57"/>
      <c r="AN170" s="57"/>
      <c r="AO170" s="57"/>
      <c r="AP170" s="57"/>
    </row>
    <row r="171" s="59" customFormat="1" ht="16.5" outlineLevel="6" spans="1:42">
      <c r="A171" s="79"/>
      <c r="B171" s="123" t="s">
        <v>192</v>
      </c>
      <c r="C171" s="124">
        <v>400092</v>
      </c>
      <c r="D171" s="125" t="s">
        <v>466</v>
      </c>
      <c r="E171" s="126">
        <v>44910</v>
      </c>
      <c r="F171" s="111" t="s">
        <v>465</v>
      </c>
      <c r="G171" s="127">
        <v>0.05</v>
      </c>
      <c r="H171" s="128">
        <v>208200</v>
      </c>
      <c r="I171" s="113">
        <v>131860</v>
      </c>
      <c r="J171" s="113">
        <v>0</v>
      </c>
      <c r="K171" s="114">
        <f t="shared" si="11"/>
        <v>76340</v>
      </c>
      <c r="L171" s="128">
        <v>13186</v>
      </c>
      <c r="M171" s="115"/>
      <c r="N171" s="116"/>
      <c r="O171" s="117">
        <f t="shared" si="12"/>
        <v>46752</v>
      </c>
      <c r="P171" s="118">
        <f t="shared" si="13"/>
        <v>4</v>
      </c>
      <c r="Q171" s="119">
        <f t="shared" si="16"/>
        <v>13186</v>
      </c>
      <c r="R171" s="119">
        <f t="shared" si="17"/>
        <v>0</v>
      </c>
      <c r="S171" s="120" t="s">
        <v>106</v>
      </c>
      <c r="U171" s="67"/>
      <c r="V171" s="121"/>
      <c r="W171" s="122"/>
      <c r="X171" s="57"/>
      <c r="Y171" s="57"/>
      <c r="Z171" s="57"/>
      <c r="AA171" s="57"/>
      <c r="AB171" s="57"/>
      <c r="AC171" s="57"/>
      <c r="AD171" s="57"/>
      <c r="AE171" s="57"/>
      <c r="AF171" s="57"/>
      <c r="AG171" s="57"/>
      <c r="AH171" s="57"/>
      <c r="AI171" s="57"/>
      <c r="AJ171" s="57"/>
      <c r="AK171" s="57"/>
      <c r="AL171" s="57"/>
      <c r="AM171" s="57"/>
      <c r="AN171" s="57"/>
      <c r="AO171" s="57"/>
      <c r="AP171" s="57"/>
    </row>
    <row r="172" s="59" customFormat="1" ht="16.5" outlineLevel="7" spans="1:42">
      <c r="A172" s="79"/>
      <c r="B172" s="107" t="s">
        <v>192</v>
      </c>
      <c r="C172" s="108">
        <v>400093</v>
      </c>
      <c r="D172" s="109" t="s">
        <v>466</v>
      </c>
      <c r="E172" s="110">
        <v>44910</v>
      </c>
      <c r="F172" s="111" t="s">
        <v>465</v>
      </c>
      <c r="G172" s="112">
        <v>0.05</v>
      </c>
      <c r="H172" s="113">
        <v>31230</v>
      </c>
      <c r="I172" s="113">
        <v>19779.03</v>
      </c>
      <c r="J172" s="113">
        <v>0</v>
      </c>
      <c r="K172" s="114">
        <f t="shared" si="11"/>
        <v>11450.97</v>
      </c>
      <c r="L172" s="113">
        <v>1977.88</v>
      </c>
      <c r="M172" s="115"/>
      <c r="N172" s="116"/>
      <c r="O172" s="117">
        <f t="shared" si="12"/>
        <v>46752</v>
      </c>
      <c r="P172" s="118">
        <f t="shared" si="13"/>
        <v>4</v>
      </c>
      <c r="Q172" s="119">
        <f t="shared" si="16"/>
        <v>1977.9</v>
      </c>
      <c r="R172" s="119">
        <f t="shared" si="17"/>
        <v>0.0199999999999818</v>
      </c>
      <c r="S172" s="120" t="s">
        <v>106</v>
      </c>
      <c r="U172" s="67"/>
      <c r="V172" s="121"/>
      <c r="W172" s="122"/>
      <c r="X172" s="57"/>
      <c r="Y172" s="57"/>
      <c r="Z172" s="57"/>
      <c r="AA172" s="57"/>
      <c r="AB172" s="57"/>
      <c r="AC172" s="57"/>
      <c r="AD172" s="57"/>
      <c r="AE172" s="57"/>
      <c r="AF172" s="57"/>
      <c r="AG172" s="57"/>
      <c r="AH172" s="57"/>
      <c r="AI172" s="57"/>
      <c r="AJ172" s="57"/>
      <c r="AK172" s="57"/>
      <c r="AL172" s="57"/>
      <c r="AM172" s="57"/>
      <c r="AN172" s="57"/>
      <c r="AO172" s="57"/>
      <c r="AP172" s="57"/>
    </row>
    <row r="173" s="59" customFormat="1" ht="16.5" outlineLevel="7" spans="1:42">
      <c r="A173" s="79"/>
      <c r="B173" s="107" t="s">
        <v>192</v>
      </c>
      <c r="C173" s="108">
        <v>400094</v>
      </c>
      <c r="D173" s="109" t="s">
        <v>466</v>
      </c>
      <c r="E173" s="110">
        <v>44910</v>
      </c>
      <c r="F173" s="111" t="s">
        <v>465</v>
      </c>
      <c r="G173" s="112">
        <v>0.05</v>
      </c>
      <c r="H173" s="113">
        <v>9369</v>
      </c>
      <c r="I173" s="113">
        <v>5933.57</v>
      </c>
      <c r="J173" s="113">
        <v>0</v>
      </c>
      <c r="K173" s="114">
        <f t="shared" si="11"/>
        <v>3435.43</v>
      </c>
      <c r="L173" s="113">
        <v>593.4</v>
      </c>
      <c r="M173" s="115"/>
      <c r="N173" s="116"/>
      <c r="O173" s="117">
        <f t="shared" si="12"/>
        <v>46752</v>
      </c>
      <c r="P173" s="118">
        <f t="shared" si="13"/>
        <v>4</v>
      </c>
      <c r="Q173" s="119">
        <f t="shared" si="16"/>
        <v>593.37</v>
      </c>
      <c r="R173" s="119">
        <f t="shared" si="17"/>
        <v>-0.0299999999999727</v>
      </c>
      <c r="S173" s="120" t="s">
        <v>106</v>
      </c>
      <c r="U173" s="67"/>
      <c r="V173" s="121"/>
      <c r="W173" s="122"/>
      <c r="X173" s="57"/>
      <c r="Y173" s="57"/>
      <c r="Z173" s="57"/>
      <c r="AA173" s="57"/>
      <c r="AB173" s="57"/>
      <c r="AC173" s="57"/>
      <c r="AD173" s="57"/>
      <c r="AE173" s="57"/>
      <c r="AF173" s="57"/>
      <c r="AG173" s="57"/>
      <c r="AH173" s="57"/>
      <c r="AI173" s="57"/>
      <c r="AJ173" s="57"/>
      <c r="AK173" s="57"/>
      <c r="AL173" s="57"/>
      <c r="AM173" s="57"/>
      <c r="AN173" s="57"/>
      <c r="AO173" s="57"/>
      <c r="AP173" s="57"/>
    </row>
    <row r="174" s="59" customFormat="1" ht="16.5" outlineLevel="7" spans="1:42">
      <c r="A174" s="79"/>
      <c r="B174" s="123" t="s">
        <v>192</v>
      </c>
      <c r="C174" s="124">
        <v>400095</v>
      </c>
      <c r="D174" s="125" t="s">
        <v>466</v>
      </c>
      <c r="E174" s="126">
        <v>44910</v>
      </c>
      <c r="F174" s="111" t="s">
        <v>465</v>
      </c>
      <c r="G174" s="127">
        <v>0.05</v>
      </c>
      <c r="H174" s="128">
        <v>208200</v>
      </c>
      <c r="I174" s="113">
        <v>131860</v>
      </c>
      <c r="J174" s="113">
        <v>0</v>
      </c>
      <c r="K174" s="114">
        <f t="shared" si="11"/>
        <v>76340</v>
      </c>
      <c r="L174" s="128">
        <v>13186</v>
      </c>
      <c r="M174" s="115"/>
      <c r="N174" s="116"/>
      <c r="O174" s="117">
        <f t="shared" si="12"/>
        <v>46752</v>
      </c>
      <c r="P174" s="118">
        <f t="shared" si="13"/>
        <v>4</v>
      </c>
      <c r="Q174" s="119">
        <f t="shared" si="16"/>
        <v>13186</v>
      </c>
      <c r="R174" s="119">
        <f t="shared" si="17"/>
        <v>0</v>
      </c>
      <c r="S174" s="120" t="s">
        <v>106</v>
      </c>
      <c r="U174" s="67"/>
      <c r="V174" s="121"/>
      <c r="W174" s="122"/>
      <c r="X174" s="57"/>
      <c r="Y174" s="57"/>
      <c r="Z174" s="57"/>
      <c r="AA174" s="57"/>
      <c r="AB174" s="57"/>
      <c r="AC174" s="57"/>
      <c r="AD174" s="57"/>
      <c r="AE174" s="57"/>
      <c r="AF174" s="57"/>
      <c r="AG174" s="57"/>
      <c r="AH174" s="57"/>
      <c r="AI174" s="57"/>
      <c r="AJ174" s="57"/>
      <c r="AK174" s="57"/>
      <c r="AL174" s="57"/>
      <c r="AM174" s="57"/>
      <c r="AN174" s="57"/>
      <c r="AO174" s="57"/>
      <c r="AP174" s="57"/>
    </row>
    <row r="175" s="59" customFormat="1" ht="16.5" outlineLevel="7" spans="1:42">
      <c r="A175" s="79"/>
      <c r="B175" s="123" t="s">
        <v>192</v>
      </c>
      <c r="C175" s="124">
        <v>400096</v>
      </c>
      <c r="D175" s="125" t="s">
        <v>466</v>
      </c>
      <c r="E175" s="126">
        <v>44910</v>
      </c>
      <c r="F175" s="111" t="s">
        <v>465</v>
      </c>
      <c r="G175" s="127">
        <v>0.05</v>
      </c>
      <c r="H175" s="128">
        <v>7981</v>
      </c>
      <c r="I175" s="113">
        <v>5054.59</v>
      </c>
      <c r="J175" s="113">
        <v>0</v>
      </c>
      <c r="K175" s="114">
        <f t="shared" si="11"/>
        <v>2926.41</v>
      </c>
      <c r="L175" s="128">
        <v>505.48</v>
      </c>
      <c r="M175" s="115"/>
      <c r="N175" s="116"/>
      <c r="O175" s="117">
        <f t="shared" si="12"/>
        <v>46752</v>
      </c>
      <c r="P175" s="118">
        <f t="shared" si="13"/>
        <v>4</v>
      </c>
      <c r="Q175" s="119">
        <f t="shared" si="16"/>
        <v>505.463333333333</v>
      </c>
      <c r="R175" s="119">
        <f t="shared" si="17"/>
        <v>-0.0166666666667084</v>
      </c>
      <c r="S175" s="120" t="s">
        <v>106</v>
      </c>
      <c r="U175" s="67"/>
      <c r="V175" s="121"/>
      <c r="W175" s="122"/>
      <c r="X175" s="63"/>
      <c r="Y175" s="63"/>
      <c r="Z175" s="63"/>
      <c r="AA175" s="63"/>
    </row>
    <row r="176" s="59" customFormat="1" ht="16.5" outlineLevel="7" spans="1:42">
      <c r="A176" s="79"/>
      <c r="B176" s="123" t="s">
        <v>192</v>
      </c>
      <c r="C176" s="124">
        <v>400097</v>
      </c>
      <c r="D176" s="125" t="s">
        <v>466</v>
      </c>
      <c r="E176" s="126">
        <v>44910</v>
      </c>
      <c r="F176" s="111" t="s">
        <v>465</v>
      </c>
      <c r="G176" s="127">
        <v>0.05</v>
      </c>
      <c r="H176" s="128">
        <v>9369</v>
      </c>
      <c r="I176" s="113">
        <v>5933.57</v>
      </c>
      <c r="J176" s="113">
        <v>0</v>
      </c>
      <c r="K176" s="114">
        <f t="shared" si="11"/>
        <v>3435.43</v>
      </c>
      <c r="L176" s="128">
        <v>593.4</v>
      </c>
      <c r="M176" s="115"/>
      <c r="N176" s="116"/>
      <c r="O176" s="117">
        <f t="shared" si="12"/>
        <v>46752</v>
      </c>
      <c r="P176" s="118">
        <f t="shared" si="13"/>
        <v>4</v>
      </c>
      <c r="Q176" s="119">
        <f t="shared" si="16"/>
        <v>593.37</v>
      </c>
      <c r="R176" s="119">
        <f t="shared" si="17"/>
        <v>-0.0299999999999727</v>
      </c>
      <c r="S176" s="120" t="s">
        <v>106</v>
      </c>
      <c r="U176" s="67"/>
      <c r="V176" s="121"/>
      <c r="W176" s="122"/>
      <c r="X176" s="63"/>
      <c r="Y176" s="63"/>
      <c r="Z176" s="63"/>
      <c r="AA176" s="63"/>
    </row>
    <row r="177" s="59" customFormat="1" ht="16.5" outlineLevel="7" spans="1:27">
      <c r="A177" s="79"/>
      <c r="B177" s="123" t="s">
        <v>192</v>
      </c>
      <c r="C177" s="124">
        <v>400098</v>
      </c>
      <c r="D177" s="125" t="s">
        <v>466</v>
      </c>
      <c r="E177" s="126">
        <v>44910</v>
      </c>
      <c r="F177" s="111" t="s">
        <v>465</v>
      </c>
      <c r="G177" s="127">
        <v>0.05</v>
      </c>
      <c r="H177" s="128">
        <v>62460</v>
      </c>
      <c r="I177" s="113">
        <v>39558.01</v>
      </c>
      <c r="J177" s="113">
        <v>0</v>
      </c>
      <c r="K177" s="114">
        <f t="shared" si="11"/>
        <v>22901.99</v>
      </c>
      <c r="L177" s="128">
        <v>3955.8</v>
      </c>
      <c r="M177" s="115"/>
      <c r="N177" s="116"/>
      <c r="O177" s="117">
        <f t="shared" si="12"/>
        <v>46752</v>
      </c>
      <c r="P177" s="118">
        <f t="shared" si="13"/>
        <v>4</v>
      </c>
      <c r="Q177" s="119">
        <f t="shared" si="16"/>
        <v>3955.8</v>
      </c>
      <c r="R177" s="119">
        <f t="shared" si="17"/>
        <v>0</v>
      </c>
      <c r="S177" s="120" t="s">
        <v>106</v>
      </c>
      <c r="U177" s="67"/>
      <c r="V177" s="121"/>
      <c r="W177" s="122"/>
      <c r="X177" s="63"/>
      <c r="Y177" s="63"/>
      <c r="Z177" s="63"/>
      <c r="AA177" s="63"/>
    </row>
    <row r="178" s="59" customFormat="1" ht="16.5" outlineLevel="7" spans="1:27">
      <c r="A178" s="79"/>
      <c r="B178" s="123" t="s">
        <v>192</v>
      </c>
      <c r="C178" s="124">
        <v>400099</v>
      </c>
      <c r="D178" s="125" t="s">
        <v>466</v>
      </c>
      <c r="E178" s="126">
        <v>44910</v>
      </c>
      <c r="F178" s="111" t="s">
        <v>465</v>
      </c>
      <c r="G178" s="127">
        <v>0.05</v>
      </c>
      <c r="H178" s="128">
        <v>9369</v>
      </c>
      <c r="I178" s="113">
        <v>5933.57</v>
      </c>
      <c r="J178" s="113">
        <v>0</v>
      </c>
      <c r="K178" s="114">
        <f t="shared" si="11"/>
        <v>3435.43</v>
      </c>
      <c r="L178" s="128">
        <v>593.4</v>
      </c>
      <c r="M178" s="115"/>
      <c r="N178" s="116"/>
      <c r="O178" s="117">
        <f t="shared" si="12"/>
        <v>46752</v>
      </c>
      <c r="P178" s="118">
        <f t="shared" si="13"/>
        <v>4</v>
      </c>
      <c r="Q178" s="119">
        <f t="shared" si="16"/>
        <v>593.37</v>
      </c>
      <c r="R178" s="119">
        <f t="shared" si="17"/>
        <v>-0.0299999999999727</v>
      </c>
      <c r="S178" s="120" t="s">
        <v>106</v>
      </c>
      <c r="U178" s="67"/>
      <c r="V178" s="121"/>
      <c r="W178" s="122"/>
      <c r="X178" s="63"/>
      <c r="Y178" s="63"/>
      <c r="Z178" s="63"/>
      <c r="AA178" s="63"/>
    </row>
    <row r="179" s="59" customFormat="1" ht="16.5" outlineLevel="7" spans="1:27">
      <c r="A179" s="79"/>
      <c r="B179" s="107" t="s">
        <v>192</v>
      </c>
      <c r="C179" s="108">
        <v>400100</v>
      </c>
      <c r="D179" s="109" t="s">
        <v>467</v>
      </c>
      <c r="E179" s="110">
        <v>44910</v>
      </c>
      <c r="F179" s="111" t="s">
        <v>465</v>
      </c>
      <c r="G179" s="112">
        <v>0.05</v>
      </c>
      <c r="H179" s="113">
        <v>31230</v>
      </c>
      <c r="I179" s="113">
        <v>19779.03</v>
      </c>
      <c r="J179" s="113">
        <v>0</v>
      </c>
      <c r="K179" s="114">
        <f t="shared" si="11"/>
        <v>11450.97</v>
      </c>
      <c r="L179" s="113">
        <v>1977.88</v>
      </c>
      <c r="M179" s="115"/>
      <c r="N179" s="116"/>
      <c r="O179" s="117">
        <f t="shared" si="12"/>
        <v>46752</v>
      </c>
      <c r="P179" s="118">
        <f t="shared" si="13"/>
        <v>4</v>
      </c>
      <c r="Q179" s="119">
        <f t="shared" si="16"/>
        <v>1977.9</v>
      </c>
      <c r="R179" s="119">
        <f t="shared" si="17"/>
        <v>0.0199999999999818</v>
      </c>
      <c r="S179" s="120" t="s">
        <v>106</v>
      </c>
      <c r="U179" s="67"/>
      <c r="V179" s="121"/>
      <c r="W179" s="122"/>
      <c r="X179" s="63"/>
      <c r="Y179" s="63"/>
      <c r="Z179" s="63"/>
      <c r="AA179" s="63"/>
    </row>
    <row r="180" s="59" customFormat="1" ht="16.5" outlineLevel="7" spans="1:27">
      <c r="A180" s="79"/>
      <c r="B180" s="107" t="s">
        <v>192</v>
      </c>
      <c r="C180" s="108">
        <v>400101</v>
      </c>
      <c r="D180" s="109" t="s">
        <v>467</v>
      </c>
      <c r="E180" s="110">
        <v>44910</v>
      </c>
      <c r="F180" s="111" t="s">
        <v>465</v>
      </c>
      <c r="G180" s="112">
        <v>0.05</v>
      </c>
      <c r="H180" s="113">
        <v>62460</v>
      </c>
      <c r="I180" s="113">
        <v>39558.01</v>
      </c>
      <c r="J180" s="113">
        <v>0</v>
      </c>
      <c r="K180" s="114">
        <f t="shared" si="11"/>
        <v>22901.99</v>
      </c>
      <c r="L180" s="113">
        <v>3955.8</v>
      </c>
      <c r="M180" s="115"/>
      <c r="N180" s="116"/>
      <c r="O180" s="117">
        <f t="shared" si="12"/>
        <v>46752</v>
      </c>
      <c r="P180" s="118">
        <f t="shared" si="13"/>
        <v>4</v>
      </c>
      <c r="Q180" s="119">
        <f t="shared" si="16"/>
        <v>3955.8</v>
      </c>
      <c r="R180" s="119">
        <f t="shared" si="17"/>
        <v>0</v>
      </c>
      <c r="S180" s="120" t="s">
        <v>106</v>
      </c>
      <c r="U180" s="67"/>
      <c r="V180" s="121"/>
      <c r="W180" s="122"/>
      <c r="X180" s="63"/>
      <c r="Y180" s="63"/>
      <c r="Z180" s="63"/>
      <c r="AA180" s="63"/>
    </row>
    <row r="181" s="59" customFormat="1" ht="16.5" outlineLevel="7" spans="1:27">
      <c r="A181" s="79"/>
      <c r="B181" s="123" t="s">
        <v>192</v>
      </c>
      <c r="C181" s="124">
        <v>400102</v>
      </c>
      <c r="D181" s="125" t="s">
        <v>467</v>
      </c>
      <c r="E181" s="126">
        <v>44910</v>
      </c>
      <c r="F181" s="111" t="s">
        <v>465</v>
      </c>
      <c r="G181" s="127">
        <v>0.05</v>
      </c>
      <c r="H181" s="128">
        <v>31230</v>
      </c>
      <c r="I181" s="113">
        <v>19779.03</v>
      </c>
      <c r="J181" s="113">
        <v>0</v>
      </c>
      <c r="K181" s="114">
        <f t="shared" si="11"/>
        <v>11450.97</v>
      </c>
      <c r="L181" s="128">
        <v>1977.88</v>
      </c>
      <c r="M181" s="115"/>
      <c r="N181" s="116"/>
      <c r="O181" s="117">
        <f t="shared" si="12"/>
        <v>46752</v>
      </c>
      <c r="P181" s="118">
        <f t="shared" si="13"/>
        <v>4</v>
      </c>
      <c r="Q181" s="119">
        <f t="shared" si="16"/>
        <v>1977.9</v>
      </c>
      <c r="R181" s="119">
        <f t="shared" si="17"/>
        <v>0.0199999999999818</v>
      </c>
      <c r="S181" s="120" t="s">
        <v>106</v>
      </c>
      <c r="U181" s="67"/>
      <c r="V181" s="121"/>
      <c r="W181" s="122"/>
      <c r="X181" s="63"/>
      <c r="Y181" s="63"/>
      <c r="Z181" s="63"/>
      <c r="AA181" s="63"/>
    </row>
    <row r="182" s="59" customFormat="1" ht="16.5" outlineLevel="7" spans="1:27">
      <c r="A182" s="79"/>
      <c r="B182" s="123" t="s">
        <v>192</v>
      </c>
      <c r="C182" s="124">
        <v>400103</v>
      </c>
      <c r="D182" s="125" t="s">
        <v>467</v>
      </c>
      <c r="E182" s="126">
        <v>44910</v>
      </c>
      <c r="F182" s="111" t="s">
        <v>465</v>
      </c>
      <c r="G182" s="127">
        <v>0.05</v>
      </c>
      <c r="H182" s="128">
        <v>62460</v>
      </c>
      <c r="I182" s="113">
        <v>39558.01</v>
      </c>
      <c r="J182" s="113">
        <v>0</v>
      </c>
      <c r="K182" s="114">
        <f t="shared" si="11"/>
        <v>22901.99</v>
      </c>
      <c r="L182" s="128">
        <v>3955.8</v>
      </c>
      <c r="M182" s="115"/>
      <c r="N182" s="116"/>
      <c r="O182" s="117">
        <f t="shared" si="12"/>
        <v>46752</v>
      </c>
      <c r="P182" s="118">
        <f t="shared" si="13"/>
        <v>4</v>
      </c>
      <c r="Q182" s="119">
        <f t="shared" si="16"/>
        <v>3955.8</v>
      </c>
      <c r="R182" s="119">
        <f t="shared" si="17"/>
        <v>0</v>
      </c>
      <c r="S182" s="120" t="s">
        <v>106</v>
      </c>
      <c r="U182" s="67"/>
      <c r="V182" s="121"/>
      <c r="W182" s="122"/>
      <c r="X182" s="63"/>
      <c r="Y182" s="63"/>
      <c r="Z182" s="63"/>
      <c r="AA182" s="63"/>
    </row>
    <row r="183" s="59" customFormat="1" ht="16.5" outlineLevel="7" spans="1:27">
      <c r="A183" s="79"/>
      <c r="B183" s="123" t="s">
        <v>192</v>
      </c>
      <c r="C183" s="124">
        <v>400104</v>
      </c>
      <c r="D183" s="125" t="s">
        <v>467</v>
      </c>
      <c r="E183" s="126">
        <v>44910</v>
      </c>
      <c r="F183" s="111" t="s">
        <v>465</v>
      </c>
      <c r="G183" s="127">
        <v>0.05</v>
      </c>
      <c r="H183" s="128">
        <v>31230</v>
      </c>
      <c r="I183" s="113">
        <v>19779.03</v>
      </c>
      <c r="J183" s="113">
        <v>0</v>
      </c>
      <c r="K183" s="114">
        <f t="shared" si="11"/>
        <v>11450.97</v>
      </c>
      <c r="L183" s="128">
        <v>1977.88</v>
      </c>
      <c r="M183" s="115"/>
      <c r="N183" s="116"/>
      <c r="O183" s="117">
        <f t="shared" si="12"/>
        <v>46752</v>
      </c>
      <c r="P183" s="118">
        <f t="shared" si="13"/>
        <v>4</v>
      </c>
      <c r="Q183" s="119">
        <f t="shared" si="16"/>
        <v>1977.9</v>
      </c>
      <c r="R183" s="119">
        <f t="shared" si="17"/>
        <v>0.0199999999999818</v>
      </c>
      <c r="S183" s="120" t="s">
        <v>106</v>
      </c>
      <c r="U183" s="67"/>
      <c r="V183" s="121"/>
      <c r="W183" s="122"/>
      <c r="X183" s="63"/>
      <c r="Y183" s="63"/>
      <c r="Z183" s="63"/>
      <c r="AA183" s="63"/>
    </row>
    <row r="184" s="59" customFormat="1" ht="16.5" outlineLevel="7" spans="1:27">
      <c r="A184" s="79"/>
      <c r="B184" s="123" t="s">
        <v>192</v>
      </c>
      <c r="C184" s="124">
        <v>400105</v>
      </c>
      <c r="D184" s="125" t="s">
        <v>329</v>
      </c>
      <c r="E184" s="126">
        <v>45077</v>
      </c>
      <c r="F184" s="111" t="s">
        <v>465</v>
      </c>
      <c r="G184" s="127">
        <v>0.05</v>
      </c>
      <c r="H184" s="128">
        <v>553226.12</v>
      </c>
      <c r="I184" s="113">
        <v>306579.53</v>
      </c>
      <c r="J184" s="113">
        <v>0</v>
      </c>
      <c r="K184" s="114">
        <f t="shared" si="11"/>
        <v>246646.59</v>
      </c>
      <c r="L184" s="128">
        <v>35037.64</v>
      </c>
      <c r="M184" s="115"/>
      <c r="N184" s="116"/>
      <c r="O184" s="117">
        <f t="shared" si="12"/>
        <v>46904</v>
      </c>
      <c r="P184" s="118">
        <f t="shared" si="13"/>
        <v>4</v>
      </c>
      <c r="Q184" s="119">
        <f t="shared" si="16"/>
        <v>35037.6542666667</v>
      </c>
      <c r="R184" s="119">
        <f t="shared" si="17"/>
        <v>0.0142666666652076</v>
      </c>
      <c r="S184" s="120" t="s">
        <v>106</v>
      </c>
      <c r="U184" s="67"/>
      <c r="V184" s="121"/>
      <c r="W184" s="122"/>
      <c r="X184" s="63"/>
      <c r="Y184" s="63"/>
      <c r="Z184" s="63"/>
      <c r="AA184" s="63"/>
    </row>
    <row r="185" s="59" customFormat="1" ht="16.5" outlineLevel="7" spans="1:27">
      <c r="A185" s="79"/>
      <c r="B185" s="123" t="s">
        <v>192</v>
      </c>
      <c r="C185" s="124">
        <v>400106</v>
      </c>
      <c r="D185" s="125" t="s">
        <v>469</v>
      </c>
      <c r="E185" s="126">
        <v>45260</v>
      </c>
      <c r="F185" s="111" t="s">
        <v>465</v>
      </c>
      <c r="G185" s="127">
        <v>0.05</v>
      </c>
      <c r="H185" s="128">
        <v>3214218.84</v>
      </c>
      <c r="I185" s="113">
        <v>1475862.2</v>
      </c>
      <c r="J185" s="113">
        <v>0</v>
      </c>
      <c r="K185" s="114">
        <f t="shared" si="11"/>
        <v>1738356.64</v>
      </c>
      <c r="L185" s="128">
        <v>203567.2</v>
      </c>
      <c r="M185" s="115"/>
      <c r="N185" s="116"/>
      <c r="O185" s="117">
        <f t="shared" si="12"/>
        <v>47087</v>
      </c>
      <c r="P185" s="118">
        <f t="shared" si="13"/>
        <v>4</v>
      </c>
      <c r="Q185" s="119">
        <f t="shared" si="16"/>
        <v>203567.1932</v>
      </c>
      <c r="R185" s="119">
        <f t="shared" si="17"/>
        <v>-0.00680000003194436</v>
      </c>
      <c r="S185" s="120" t="s">
        <v>106</v>
      </c>
      <c r="U185" s="67"/>
      <c r="V185" s="121"/>
      <c r="W185" s="122"/>
      <c r="X185" s="63"/>
      <c r="Y185" s="63"/>
      <c r="Z185" s="63"/>
      <c r="AA185" s="63"/>
    </row>
    <row r="186" s="59" customFormat="1" ht="16.5" outlineLevel="7" spans="1:27">
      <c r="A186" s="79"/>
      <c r="B186" s="107" t="s">
        <v>192</v>
      </c>
      <c r="C186" s="108">
        <v>400107</v>
      </c>
      <c r="D186" s="109" t="s">
        <v>470</v>
      </c>
      <c r="E186" s="110">
        <v>45289</v>
      </c>
      <c r="F186" s="111" t="s">
        <v>465</v>
      </c>
      <c r="G186" s="112">
        <v>0.05</v>
      </c>
      <c r="H186" s="113">
        <v>869179.32</v>
      </c>
      <c r="I186" s="113">
        <v>385336.17</v>
      </c>
      <c r="J186" s="113">
        <v>0</v>
      </c>
      <c r="K186" s="114">
        <f t="shared" si="11"/>
        <v>483843.15</v>
      </c>
      <c r="L186" s="113">
        <v>55048.04</v>
      </c>
      <c r="M186" s="115"/>
      <c r="N186" s="116"/>
      <c r="O186" s="117">
        <f t="shared" si="12"/>
        <v>47118</v>
      </c>
      <c r="P186" s="118">
        <f t="shared" si="13"/>
        <v>4</v>
      </c>
      <c r="Q186" s="119">
        <f t="shared" si="16"/>
        <v>55048.0236</v>
      </c>
      <c r="R186" s="119">
        <f t="shared" si="17"/>
        <v>-0.0164000000077067</v>
      </c>
      <c r="S186" s="120" t="s">
        <v>106</v>
      </c>
      <c r="U186" s="67"/>
      <c r="V186" s="121"/>
      <c r="W186" s="122"/>
      <c r="X186" s="63"/>
      <c r="Y186" s="63"/>
      <c r="Z186" s="63"/>
      <c r="AA186" s="63"/>
    </row>
    <row r="187" s="59" customFormat="1" ht="16.5" outlineLevel="7" spans="1:27">
      <c r="A187" s="79"/>
      <c r="B187" s="107" t="s">
        <v>192</v>
      </c>
      <c r="C187" s="108">
        <v>400108</v>
      </c>
      <c r="D187" s="109" t="s">
        <v>472</v>
      </c>
      <c r="E187" s="110">
        <v>45289</v>
      </c>
      <c r="F187" s="111" t="s">
        <v>465</v>
      </c>
      <c r="G187" s="112">
        <v>0.05</v>
      </c>
      <c r="H187" s="113">
        <v>866695.55</v>
      </c>
      <c r="I187" s="113">
        <v>384235.04</v>
      </c>
      <c r="J187" s="113">
        <v>0</v>
      </c>
      <c r="K187" s="114">
        <f t="shared" si="11"/>
        <v>482460.51</v>
      </c>
      <c r="L187" s="113">
        <v>54890.72</v>
      </c>
      <c r="M187" s="115"/>
      <c r="N187" s="116"/>
      <c r="O187" s="117">
        <f t="shared" si="12"/>
        <v>47118</v>
      </c>
      <c r="P187" s="118">
        <f t="shared" si="13"/>
        <v>4</v>
      </c>
      <c r="Q187" s="119">
        <f t="shared" si="16"/>
        <v>54890.7181666667</v>
      </c>
      <c r="R187" s="119">
        <f t="shared" si="17"/>
        <v>-0.00183333333552582</v>
      </c>
      <c r="S187" s="120" t="s">
        <v>106</v>
      </c>
      <c r="U187" s="67"/>
      <c r="V187" s="121"/>
      <c r="W187" s="122"/>
      <c r="X187" s="63"/>
      <c r="Y187" s="63"/>
      <c r="Z187" s="63"/>
      <c r="AA187" s="63"/>
    </row>
    <row r="188" s="59" customFormat="1" ht="16.5" outlineLevel="7" spans="1:27">
      <c r="A188" s="79"/>
      <c r="B188" s="123" t="s">
        <v>192</v>
      </c>
      <c r="C188" s="124">
        <v>400109</v>
      </c>
      <c r="D188" s="125" t="s">
        <v>474</v>
      </c>
      <c r="E188" s="126">
        <v>45320</v>
      </c>
      <c r="F188" s="111" t="s">
        <v>465</v>
      </c>
      <c r="G188" s="127">
        <v>0.05</v>
      </c>
      <c r="H188" s="128">
        <v>318465</v>
      </c>
      <c r="I188" s="113">
        <v>136143.72</v>
      </c>
      <c r="J188" s="113">
        <v>0</v>
      </c>
      <c r="K188" s="114">
        <f t="shared" si="11"/>
        <v>182321.28</v>
      </c>
      <c r="L188" s="128">
        <v>20169.44</v>
      </c>
      <c r="M188" s="115"/>
      <c r="N188" s="116"/>
      <c r="O188" s="117">
        <f t="shared" si="12"/>
        <v>47149</v>
      </c>
      <c r="P188" s="118">
        <f t="shared" si="13"/>
        <v>4</v>
      </c>
      <c r="Q188" s="119">
        <f t="shared" si="16"/>
        <v>20169.45</v>
      </c>
      <c r="R188" s="119">
        <f t="shared" si="17"/>
        <v>0.0100000000020373</v>
      </c>
      <c r="S188" s="120" t="s">
        <v>106</v>
      </c>
      <c r="U188" s="67"/>
      <c r="V188" s="121"/>
      <c r="W188" s="122"/>
      <c r="X188" s="63"/>
      <c r="Y188" s="63"/>
      <c r="Z188" s="63"/>
      <c r="AA188" s="63"/>
    </row>
    <row r="189" s="59" customFormat="1" ht="16.5" outlineLevel="7" spans="1:27">
      <c r="A189" s="79"/>
      <c r="B189" s="123" t="s">
        <v>192</v>
      </c>
      <c r="C189" s="124">
        <v>400110</v>
      </c>
      <c r="D189" s="125" t="s">
        <v>475</v>
      </c>
      <c r="E189" s="126">
        <v>45379</v>
      </c>
      <c r="F189" s="111" t="s">
        <v>465</v>
      </c>
      <c r="G189" s="127">
        <v>0.05</v>
      </c>
      <c r="H189" s="128">
        <v>408589.25</v>
      </c>
      <c r="I189" s="113">
        <v>161733.23</v>
      </c>
      <c r="J189" s="113">
        <v>0</v>
      </c>
      <c r="K189" s="114">
        <f t="shared" si="11"/>
        <v>246856.02</v>
      </c>
      <c r="L189" s="128">
        <v>25877.32</v>
      </c>
      <c r="M189" s="115"/>
      <c r="N189" s="116"/>
      <c r="O189" s="117">
        <f t="shared" si="12"/>
        <v>47208</v>
      </c>
      <c r="P189" s="118">
        <f t="shared" si="13"/>
        <v>4</v>
      </c>
      <c r="Q189" s="119">
        <f t="shared" si="16"/>
        <v>25877.3191666667</v>
      </c>
      <c r="R189" s="119">
        <f t="shared" si="17"/>
        <v>-0.000833333335322095</v>
      </c>
      <c r="S189" s="120" t="s">
        <v>106</v>
      </c>
      <c r="U189" s="67"/>
      <c r="V189" s="121"/>
      <c r="W189" s="122"/>
      <c r="X189" s="63"/>
      <c r="Y189" s="63"/>
      <c r="Z189" s="63"/>
      <c r="AA189" s="63"/>
    </row>
    <row r="190" s="59" customFormat="1" ht="16.5" outlineLevel="7" spans="1:27">
      <c r="A190" s="79"/>
      <c r="B190" s="123" t="s">
        <v>192</v>
      </c>
      <c r="C190" s="124">
        <v>400114</v>
      </c>
      <c r="D190" s="125" t="s">
        <v>476</v>
      </c>
      <c r="E190" s="126">
        <v>45657</v>
      </c>
      <c r="F190" s="111">
        <v>120</v>
      </c>
      <c r="G190" s="127">
        <v>0.05</v>
      </c>
      <c r="H190" s="128">
        <v>281849.56</v>
      </c>
      <c r="I190" s="113">
        <v>35700.96</v>
      </c>
      <c r="J190" s="113">
        <v>0</v>
      </c>
      <c r="K190" s="114">
        <f t="shared" si="11"/>
        <v>246148.6</v>
      </c>
      <c r="L190" s="128">
        <v>8925.24</v>
      </c>
      <c r="M190" s="115"/>
      <c r="N190" s="116"/>
      <c r="O190" s="117">
        <f t="shared" si="12"/>
        <v>49309</v>
      </c>
      <c r="P190" s="118">
        <f t="shared" si="13"/>
        <v>4</v>
      </c>
      <c r="Q190" s="119">
        <f t="shared" si="16"/>
        <v>8925.23606666667</v>
      </c>
      <c r="R190" s="119">
        <f t="shared" si="17"/>
        <v>-0.00393333333340706</v>
      </c>
      <c r="S190" s="120" t="s">
        <v>106</v>
      </c>
      <c r="U190" s="67"/>
      <c r="V190" s="121"/>
      <c r="W190" s="122"/>
      <c r="X190" s="63"/>
      <c r="Y190" s="63"/>
      <c r="Z190" s="63"/>
      <c r="AA190" s="63"/>
    </row>
    <row r="191" s="59" customFormat="1" ht="16.5" outlineLevel="7" spans="1:27">
      <c r="A191" s="79"/>
      <c r="B191" s="123" t="s">
        <v>192</v>
      </c>
      <c r="C191" s="124">
        <v>400115</v>
      </c>
      <c r="D191" s="125" t="s">
        <v>478</v>
      </c>
      <c r="E191" s="126">
        <v>45657</v>
      </c>
      <c r="F191" s="111">
        <v>120</v>
      </c>
      <c r="G191" s="127">
        <v>0.05</v>
      </c>
      <c r="H191" s="128">
        <v>7592.92</v>
      </c>
      <c r="I191" s="113">
        <v>961.76</v>
      </c>
      <c r="J191" s="113">
        <v>0</v>
      </c>
      <c r="K191" s="114">
        <f t="shared" si="11"/>
        <v>6631.16</v>
      </c>
      <c r="L191" s="128">
        <v>240.44</v>
      </c>
      <c r="M191" s="115"/>
      <c r="N191" s="116"/>
      <c r="O191" s="117">
        <f t="shared" si="12"/>
        <v>49309</v>
      </c>
      <c r="P191" s="118">
        <f t="shared" si="13"/>
        <v>4</v>
      </c>
      <c r="Q191" s="119">
        <f t="shared" si="16"/>
        <v>240.442466666667</v>
      </c>
      <c r="R191" s="119">
        <f t="shared" si="17"/>
        <v>0.00246666666666329</v>
      </c>
      <c r="S191" s="120" t="s">
        <v>106</v>
      </c>
      <c r="U191" s="67"/>
      <c r="V191" s="121"/>
      <c r="W191" s="122"/>
      <c r="X191" s="63"/>
      <c r="Y191" s="63"/>
      <c r="Z191" s="63"/>
      <c r="AA191" s="63"/>
    </row>
    <row r="192" s="59" customFormat="1" ht="16.5" outlineLevel="7" spans="1:27">
      <c r="A192" s="79"/>
      <c r="B192" s="123" t="s">
        <v>192</v>
      </c>
      <c r="C192" s="124">
        <v>400116</v>
      </c>
      <c r="D192" s="125" t="s">
        <v>480</v>
      </c>
      <c r="E192" s="126">
        <v>45657</v>
      </c>
      <c r="F192" s="111">
        <v>120</v>
      </c>
      <c r="G192" s="127">
        <v>0.05</v>
      </c>
      <c r="H192" s="128">
        <v>48097.35</v>
      </c>
      <c r="I192" s="113">
        <v>6092.32</v>
      </c>
      <c r="J192" s="113">
        <v>0</v>
      </c>
      <c r="K192" s="114">
        <f t="shared" si="11"/>
        <v>42005.03</v>
      </c>
      <c r="L192" s="128">
        <v>1523.08</v>
      </c>
      <c r="M192" s="115"/>
      <c r="N192" s="116"/>
      <c r="O192" s="117">
        <f t="shared" si="12"/>
        <v>49309</v>
      </c>
      <c r="P192" s="118">
        <f t="shared" si="13"/>
        <v>4</v>
      </c>
      <c r="Q192" s="119">
        <f t="shared" si="16"/>
        <v>1523.08275</v>
      </c>
      <c r="R192" s="119">
        <f t="shared" si="17"/>
        <v>0.0027500000001055</v>
      </c>
      <c r="S192" s="120" t="s">
        <v>106</v>
      </c>
      <c r="U192" s="67"/>
      <c r="V192" s="121"/>
      <c r="W192" s="122"/>
      <c r="X192" s="63"/>
      <c r="Y192" s="63"/>
      <c r="Z192" s="63"/>
      <c r="AA192" s="63"/>
    </row>
    <row r="193" s="59" customFormat="1" ht="16.5" outlineLevel="7" spans="1:27">
      <c r="A193" s="79"/>
      <c r="B193" s="107" t="s">
        <v>192</v>
      </c>
      <c r="C193" s="108">
        <v>400117</v>
      </c>
      <c r="D193" s="109" t="s">
        <v>482</v>
      </c>
      <c r="E193" s="110">
        <v>45657</v>
      </c>
      <c r="F193" s="111">
        <v>120</v>
      </c>
      <c r="G193" s="112">
        <v>0.05</v>
      </c>
      <c r="H193" s="113">
        <v>2106.19</v>
      </c>
      <c r="I193" s="113">
        <v>266.72</v>
      </c>
      <c r="J193" s="113">
        <v>0</v>
      </c>
      <c r="K193" s="114">
        <f t="shared" si="11"/>
        <v>1839.47</v>
      </c>
      <c r="L193" s="113">
        <v>66.68</v>
      </c>
      <c r="M193" s="115"/>
      <c r="N193" s="116"/>
      <c r="O193" s="117">
        <f t="shared" si="12"/>
        <v>49309</v>
      </c>
      <c r="P193" s="118">
        <f t="shared" si="13"/>
        <v>4</v>
      </c>
      <c r="Q193" s="119">
        <f t="shared" si="16"/>
        <v>66.6960166666667</v>
      </c>
      <c r="R193" s="119">
        <f t="shared" si="17"/>
        <v>0.0160166666666584</v>
      </c>
      <c r="S193" s="120" t="s">
        <v>106</v>
      </c>
      <c r="U193" s="67"/>
      <c r="V193" s="121"/>
      <c r="W193" s="122"/>
      <c r="X193" s="63"/>
      <c r="Y193" s="63"/>
      <c r="Z193" s="63"/>
      <c r="AA193" s="63"/>
    </row>
    <row r="194" s="59" customFormat="1" ht="16.5" outlineLevel="7" spans="1:27">
      <c r="A194" s="79"/>
      <c r="B194" s="107" t="s">
        <v>192</v>
      </c>
      <c r="C194" s="108">
        <v>400118</v>
      </c>
      <c r="D194" s="109" t="s">
        <v>482</v>
      </c>
      <c r="E194" s="110">
        <v>45657</v>
      </c>
      <c r="F194" s="111">
        <v>120</v>
      </c>
      <c r="G194" s="112">
        <v>0.05</v>
      </c>
      <c r="H194" s="113">
        <v>2106.19</v>
      </c>
      <c r="I194" s="113">
        <v>266.72</v>
      </c>
      <c r="J194" s="113">
        <v>0</v>
      </c>
      <c r="K194" s="114">
        <f t="shared" si="11"/>
        <v>1839.47</v>
      </c>
      <c r="L194" s="113">
        <v>66.68</v>
      </c>
      <c r="M194" s="115"/>
      <c r="N194" s="116"/>
      <c r="O194" s="117">
        <f t="shared" si="12"/>
        <v>49309</v>
      </c>
      <c r="P194" s="118">
        <f t="shared" si="13"/>
        <v>4</v>
      </c>
      <c r="Q194" s="119">
        <f t="shared" si="16"/>
        <v>66.6960166666667</v>
      </c>
      <c r="R194" s="119">
        <f t="shared" si="17"/>
        <v>0.0160166666666584</v>
      </c>
      <c r="S194" s="120" t="s">
        <v>106</v>
      </c>
      <c r="U194" s="67"/>
      <c r="V194" s="121"/>
      <c r="W194" s="122"/>
      <c r="X194" s="63"/>
      <c r="Y194" s="63"/>
      <c r="Z194" s="63"/>
      <c r="AA194" s="63"/>
    </row>
    <row r="195" s="59" customFormat="1" ht="16.5" outlineLevel="7" spans="1:27">
      <c r="A195" s="79"/>
      <c r="B195" s="123" t="s">
        <v>192</v>
      </c>
      <c r="C195" s="124">
        <v>400119</v>
      </c>
      <c r="D195" s="125" t="s">
        <v>482</v>
      </c>
      <c r="E195" s="126">
        <v>45657</v>
      </c>
      <c r="F195" s="111">
        <v>120</v>
      </c>
      <c r="G195" s="127">
        <v>0.05</v>
      </c>
      <c r="H195" s="128">
        <v>2106.2</v>
      </c>
      <c r="I195" s="113">
        <v>266.72</v>
      </c>
      <c r="J195" s="113">
        <v>0</v>
      </c>
      <c r="K195" s="114">
        <f t="shared" si="11"/>
        <v>1839.48</v>
      </c>
      <c r="L195" s="128">
        <v>66.68</v>
      </c>
      <c r="M195" s="115"/>
      <c r="N195" s="116"/>
      <c r="O195" s="117">
        <f t="shared" si="12"/>
        <v>49309</v>
      </c>
      <c r="P195" s="118">
        <f t="shared" si="13"/>
        <v>4</v>
      </c>
      <c r="Q195" s="119">
        <f t="shared" si="16"/>
        <v>66.6963333333333</v>
      </c>
      <c r="R195" s="119">
        <f t="shared" si="17"/>
        <v>0.0163333333333213</v>
      </c>
      <c r="S195" s="120" t="s">
        <v>106</v>
      </c>
      <c r="U195" s="67"/>
      <c r="V195" s="121"/>
      <c r="W195" s="122"/>
      <c r="X195" s="63"/>
      <c r="Y195" s="63"/>
      <c r="Z195" s="63"/>
      <c r="AA195" s="63"/>
    </row>
    <row r="196" s="59" customFormat="1" ht="16.5" outlineLevel="7" spans="1:27">
      <c r="A196" s="79"/>
      <c r="B196" s="123" t="s">
        <v>192</v>
      </c>
      <c r="C196" s="124">
        <v>400120</v>
      </c>
      <c r="D196" s="125" t="s">
        <v>484</v>
      </c>
      <c r="E196" s="126">
        <v>45657</v>
      </c>
      <c r="F196" s="111">
        <v>120</v>
      </c>
      <c r="G196" s="127">
        <v>0.05</v>
      </c>
      <c r="H196" s="128">
        <v>5061.95</v>
      </c>
      <c r="I196" s="113">
        <v>641.12</v>
      </c>
      <c r="J196" s="113">
        <v>0</v>
      </c>
      <c r="K196" s="114">
        <f t="shared" si="11"/>
        <v>4420.83</v>
      </c>
      <c r="L196" s="128">
        <v>160.28</v>
      </c>
      <c r="M196" s="115"/>
      <c r="N196" s="116"/>
      <c r="O196" s="117">
        <f t="shared" si="12"/>
        <v>49309</v>
      </c>
      <c r="P196" s="118">
        <f t="shared" si="13"/>
        <v>4</v>
      </c>
      <c r="Q196" s="119">
        <f t="shared" si="16"/>
        <v>160.295083333333</v>
      </c>
      <c r="R196" s="119">
        <f t="shared" si="17"/>
        <v>0.0150833333333367</v>
      </c>
      <c r="S196" s="120" t="s">
        <v>106</v>
      </c>
      <c r="U196" s="67"/>
      <c r="V196" s="121"/>
      <c r="W196" s="122"/>
      <c r="X196" s="63"/>
      <c r="Y196" s="63"/>
      <c r="Z196" s="63"/>
      <c r="AA196" s="63"/>
    </row>
    <row r="197" s="59" customFormat="1" ht="16.5" outlineLevel="7" spans="1:27">
      <c r="A197" s="79"/>
      <c r="B197" s="123" t="s">
        <v>192</v>
      </c>
      <c r="C197" s="124">
        <v>400121</v>
      </c>
      <c r="D197" s="125" t="s">
        <v>484</v>
      </c>
      <c r="E197" s="126">
        <v>45657</v>
      </c>
      <c r="F197" s="111">
        <v>120</v>
      </c>
      <c r="G197" s="127">
        <v>0.05</v>
      </c>
      <c r="H197" s="128">
        <v>5061.94</v>
      </c>
      <c r="I197" s="113">
        <v>641.12</v>
      </c>
      <c r="J197" s="113">
        <v>0</v>
      </c>
      <c r="K197" s="114">
        <f t="shared" si="11"/>
        <v>4420.82</v>
      </c>
      <c r="L197" s="128">
        <v>160.28</v>
      </c>
      <c r="M197" s="115"/>
      <c r="N197" s="116"/>
      <c r="O197" s="117">
        <f t="shared" si="12"/>
        <v>49309</v>
      </c>
      <c r="P197" s="118">
        <f t="shared" si="13"/>
        <v>4</v>
      </c>
      <c r="Q197" s="119">
        <f t="shared" si="16"/>
        <v>160.294766666667</v>
      </c>
      <c r="R197" s="119">
        <f t="shared" si="17"/>
        <v>0.0147666666666737</v>
      </c>
      <c r="S197" s="120" t="s">
        <v>106</v>
      </c>
      <c r="U197" s="67"/>
      <c r="V197" s="121"/>
      <c r="W197" s="122"/>
      <c r="X197" s="63"/>
      <c r="Y197" s="63"/>
      <c r="Z197" s="63"/>
      <c r="AA197" s="63"/>
    </row>
    <row r="198" s="59" customFormat="1" ht="16.5" outlineLevel="7" spans="1:27">
      <c r="A198" s="79"/>
      <c r="B198" s="123" t="s">
        <v>192</v>
      </c>
      <c r="C198" s="124">
        <v>400122</v>
      </c>
      <c r="D198" s="125" t="s">
        <v>486</v>
      </c>
      <c r="E198" s="126">
        <v>45657</v>
      </c>
      <c r="F198" s="111">
        <v>120</v>
      </c>
      <c r="G198" s="127">
        <v>0.05</v>
      </c>
      <c r="H198" s="128">
        <v>485122.72</v>
      </c>
      <c r="I198" s="113">
        <v>61448.86</v>
      </c>
      <c r="J198" s="113">
        <v>0</v>
      </c>
      <c r="K198" s="114">
        <f t="shared" si="11"/>
        <v>423673.86</v>
      </c>
      <c r="L198" s="128">
        <v>15362.22</v>
      </c>
      <c r="M198" s="115"/>
      <c r="N198" s="116"/>
      <c r="O198" s="117">
        <f t="shared" si="12"/>
        <v>49309</v>
      </c>
      <c r="P198" s="118">
        <f t="shared" si="13"/>
        <v>4</v>
      </c>
      <c r="Q198" s="119">
        <f t="shared" si="16"/>
        <v>15362.2194666667</v>
      </c>
      <c r="R198" s="119">
        <f t="shared" si="17"/>
        <v>-0.000533333333805786</v>
      </c>
      <c r="S198" s="120" t="s">
        <v>106</v>
      </c>
      <c r="U198" s="67"/>
      <c r="V198" s="121"/>
      <c r="W198" s="122"/>
      <c r="X198" s="63"/>
      <c r="Y198" s="63"/>
      <c r="Z198" s="63"/>
      <c r="AA198" s="63"/>
    </row>
    <row r="199" s="59" customFormat="1" ht="16.5" outlineLevel="7" spans="1:27">
      <c r="A199" s="79"/>
      <c r="B199" s="123" t="s">
        <v>192</v>
      </c>
      <c r="C199" s="124">
        <v>400123</v>
      </c>
      <c r="D199" s="125" t="s">
        <v>488</v>
      </c>
      <c r="E199" s="126">
        <v>45657</v>
      </c>
      <c r="F199" s="111">
        <v>120</v>
      </c>
      <c r="G199" s="127">
        <v>0.05</v>
      </c>
      <c r="H199" s="128">
        <v>15858853.15</v>
      </c>
      <c r="I199" s="113">
        <v>2008788</v>
      </c>
      <c r="J199" s="113">
        <v>0</v>
      </c>
      <c r="K199" s="114">
        <f t="shared" si="11"/>
        <v>13850065.15</v>
      </c>
      <c r="L199" s="128">
        <v>502197</v>
      </c>
      <c r="M199" s="115"/>
      <c r="N199" s="116"/>
      <c r="O199" s="117">
        <f t="shared" si="12"/>
        <v>49309</v>
      </c>
      <c r="P199" s="118">
        <f t="shared" si="13"/>
        <v>4</v>
      </c>
      <c r="Q199" s="119">
        <f t="shared" si="16"/>
        <v>502197.016416667</v>
      </c>
      <c r="R199" s="119">
        <f t="shared" si="17"/>
        <v>0.0164166666800156</v>
      </c>
      <c r="S199" s="120" t="s">
        <v>106</v>
      </c>
      <c r="U199" s="67"/>
      <c r="V199" s="121"/>
      <c r="W199" s="122"/>
      <c r="X199" s="63"/>
      <c r="Y199" s="63"/>
      <c r="Z199" s="63"/>
      <c r="AA199" s="63"/>
    </row>
    <row r="200" s="59" customFormat="1" ht="16.5" outlineLevel="7" spans="1:27">
      <c r="A200" s="79"/>
      <c r="B200" s="107" t="s">
        <v>192</v>
      </c>
      <c r="C200" s="108">
        <v>400124</v>
      </c>
      <c r="D200" s="109" t="s">
        <v>489</v>
      </c>
      <c r="E200" s="110">
        <v>45657</v>
      </c>
      <c r="F200" s="111">
        <v>120</v>
      </c>
      <c r="G200" s="112">
        <v>0.05</v>
      </c>
      <c r="H200" s="113">
        <v>3328524.9</v>
      </c>
      <c r="I200" s="113">
        <v>421613.12</v>
      </c>
      <c r="J200" s="113">
        <v>0</v>
      </c>
      <c r="K200" s="114">
        <f t="shared" si="11"/>
        <v>2906911.78</v>
      </c>
      <c r="L200" s="113">
        <v>105403.28</v>
      </c>
      <c r="M200" s="115"/>
      <c r="N200" s="116"/>
      <c r="O200" s="117">
        <f t="shared" si="12"/>
        <v>49309</v>
      </c>
      <c r="P200" s="118">
        <f t="shared" si="13"/>
        <v>4</v>
      </c>
      <c r="Q200" s="119">
        <f t="shared" si="16"/>
        <v>105403.2885</v>
      </c>
      <c r="R200" s="119">
        <f t="shared" si="17"/>
        <v>0.00849999999627471</v>
      </c>
      <c r="S200" s="120" t="s">
        <v>106</v>
      </c>
      <c r="U200" s="67"/>
      <c r="V200" s="121"/>
      <c r="W200" s="122"/>
      <c r="X200" s="63"/>
      <c r="Y200" s="63"/>
      <c r="Z200" s="63"/>
      <c r="AA200" s="63"/>
    </row>
    <row r="201" s="59" customFormat="1" ht="16.5" outlineLevel="7" spans="1:27">
      <c r="A201" s="79"/>
      <c r="B201" s="107" t="s">
        <v>192</v>
      </c>
      <c r="C201" s="108">
        <v>400125</v>
      </c>
      <c r="D201" s="109" t="s">
        <v>490</v>
      </c>
      <c r="E201" s="110">
        <v>45657</v>
      </c>
      <c r="F201" s="111">
        <v>120</v>
      </c>
      <c r="G201" s="112">
        <v>0.05</v>
      </c>
      <c r="H201" s="113">
        <v>4932751.87</v>
      </c>
      <c r="I201" s="113">
        <v>624815.2</v>
      </c>
      <c r="J201" s="113">
        <v>0</v>
      </c>
      <c r="K201" s="114">
        <f t="shared" ref="K201:K264" si="18">H201-I201-J201</f>
        <v>4307936.67</v>
      </c>
      <c r="L201" s="113">
        <v>156203.8</v>
      </c>
      <c r="M201" s="115"/>
      <c r="N201" s="116"/>
      <c r="O201" s="117">
        <f t="shared" ref="O201:O264" si="19">IFERROR(EOMONTH(E201,F201),"")</f>
        <v>49309</v>
      </c>
      <c r="P201" s="118">
        <f t="shared" ref="P201:P264" si="20">IFERROR(IF(OR(AND(M201&lt;&gt;"",YEAR(M201)&lt;YEAR($L$6)),AND(O201&lt;&gt;"",YEAR(O201)&lt;YEAR($L$6))),0,IF(YEAR(E201)&gt;YEAR($L$6),0,IF(OR((IF(YEAR(E201)&lt;YEAR($L$6),1,IF(MONTH(E201)=12,99,MONTH(E201)+1))&gt;12),(IF(YEAR(E201)&lt;YEAR($L$6),1,IF(MONTH(E201)=12,99,MONTH(E201)+1))&gt;MIN(MONTH($L$6),IF(AND(M201&lt;&gt;"",YEAR(M201)=YEAR($L$6)),MONTH(M201),99),IF(AND(O201&lt;&gt;"",YEAR(O201)=YEAR($L$6)),MONTH(O201),99)))),0,MIN(MONTH($L$6),IF(AND(M201&lt;&gt;"",YEAR(M201)=YEAR($L$6)),MONTH(M201),99),IF(AND(O201&lt;&gt;"",YEAR(O201)=YEAR($L$6)),MONTH(O201),99))-IF(YEAR(E201)&lt;YEAR($L$6),1,IF(MONTH(E201)=12,99,MONTH(E201)+1))+1))),0)</f>
        <v>4</v>
      </c>
      <c r="Q201" s="119">
        <f t="shared" si="16"/>
        <v>156203.809216667</v>
      </c>
      <c r="R201" s="119">
        <f t="shared" si="17"/>
        <v>0.00921666665817611</v>
      </c>
      <c r="S201" s="120" t="s">
        <v>106</v>
      </c>
      <c r="U201" s="67"/>
      <c r="V201" s="121"/>
      <c r="W201" s="122"/>
      <c r="X201" s="63"/>
      <c r="Y201" s="63"/>
      <c r="Z201" s="63"/>
      <c r="AA201" s="63"/>
    </row>
    <row r="202" s="59" customFormat="1" ht="16.5" outlineLevel="7" spans="1:27">
      <c r="A202" s="79"/>
      <c r="B202" s="123" t="s">
        <v>192</v>
      </c>
      <c r="C202" s="124">
        <v>400126</v>
      </c>
      <c r="D202" s="125" t="s">
        <v>491</v>
      </c>
      <c r="E202" s="126">
        <v>45657</v>
      </c>
      <c r="F202" s="111">
        <v>120</v>
      </c>
      <c r="G202" s="127">
        <v>0.05</v>
      </c>
      <c r="H202" s="128">
        <v>187824.68</v>
      </c>
      <c r="I202" s="113">
        <v>23791.17</v>
      </c>
      <c r="J202" s="113">
        <v>0</v>
      </c>
      <c r="K202" s="114">
        <f t="shared" si="18"/>
        <v>164033.51</v>
      </c>
      <c r="L202" s="128">
        <v>5947.78</v>
      </c>
      <c r="M202" s="115"/>
      <c r="N202" s="116"/>
      <c r="O202" s="117">
        <f t="shared" si="19"/>
        <v>49309</v>
      </c>
      <c r="P202" s="118">
        <f t="shared" si="20"/>
        <v>4</v>
      </c>
      <c r="Q202" s="119">
        <f t="shared" si="16"/>
        <v>5947.78153333333</v>
      </c>
      <c r="R202" s="119">
        <f t="shared" si="17"/>
        <v>0.00153333333310002</v>
      </c>
      <c r="S202" s="120" t="s">
        <v>106</v>
      </c>
      <c r="U202" s="67"/>
      <c r="V202" s="121"/>
      <c r="W202" s="122"/>
      <c r="X202" s="63"/>
      <c r="Y202" s="63"/>
      <c r="Z202" s="63"/>
      <c r="AA202" s="63"/>
    </row>
    <row r="203" s="59" customFormat="1" ht="16.5" outlineLevel="7" spans="1:27">
      <c r="A203" s="79"/>
      <c r="B203" s="123" t="s">
        <v>192</v>
      </c>
      <c r="C203" s="124">
        <v>400127</v>
      </c>
      <c r="D203" s="125" t="s">
        <v>493</v>
      </c>
      <c r="E203" s="126">
        <v>45657</v>
      </c>
      <c r="F203" s="111">
        <v>36</v>
      </c>
      <c r="G203" s="127">
        <v>0.05</v>
      </c>
      <c r="H203" s="128">
        <v>3805.31</v>
      </c>
      <c r="I203" s="113">
        <v>1606.72</v>
      </c>
      <c r="J203" s="113">
        <v>0</v>
      </c>
      <c r="K203" s="114">
        <f t="shared" si="18"/>
        <v>2198.59</v>
      </c>
      <c r="L203" s="128">
        <v>401.68</v>
      </c>
      <c r="M203" s="115"/>
      <c r="N203" s="116"/>
      <c r="O203" s="117">
        <f t="shared" si="19"/>
        <v>46752</v>
      </c>
      <c r="P203" s="118">
        <f t="shared" si="20"/>
        <v>4</v>
      </c>
      <c r="Q203" s="119">
        <f t="shared" si="16"/>
        <v>401.671611111111</v>
      </c>
      <c r="R203" s="119">
        <f t="shared" si="17"/>
        <v>-0.00838888888887368</v>
      </c>
      <c r="S203" s="120" t="s">
        <v>106</v>
      </c>
      <c r="U203" s="67"/>
      <c r="V203" s="121"/>
      <c r="W203" s="122"/>
      <c r="X203" s="63"/>
      <c r="Y203" s="63"/>
      <c r="Z203" s="63"/>
      <c r="AA203" s="63"/>
    </row>
    <row r="204" s="59" customFormat="1" ht="16.5" outlineLevel="7" spans="1:27">
      <c r="A204" s="79"/>
      <c r="B204" s="123" t="s">
        <v>192</v>
      </c>
      <c r="C204" s="124">
        <v>400128</v>
      </c>
      <c r="D204" s="125" t="s">
        <v>493</v>
      </c>
      <c r="E204" s="126">
        <v>45657</v>
      </c>
      <c r="F204" s="111">
        <v>36</v>
      </c>
      <c r="G204" s="127">
        <v>0.05</v>
      </c>
      <c r="H204" s="128">
        <v>3805.31</v>
      </c>
      <c r="I204" s="113">
        <v>1606.72</v>
      </c>
      <c r="J204" s="113">
        <v>0</v>
      </c>
      <c r="K204" s="114">
        <f t="shared" si="18"/>
        <v>2198.59</v>
      </c>
      <c r="L204" s="128">
        <v>401.68</v>
      </c>
      <c r="M204" s="115"/>
      <c r="N204" s="116"/>
      <c r="O204" s="117">
        <f t="shared" si="19"/>
        <v>46752</v>
      </c>
      <c r="P204" s="118">
        <f t="shared" si="20"/>
        <v>4</v>
      </c>
      <c r="Q204" s="119">
        <f t="shared" si="16"/>
        <v>401.671611111111</v>
      </c>
      <c r="R204" s="119">
        <f t="shared" si="17"/>
        <v>-0.00838888888887368</v>
      </c>
      <c r="S204" s="120" t="s">
        <v>106</v>
      </c>
      <c r="U204" s="67"/>
      <c r="V204" s="121"/>
      <c r="W204" s="122"/>
      <c r="X204" s="63"/>
      <c r="Y204" s="63"/>
      <c r="Z204" s="63"/>
      <c r="AA204" s="63"/>
    </row>
    <row r="205" s="59" customFormat="1" ht="16.5" outlineLevel="7" spans="1:27">
      <c r="A205" s="79"/>
      <c r="B205" s="123" t="s">
        <v>192</v>
      </c>
      <c r="C205" s="124">
        <v>400129</v>
      </c>
      <c r="D205" s="125" t="s">
        <v>493</v>
      </c>
      <c r="E205" s="126">
        <v>45657</v>
      </c>
      <c r="F205" s="111">
        <v>36</v>
      </c>
      <c r="G205" s="127">
        <v>0.05</v>
      </c>
      <c r="H205" s="128">
        <v>3805.31</v>
      </c>
      <c r="I205" s="113">
        <v>1606.72</v>
      </c>
      <c r="J205" s="113">
        <v>0</v>
      </c>
      <c r="K205" s="114">
        <f t="shared" si="18"/>
        <v>2198.59</v>
      </c>
      <c r="L205" s="128">
        <v>401.68</v>
      </c>
      <c r="M205" s="115"/>
      <c r="N205" s="116"/>
      <c r="O205" s="117">
        <f t="shared" si="19"/>
        <v>46752</v>
      </c>
      <c r="P205" s="118">
        <f t="shared" si="20"/>
        <v>4</v>
      </c>
      <c r="Q205" s="119">
        <f t="shared" si="16"/>
        <v>401.671611111111</v>
      </c>
      <c r="R205" s="119">
        <f t="shared" si="17"/>
        <v>-0.00838888888887368</v>
      </c>
      <c r="S205" s="120" t="s">
        <v>106</v>
      </c>
      <c r="U205" s="67"/>
      <c r="V205" s="121"/>
      <c r="W205" s="122"/>
      <c r="X205" s="63"/>
      <c r="Y205" s="63"/>
      <c r="Z205" s="63"/>
      <c r="AA205" s="63"/>
    </row>
    <row r="206" s="59" customFormat="1" ht="16.5" outlineLevel="7" spans="1:27">
      <c r="A206" s="79"/>
      <c r="B206" s="123" t="s">
        <v>192</v>
      </c>
      <c r="C206" s="124">
        <v>400130</v>
      </c>
      <c r="D206" s="125" t="s">
        <v>493</v>
      </c>
      <c r="E206" s="126">
        <v>45657</v>
      </c>
      <c r="F206" s="111">
        <v>36</v>
      </c>
      <c r="G206" s="127">
        <v>0.05</v>
      </c>
      <c r="H206" s="128">
        <v>3805.31</v>
      </c>
      <c r="I206" s="113">
        <v>1606.72</v>
      </c>
      <c r="J206" s="113">
        <v>0</v>
      </c>
      <c r="K206" s="114">
        <f t="shared" si="18"/>
        <v>2198.59</v>
      </c>
      <c r="L206" s="128">
        <v>401.68</v>
      </c>
      <c r="M206" s="115"/>
      <c r="N206" s="116"/>
      <c r="O206" s="117">
        <f t="shared" si="19"/>
        <v>46752</v>
      </c>
      <c r="P206" s="118">
        <f t="shared" si="20"/>
        <v>4</v>
      </c>
      <c r="Q206" s="119">
        <f t="shared" si="16"/>
        <v>401.671611111111</v>
      </c>
      <c r="R206" s="119">
        <f t="shared" si="17"/>
        <v>-0.00838888888887368</v>
      </c>
      <c r="S206" s="120" t="s">
        <v>106</v>
      </c>
      <c r="U206" s="67"/>
      <c r="V206" s="121"/>
      <c r="W206" s="122"/>
      <c r="X206" s="63"/>
      <c r="Y206" s="63"/>
      <c r="Z206" s="63"/>
      <c r="AA206" s="63"/>
    </row>
    <row r="207" s="59" customFormat="1" ht="16.5" outlineLevel="7" spans="1:27">
      <c r="A207" s="79"/>
      <c r="B207" s="107" t="s">
        <v>192</v>
      </c>
      <c r="C207" s="108">
        <v>400131</v>
      </c>
      <c r="D207" s="109" t="s">
        <v>495</v>
      </c>
      <c r="E207" s="110">
        <v>45657</v>
      </c>
      <c r="F207" s="111">
        <v>120</v>
      </c>
      <c r="G207" s="112">
        <v>0.05</v>
      </c>
      <c r="H207" s="113">
        <v>2600</v>
      </c>
      <c r="I207" s="113">
        <v>329.28</v>
      </c>
      <c r="J207" s="113">
        <v>0</v>
      </c>
      <c r="K207" s="114">
        <f t="shared" si="18"/>
        <v>2270.72</v>
      </c>
      <c r="L207" s="113">
        <v>82.32</v>
      </c>
      <c r="M207" s="115"/>
      <c r="N207" s="116"/>
      <c r="O207" s="117">
        <f t="shared" si="19"/>
        <v>49309</v>
      </c>
      <c r="P207" s="118">
        <f t="shared" si="20"/>
        <v>4</v>
      </c>
      <c r="Q207" s="119">
        <f t="shared" si="16"/>
        <v>82.3333333333333</v>
      </c>
      <c r="R207" s="119">
        <f t="shared" si="17"/>
        <v>0.0133333333333354</v>
      </c>
      <c r="S207" s="120" t="s">
        <v>106</v>
      </c>
      <c r="U207" s="67"/>
      <c r="V207" s="121"/>
      <c r="W207" s="122"/>
      <c r="X207" s="63"/>
      <c r="Y207" s="63"/>
      <c r="Z207" s="63"/>
      <c r="AA207" s="63"/>
    </row>
    <row r="208" s="59" customFormat="1" ht="16.5" outlineLevel="7" spans="1:27">
      <c r="A208" s="79"/>
      <c r="B208" s="107" t="s">
        <v>192</v>
      </c>
      <c r="C208" s="108">
        <v>400132</v>
      </c>
      <c r="D208" s="109" t="s">
        <v>496</v>
      </c>
      <c r="E208" s="110">
        <v>45657</v>
      </c>
      <c r="F208" s="111">
        <v>120</v>
      </c>
      <c r="G208" s="112">
        <v>0.05</v>
      </c>
      <c r="H208" s="113">
        <v>3480</v>
      </c>
      <c r="I208" s="113">
        <v>440.8</v>
      </c>
      <c r="J208" s="113">
        <v>0</v>
      </c>
      <c r="K208" s="114">
        <f t="shared" si="18"/>
        <v>3039.2</v>
      </c>
      <c r="L208" s="113">
        <v>110.2</v>
      </c>
      <c r="M208" s="115"/>
      <c r="N208" s="116"/>
      <c r="O208" s="117">
        <f t="shared" si="19"/>
        <v>49309</v>
      </c>
      <c r="P208" s="118">
        <f t="shared" si="20"/>
        <v>4</v>
      </c>
      <c r="Q208" s="119">
        <f t="shared" si="16"/>
        <v>110.2</v>
      </c>
      <c r="R208" s="119">
        <f t="shared" si="17"/>
        <v>0</v>
      </c>
      <c r="S208" s="120" t="s">
        <v>106</v>
      </c>
      <c r="U208" s="67"/>
      <c r="V208" s="121"/>
      <c r="W208" s="122"/>
      <c r="X208" s="63"/>
      <c r="Y208" s="63"/>
      <c r="Z208" s="63"/>
      <c r="AA208" s="63"/>
    </row>
    <row r="209" s="59" customFormat="1" ht="16.5" outlineLevel="7" spans="1:27">
      <c r="A209" s="79"/>
      <c r="B209" s="123" t="s">
        <v>192</v>
      </c>
      <c r="C209" s="124">
        <v>400133</v>
      </c>
      <c r="D209" s="125" t="s">
        <v>497</v>
      </c>
      <c r="E209" s="126">
        <v>45657</v>
      </c>
      <c r="F209" s="111">
        <v>120</v>
      </c>
      <c r="G209" s="127">
        <v>0.05</v>
      </c>
      <c r="H209" s="128">
        <v>2700</v>
      </c>
      <c r="I209" s="113">
        <v>342</v>
      </c>
      <c r="J209" s="113">
        <v>0</v>
      </c>
      <c r="K209" s="114">
        <f t="shared" si="18"/>
        <v>2358</v>
      </c>
      <c r="L209" s="128">
        <v>85.5</v>
      </c>
      <c r="M209" s="115"/>
      <c r="N209" s="116"/>
      <c r="O209" s="117">
        <f t="shared" si="19"/>
        <v>49309</v>
      </c>
      <c r="P209" s="118">
        <f t="shared" si="20"/>
        <v>4</v>
      </c>
      <c r="Q209" s="119">
        <f t="shared" si="16"/>
        <v>85.5</v>
      </c>
      <c r="R209" s="119">
        <f t="shared" si="17"/>
        <v>0</v>
      </c>
      <c r="S209" s="120" t="s">
        <v>106</v>
      </c>
      <c r="U209" s="67"/>
      <c r="V209" s="121"/>
      <c r="W209" s="122"/>
      <c r="X209" s="63"/>
      <c r="Y209" s="63"/>
      <c r="Z209" s="63"/>
      <c r="AA209" s="63"/>
    </row>
    <row r="210" s="59" customFormat="1" ht="16.5" outlineLevel="7" spans="1:27">
      <c r="A210" s="79"/>
      <c r="B210" s="123" t="s">
        <v>192</v>
      </c>
      <c r="C210" s="124">
        <v>400135</v>
      </c>
      <c r="D210" s="125" t="s">
        <v>499</v>
      </c>
      <c r="E210" s="126">
        <v>45657</v>
      </c>
      <c r="F210" s="111">
        <v>120</v>
      </c>
      <c r="G210" s="127">
        <v>0.05</v>
      </c>
      <c r="H210" s="128">
        <v>1467770.85</v>
      </c>
      <c r="I210" s="113">
        <v>185917.6</v>
      </c>
      <c r="J210" s="113">
        <v>0</v>
      </c>
      <c r="K210" s="114">
        <f t="shared" si="18"/>
        <v>1281853.25</v>
      </c>
      <c r="L210" s="128">
        <v>46479.4</v>
      </c>
      <c r="M210" s="115"/>
      <c r="N210" s="116"/>
      <c r="O210" s="117">
        <f t="shared" si="19"/>
        <v>49309</v>
      </c>
      <c r="P210" s="118">
        <f t="shared" si="20"/>
        <v>4</v>
      </c>
      <c r="Q210" s="119">
        <f t="shared" si="16"/>
        <v>46479.41025</v>
      </c>
      <c r="R210" s="119">
        <f t="shared" si="17"/>
        <v>0.0102499999993597</v>
      </c>
      <c r="S210" s="120" t="s">
        <v>106</v>
      </c>
      <c r="U210" s="67"/>
      <c r="V210" s="121"/>
      <c r="W210" s="122"/>
      <c r="X210" s="63"/>
      <c r="Y210" s="63"/>
      <c r="Z210" s="63"/>
      <c r="AA210" s="63"/>
    </row>
    <row r="211" s="59" customFormat="1" ht="16.5" outlineLevel="7" spans="1:27">
      <c r="A211" s="79"/>
      <c r="B211" s="123" t="s">
        <v>192</v>
      </c>
      <c r="C211" s="124">
        <v>400136</v>
      </c>
      <c r="D211" s="125" t="s">
        <v>500</v>
      </c>
      <c r="E211" s="126">
        <v>45657</v>
      </c>
      <c r="F211" s="111">
        <v>120</v>
      </c>
      <c r="G211" s="127">
        <v>0.05</v>
      </c>
      <c r="H211" s="128">
        <v>640000</v>
      </c>
      <c r="I211" s="113">
        <v>81066.72</v>
      </c>
      <c r="J211" s="113">
        <v>0</v>
      </c>
      <c r="K211" s="114">
        <f t="shared" si="18"/>
        <v>558933.28</v>
      </c>
      <c r="L211" s="128">
        <v>20266.68</v>
      </c>
      <c r="M211" s="115"/>
      <c r="N211" s="116"/>
      <c r="O211" s="117">
        <f t="shared" si="19"/>
        <v>49309</v>
      </c>
      <c r="P211" s="118">
        <f t="shared" si="20"/>
        <v>4</v>
      </c>
      <c r="Q211" s="119">
        <f t="shared" si="16"/>
        <v>20266.6666666667</v>
      </c>
      <c r="R211" s="119">
        <f t="shared" si="17"/>
        <v>-0.0133333333324117</v>
      </c>
      <c r="S211" s="120" t="s">
        <v>106</v>
      </c>
      <c r="U211" s="67"/>
      <c r="V211" s="121"/>
      <c r="W211" s="122"/>
      <c r="X211" s="63"/>
      <c r="Y211" s="63"/>
      <c r="Z211" s="63"/>
      <c r="AA211" s="63"/>
    </row>
    <row r="212" s="59" customFormat="1" ht="16.5" outlineLevel="7" spans="1:27">
      <c r="A212" s="79"/>
      <c r="B212" s="123" t="s">
        <v>192</v>
      </c>
      <c r="C212" s="124">
        <v>400137</v>
      </c>
      <c r="D212" s="125" t="s">
        <v>502</v>
      </c>
      <c r="E212" s="126">
        <v>45657</v>
      </c>
      <c r="F212" s="111">
        <v>120</v>
      </c>
      <c r="G212" s="127">
        <v>0.05</v>
      </c>
      <c r="H212" s="128">
        <v>700000</v>
      </c>
      <c r="I212" s="113">
        <v>88666.72</v>
      </c>
      <c r="J212" s="113">
        <v>0</v>
      </c>
      <c r="K212" s="114">
        <f t="shared" si="18"/>
        <v>611333.28</v>
      </c>
      <c r="L212" s="128">
        <v>22166.68</v>
      </c>
      <c r="M212" s="115"/>
      <c r="N212" s="116"/>
      <c r="O212" s="117">
        <f t="shared" si="19"/>
        <v>49309</v>
      </c>
      <c r="P212" s="118">
        <f t="shared" si="20"/>
        <v>4</v>
      </c>
      <c r="Q212" s="119">
        <f t="shared" si="16"/>
        <v>22166.6666666667</v>
      </c>
      <c r="R212" s="119">
        <f t="shared" si="17"/>
        <v>-0.0133333333324117</v>
      </c>
      <c r="S212" s="120" t="s">
        <v>106</v>
      </c>
      <c r="U212" s="67"/>
      <c r="V212" s="121"/>
      <c r="W212" s="122"/>
      <c r="X212" s="63"/>
      <c r="Y212" s="63"/>
      <c r="Z212" s="63"/>
      <c r="AA212" s="63"/>
    </row>
    <row r="213" s="59" customFormat="1" ht="16.5" outlineLevel="7" spans="1:27">
      <c r="A213" s="79"/>
      <c r="B213" s="123" t="s">
        <v>192</v>
      </c>
      <c r="C213" s="124">
        <v>400138</v>
      </c>
      <c r="D213" s="125" t="s">
        <v>504</v>
      </c>
      <c r="E213" s="126">
        <v>45657</v>
      </c>
      <c r="F213" s="111">
        <v>120</v>
      </c>
      <c r="G213" s="127">
        <v>0.05</v>
      </c>
      <c r="H213" s="128">
        <v>20000</v>
      </c>
      <c r="I213" s="113">
        <v>2533.28</v>
      </c>
      <c r="J213" s="113">
        <v>0</v>
      </c>
      <c r="K213" s="114">
        <f t="shared" si="18"/>
        <v>17466.72</v>
      </c>
      <c r="L213" s="128">
        <v>633.32</v>
      </c>
      <c r="M213" s="115"/>
      <c r="N213" s="116"/>
      <c r="O213" s="117">
        <f t="shared" si="19"/>
        <v>49309</v>
      </c>
      <c r="P213" s="118">
        <f t="shared" si="20"/>
        <v>4</v>
      </c>
      <c r="Q213" s="119">
        <f t="shared" si="16"/>
        <v>633.333333333333</v>
      </c>
      <c r="R213" s="119">
        <f t="shared" si="17"/>
        <v>0.0133333333333212</v>
      </c>
      <c r="S213" s="120" t="s">
        <v>106</v>
      </c>
      <c r="U213" s="67"/>
      <c r="V213" s="121"/>
      <c r="W213" s="122"/>
      <c r="X213" s="63"/>
      <c r="Y213" s="63"/>
      <c r="Z213" s="63"/>
      <c r="AA213" s="63"/>
    </row>
    <row r="214" s="59" customFormat="1" ht="16.5" outlineLevel="7" spans="1:27">
      <c r="A214" s="79"/>
      <c r="B214" s="107" t="s">
        <v>192</v>
      </c>
      <c r="C214" s="108">
        <v>400139</v>
      </c>
      <c r="D214" s="109" t="s">
        <v>504</v>
      </c>
      <c r="E214" s="110">
        <v>45657</v>
      </c>
      <c r="F214" s="111">
        <v>120</v>
      </c>
      <c r="G214" s="112">
        <v>0.05</v>
      </c>
      <c r="H214" s="113">
        <v>4600</v>
      </c>
      <c r="I214" s="113">
        <v>582.72</v>
      </c>
      <c r="J214" s="113">
        <v>0</v>
      </c>
      <c r="K214" s="114">
        <f t="shared" si="18"/>
        <v>4017.28</v>
      </c>
      <c r="L214" s="113">
        <v>145.68</v>
      </c>
      <c r="M214" s="115"/>
      <c r="N214" s="116"/>
      <c r="O214" s="117">
        <f t="shared" si="19"/>
        <v>49309</v>
      </c>
      <c r="P214" s="118">
        <f t="shared" si="20"/>
        <v>4</v>
      </c>
      <c r="Q214" s="119">
        <f t="shared" si="16"/>
        <v>145.666666666667</v>
      </c>
      <c r="R214" s="119">
        <f t="shared" si="17"/>
        <v>-0.0133333333333496</v>
      </c>
      <c r="S214" s="120" t="s">
        <v>106</v>
      </c>
      <c r="U214" s="67"/>
      <c r="V214" s="121"/>
      <c r="W214" s="122"/>
      <c r="X214" s="63"/>
      <c r="Y214" s="63"/>
      <c r="Z214" s="63"/>
      <c r="AA214" s="63"/>
    </row>
    <row r="215" s="59" customFormat="1" ht="16.5" outlineLevel="7" spans="1:27">
      <c r="A215" s="79"/>
      <c r="B215" s="107" t="s">
        <v>192</v>
      </c>
      <c r="C215" s="108">
        <v>400140</v>
      </c>
      <c r="D215" s="109" t="s">
        <v>504</v>
      </c>
      <c r="E215" s="110">
        <v>45657</v>
      </c>
      <c r="F215" s="111">
        <v>120</v>
      </c>
      <c r="G215" s="112">
        <v>0.05</v>
      </c>
      <c r="H215" s="113">
        <v>4600</v>
      </c>
      <c r="I215" s="113">
        <v>582.72</v>
      </c>
      <c r="J215" s="113">
        <v>0</v>
      </c>
      <c r="K215" s="114">
        <f t="shared" si="18"/>
        <v>4017.28</v>
      </c>
      <c r="L215" s="113">
        <v>145.68</v>
      </c>
      <c r="M215" s="115"/>
      <c r="N215" s="116"/>
      <c r="O215" s="117">
        <f t="shared" si="19"/>
        <v>49309</v>
      </c>
      <c r="P215" s="118">
        <f t="shared" si="20"/>
        <v>4</v>
      </c>
      <c r="Q215" s="119">
        <f t="shared" ref="Q215:Q278" si="21">IFERROR(IF(N215=0,(H215*(1-G215))/F215*P215,(N215*(1-G215))/F215*P215),0)</f>
        <v>145.666666666667</v>
      </c>
      <c r="R215" s="119">
        <f t="shared" ref="R215:R278" si="22">Q215-L215</f>
        <v>-0.0133333333333496</v>
      </c>
      <c r="S215" s="120" t="s">
        <v>106</v>
      </c>
      <c r="U215" s="67"/>
      <c r="V215" s="121"/>
      <c r="W215" s="122"/>
      <c r="X215" s="63"/>
      <c r="Y215" s="63"/>
      <c r="Z215" s="63"/>
      <c r="AA215" s="63"/>
    </row>
    <row r="216" s="59" customFormat="1" ht="16.5" outlineLevel="7" spans="1:27">
      <c r="A216" s="79"/>
      <c r="B216" s="123" t="s">
        <v>192</v>
      </c>
      <c r="C216" s="124">
        <v>400141</v>
      </c>
      <c r="D216" s="125" t="s">
        <v>504</v>
      </c>
      <c r="E216" s="126">
        <v>45657</v>
      </c>
      <c r="F216" s="111">
        <v>120</v>
      </c>
      <c r="G216" s="127">
        <v>0.05</v>
      </c>
      <c r="H216" s="128">
        <v>4600</v>
      </c>
      <c r="I216" s="113">
        <v>582.72</v>
      </c>
      <c r="J216" s="113">
        <v>0</v>
      </c>
      <c r="K216" s="114">
        <f t="shared" si="18"/>
        <v>4017.28</v>
      </c>
      <c r="L216" s="128">
        <v>145.68</v>
      </c>
      <c r="M216" s="115"/>
      <c r="N216" s="116"/>
      <c r="O216" s="117">
        <f t="shared" si="19"/>
        <v>49309</v>
      </c>
      <c r="P216" s="118">
        <f t="shared" si="20"/>
        <v>4</v>
      </c>
      <c r="Q216" s="119">
        <f t="shared" si="21"/>
        <v>145.666666666667</v>
      </c>
      <c r="R216" s="119">
        <f t="shared" si="22"/>
        <v>-0.0133333333333496</v>
      </c>
      <c r="S216" s="120" t="s">
        <v>106</v>
      </c>
      <c r="U216" s="67"/>
      <c r="V216" s="121"/>
      <c r="W216" s="122"/>
      <c r="X216" s="63"/>
      <c r="Y216" s="63"/>
      <c r="Z216" s="63"/>
      <c r="AA216" s="63"/>
    </row>
    <row r="217" s="59" customFormat="1" ht="16.5" outlineLevel="7" spans="1:27">
      <c r="A217" s="79"/>
      <c r="B217" s="123" t="s">
        <v>192</v>
      </c>
      <c r="C217" s="124">
        <v>400142</v>
      </c>
      <c r="D217" s="125" t="s">
        <v>504</v>
      </c>
      <c r="E217" s="126">
        <v>45657</v>
      </c>
      <c r="F217" s="111">
        <v>120</v>
      </c>
      <c r="G217" s="127">
        <v>0.05</v>
      </c>
      <c r="H217" s="128">
        <v>4600</v>
      </c>
      <c r="I217" s="113">
        <v>582.72</v>
      </c>
      <c r="J217" s="113">
        <v>0</v>
      </c>
      <c r="K217" s="114">
        <f t="shared" si="18"/>
        <v>4017.28</v>
      </c>
      <c r="L217" s="128">
        <v>145.68</v>
      </c>
      <c r="M217" s="115"/>
      <c r="N217" s="116"/>
      <c r="O217" s="117">
        <f t="shared" si="19"/>
        <v>49309</v>
      </c>
      <c r="P217" s="118">
        <f t="shared" si="20"/>
        <v>4</v>
      </c>
      <c r="Q217" s="119">
        <f t="shared" si="21"/>
        <v>145.666666666667</v>
      </c>
      <c r="R217" s="119">
        <f t="shared" si="22"/>
        <v>-0.0133333333333496</v>
      </c>
      <c r="S217" s="120" t="s">
        <v>106</v>
      </c>
      <c r="U217" s="67"/>
      <c r="V217" s="121"/>
      <c r="W217" s="122"/>
      <c r="X217" s="63"/>
      <c r="Y217" s="63"/>
      <c r="Z217" s="63"/>
      <c r="AA217" s="63"/>
    </row>
    <row r="218" s="59" customFormat="1" ht="16.5" outlineLevel="7" spans="1:27">
      <c r="A218" s="79"/>
      <c r="B218" s="123" t="s">
        <v>192</v>
      </c>
      <c r="C218" s="124">
        <v>400143</v>
      </c>
      <c r="D218" s="125" t="s">
        <v>504</v>
      </c>
      <c r="E218" s="126">
        <v>45657</v>
      </c>
      <c r="F218" s="111">
        <v>120</v>
      </c>
      <c r="G218" s="127">
        <v>0.05</v>
      </c>
      <c r="H218" s="128">
        <v>4600</v>
      </c>
      <c r="I218" s="113">
        <v>582.72</v>
      </c>
      <c r="J218" s="113">
        <v>0</v>
      </c>
      <c r="K218" s="114">
        <f t="shared" si="18"/>
        <v>4017.28</v>
      </c>
      <c r="L218" s="128">
        <v>145.68</v>
      </c>
      <c r="M218" s="115"/>
      <c r="N218" s="116"/>
      <c r="O218" s="117">
        <f t="shared" si="19"/>
        <v>49309</v>
      </c>
      <c r="P218" s="118">
        <f t="shared" si="20"/>
        <v>4</v>
      </c>
      <c r="Q218" s="119">
        <f t="shared" si="21"/>
        <v>145.666666666667</v>
      </c>
      <c r="R218" s="119">
        <f t="shared" si="22"/>
        <v>-0.0133333333333496</v>
      </c>
      <c r="S218" s="120" t="s">
        <v>106</v>
      </c>
      <c r="U218" s="67"/>
      <c r="V218" s="121"/>
      <c r="W218" s="122"/>
      <c r="X218" s="63"/>
      <c r="Y218" s="63"/>
      <c r="Z218" s="63"/>
      <c r="AA218" s="63"/>
    </row>
    <row r="219" s="59" customFormat="1" ht="16.5" outlineLevel="7" spans="1:27">
      <c r="A219" s="79"/>
      <c r="B219" s="123" t="s">
        <v>192</v>
      </c>
      <c r="C219" s="124">
        <v>400144</v>
      </c>
      <c r="D219" s="125" t="s">
        <v>504</v>
      </c>
      <c r="E219" s="126">
        <v>45657</v>
      </c>
      <c r="F219" s="111">
        <v>120</v>
      </c>
      <c r="G219" s="127">
        <v>0.05</v>
      </c>
      <c r="H219" s="128">
        <v>4600</v>
      </c>
      <c r="I219" s="113">
        <v>582.72</v>
      </c>
      <c r="J219" s="113">
        <v>0</v>
      </c>
      <c r="K219" s="114">
        <f t="shared" si="18"/>
        <v>4017.28</v>
      </c>
      <c r="L219" s="128">
        <v>145.68</v>
      </c>
      <c r="M219" s="115"/>
      <c r="N219" s="116"/>
      <c r="O219" s="117">
        <f t="shared" si="19"/>
        <v>49309</v>
      </c>
      <c r="P219" s="118">
        <f t="shared" si="20"/>
        <v>4</v>
      </c>
      <c r="Q219" s="119">
        <f t="shared" si="21"/>
        <v>145.666666666667</v>
      </c>
      <c r="R219" s="119">
        <f t="shared" si="22"/>
        <v>-0.0133333333333496</v>
      </c>
      <c r="S219" s="120" t="s">
        <v>106</v>
      </c>
      <c r="U219" s="67"/>
      <c r="V219" s="121"/>
      <c r="W219" s="122"/>
      <c r="X219" s="63"/>
      <c r="Y219" s="63"/>
      <c r="Z219" s="63"/>
      <c r="AA219" s="63"/>
    </row>
    <row r="220" s="59" customFormat="1" ht="16.5" outlineLevel="7" spans="1:27">
      <c r="A220" s="79"/>
      <c r="B220" s="123" t="s">
        <v>192</v>
      </c>
      <c r="C220" s="124">
        <v>400145</v>
      </c>
      <c r="D220" s="125" t="s">
        <v>504</v>
      </c>
      <c r="E220" s="126">
        <v>45657</v>
      </c>
      <c r="F220" s="111">
        <v>120</v>
      </c>
      <c r="G220" s="127">
        <v>0.05</v>
      </c>
      <c r="H220" s="128">
        <v>4600</v>
      </c>
      <c r="I220" s="113">
        <v>582.72</v>
      </c>
      <c r="J220" s="113">
        <v>0</v>
      </c>
      <c r="K220" s="114">
        <f t="shared" si="18"/>
        <v>4017.28</v>
      </c>
      <c r="L220" s="128">
        <v>145.68</v>
      </c>
      <c r="M220" s="115"/>
      <c r="N220" s="116"/>
      <c r="O220" s="117">
        <f t="shared" si="19"/>
        <v>49309</v>
      </c>
      <c r="P220" s="118">
        <f t="shared" si="20"/>
        <v>4</v>
      </c>
      <c r="Q220" s="119">
        <f t="shared" si="21"/>
        <v>145.666666666667</v>
      </c>
      <c r="R220" s="119">
        <f t="shared" si="22"/>
        <v>-0.0133333333333496</v>
      </c>
      <c r="S220" s="120" t="s">
        <v>106</v>
      </c>
      <c r="U220" s="67"/>
      <c r="V220" s="121"/>
      <c r="W220" s="122"/>
      <c r="X220" s="63"/>
      <c r="Y220" s="63"/>
      <c r="Z220" s="63"/>
      <c r="AA220" s="63"/>
    </row>
    <row r="221" s="59" customFormat="1" ht="16.5" outlineLevel="7" spans="1:27">
      <c r="A221" s="79"/>
      <c r="B221" s="107" t="s">
        <v>192</v>
      </c>
      <c r="C221" s="108">
        <v>400146</v>
      </c>
      <c r="D221" s="109" t="s">
        <v>504</v>
      </c>
      <c r="E221" s="110">
        <v>45657</v>
      </c>
      <c r="F221" s="111">
        <v>120</v>
      </c>
      <c r="G221" s="112">
        <v>0.05</v>
      </c>
      <c r="H221" s="113">
        <v>20000</v>
      </c>
      <c r="I221" s="113">
        <v>2533.28</v>
      </c>
      <c r="J221" s="113">
        <v>0</v>
      </c>
      <c r="K221" s="114">
        <f t="shared" si="18"/>
        <v>17466.72</v>
      </c>
      <c r="L221" s="113">
        <v>633.32</v>
      </c>
      <c r="M221" s="115"/>
      <c r="N221" s="116"/>
      <c r="O221" s="117">
        <f t="shared" si="19"/>
        <v>49309</v>
      </c>
      <c r="P221" s="118">
        <f t="shared" si="20"/>
        <v>4</v>
      </c>
      <c r="Q221" s="119">
        <f t="shared" si="21"/>
        <v>633.333333333333</v>
      </c>
      <c r="R221" s="119">
        <f t="shared" si="22"/>
        <v>0.0133333333333212</v>
      </c>
      <c r="S221" s="120" t="s">
        <v>106</v>
      </c>
      <c r="U221" s="67"/>
      <c r="V221" s="121"/>
      <c r="W221" s="122"/>
      <c r="X221" s="63"/>
      <c r="Y221" s="63"/>
      <c r="Z221" s="63"/>
      <c r="AA221" s="63"/>
    </row>
    <row r="222" s="59" customFormat="1" ht="16.5" outlineLevel="7" spans="1:27">
      <c r="A222" s="79"/>
      <c r="B222" s="107" t="s">
        <v>192</v>
      </c>
      <c r="C222" s="108">
        <v>400147</v>
      </c>
      <c r="D222" s="109" t="s">
        <v>504</v>
      </c>
      <c r="E222" s="110">
        <v>45657</v>
      </c>
      <c r="F222" s="111">
        <v>120</v>
      </c>
      <c r="G222" s="112">
        <v>0.05</v>
      </c>
      <c r="H222" s="113">
        <v>4600</v>
      </c>
      <c r="I222" s="113">
        <v>582.72</v>
      </c>
      <c r="J222" s="113">
        <v>0</v>
      </c>
      <c r="K222" s="114">
        <f t="shared" si="18"/>
        <v>4017.28</v>
      </c>
      <c r="L222" s="113">
        <v>145.68</v>
      </c>
      <c r="M222" s="115"/>
      <c r="N222" s="116"/>
      <c r="O222" s="117">
        <f t="shared" si="19"/>
        <v>49309</v>
      </c>
      <c r="P222" s="118">
        <f t="shared" si="20"/>
        <v>4</v>
      </c>
      <c r="Q222" s="119">
        <f t="shared" si="21"/>
        <v>145.666666666667</v>
      </c>
      <c r="R222" s="119">
        <f t="shared" si="22"/>
        <v>-0.0133333333333496</v>
      </c>
      <c r="S222" s="120" t="s">
        <v>106</v>
      </c>
      <c r="U222" s="67"/>
      <c r="V222" s="121"/>
      <c r="W222" s="122"/>
      <c r="X222" s="63"/>
      <c r="Y222" s="63"/>
      <c r="Z222" s="63"/>
      <c r="AA222" s="63"/>
    </row>
    <row r="223" s="59" customFormat="1" ht="16.5" outlineLevel="7" spans="1:27">
      <c r="A223" s="79"/>
      <c r="B223" s="123" t="s">
        <v>192</v>
      </c>
      <c r="C223" s="124">
        <v>400148</v>
      </c>
      <c r="D223" s="125" t="s">
        <v>504</v>
      </c>
      <c r="E223" s="126">
        <v>45657</v>
      </c>
      <c r="F223" s="111">
        <v>120</v>
      </c>
      <c r="G223" s="127">
        <v>0.05</v>
      </c>
      <c r="H223" s="128">
        <v>4600</v>
      </c>
      <c r="I223" s="113">
        <v>582.72</v>
      </c>
      <c r="J223" s="113">
        <v>0</v>
      </c>
      <c r="K223" s="114">
        <f t="shared" si="18"/>
        <v>4017.28</v>
      </c>
      <c r="L223" s="128">
        <v>145.68</v>
      </c>
      <c r="M223" s="115"/>
      <c r="N223" s="116"/>
      <c r="O223" s="117">
        <f t="shared" si="19"/>
        <v>49309</v>
      </c>
      <c r="P223" s="118">
        <f t="shared" si="20"/>
        <v>4</v>
      </c>
      <c r="Q223" s="119">
        <f t="shared" si="21"/>
        <v>145.666666666667</v>
      </c>
      <c r="R223" s="119">
        <f t="shared" si="22"/>
        <v>-0.0133333333333496</v>
      </c>
      <c r="S223" s="120" t="s">
        <v>106</v>
      </c>
      <c r="U223" s="67"/>
      <c r="V223" s="121"/>
      <c r="W223" s="122"/>
      <c r="X223" s="63"/>
      <c r="Y223" s="63"/>
      <c r="Z223" s="63"/>
      <c r="AA223" s="63"/>
    </row>
    <row r="224" s="59" customFormat="1" ht="16.5" outlineLevel="7" spans="1:27">
      <c r="A224" s="79"/>
      <c r="B224" s="123" t="s">
        <v>192</v>
      </c>
      <c r="C224" s="124">
        <v>400149</v>
      </c>
      <c r="D224" s="125" t="s">
        <v>504</v>
      </c>
      <c r="E224" s="126">
        <v>45657</v>
      </c>
      <c r="F224" s="111">
        <v>120</v>
      </c>
      <c r="G224" s="127">
        <v>0.05</v>
      </c>
      <c r="H224" s="128">
        <v>4600</v>
      </c>
      <c r="I224" s="113">
        <v>582.72</v>
      </c>
      <c r="J224" s="113">
        <v>0</v>
      </c>
      <c r="K224" s="114">
        <f t="shared" si="18"/>
        <v>4017.28</v>
      </c>
      <c r="L224" s="128">
        <v>145.68</v>
      </c>
      <c r="M224" s="115"/>
      <c r="N224" s="116"/>
      <c r="O224" s="117">
        <f t="shared" si="19"/>
        <v>49309</v>
      </c>
      <c r="P224" s="118">
        <f t="shared" si="20"/>
        <v>4</v>
      </c>
      <c r="Q224" s="119">
        <f t="shared" si="21"/>
        <v>145.666666666667</v>
      </c>
      <c r="R224" s="119">
        <f t="shared" si="22"/>
        <v>-0.0133333333333496</v>
      </c>
      <c r="S224" s="120" t="s">
        <v>106</v>
      </c>
      <c r="U224" s="67"/>
      <c r="V224" s="121"/>
      <c r="W224" s="122"/>
      <c r="X224" s="63"/>
      <c r="Y224" s="63"/>
      <c r="Z224" s="63"/>
      <c r="AA224" s="63"/>
    </row>
    <row r="225" s="59" customFormat="1" ht="16.5" outlineLevel="7" spans="1:27">
      <c r="A225" s="79"/>
      <c r="B225" s="123" t="s">
        <v>192</v>
      </c>
      <c r="C225" s="124">
        <v>400150</v>
      </c>
      <c r="D225" s="125" t="s">
        <v>504</v>
      </c>
      <c r="E225" s="126">
        <v>45657</v>
      </c>
      <c r="F225" s="111">
        <v>120</v>
      </c>
      <c r="G225" s="127">
        <v>0.05</v>
      </c>
      <c r="H225" s="128">
        <v>4600</v>
      </c>
      <c r="I225" s="113">
        <v>582.72</v>
      </c>
      <c r="J225" s="113">
        <v>0</v>
      </c>
      <c r="K225" s="114">
        <f t="shared" si="18"/>
        <v>4017.28</v>
      </c>
      <c r="L225" s="128">
        <v>145.68</v>
      </c>
      <c r="M225" s="115"/>
      <c r="N225" s="116"/>
      <c r="O225" s="117">
        <f t="shared" si="19"/>
        <v>49309</v>
      </c>
      <c r="P225" s="118">
        <f t="shared" si="20"/>
        <v>4</v>
      </c>
      <c r="Q225" s="119">
        <f t="shared" si="21"/>
        <v>145.666666666667</v>
      </c>
      <c r="R225" s="119">
        <f t="shared" si="22"/>
        <v>-0.0133333333333496</v>
      </c>
      <c r="S225" s="120" t="s">
        <v>106</v>
      </c>
      <c r="U225" s="67"/>
      <c r="V225" s="121"/>
      <c r="W225" s="122"/>
      <c r="X225" s="63"/>
      <c r="Y225" s="63"/>
      <c r="Z225" s="63"/>
      <c r="AA225" s="63"/>
    </row>
    <row r="226" s="59" customFormat="1" ht="16.5" outlineLevel="7" spans="1:27">
      <c r="A226" s="79"/>
      <c r="B226" s="123" t="s">
        <v>192</v>
      </c>
      <c r="C226" s="124">
        <v>400151</v>
      </c>
      <c r="D226" s="125" t="s">
        <v>504</v>
      </c>
      <c r="E226" s="126">
        <v>45657</v>
      </c>
      <c r="F226" s="111">
        <v>120</v>
      </c>
      <c r="G226" s="127">
        <v>0.05</v>
      </c>
      <c r="H226" s="128">
        <v>4600</v>
      </c>
      <c r="I226" s="113">
        <v>582.72</v>
      </c>
      <c r="J226" s="113">
        <v>0</v>
      </c>
      <c r="K226" s="114">
        <f t="shared" si="18"/>
        <v>4017.28</v>
      </c>
      <c r="L226" s="128">
        <v>145.68</v>
      </c>
      <c r="M226" s="115"/>
      <c r="N226" s="116"/>
      <c r="O226" s="117">
        <f t="shared" si="19"/>
        <v>49309</v>
      </c>
      <c r="P226" s="118">
        <f t="shared" si="20"/>
        <v>4</v>
      </c>
      <c r="Q226" s="119">
        <f t="shared" si="21"/>
        <v>145.666666666667</v>
      </c>
      <c r="R226" s="119">
        <f t="shared" si="22"/>
        <v>-0.0133333333333496</v>
      </c>
      <c r="S226" s="120" t="s">
        <v>106</v>
      </c>
      <c r="U226" s="67"/>
      <c r="V226" s="121"/>
      <c r="W226" s="122"/>
      <c r="X226" s="63"/>
      <c r="Y226" s="63"/>
      <c r="Z226" s="63"/>
      <c r="AA226" s="63"/>
    </row>
    <row r="227" s="59" customFormat="1" ht="16.5" outlineLevel="7" spans="1:27">
      <c r="A227" s="79"/>
      <c r="B227" s="123" t="s">
        <v>192</v>
      </c>
      <c r="C227" s="124">
        <v>400152</v>
      </c>
      <c r="D227" s="125" t="s">
        <v>504</v>
      </c>
      <c r="E227" s="126">
        <v>45657</v>
      </c>
      <c r="F227" s="111">
        <v>120</v>
      </c>
      <c r="G227" s="127">
        <v>0.05</v>
      </c>
      <c r="H227" s="128">
        <v>4600</v>
      </c>
      <c r="I227" s="113">
        <v>582.72</v>
      </c>
      <c r="J227" s="113">
        <v>0</v>
      </c>
      <c r="K227" s="114">
        <f t="shared" si="18"/>
        <v>4017.28</v>
      </c>
      <c r="L227" s="128">
        <v>145.68</v>
      </c>
      <c r="M227" s="115"/>
      <c r="N227" s="116"/>
      <c r="O227" s="117">
        <f t="shared" si="19"/>
        <v>49309</v>
      </c>
      <c r="P227" s="118">
        <f t="shared" si="20"/>
        <v>4</v>
      </c>
      <c r="Q227" s="119">
        <f t="shared" si="21"/>
        <v>145.666666666667</v>
      </c>
      <c r="R227" s="119">
        <f t="shared" si="22"/>
        <v>-0.0133333333333496</v>
      </c>
      <c r="S227" s="120" t="s">
        <v>106</v>
      </c>
      <c r="U227" s="67"/>
      <c r="V227" s="121"/>
      <c r="W227" s="122"/>
      <c r="X227" s="63"/>
      <c r="Y227" s="63"/>
      <c r="Z227" s="63"/>
      <c r="AA227" s="63"/>
    </row>
    <row r="228" s="59" customFormat="1" ht="16.5" outlineLevel="7" spans="1:27">
      <c r="A228" s="79"/>
      <c r="B228" s="107" t="s">
        <v>192</v>
      </c>
      <c r="C228" s="108">
        <v>400153</v>
      </c>
      <c r="D228" s="109" t="s">
        <v>504</v>
      </c>
      <c r="E228" s="110">
        <v>45657</v>
      </c>
      <c r="F228" s="111">
        <v>120</v>
      </c>
      <c r="G228" s="112">
        <v>0.05</v>
      </c>
      <c r="H228" s="113">
        <v>4600</v>
      </c>
      <c r="I228" s="113">
        <v>582.72</v>
      </c>
      <c r="J228" s="113">
        <v>0</v>
      </c>
      <c r="K228" s="114">
        <f t="shared" si="18"/>
        <v>4017.28</v>
      </c>
      <c r="L228" s="113">
        <v>145.68</v>
      </c>
      <c r="M228" s="115"/>
      <c r="N228" s="116"/>
      <c r="O228" s="117">
        <f t="shared" si="19"/>
        <v>49309</v>
      </c>
      <c r="P228" s="118">
        <f t="shared" si="20"/>
        <v>4</v>
      </c>
      <c r="Q228" s="119">
        <f t="shared" si="21"/>
        <v>145.666666666667</v>
      </c>
      <c r="R228" s="119">
        <f t="shared" si="22"/>
        <v>-0.0133333333333496</v>
      </c>
      <c r="S228" s="120" t="s">
        <v>106</v>
      </c>
      <c r="U228" s="67"/>
      <c r="V228" s="121"/>
      <c r="W228" s="122"/>
      <c r="X228" s="63"/>
      <c r="Y228" s="63"/>
      <c r="Z228" s="63"/>
      <c r="AA228" s="63"/>
    </row>
    <row r="229" s="59" customFormat="1" ht="16.5" outlineLevel="7" spans="1:27">
      <c r="A229" s="79"/>
      <c r="B229" s="107" t="s">
        <v>192</v>
      </c>
      <c r="C229" s="108">
        <v>400154</v>
      </c>
      <c r="D229" s="109" t="s">
        <v>504</v>
      </c>
      <c r="E229" s="110">
        <v>45657</v>
      </c>
      <c r="F229" s="111">
        <v>120</v>
      </c>
      <c r="G229" s="112">
        <v>0.05</v>
      </c>
      <c r="H229" s="113">
        <v>20000</v>
      </c>
      <c r="I229" s="113">
        <v>2533.28</v>
      </c>
      <c r="J229" s="113">
        <v>0</v>
      </c>
      <c r="K229" s="114">
        <f t="shared" si="18"/>
        <v>17466.72</v>
      </c>
      <c r="L229" s="113">
        <v>633.32</v>
      </c>
      <c r="M229" s="115"/>
      <c r="N229" s="116"/>
      <c r="O229" s="117">
        <f t="shared" si="19"/>
        <v>49309</v>
      </c>
      <c r="P229" s="118">
        <f t="shared" si="20"/>
        <v>4</v>
      </c>
      <c r="Q229" s="119">
        <f t="shared" si="21"/>
        <v>633.333333333333</v>
      </c>
      <c r="R229" s="119">
        <f t="shared" si="22"/>
        <v>0.0133333333333212</v>
      </c>
      <c r="S229" s="120" t="s">
        <v>106</v>
      </c>
      <c r="U229" s="67"/>
      <c r="V229" s="121"/>
      <c r="W229" s="122"/>
      <c r="X229" s="63"/>
      <c r="Y229" s="63"/>
      <c r="Z229" s="63"/>
      <c r="AA229" s="63"/>
    </row>
    <row r="230" s="59" customFormat="1" ht="16.5" outlineLevel="7" spans="1:27">
      <c r="A230" s="79"/>
      <c r="B230" s="123" t="s">
        <v>192</v>
      </c>
      <c r="C230" s="124">
        <v>400155</v>
      </c>
      <c r="D230" s="125" t="s">
        <v>504</v>
      </c>
      <c r="E230" s="126">
        <v>45657</v>
      </c>
      <c r="F230" s="111">
        <v>120</v>
      </c>
      <c r="G230" s="127">
        <v>0.05</v>
      </c>
      <c r="H230" s="128">
        <v>4600</v>
      </c>
      <c r="I230" s="113">
        <v>582.72</v>
      </c>
      <c r="J230" s="113">
        <v>0</v>
      </c>
      <c r="K230" s="114">
        <f t="shared" si="18"/>
        <v>4017.28</v>
      </c>
      <c r="L230" s="128">
        <v>145.68</v>
      </c>
      <c r="M230" s="115"/>
      <c r="N230" s="116"/>
      <c r="O230" s="117">
        <f t="shared" si="19"/>
        <v>49309</v>
      </c>
      <c r="P230" s="118">
        <f t="shared" si="20"/>
        <v>4</v>
      </c>
      <c r="Q230" s="119">
        <f t="shared" si="21"/>
        <v>145.666666666667</v>
      </c>
      <c r="R230" s="119">
        <f t="shared" si="22"/>
        <v>-0.0133333333333496</v>
      </c>
      <c r="S230" s="120" t="s">
        <v>106</v>
      </c>
      <c r="U230" s="67"/>
      <c r="V230" s="121"/>
      <c r="W230" s="122"/>
      <c r="X230" s="63"/>
      <c r="Y230" s="63"/>
      <c r="Z230" s="63"/>
      <c r="AA230" s="63"/>
    </row>
    <row r="231" s="59" customFormat="1" ht="16.5" outlineLevel="7" spans="1:27">
      <c r="A231" s="79"/>
      <c r="B231" s="123" t="s">
        <v>192</v>
      </c>
      <c r="C231" s="124">
        <v>400156</v>
      </c>
      <c r="D231" s="125" t="s">
        <v>504</v>
      </c>
      <c r="E231" s="126">
        <v>45657</v>
      </c>
      <c r="F231" s="111">
        <v>120</v>
      </c>
      <c r="G231" s="127">
        <v>0.05</v>
      </c>
      <c r="H231" s="128">
        <v>4600</v>
      </c>
      <c r="I231" s="113">
        <v>582.72</v>
      </c>
      <c r="J231" s="113">
        <v>0</v>
      </c>
      <c r="K231" s="114">
        <f t="shared" si="18"/>
        <v>4017.28</v>
      </c>
      <c r="L231" s="128">
        <v>145.68</v>
      </c>
      <c r="M231" s="115"/>
      <c r="N231" s="116"/>
      <c r="O231" s="117">
        <f t="shared" si="19"/>
        <v>49309</v>
      </c>
      <c r="P231" s="118">
        <f t="shared" si="20"/>
        <v>4</v>
      </c>
      <c r="Q231" s="119">
        <f t="shared" si="21"/>
        <v>145.666666666667</v>
      </c>
      <c r="R231" s="119">
        <f t="shared" si="22"/>
        <v>-0.0133333333333496</v>
      </c>
      <c r="S231" s="120" t="s">
        <v>106</v>
      </c>
      <c r="U231" s="67"/>
      <c r="V231" s="121"/>
      <c r="W231" s="122"/>
      <c r="X231" s="63"/>
      <c r="Y231" s="63"/>
      <c r="Z231" s="63"/>
      <c r="AA231" s="63"/>
    </row>
    <row r="232" s="59" customFormat="1" ht="16.5" outlineLevel="7" spans="1:27">
      <c r="A232" s="79"/>
      <c r="B232" s="123" t="s">
        <v>192</v>
      </c>
      <c r="C232" s="124">
        <v>400157</v>
      </c>
      <c r="D232" s="125" t="s">
        <v>504</v>
      </c>
      <c r="E232" s="126">
        <v>45657</v>
      </c>
      <c r="F232" s="111">
        <v>120</v>
      </c>
      <c r="G232" s="127">
        <v>0.05</v>
      </c>
      <c r="H232" s="128">
        <v>4600</v>
      </c>
      <c r="I232" s="113">
        <v>582.72</v>
      </c>
      <c r="J232" s="113">
        <v>0</v>
      </c>
      <c r="K232" s="114">
        <f t="shared" si="18"/>
        <v>4017.28</v>
      </c>
      <c r="L232" s="128">
        <v>145.68</v>
      </c>
      <c r="M232" s="115"/>
      <c r="N232" s="116"/>
      <c r="O232" s="117">
        <f t="shared" si="19"/>
        <v>49309</v>
      </c>
      <c r="P232" s="118">
        <f t="shared" si="20"/>
        <v>4</v>
      </c>
      <c r="Q232" s="119">
        <f t="shared" si="21"/>
        <v>145.666666666667</v>
      </c>
      <c r="R232" s="119">
        <f t="shared" si="22"/>
        <v>-0.0133333333333496</v>
      </c>
      <c r="S232" s="120" t="s">
        <v>106</v>
      </c>
      <c r="U232" s="67"/>
      <c r="V232" s="121"/>
      <c r="W232" s="122"/>
      <c r="X232" s="63"/>
      <c r="Y232" s="63"/>
      <c r="Z232" s="63"/>
      <c r="AA232" s="63"/>
    </row>
    <row r="233" s="59" customFormat="1" ht="16.5" outlineLevel="7" spans="1:27">
      <c r="A233" s="79"/>
      <c r="B233" s="123" t="s">
        <v>192</v>
      </c>
      <c r="C233" s="124">
        <v>400158</v>
      </c>
      <c r="D233" s="125" t="s">
        <v>504</v>
      </c>
      <c r="E233" s="126">
        <v>45657</v>
      </c>
      <c r="F233" s="111">
        <v>120</v>
      </c>
      <c r="G233" s="127">
        <v>0.05</v>
      </c>
      <c r="H233" s="128">
        <v>4600</v>
      </c>
      <c r="I233" s="113">
        <v>582.72</v>
      </c>
      <c r="J233" s="113">
        <v>0</v>
      </c>
      <c r="K233" s="114">
        <f t="shared" si="18"/>
        <v>4017.28</v>
      </c>
      <c r="L233" s="128">
        <v>145.68</v>
      </c>
      <c r="M233" s="115"/>
      <c r="N233" s="116"/>
      <c r="O233" s="117">
        <f t="shared" si="19"/>
        <v>49309</v>
      </c>
      <c r="P233" s="118">
        <f t="shared" si="20"/>
        <v>4</v>
      </c>
      <c r="Q233" s="119">
        <f t="shared" si="21"/>
        <v>145.666666666667</v>
      </c>
      <c r="R233" s="119">
        <f t="shared" si="22"/>
        <v>-0.0133333333333496</v>
      </c>
      <c r="S233" s="120" t="s">
        <v>106</v>
      </c>
      <c r="U233" s="67"/>
      <c r="V233" s="121"/>
      <c r="W233" s="122"/>
      <c r="X233" s="63"/>
      <c r="Y233" s="63"/>
      <c r="Z233" s="63"/>
      <c r="AA233" s="63"/>
    </row>
    <row r="234" s="59" customFormat="1" ht="16.5" outlineLevel="7" spans="1:27">
      <c r="A234" s="79"/>
      <c r="B234" s="123" t="s">
        <v>192</v>
      </c>
      <c r="C234" s="124">
        <v>400159</v>
      </c>
      <c r="D234" s="125" t="s">
        <v>504</v>
      </c>
      <c r="E234" s="126">
        <v>45657</v>
      </c>
      <c r="F234" s="111">
        <v>120</v>
      </c>
      <c r="G234" s="127">
        <v>0.05</v>
      </c>
      <c r="H234" s="128">
        <v>4600</v>
      </c>
      <c r="I234" s="113">
        <v>582.72</v>
      </c>
      <c r="J234" s="113">
        <v>0</v>
      </c>
      <c r="K234" s="114">
        <f t="shared" si="18"/>
        <v>4017.28</v>
      </c>
      <c r="L234" s="128">
        <v>145.68</v>
      </c>
      <c r="M234" s="115"/>
      <c r="N234" s="116"/>
      <c r="O234" s="117">
        <f t="shared" si="19"/>
        <v>49309</v>
      </c>
      <c r="P234" s="118">
        <f t="shared" si="20"/>
        <v>4</v>
      </c>
      <c r="Q234" s="119">
        <f t="shared" si="21"/>
        <v>145.666666666667</v>
      </c>
      <c r="R234" s="119">
        <f t="shared" si="22"/>
        <v>-0.0133333333333496</v>
      </c>
      <c r="S234" s="120" t="s">
        <v>106</v>
      </c>
      <c r="U234" s="67"/>
      <c r="V234" s="121"/>
      <c r="W234" s="122"/>
      <c r="X234" s="63"/>
      <c r="Y234" s="63"/>
      <c r="Z234" s="63"/>
      <c r="AA234" s="63"/>
    </row>
    <row r="235" s="59" customFormat="1" ht="16.5" outlineLevel="7" spans="1:27">
      <c r="A235" s="79"/>
      <c r="B235" s="107" t="s">
        <v>192</v>
      </c>
      <c r="C235" s="108">
        <v>400160</v>
      </c>
      <c r="D235" s="109" t="s">
        <v>504</v>
      </c>
      <c r="E235" s="110">
        <v>45657</v>
      </c>
      <c r="F235" s="111">
        <v>120</v>
      </c>
      <c r="G235" s="112">
        <v>0.05</v>
      </c>
      <c r="H235" s="113">
        <v>4600</v>
      </c>
      <c r="I235" s="113">
        <v>582.72</v>
      </c>
      <c r="J235" s="113">
        <v>0</v>
      </c>
      <c r="K235" s="114">
        <f t="shared" si="18"/>
        <v>4017.28</v>
      </c>
      <c r="L235" s="113">
        <v>145.68</v>
      </c>
      <c r="M235" s="115"/>
      <c r="N235" s="116"/>
      <c r="O235" s="117">
        <f t="shared" si="19"/>
        <v>49309</v>
      </c>
      <c r="P235" s="118">
        <f t="shared" si="20"/>
        <v>4</v>
      </c>
      <c r="Q235" s="119">
        <f t="shared" si="21"/>
        <v>145.666666666667</v>
      </c>
      <c r="R235" s="119">
        <f t="shared" si="22"/>
        <v>-0.0133333333333496</v>
      </c>
      <c r="S235" s="120" t="s">
        <v>106</v>
      </c>
      <c r="U235" s="67"/>
      <c r="V235" s="121"/>
      <c r="W235" s="122"/>
      <c r="X235" s="63"/>
      <c r="Y235" s="63"/>
      <c r="Z235" s="63"/>
      <c r="AA235" s="63"/>
    </row>
    <row r="236" s="59" customFormat="1" ht="16.5" outlineLevel="7" spans="1:27">
      <c r="A236" s="79"/>
      <c r="B236" s="107" t="s">
        <v>192</v>
      </c>
      <c r="C236" s="108">
        <v>400161</v>
      </c>
      <c r="D236" s="109" t="s">
        <v>504</v>
      </c>
      <c r="E236" s="110">
        <v>45657</v>
      </c>
      <c r="F236" s="111">
        <v>120</v>
      </c>
      <c r="G236" s="112">
        <v>0.05</v>
      </c>
      <c r="H236" s="113">
        <v>4600</v>
      </c>
      <c r="I236" s="113">
        <v>582.72</v>
      </c>
      <c r="J236" s="113">
        <v>0</v>
      </c>
      <c r="K236" s="114">
        <f t="shared" si="18"/>
        <v>4017.28</v>
      </c>
      <c r="L236" s="113">
        <v>145.68</v>
      </c>
      <c r="M236" s="115"/>
      <c r="N236" s="116"/>
      <c r="O236" s="117">
        <f t="shared" si="19"/>
        <v>49309</v>
      </c>
      <c r="P236" s="118">
        <f t="shared" si="20"/>
        <v>4</v>
      </c>
      <c r="Q236" s="119">
        <f t="shared" si="21"/>
        <v>145.666666666667</v>
      </c>
      <c r="R236" s="119">
        <f t="shared" si="22"/>
        <v>-0.0133333333333496</v>
      </c>
      <c r="S236" s="120" t="s">
        <v>106</v>
      </c>
      <c r="U236" s="67"/>
      <c r="V236" s="121"/>
      <c r="W236" s="122"/>
      <c r="X236" s="63"/>
      <c r="Y236" s="63"/>
      <c r="Z236" s="63"/>
      <c r="AA236" s="63"/>
    </row>
    <row r="237" s="59" customFormat="1" ht="16.5" outlineLevel="7" spans="1:27">
      <c r="A237" s="79"/>
      <c r="B237" s="123" t="s">
        <v>192</v>
      </c>
      <c r="C237" s="124">
        <v>400162</v>
      </c>
      <c r="D237" s="125" t="s">
        <v>504</v>
      </c>
      <c r="E237" s="126">
        <v>45657</v>
      </c>
      <c r="F237" s="111">
        <v>120</v>
      </c>
      <c r="G237" s="127">
        <v>0.05</v>
      </c>
      <c r="H237" s="128">
        <v>20000</v>
      </c>
      <c r="I237" s="113">
        <v>2533.28</v>
      </c>
      <c r="J237" s="113">
        <v>0</v>
      </c>
      <c r="K237" s="114">
        <f t="shared" si="18"/>
        <v>17466.72</v>
      </c>
      <c r="L237" s="128">
        <v>633.32</v>
      </c>
      <c r="M237" s="115"/>
      <c r="N237" s="116"/>
      <c r="O237" s="117">
        <f t="shared" si="19"/>
        <v>49309</v>
      </c>
      <c r="P237" s="118">
        <f t="shared" si="20"/>
        <v>4</v>
      </c>
      <c r="Q237" s="119">
        <f t="shared" si="21"/>
        <v>633.333333333333</v>
      </c>
      <c r="R237" s="119">
        <f t="shared" si="22"/>
        <v>0.0133333333333212</v>
      </c>
      <c r="S237" s="120" t="s">
        <v>106</v>
      </c>
      <c r="U237" s="67"/>
      <c r="V237" s="121"/>
      <c r="W237" s="122"/>
      <c r="X237" s="63"/>
      <c r="Y237" s="63"/>
      <c r="Z237" s="63"/>
      <c r="AA237" s="63"/>
    </row>
    <row r="238" s="59" customFormat="1" ht="16.5" outlineLevel="7" spans="1:27">
      <c r="A238" s="79"/>
      <c r="B238" s="123" t="s">
        <v>192</v>
      </c>
      <c r="C238" s="124">
        <v>400163</v>
      </c>
      <c r="D238" s="125" t="s">
        <v>504</v>
      </c>
      <c r="E238" s="126">
        <v>45657</v>
      </c>
      <c r="F238" s="111">
        <v>120</v>
      </c>
      <c r="G238" s="127">
        <v>0.05</v>
      </c>
      <c r="H238" s="128">
        <v>4600</v>
      </c>
      <c r="I238" s="113">
        <v>582.72</v>
      </c>
      <c r="J238" s="113">
        <v>0</v>
      </c>
      <c r="K238" s="114">
        <f t="shared" si="18"/>
        <v>4017.28</v>
      </c>
      <c r="L238" s="128">
        <v>145.68</v>
      </c>
      <c r="M238" s="115"/>
      <c r="N238" s="116"/>
      <c r="O238" s="117">
        <f t="shared" si="19"/>
        <v>49309</v>
      </c>
      <c r="P238" s="118">
        <f t="shared" si="20"/>
        <v>4</v>
      </c>
      <c r="Q238" s="119">
        <f t="shared" si="21"/>
        <v>145.666666666667</v>
      </c>
      <c r="R238" s="119">
        <f t="shared" si="22"/>
        <v>-0.0133333333333496</v>
      </c>
      <c r="S238" s="120" t="s">
        <v>106</v>
      </c>
      <c r="U238" s="67"/>
      <c r="V238" s="121"/>
      <c r="W238" s="122"/>
      <c r="X238" s="63"/>
      <c r="Y238" s="63"/>
      <c r="Z238" s="63"/>
      <c r="AA238" s="63"/>
    </row>
    <row r="239" s="59" customFormat="1" ht="16.5" outlineLevel="7" spans="1:27">
      <c r="A239" s="79"/>
      <c r="B239" s="123" t="s">
        <v>192</v>
      </c>
      <c r="C239" s="124">
        <v>400164</v>
      </c>
      <c r="D239" s="125" t="s">
        <v>504</v>
      </c>
      <c r="E239" s="126">
        <v>45657</v>
      </c>
      <c r="F239" s="111">
        <v>120</v>
      </c>
      <c r="G239" s="127">
        <v>0.05</v>
      </c>
      <c r="H239" s="128">
        <v>4600</v>
      </c>
      <c r="I239" s="113">
        <v>582.72</v>
      </c>
      <c r="J239" s="113">
        <v>0</v>
      </c>
      <c r="K239" s="114">
        <f t="shared" si="18"/>
        <v>4017.28</v>
      </c>
      <c r="L239" s="128">
        <v>145.68</v>
      </c>
      <c r="M239" s="115"/>
      <c r="N239" s="116"/>
      <c r="O239" s="117">
        <f t="shared" si="19"/>
        <v>49309</v>
      </c>
      <c r="P239" s="118">
        <f t="shared" si="20"/>
        <v>4</v>
      </c>
      <c r="Q239" s="119">
        <f t="shared" si="21"/>
        <v>145.666666666667</v>
      </c>
      <c r="R239" s="119">
        <f t="shared" si="22"/>
        <v>-0.0133333333333496</v>
      </c>
      <c r="S239" s="120" t="s">
        <v>106</v>
      </c>
      <c r="U239" s="67"/>
      <c r="V239" s="121"/>
      <c r="W239" s="122"/>
      <c r="X239" s="63"/>
      <c r="Y239" s="63"/>
      <c r="Z239" s="63"/>
      <c r="AA239" s="63"/>
    </row>
    <row r="240" s="59" customFormat="1" ht="16.5" outlineLevel="7" spans="1:27">
      <c r="A240" s="79"/>
      <c r="B240" s="123" t="s">
        <v>192</v>
      </c>
      <c r="C240" s="124">
        <v>400165</v>
      </c>
      <c r="D240" s="125" t="s">
        <v>504</v>
      </c>
      <c r="E240" s="126">
        <v>45657</v>
      </c>
      <c r="F240" s="111">
        <v>120</v>
      </c>
      <c r="G240" s="127">
        <v>0.05</v>
      </c>
      <c r="H240" s="128">
        <v>4600</v>
      </c>
      <c r="I240" s="113">
        <v>582.72</v>
      </c>
      <c r="J240" s="113">
        <v>0</v>
      </c>
      <c r="K240" s="114">
        <f t="shared" si="18"/>
        <v>4017.28</v>
      </c>
      <c r="L240" s="128">
        <v>145.68</v>
      </c>
      <c r="M240" s="115"/>
      <c r="N240" s="116"/>
      <c r="O240" s="117">
        <f t="shared" si="19"/>
        <v>49309</v>
      </c>
      <c r="P240" s="118">
        <f t="shared" si="20"/>
        <v>4</v>
      </c>
      <c r="Q240" s="119">
        <f t="shared" si="21"/>
        <v>145.666666666667</v>
      </c>
      <c r="R240" s="119">
        <f t="shared" si="22"/>
        <v>-0.0133333333333496</v>
      </c>
      <c r="S240" s="120" t="s">
        <v>106</v>
      </c>
      <c r="U240" s="67"/>
      <c r="V240" s="121"/>
      <c r="W240" s="122"/>
      <c r="X240" s="63"/>
      <c r="Y240" s="63"/>
      <c r="Z240" s="63"/>
      <c r="AA240" s="63"/>
    </row>
    <row r="241" s="59" customFormat="1" ht="16.5" outlineLevel="7" spans="1:27">
      <c r="A241" s="79"/>
      <c r="B241" s="123" t="s">
        <v>192</v>
      </c>
      <c r="C241" s="124">
        <v>400166</v>
      </c>
      <c r="D241" s="125" t="s">
        <v>504</v>
      </c>
      <c r="E241" s="126">
        <v>45657</v>
      </c>
      <c r="F241" s="111">
        <v>120</v>
      </c>
      <c r="G241" s="127">
        <v>0.05</v>
      </c>
      <c r="H241" s="128">
        <v>4600</v>
      </c>
      <c r="I241" s="113">
        <v>582.72</v>
      </c>
      <c r="J241" s="113">
        <v>0</v>
      </c>
      <c r="K241" s="114">
        <f t="shared" si="18"/>
        <v>4017.28</v>
      </c>
      <c r="L241" s="128">
        <v>145.68</v>
      </c>
      <c r="M241" s="115"/>
      <c r="N241" s="116"/>
      <c r="O241" s="117">
        <f t="shared" si="19"/>
        <v>49309</v>
      </c>
      <c r="P241" s="118">
        <f t="shared" si="20"/>
        <v>4</v>
      </c>
      <c r="Q241" s="119">
        <f t="shared" si="21"/>
        <v>145.666666666667</v>
      </c>
      <c r="R241" s="119">
        <f t="shared" si="22"/>
        <v>-0.0133333333333496</v>
      </c>
      <c r="S241" s="120" t="s">
        <v>106</v>
      </c>
      <c r="U241" s="67"/>
      <c r="V241" s="121"/>
      <c r="W241" s="122"/>
      <c r="X241" s="63"/>
      <c r="Y241" s="63"/>
      <c r="Z241" s="63"/>
      <c r="AA241" s="63"/>
    </row>
    <row r="242" s="59" customFormat="1" ht="16.5" outlineLevel="7" spans="1:27">
      <c r="A242" s="79"/>
      <c r="B242" s="107" t="s">
        <v>192</v>
      </c>
      <c r="C242" s="108">
        <v>400167</v>
      </c>
      <c r="D242" s="109" t="s">
        <v>504</v>
      </c>
      <c r="E242" s="110">
        <v>45657</v>
      </c>
      <c r="F242" s="111">
        <v>120</v>
      </c>
      <c r="G242" s="112">
        <v>0.05</v>
      </c>
      <c r="H242" s="113">
        <v>4600</v>
      </c>
      <c r="I242" s="113">
        <v>582.72</v>
      </c>
      <c r="J242" s="113">
        <v>0</v>
      </c>
      <c r="K242" s="114">
        <f t="shared" si="18"/>
        <v>4017.28</v>
      </c>
      <c r="L242" s="113">
        <v>145.68</v>
      </c>
      <c r="M242" s="115"/>
      <c r="N242" s="116"/>
      <c r="O242" s="117">
        <f t="shared" si="19"/>
        <v>49309</v>
      </c>
      <c r="P242" s="118">
        <f t="shared" si="20"/>
        <v>4</v>
      </c>
      <c r="Q242" s="119">
        <f t="shared" si="21"/>
        <v>145.666666666667</v>
      </c>
      <c r="R242" s="119">
        <f t="shared" si="22"/>
        <v>-0.0133333333333496</v>
      </c>
      <c r="S242" s="120" t="s">
        <v>106</v>
      </c>
      <c r="U242" s="67"/>
      <c r="V242" s="121"/>
      <c r="W242" s="122"/>
      <c r="X242" s="63"/>
      <c r="Y242" s="63"/>
      <c r="Z242" s="63"/>
      <c r="AA242" s="63"/>
    </row>
    <row r="243" s="59" customFormat="1" ht="16.5" outlineLevel="7" spans="1:27">
      <c r="A243" s="79"/>
      <c r="B243" s="107" t="s">
        <v>192</v>
      </c>
      <c r="C243" s="108">
        <v>400168</v>
      </c>
      <c r="D243" s="109" t="s">
        <v>504</v>
      </c>
      <c r="E243" s="110">
        <v>45657</v>
      </c>
      <c r="F243" s="111">
        <v>120</v>
      </c>
      <c r="G243" s="112">
        <v>0.05</v>
      </c>
      <c r="H243" s="113">
        <v>4600</v>
      </c>
      <c r="I243" s="113">
        <v>582.72</v>
      </c>
      <c r="J243" s="113">
        <v>0</v>
      </c>
      <c r="K243" s="114">
        <f t="shared" si="18"/>
        <v>4017.28</v>
      </c>
      <c r="L243" s="113">
        <v>145.68</v>
      </c>
      <c r="M243" s="115"/>
      <c r="N243" s="116"/>
      <c r="O243" s="117">
        <f t="shared" si="19"/>
        <v>49309</v>
      </c>
      <c r="P243" s="118">
        <f t="shared" si="20"/>
        <v>4</v>
      </c>
      <c r="Q243" s="119">
        <f t="shared" si="21"/>
        <v>145.666666666667</v>
      </c>
      <c r="R243" s="119">
        <f t="shared" si="22"/>
        <v>-0.0133333333333496</v>
      </c>
      <c r="S243" s="120" t="s">
        <v>106</v>
      </c>
      <c r="U243" s="67"/>
      <c r="V243" s="121"/>
      <c r="W243" s="122"/>
      <c r="X243" s="63"/>
      <c r="Y243" s="63"/>
      <c r="Z243" s="63"/>
      <c r="AA243" s="63"/>
    </row>
    <row r="244" s="59" customFormat="1" ht="16.5" outlineLevel="7" spans="1:27">
      <c r="A244" s="79"/>
      <c r="B244" s="123" t="s">
        <v>192</v>
      </c>
      <c r="C244" s="124">
        <v>400169</v>
      </c>
      <c r="D244" s="125" t="s">
        <v>504</v>
      </c>
      <c r="E244" s="126">
        <v>45657</v>
      </c>
      <c r="F244" s="111">
        <v>120</v>
      </c>
      <c r="G244" s="127">
        <v>0.05</v>
      </c>
      <c r="H244" s="128">
        <v>4600</v>
      </c>
      <c r="I244" s="113">
        <v>582.72</v>
      </c>
      <c r="J244" s="113">
        <v>0</v>
      </c>
      <c r="K244" s="114">
        <f t="shared" si="18"/>
        <v>4017.28</v>
      </c>
      <c r="L244" s="128">
        <v>145.68</v>
      </c>
      <c r="M244" s="115"/>
      <c r="N244" s="116"/>
      <c r="O244" s="117">
        <f t="shared" si="19"/>
        <v>49309</v>
      </c>
      <c r="P244" s="118">
        <f t="shared" si="20"/>
        <v>4</v>
      </c>
      <c r="Q244" s="119">
        <f t="shared" si="21"/>
        <v>145.666666666667</v>
      </c>
      <c r="R244" s="119">
        <f t="shared" si="22"/>
        <v>-0.0133333333333496</v>
      </c>
      <c r="S244" s="120" t="s">
        <v>106</v>
      </c>
      <c r="U244" s="67"/>
      <c r="V244" s="121"/>
      <c r="W244" s="122"/>
      <c r="X244" s="63"/>
      <c r="Y244" s="63"/>
      <c r="Z244" s="63"/>
      <c r="AA244" s="63"/>
    </row>
    <row r="245" s="59" customFormat="1" ht="16.5" outlineLevel="7" spans="1:27">
      <c r="A245" s="79"/>
      <c r="B245" s="123" t="s">
        <v>192</v>
      </c>
      <c r="C245" s="124">
        <v>400170</v>
      </c>
      <c r="D245" s="125" t="s">
        <v>500</v>
      </c>
      <c r="E245" s="126">
        <v>45657</v>
      </c>
      <c r="F245" s="111">
        <v>120</v>
      </c>
      <c r="G245" s="127">
        <v>0.05</v>
      </c>
      <c r="H245" s="128">
        <v>640000</v>
      </c>
      <c r="I245" s="113">
        <v>81066.72</v>
      </c>
      <c r="J245" s="113">
        <v>0</v>
      </c>
      <c r="K245" s="114">
        <f t="shared" si="18"/>
        <v>558933.28</v>
      </c>
      <c r="L245" s="128">
        <v>20266.68</v>
      </c>
      <c r="M245" s="115"/>
      <c r="N245" s="116"/>
      <c r="O245" s="117">
        <f t="shared" si="19"/>
        <v>49309</v>
      </c>
      <c r="P245" s="118">
        <f t="shared" si="20"/>
        <v>4</v>
      </c>
      <c r="Q245" s="119">
        <f t="shared" si="21"/>
        <v>20266.6666666667</v>
      </c>
      <c r="R245" s="119">
        <f t="shared" si="22"/>
        <v>-0.0133333333324117</v>
      </c>
      <c r="S245" s="120" t="s">
        <v>106</v>
      </c>
      <c r="U245" s="67"/>
      <c r="V245" s="121"/>
      <c r="W245" s="122"/>
      <c r="X245" s="63"/>
      <c r="Y245" s="63"/>
      <c r="Z245" s="63"/>
      <c r="AA245" s="63"/>
    </row>
    <row r="246" s="59" customFormat="1" ht="16.5" outlineLevel="7" spans="1:27">
      <c r="A246" s="79"/>
      <c r="B246" s="123" t="s">
        <v>192</v>
      </c>
      <c r="C246" s="124">
        <v>400171</v>
      </c>
      <c r="D246" s="125" t="s">
        <v>514</v>
      </c>
      <c r="E246" s="126">
        <v>45657</v>
      </c>
      <c r="F246" s="111">
        <v>120</v>
      </c>
      <c r="G246" s="127">
        <v>0.05</v>
      </c>
      <c r="H246" s="128">
        <v>640000</v>
      </c>
      <c r="I246" s="113">
        <v>81066.72</v>
      </c>
      <c r="J246" s="113">
        <v>0</v>
      </c>
      <c r="K246" s="114">
        <f t="shared" si="18"/>
        <v>558933.28</v>
      </c>
      <c r="L246" s="128">
        <v>20266.68</v>
      </c>
      <c r="M246" s="115"/>
      <c r="N246" s="116"/>
      <c r="O246" s="117">
        <f t="shared" si="19"/>
        <v>49309</v>
      </c>
      <c r="P246" s="118">
        <f t="shared" si="20"/>
        <v>4</v>
      </c>
      <c r="Q246" s="119">
        <f t="shared" si="21"/>
        <v>20266.6666666667</v>
      </c>
      <c r="R246" s="119">
        <f t="shared" si="22"/>
        <v>-0.0133333333324117</v>
      </c>
      <c r="S246" s="120" t="s">
        <v>106</v>
      </c>
      <c r="U246" s="67"/>
      <c r="V246" s="121"/>
      <c r="W246" s="122"/>
      <c r="X246" s="63"/>
      <c r="Y246" s="63"/>
      <c r="Z246" s="63"/>
      <c r="AA246" s="63"/>
    </row>
    <row r="247" s="59" customFormat="1" ht="16.5" outlineLevel="7" spans="1:27">
      <c r="A247" s="79"/>
      <c r="B247" s="123" t="s">
        <v>192</v>
      </c>
      <c r="C247" s="124">
        <v>400172</v>
      </c>
      <c r="D247" s="125" t="s">
        <v>502</v>
      </c>
      <c r="E247" s="126">
        <v>45657</v>
      </c>
      <c r="F247" s="111">
        <v>120</v>
      </c>
      <c r="G247" s="127">
        <v>0.05</v>
      </c>
      <c r="H247" s="128">
        <v>700000</v>
      </c>
      <c r="I247" s="113">
        <v>88666.72</v>
      </c>
      <c r="J247" s="113">
        <v>0</v>
      </c>
      <c r="K247" s="114">
        <f t="shared" si="18"/>
        <v>611333.28</v>
      </c>
      <c r="L247" s="128">
        <v>22166.68</v>
      </c>
      <c r="M247" s="115"/>
      <c r="N247" s="116"/>
      <c r="O247" s="117">
        <f t="shared" si="19"/>
        <v>49309</v>
      </c>
      <c r="P247" s="118">
        <f t="shared" si="20"/>
        <v>4</v>
      </c>
      <c r="Q247" s="119">
        <f t="shared" si="21"/>
        <v>22166.6666666667</v>
      </c>
      <c r="R247" s="119">
        <f t="shared" si="22"/>
        <v>-0.0133333333324117</v>
      </c>
      <c r="S247" s="120" t="s">
        <v>106</v>
      </c>
      <c r="U247" s="67"/>
      <c r="V247" s="121"/>
      <c r="W247" s="122"/>
      <c r="X247" s="63"/>
      <c r="Y247" s="63"/>
      <c r="Z247" s="63"/>
      <c r="AA247" s="63"/>
    </row>
    <row r="248" s="59" customFormat="1" ht="16.5" outlineLevel="7" spans="1:27">
      <c r="A248" s="79"/>
      <c r="B248" s="123" t="s">
        <v>192</v>
      </c>
      <c r="C248" s="124">
        <v>400173</v>
      </c>
      <c r="D248" s="125" t="s">
        <v>517</v>
      </c>
      <c r="E248" s="126">
        <v>45657</v>
      </c>
      <c r="F248" s="111">
        <v>120</v>
      </c>
      <c r="G248" s="127">
        <v>0.05</v>
      </c>
      <c r="H248" s="128">
        <v>20000</v>
      </c>
      <c r="I248" s="113">
        <v>2533.28</v>
      </c>
      <c r="J248" s="113">
        <v>0</v>
      </c>
      <c r="K248" s="114">
        <f t="shared" si="18"/>
        <v>17466.72</v>
      </c>
      <c r="L248" s="128">
        <v>633.32</v>
      </c>
      <c r="M248" s="115"/>
      <c r="N248" s="116"/>
      <c r="O248" s="117">
        <f t="shared" si="19"/>
        <v>49309</v>
      </c>
      <c r="P248" s="118">
        <f t="shared" si="20"/>
        <v>4</v>
      </c>
      <c r="Q248" s="119">
        <f t="shared" si="21"/>
        <v>633.333333333333</v>
      </c>
      <c r="R248" s="119">
        <f t="shared" si="22"/>
        <v>0.0133333333333212</v>
      </c>
      <c r="S248" s="120" t="s">
        <v>106</v>
      </c>
      <c r="U248" s="67"/>
      <c r="V248" s="121"/>
      <c r="W248" s="122"/>
      <c r="X248" s="63"/>
      <c r="Y248" s="63"/>
      <c r="Z248" s="63"/>
      <c r="AA248" s="63"/>
    </row>
    <row r="249" s="59" customFormat="1" ht="16.5" outlineLevel="7" spans="1:27">
      <c r="A249" s="79"/>
      <c r="B249" s="107" t="s">
        <v>192</v>
      </c>
      <c r="C249" s="108">
        <v>400174</v>
      </c>
      <c r="D249" s="109" t="s">
        <v>517</v>
      </c>
      <c r="E249" s="110">
        <v>45657</v>
      </c>
      <c r="F249" s="111">
        <v>120</v>
      </c>
      <c r="G249" s="112">
        <v>0.05</v>
      </c>
      <c r="H249" s="113">
        <v>4600</v>
      </c>
      <c r="I249" s="113">
        <v>582.72</v>
      </c>
      <c r="J249" s="113">
        <v>0</v>
      </c>
      <c r="K249" s="114">
        <f t="shared" si="18"/>
        <v>4017.28</v>
      </c>
      <c r="L249" s="113">
        <v>145.68</v>
      </c>
      <c r="M249" s="115"/>
      <c r="N249" s="116"/>
      <c r="O249" s="117">
        <f t="shared" si="19"/>
        <v>49309</v>
      </c>
      <c r="P249" s="118">
        <f t="shared" si="20"/>
        <v>4</v>
      </c>
      <c r="Q249" s="119">
        <f t="shared" si="21"/>
        <v>145.666666666667</v>
      </c>
      <c r="R249" s="119">
        <f t="shared" si="22"/>
        <v>-0.0133333333333496</v>
      </c>
      <c r="S249" s="120" t="s">
        <v>106</v>
      </c>
      <c r="U249" s="67"/>
      <c r="V249" s="121"/>
      <c r="W249" s="122"/>
      <c r="X249" s="63"/>
      <c r="Y249" s="63"/>
      <c r="Z249" s="63"/>
      <c r="AA249" s="63"/>
    </row>
    <row r="250" s="59" customFormat="1" ht="16.5" outlineLevel="7" spans="1:27">
      <c r="A250" s="79"/>
      <c r="B250" s="107" t="s">
        <v>192</v>
      </c>
      <c r="C250" s="108">
        <v>400175</v>
      </c>
      <c r="D250" s="109" t="s">
        <v>517</v>
      </c>
      <c r="E250" s="110">
        <v>45657</v>
      </c>
      <c r="F250" s="111">
        <v>120</v>
      </c>
      <c r="G250" s="112">
        <v>0.05</v>
      </c>
      <c r="H250" s="113">
        <v>4600</v>
      </c>
      <c r="I250" s="113">
        <v>582.72</v>
      </c>
      <c r="J250" s="113">
        <v>0</v>
      </c>
      <c r="K250" s="114">
        <f t="shared" si="18"/>
        <v>4017.28</v>
      </c>
      <c r="L250" s="113">
        <v>145.68</v>
      </c>
      <c r="M250" s="115"/>
      <c r="N250" s="116"/>
      <c r="O250" s="117">
        <f t="shared" si="19"/>
        <v>49309</v>
      </c>
      <c r="P250" s="118">
        <f t="shared" si="20"/>
        <v>4</v>
      </c>
      <c r="Q250" s="119">
        <f t="shared" si="21"/>
        <v>145.666666666667</v>
      </c>
      <c r="R250" s="119">
        <f t="shared" si="22"/>
        <v>-0.0133333333333496</v>
      </c>
      <c r="S250" s="120" t="s">
        <v>106</v>
      </c>
      <c r="U250" s="67"/>
      <c r="V250" s="121"/>
      <c r="W250" s="122"/>
      <c r="X250" s="63"/>
      <c r="Y250" s="63"/>
      <c r="Z250" s="63"/>
      <c r="AA250" s="63"/>
    </row>
    <row r="251" s="59" customFormat="1" ht="16.5" outlineLevel="7" spans="1:27">
      <c r="A251" s="79"/>
      <c r="B251" s="123" t="s">
        <v>192</v>
      </c>
      <c r="C251" s="124">
        <v>400176</v>
      </c>
      <c r="D251" s="125" t="s">
        <v>517</v>
      </c>
      <c r="E251" s="126">
        <v>45657</v>
      </c>
      <c r="F251" s="111">
        <v>120</v>
      </c>
      <c r="G251" s="127">
        <v>0.05</v>
      </c>
      <c r="H251" s="128">
        <v>4600</v>
      </c>
      <c r="I251" s="113">
        <v>582.72</v>
      </c>
      <c r="J251" s="113">
        <v>0</v>
      </c>
      <c r="K251" s="114">
        <f t="shared" si="18"/>
        <v>4017.28</v>
      </c>
      <c r="L251" s="128">
        <v>145.68</v>
      </c>
      <c r="M251" s="115"/>
      <c r="N251" s="116"/>
      <c r="O251" s="117">
        <f t="shared" si="19"/>
        <v>49309</v>
      </c>
      <c r="P251" s="118">
        <f t="shared" si="20"/>
        <v>4</v>
      </c>
      <c r="Q251" s="119">
        <f t="shared" si="21"/>
        <v>145.666666666667</v>
      </c>
      <c r="R251" s="119">
        <f t="shared" si="22"/>
        <v>-0.0133333333333496</v>
      </c>
      <c r="S251" s="120" t="s">
        <v>106</v>
      </c>
      <c r="U251" s="67"/>
      <c r="V251" s="121"/>
      <c r="W251" s="122"/>
      <c r="X251" s="63"/>
      <c r="Y251" s="63"/>
      <c r="Z251" s="63"/>
      <c r="AA251" s="63"/>
    </row>
    <row r="252" s="59" customFormat="1" ht="16.5" outlineLevel="7" spans="1:27">
      <c r="A252" s="79"/>
      <c r="B252" s="123" t="s">
        <v>192</v>
      </c>
      <c r="C252" s="124">
        <v>400177</v>
      </c>
      <c r="D252" s="125" t="s">
        <v>517</v>
      </c>
      <c r="E252" s="126">
        <v>45657</v>
      </c>
      <c r="F252" s="111">
        <v>120</v>
      </c>
      <c r="G252" s="127">
        <v>0.05</v>
      </c>
      <c r="H252" s="128">
        <v>4600</v>
      </c>
      <c r="I252" s="113">
        <v>582.72</v>
      </c>
      <c r="J252" s="113">
        <v>0</v>
      </c>
      <c r="K252" s="114">
        <f t="shared" si="18"/>
        <v>4017.28</v>
      </c>
      <c r="L252" s="128">
        <v>145.68</v>
      </c>
      <c r="M252" s="115"/>
      <c r="N252" s="116"/>
      <c r="O252" s="117">
        <f t="shared" si="19"/>
        <v>49309</v>
      </c>
      <c r="P252" s="118">
        <f t="shared" si="20"/>
        <v>4</v>
      </c>
      <c r="Q252" s="119">
        <f t="shared" si="21"/>
        <v>145.666666666667</v>
      </c>
      <c r="R252" s="119">
        <f t="shared" si="22"/>
        <v>-0.0133333333333496</v>
      </c>
      <c r="S252" s="120" t="s">
        <v>106</v>
      </c>
      <c r="U252" s="67"/>
      <c r="V252" s="121"/>
      <c r="W252" s="122"/>
      <c r="X252" s="63"/>
      <c r="Y252" s="63"/>
      <c r="Z252" s="63"/>
      <c r="AA252" s="63"/>
    </row>
    <row r="253" s="59" customFormat="1" ht="16.5" outlineLevel="7" spans="1:27">
      <c r="A253" s="79"/>
      <c r="B253" s="123" t="s">
        <v>192</v>
      </c>
      <c r="C253" s="124">
        <v>400178</v>
      </c>
      <c r="D253" s="125" t="s">
        <v>517</v>
      </c>
      <c r="E253" s="126">
        <v>45657</v>
      </c>
      <c r="F253" s="111">
        <v>120</v>
      </c>
      <c r="G253" s="127">
        <v>0.05</v>
      </c>
      <c r="H253" s="128">
        <v>4600</v>
      </c>
      <c r="I253" s="113">
        <v>582.72</v>
      </c>
      <c r="J253" s="113">
        <v>0</v>
      </c>
      <c r="K253" s="114">
        <f t="shared" si="18"/>
        <v>4017.28</v>
      </c>
      <c r="L253" s="128">
        <v>145.68</v>
      </c>
      <c r="M253" s="115"/>
      <c r="N253" s="116"/>
      <c r="O253" s="117">
        <f t="shared" si="19"/>
        <v>49309</v>
      </c>
      <c r="P253" s="118">
        <f t="shared" si="20"/>
        <v>4</v>
      </c>
      <c r="Q253" s="119">
        <f t="shared" si="21"/>
        <v>145.666666666667</v>
      </c>
      <c r="R253" s="119">
        <f t="shared" si="22"/>
        <v>-0.0133333333333496</v>
      </c>
      <c r="S253" s="120" t="s">
        <v>106</v>
      </c>
      <c r="U253" s="67"/>
      <c r="V253" s="121"/>
      <c r="W253" s="122"/>
      <c r="X253" s="63"/>
      <c r="Y253" s="63"/>
      <c r="Z253" s="63"/>
      <c r="AA253" s="63"/>
    </row>
    <row r="254" s="59" customFormat="1" ht="16.5" outlineLevel="7" spans="1:27">
      <c r="A254" s="79"/>
      <c r="B254" s="123" t="s">
        <v>192</v>
      </c>
      <c r="C254" s="124">
        <v>400179</v>
      </c>
      <c r="D254" s="125" t="s">
        <v>517</v>
      </c>
      <c r="E254" s="126">
        <v>45657</v>
      </c>
      <c r="F254" s="111">
        <v>120</v>
      </c>
      <c r="G254" s="127">
        <v>0.05</v>
      </c>
      <c r="H254" s="128">
        <v>4600</v>
      </c>
      <c r="I254" s="113">
        <v>582.72</v>
      </c>
      <c r="J254" s="113">
        <v>0</v>
      </c>
      <c r="K254" s="114">
        <f t="shared" si="18"/>
        <v>4017.28</v>
      </c>
      <c r="L254" s="128">
        <v>145.68</v>
      </c>
      <c r="M254" s="115"/>
      <c r="N254" s="116"/>
      <c r="O254" s="117">
        <f t="shared" si="19"/>
        <v>49309</v>
      </c>
      <c r="P254" s="118">
        <f t="shared" si="20"/>
        <v>4</v>
      </c>
      <c r="Q254" s="119">
        <f t="shared" si="21"/>
        <v>145.666666666667</v>
      </c>
      <c r="R254" s="119">
        <f t="shared" si="22"/>
        <v>-0.0133333333333496</v>
      </c>
      <c r="S254" s="120" t="s">
        <v>106</v>
      </c>
      <c r="U254" s="67"/>
      <c r="V254" s="121"/>
      <c r="W254" s="122"/>
      <c r="X254" s="63"/>
      <c r="Y254" s="63"/>
      <c r="Z254" s="63"/>
      <c r="AA254" s="63"/>
    </row>
    <row r="255" s="59" customFormat="1" ht="16.5" outlineLevel="7" spans="1:27">
      <c r="A255" s="79"/>
      <c r="B255" s="123" t="s">
        <v>192</v>
      </c>
      <c r="C255" s="124">
        <v>400180</v>
      </c>
      <c r="D255" s="125" t="s">
        <v>517</v>
      </c>
      <c r="E255" s="126">
        <v>45657</v>
      </c>
      <c r="F255" s="111">
        <v>120</v>
      </c>
      <c r="G255" s="127">
        <v>0.05</v>
      </c>
      <c r="H255" s="128">
        <v>4600</v>
      </c>
      <c r="I255" s="113">
        <v>582.72</v>
      </c>
      <c r="J255" s="113">
        <v>0</v>
      </c>
      <c r="K255" s="114">
        <f t="shared" si="18"/>
        <v>4017.28</v>
      </c>
      <c r="L255" s="128">
        <v>145.68</v>
      </c>
      <c r="M255" s="115"/>
      <c r="N255" s="116"/>
      <c r="O255" s="117">
        <f t="shared" si="19"/>
        <v>49309</v>
      </c>
      <c r="P255" s="118">
        <f t="shared" si="20"/>
        <v>4</v>
      </c>
      <c r="Q255" s="119">
        <f t="shared" si="21"/>
        <v>145.666666666667</v>
      </c>
      <c r="R255" s="119">
        <f t="shared" si="22"/>
        <v>-0.0133333333333496</v>
      </c>
      <c r="S255" s="120" t="s">
        <v>106</v>
      </c>
      <c r="U255" s="67"/>
      <c r="V255" s="121"/>
      <c r="W255" s="122"/>
      <c r="X255" s="63"/>
      <c r="Y255" s="63"/>
      <c r="Z255" s="63"/>
      <c r="AA255" s="63"/>
    </row>
    <row r="256" s="59" customFormat="1" ht="16.5" outlineLevel="7" spans="1:27">
      <c r="A256" s="79"/>
      <c r="B256" s="107" t="s">
        <v>192</v>
      </c>
      <c r="C256" s="108">
        <v>400181</v>
      </c>
      <c r="D256" s="109" t="s">
        <v>517</v>
      </c>
      <c r="E256" s="110">
        <v>45657</v>
      </c>
      <c r="F256" s="111">
        <v>120</v>
      </c>
      <c r="G256" s="112">
        <v>0.05</v>
      </c>
      <c r="H256" s="113">
        <v>20000</v>
      </c>
      <c r="I256" s="113">
        <v>2533.28</v>
      </c>
      <c r="J256" s="113">
        <v>0</v>
      </c>
      <c r="K256" s="114">
        <f t="shared" si="18"/>
        <v>17466.72</v>
      </c>
      <c r="L256" s="113">
        <v>633.32</v>
      </c>
      <c r="M256" s="115"/>
      <c r="N256" s="116"/>
      <c r="O256" s="117">
        <f t="shared" si="19"/>
        <v>49309</v>
      </c>
      <c r="P256" s="118">
        <f t="shared" si="20"/>
        <v>4</v>
      </c>
      <c r="Q256" s="119">
        <f t="shared" si="21"/>
        <v>633.333333333333</v>
      </c>
      <c r="R256" s="119">
        <f t="shared" si="22"/>
        <v>0.0133333333333212</v>
      </c>
      <c r="S256" s="120" t="s">
        <v>106</v>
      </c>
      <c r="U256" s="67"/>
      <c r="V256" s="121"/>
      <c r="W256" s="122"/>
      <c r="X256" s="63"/>
      <c r="Y256" s="63"/>
      <c r="Z256" s="63"/>
      <c r="AA256" s="63"/>
    </row>
    <row r="257" s="59" customFormat="1" ht="16.5" outlineLevel="7" spans="1:27">
      <c r="A257" s="79"/>
      <c r="B257" s="107" t="s">
        <v>192</v>
      </c>
      <c r="C257" s="108">
        <v>400182</v>
      </c>
      <c r="D257" s="109" t="s">
        <v>517</v>
      </c>
      <c r="E257" s="110">
        <v>45657</v>
      </c>
      <c r="F257" s="111">
        <v>120</v>
      </c>
      <c r="G257" s="112">
        <v>0.05</v>
      </c>
      <c r="H257" s="113">
        <v>4600</v>
      </c>
      <c r="I257" s="113">
        <v>582.72</v>
      </c>
      <c r="J257" s="113">
        <v>0</v>
      </c>
      <c r="K257" s="114">
        <f t="shared" si="18"/>
        <v>4017.28</v>
      </c>
      <c r="L257" s="113">
        <v>145.68</v>
      </c>
      <c r="M257" s="115"/>
      <c r="N257" s="116"/>
      <c r="O257" s="117">
        <f t="shared" si="19"/>
        <v>49309</v>
      </c>
      <c r="P257" s="118">
        <f t="shared" si="20"/>
        <v>4</v>
      </c>
      <c r="Q257" s="119">
        <f t="shared" si="21"/>
        <v>145.666666666667</v>
      </c>
      <c r="R257" s="119">
        <f t="shared" si="22"/>
        <v>-0.0133333333333496</v>
      </c>
      <c r="S257" s="120" t="s">
        <v>106</v>
      </c>
      <c r="U257" s="67"/>
      <c r="V257" s="121"/>
      <c r="W257" s="122"/>
      <c r="X257" s="63"/>
      <c r="Y257" s="63"/>
      <c r="Z257" s="63"/>
      <c r="AA257" s="63"/>
    </row>
    <row r="258" s="59" customFormat="1" ht="16.5" outlineLevel="7" spans="1:27">
      <c r="A258" s="79"/>
      <c r="B258" s="123" t="s">
        <v>192</v>
      </c>
      <c r="C258" s="124">
        <v>400183</v>
      </c>
      <c r="D258" s="125" t="s">
        <v>517</v>
      </c>
      <c r="E258" s="126">
        <v>45657</v>
      </c>
      <c r="F258" s="111">
        <v>120</v>
      </c>
      <c r="G258" s="127">
        <v>0.05</v>
      </c>
      <c r="H258" s="128">
        <v>4600</v>
      </c>
      <c r="I258" s="113">
        <v>582.72</v>
      </c>
      <c r="J258" s="113">
        <v>0</v>
      </c>
      <c r="K258" s="114">
        <f t="shared" si="18"/>
        <v>4017.28</v>
      </c>
      <c r="L258" s="128">
        <v>145.68</v>
      </c>
      <c r="M258" s="115"/>
      <c r="N258" s="116"/>
      <c r="O258" s="117">
        <f t="shared" si="19"/>
        <v>49309</v>
      </c>
      <c r="P258" s="118">
        <f t="shared" si="20"/>
        <v>4</v>
      </c>
      <c r="Q258" s="119">
        <f t="shared" si="21"/>
        <v>145.666666666667</v>
      </c>
      <c r="R258" s="119">
        <f t="shared" si="22"/>
        <v>-0.0133333333333496</v>
      </c>
      <c r="S258" s="120" t="s">
        <v>106</v>
      </c>
      <c r="U258" s="67"/>
      <c r="V258" s="121"/>
      <c r="W258" s="122"/>
      <c r="X258" s="63"/>
      <c r="Y258" s="63"/>
      <c r="Z258" s="63"/>
      <c r="AA258" s="63"/>
    </row>
    <row r="259" s="59" customFormat="1" ht="16.5" outlineLevel="7" spans="1:27">
      <c r="A259" s="79"/>
      <c r="B259" s="123" t="s">
        <v>192</v>
      </c>
      <c r="C259" s="124">
        <v>400184</v>
      </c>
      <c r="D259" s="125" t="s">
        <v>517</v>
      </c>
      <c r="E259" s="126">
        <v>45657</v>
      </c>
      <c r="F259" s="111">
        <v>120</v>
      </c>
      <c r="G259" s="127">
        <v>0.05</v>
      </c>
      <c r="H259" s="128">
        <v>4600</v>
      </c>
      <c r="I259" s="113">
        <v>582.72</v>
      </c>
      <c r="J259" s="113">
        <v>0</v>
      </c>
      <c r="K259" s="114">
        <f t="shared" si="18"/>
        <v>4017.28</v>
      </c>
      <c r="L259" s="128">
        <v>145.68</v>
      </c>
      <c r="M259" s="115"/>
      <c r="N259" s="116"/>
      <c r="O259" s="117">
        <f t="shared" si="19"/>
        <v>49309</v>
      </c>
      <c r="P259" s="118">
        <f t="shared" si="20"/>
        <v>4</v>
      </c>
      <c r="Q259" s="119">
        <f t="shared" si="21"/>
        <v>145.666666666667</v>
      </c>
      <c r="R259" s="119">
        <f t="shared" si="22"/>
        <v>-0.0133333333333496</v>
      </c>
      <c r="S259" s="120" t="s">
        <v>106</v>
      </c>
      <c r="U259" s="67"/>
      <c r="V259" s="121"/>
      <c r="W259" s="122"/>
      <c r="X259" s="63"/>
      <c r="Y259" s="63"/>
      <c r="Z259" s="63"/>
      <c r="AA259" s="63"/>
    </row>
    <row r="260" s="59" customFormat="1" ht="16.5" outlineLevel="7" spans="1:27">
      <c r="A260" s="79"/>
      <c r="B260" s="123" t="s">
        <v>192</v>
      </c>
      <c r="C260" s="124">
        <v>400185</v>
      </c>
      <c r="D260" s="125" t="s">
        <v>517</v>
      </c>
      <c r="E260" s="126">
        <v>45657</v>
      </c>
      <c r="F260" s="111">
        <v>120</v>
      </c>
      <c r="G260" s="127">
        <v>0.05</v>
      </c>
      <c r="H260" s="128">
        <v>4600</v>
      </c>
      <c r="I260" s="113">
        <v>582.72</v>
      </c>
      <c r="J260" s="113">
        <v>0</v>
      </c>
      <c r="K260" s="114">
        <f t="shared" si="18"/>
        <v>4017.28</v>
      </c>
      <c r="L260" s="128">
        <v>145.68</v>
      </c>
      <c r="M260" s="115"/>
      <c r="N260" s="116"/>
      <c r="O260" s="117">
        <f t="shared" si="19"/>
        <v>49309</v>
      </c>
      <c r="P260" s="118">
        <f t="shared" si="20"/>
        <v>4</v>
      </c>
      <c r="Q260" s="119">
        <f t="shared" si="21"/>
        <v>145.666666666667</v>
      </c>
      <c r="R260" s="119">
        <f t="shared" si="22"/>
        <v>-0.0133333333333496</v>
      </c>
      <c r="S260" s="120" t="s">
        <v>106</v>
      </c>
      <c r="U260" s="67"/>
      <c r="V260" s="121"/>
      <c r="W260" s="122"/>
      <c r="X260" s="63"/>
      <c r="Y260" s="63"/>
      <c r="Z260" s="63"/>
      <c r="AA260" s="63"/>
    </row>
    <row r="261" s="59" customFormat="1" ht="16.5" outlineLevel="7" spans="1:27">
      <c r="A261" s="79"/>
      <c r="B261" s="123" t="s">
        <v>192</v>
      </c>
      <c r="C261" s="124">
        <v>400186</v>
      </c>
      <c r="D261" s="125" t="s">
        <v>517</v>
      </c>
      <c r="E261" s="126">
        <v>45657</v>
      </c>
      <c r="F261" s="111">
        <v>120</v>
      </c>
      <c r="G261" s="127">
        <v>0.05</v>
      </c>
      <c r="H261" s="128">
        <v>4600</v>
      </c>
      <c r="I261" s="113">
        <v>582.72</v>
      </c>
      <c r="J261" s="113">
        <v>0</v>
      </c>
      <c r="K261" s="114">
        <f t="shared" si="18"/>
        <v>4017.28</v>
      </c>
      <c r="L261" s="128">
        <v>145.68</v>
      </c>
      <c r="M261" s="115"/>
      <c r="N261" s="116"/>
      <c r="O261" s="117">
        <f t="shared" si="19"/>
        <v>49309</v>
      </c>
      <c r="P261" s="118">
        <f t="shared" si="20"/>
        <v>4</v>
      </c>
      <c r="Q261" s="119">
        <f t="shared" si="21"/>
        <v>145.666666666667</v>
      </c>
      <c r="R261" s="119">
        <f t="shared" si="22"/>
        <v>-0.0133333333333496</v>
      </c>
      <c r="S261" s="120" t="s">
        <v>106</v>
      </c>
      <c r="U261" s="67"/>
      <c r="V261" s="121"/>
      <c r="W261" s="122"/>
      <c r="X261" s="63"/>
      <c r="Y261" s="63"/>
      <c r="Z261" s="63"/>
      <c r="AA261" s="63"/>
    </row>
    <row r="262" s="59" customFormat="1" ht="16.5" outlineLevel="7" spans="1:27">
      <c r="A262" s="79"/>
      <c r="B262" s="123" t="s">
        <v>192</v>
      </c>
      <c r="C262" s="124">
        <v>400187</v>
      </c>
      <c r="D262" s="125" t="s">
        <v>517</v>
      </c>
      <c r="E262" s="126">
        <v>45657</v>
      </c>
      <c r="F262" s="111">
        <v>120</v>
      </c>
      <c r="G262" s="127">
        <v>0.05</v>
      </c>
      <c r="H262" s="128">
        <v>4600</v>
      </c>
      <c r="I262" s="113">
        <v>582.72</v>
      </c>
      <c r="J262" s="113">
        <v>0</v>
      </c>
      <c r="K262" s="114">
        <f t="shared" si="18"/>
        <v>4017.28</v>
      </c>
      <c r="L262" s="128">
        <v>145.68</v>
      </c>
      <c r="M262" s="115"/>
      <c r="N262" s="116"/>
      <c r="O262" s="117">
        <f t="shared" si="19"/>
        <v>49309</v>
      </c>
      <c r="P262" s="118">
        <f t="shared" si="20"/>
        <v>4</v>
      </c>
      <c r="Q262" s="119">
        <f t="shared" si="21"/>
        <v>145.666666666667</v>
      </c>
      <c r="R262" s="119">
        <f t="shared" si="22"/>
        <v>-0.0133333333333496</v>
      </c>
      <c r="S262" s="120" t="s">
        <v>106</v>
      </c>
      <c r="U262" s="67"/>
      <c r="V262" s="121"/>
      <c r="W262" s="122"/>
      <c r="X262" s="63"/>
      <c r="Y262" s="63"/>
      <c r="Z262" s="63"/>
      <c r="AA262" s="63"/>
    </row>
    <row r="263" s="59" customFormat="1" ht="16.5" outlineLevel="7" spans="1:27">
      <c r="A263" s="79"/>
      <c r="B263" s="107" t="s">
        <v>192</v>
      </c>
      <c r="C263" s="108">
        <v>400188</v>
      </c>
      <c r="D263" s="109" t="s">
        <v>517</v>
      </c>
      <c r="E263" s="110">
        <v>45657</v>
      </c>
      <c r="F263" s="111">
        <v>120</v>
      </c>
      <c r="G263" s="112">
        <v>0.05</v>
      </c>
      <c r="H263" s="113">
        <v>4600</v>
      </c>
      <c r="I263" s="113">
        <v>582.72</v>
      </c>
      <c r="J263" s="113">
        <v>0</v>
      </c>
      <c r="K263" s="114">
        <f t="shared" si="18"/>
        <v>4017.28</v>
      </c>
      <c r="L263" s="113">
        <v>145.68</v>
      </c>
      <c r="M263" s="115"/>
      <c r="N263" s="116"/>
      <c r="O263" s="117">
        <f t="shared" si="19"/>
        <v>49309</v>
      </c>
      <c r="P263" s="118">
        <f t="shared" si="20"/>
        <v>4</v>
      </c>
      <c r="Q263" s="119">
        <f t="shared" si="21"/>
        <v>145.666666666667</v>
      </c>
      <c r="R263" s="119">
        <f t="shared" si="22"/>
        <v>-0.0133333333333496</v>
      </c>
      <c r="S263" s="120" t="s">
        <v>106</v>
      </c>
      <c r="U263" s="67"/>
      <c r="V263" s="121"/>
      <c r="W263" s="122"/>
      <c r="X263" s="63"/>
      <c r="Y263" s="63"/>
      <c r="Z263" s="63"/>
      <c r="AA263" s="63"/>
    </row>
    <row r="264" s="59" customFormat="1" ht="16.5" outlineLevel="7" spans="1:27">
      <c r="A264" s="79"/>
      <c r="B264" s="107" t="s">
        <v>192</v>
      </c>
      <c r="C264" s="108">
        <v>400189</v>
      </c>
      <c r="D264" s="109" t="s">
        <v>517</v>
      </c>
      <c r="E264" s="110">
        <v>45657</v>
      </c>
      <c r="F264" s="111">
        <v>120</v>
      </c>
      <c r="G264" s="112">
        <v>0.05</v>
      </c>
      <c r="H264" s="113">
        <v>20000</v>
      </c>
      <c r="I264" s="113">
        <v>2533.28</v>
      </c>
      <c r="J264" s="113">
        <v>0</v>
      </c>
      <c r="K264" s="114">
        <f t="shared" si="18"/>
        <v>17466.72</v>
      </c>
      <c r="L264" s="113">
        <v>633.32</v>
      </c>
      <c r="M264" s="115"/>
      <c r="N264" s="116"/>
      <c r="O264" s="117">
        <f t="shared" si="19"/>
        <v>49309</v>
      </c>
      <c r="P264" s="118">
        <f t="shared" si="20"/>
        <v>4</v>
      </c>
      <c r="Q264" s="119">
        <f t="shared" si="21"/>
        <v>633.333333333333</v>
      </c>
      <c r="R264" s="119">
        <f t="shared" si="22"/>
        <v>0.0133333333333212</v>
      </c>
      <c r="S264" s="120" t="s">
        <v>106</v>
      </c>
      <c r="U264" s="67"/>
      <c r="V264" s="121"/>
      <c r="W264" s="122"/>
      <c r="X264" s="63"/>
      <c r="Y264" s="63"/>
      <c r="Z264" s="63"/>
      <c r="AA264" s="63"/>
    </row>
    <row r="265" s="59" customFormat="1" ht="16.5" outlineLevel="7" spans="1:27">
      <c r="A265" s="79"/>
      <c r="B265" s="123" t="s">
        <v>192</v>
      </c>
      <c r="C265" s="124">
        <v>400190</v>
      </c>
      <c r="D265" s="125" t="s">
        <v>517</v>
      </c>
      <c r="E265" s="126">
        <v>45657</v>
      </c>
      <c r="F265" s="111">
        <v>120</v>
      </c>
      <c r="G265" s="127">
        <v>0.05</v>
      </c>
      <c r="H265" s="128">
        <v>4600</v>
      </c>
      <c r="I265" s="113">
        <v>582.72</v>
      </c>
      <c r="J265" s="113">
        <v>0</v>
      </c>
      <c r="K265" s="114">
        <f t="shared" ref="K265:K328" si="23">H265-I265-J265</f>
        <v>4017.28</v>
      </c>
      <c r="L265" s="128">
        <v>145.68</v>
      </c>
      <c r="M265" s="115"/>
      <c r="N265" s="116"/>
      <c r="O265" s="117">
        <f t="shared" ref="O265:O328" si="24">IFERROR(EOMONTH(E265,F265),"")</f>
        <v>49309</v>
      </c>
      <c r="P265" s="118">
        <f t="shared" ref="P265:P328" si="25">IFERROR(IF(OR(AND(M265&lt;&gt;"",YEAR(M265)&lt;YEAR($L$6)),AND(O265&lt;&gt;"",YEAR(O265)&lt;YEAR($L$6))),0,IF(YEAR(E265)&gt;YEAR($L$6),0,IF(OR((IF(YEAR(E265)&lt;YEAR($L$6),1,IF(MONTH(E265)=12,99,MONTH(E265)+1))&gt;12),(IF(YEAR(E265)&lt;YEAR($L$6),1,IF(MONTH(E265)=12,99,MONTH(E265)+1))&gt;MIN(MONTH($L$6),IF(AND(M265&lt;&gt;"",YEAR(M265)=YEAR($L$6)),MONTH(M265),99),IF(AND(O265&lt;&gt;"",YEAR(O265)=YEAR($L$6)),MONTH(O265),99)))),0,MIN(MONTH($L$6),IF(AND(M265&lt;&gt;"",YEAR(M265)=YEAR($L$6)),MONTH(M265),99),IF(AND(O265&lt;&gt;"",YEAR(O265)=YEAR($L$6)),MONTH(O265),99))-IF(YEAR(E265)&lt;YEAR($L$6),1,IF(MONTH(E265)=12,99,MONTH(E265)+1))+1))),0)</f>
        <v>4</v>
      </c>
      <c r="Q265" s="119">
        <f t="shared" si="21"/>
        <v>145.666666666667</v>
      </c>
      <c r="R265" s="119">
        <f t="shared" si="22"/>
        <v>-0.0133333333333496</v>
      </c>
      <c r="S265" s="120" t="s">
        <v>106</v>
      </c>
      <c r="U265" s="67"/>
      <c r="V265" s="121"/>
      <c r="W265" s="122"/>
      <c r="X265" s="63"/>
      <c r="Y265" s="63"/>
      <c r="Z265" s="63"/>
      <c r="AA265" s="63"/>
    </row>
    <row r="266" s="59" customFormat="1" ht="16.5" outlineLevel="7" spans="1:27">
      <c r="A266" s="79"/>
      <c r="B266" s="123" t="s">
        <v>192</v>
      </c>
      <c r="C266" s="124">
        <v>400191</v>
      </c>
      <c r="D266" s="125" t="s">
        <v>517</v>
      </c>
      <c r="E266" s="126">
        <v>45657</v>
      </c>
      <c r="F266" s="111">
        <v>120</v>
      </c>
      <c r="G266" s="127">
        <v>0.05</v>
      </c>
      <c r="H266" s="128">
        <v>4600</v>
      </c>
      <c r="I266" s="113">
        <v>582.72</v>
      </c>
      <c r="J266" s="113">
        <v>0</v>
      </c>
      <c r="K266" s="114">
        <f t="shared" si="23"/>
        <v>4017.28</v>
      </c>
      <c r="L266" s="128">
        <v>145.68</v>
      </c>
      <c r="M266" s="115"/>
      <c r="N266" s="116"/>
      <c r="O266" s="117">
        <f t="shared" si="24"/>
        <v>49309</v>
      </c>
      <c r="P266" s="118">
        <f t="shared" si="25"/>
        <v>4</v>
      </c>
      <c r="Q266" s="119">
        <f t="shared" si="21"/>
        <v>145.666666666667</v>
      </c>
      <c r="R266" s="119">
        <f t="shared" si="22"/>
        <v>-0.0133333333333496</v>
      </c>
      <c r="S266" s="120" t="s">
        <v>106</v>
      </c>
      <c r="U266" s="67"/>
      <c r="V266" s="121"/>
      <c r="W266" s="122"/>
      <c r="X266" s="63"/>
      <c r="Y266" s="63"/>
      <c r="Z266" s="63"/>
      <c r="AA266" s="63"/>
    </row>
    <row r="267" s="59" customFormat="1" ht="16.5" outlineLevel="7" spans="1:27">
      <c r="A267" s="79"/>
      <c r="B267" s="123" t="s">
        <v>192</v>
      </c>
      <c r="C267" s="124">
        <v>400192</v>
      </c>
      <c r="D267" s="125" t="s">
        <v>517</v>
      </c>
      <c r="E267" s="126">
        <v>45657</v>
      </c>
      <c r="F267" s="111">
        <v>120</v>
      </c>
      <c r="G267" s="127">
        <v>0.05</v>
      </c>
      <c r="H267" s="128">
        <v>4600</v>
      </c>
      <c r="I267" s="113">
        <v>582.72</v>
      </c>
      <c r="J267" s="113">
        <v>0</v>
      </c>
      <c r="K267" s="114">
        <f t="shared" si="23"/>
        <v>4017.28</v>
      </c>
      <c r="L267" s="128">
        <v>145.68</v>
      </c>
      <c r="M267" s="115"/>
      <c r="N267" s="116"/>
      <c r="O267" s="117">
        <f t="shared" si="24"/>
        <v>49309</v>
      </c>
      <c r="P267" s="118">
        <f t="shared" si="25"/>
        <v>4</v>
      </c>
      <c r="Q267" s="119">
        <f t="shared" si="21"/>
        <v>145.666666666667</v>
      </c>
      <c r="R267" s="119">
        <f t="shared" si="22"/>
        <v>-0.0133333333333496</v>
      </c>
      <c r="S267" s="120" t="s">
        <v>106</v>
      </c>
      <c r="U267" s="67"/>
      <c r="V267" s="121"/>
      <c r="W267" s="122"/>
      <c r="X267" s="63"/>
      <c r="Y267" s="63"/>
      <c r="Z267" s="63"/>
      <c r="AA267" s="63"/>
    </row>
    <row r="268" s="59" customFormat="1" ht="16.5" outlineLevel="7" spans="1:27">
      <c r="A268" s="79"/>
      <c r="B268" s="123" t="s">
        <v>192</v>
      </c>
      <c r="C268" s="124">
        <v>400193</v>
      </c>
      <c r="D268" s="125" t="s">
        <v>517</v>
      </c>
      <c r="E268" s="126">
        <v>45657</v>
      </c>
      <c r="F268" s="111">
        <v>120</v>
      </c>
      <c r="G268" s="127">
        <v>0.05</v>
      </c>
      <c r="H268" s="128">
        <v>4600</v>
      </c>
      <c r="I268" s="113">
        <v>582.72</v>
      </c>
      <c r="J268" s="113">
        <v>0</v>
      </c>
      <c r="K268" s="114">
        <f t="shared" si="23"/>
        <v>4017.28</v>
      </c>
      <c r="L268" s="128">
        <v>145.68</v>
      </c>
      <c r="M268" s="115"/>
      <c r="N268" s="116"/>
      <c r="O268" s="117">
        <f t="shared" si="24"/>
        <v>49309</v>
      </c>
      <c r="P268" s="118">
        <f t="shared" si="25"/>
        <v>4</v>
      </c>
      <c r="Q268" s="119">
        <f t="shared" si="21"/>
        <v>145.666666666667</v>
      </c>
      <c r="R268" s="119">
        <f t="shared" si="22"/>
        <v>-0.0133333333333496</v>
      </c>
      <c r="S268" s="120" t="s">
        <v>106</v>
      </c>
      <c r="U268" s="67"/>
      <c r="V268" s="121"/>
      <c r="W268" s="122"/>
      <c r="X268" s="63"/>
      <c r="Y268" s="63"/>
      <c r="Z268" s="63"/>
      <c r="AA268" s="63"/>
    </row>
    <row r="269" s="59" customFormat="1" ht="16.5" outlineLevel="7" spans="1:27">
      <c r="A269" s="79"/>
      <c r="B269" s="123" t="s">
        <v>192</v>
      </c>
      <c r="C269" s="124">
        <v>400194</v>
      </c>
      <c r="D269" s="125" t="s">
        <v>517</v>
      </c>
      <c r="E269" s="126">
        <v>45657</v>
      </c>
      <c r="F269" s="111">
        <v>120</v>
      </c>
      <c r="G269" s="127">
        <v>0.05</v>
      </c>
      <c r="H269" s="128">
        <v>4600</v>
      </c>
      <c r="I269" s="113">
        <v>582.72</v>
      </c>
      <c r="J269" s="113">
        <v>0</v>
      </c>
      <c r="K269" s="114">
        <f t="shared" si="23"/>
        <v>4017.28</v>
      </c>
      <c r="L269" s="128">
        <v>145.68</v>
      </c>
      <c r="M269" s="115"/>
      <c r="N269" s="116"/>
      <c r="O269" s="117">
        <f t="shared" si="24"/>
        <v>49309</v>
      </c>
      <c r="P269" s="118">
        <f t="shared" si="25"/>
        <v>4</v>
      </c>
      <c r="Q269" s="119">
        <f t="shared" si="21"/>
        <v>145.666666666667</v>
      </c>
      <c r="R269" s="119">
        <f t="shared" si="22"/>
        <v>-0.0133333333333496</v>
      </c>
      <c r="S269" s="120" t="s">
        <v>106</v>
      </c>
      <c r="U269" s="67"/>
      <c r="V269" s="121"/>
      <c r="W269" s="122"/>
      <c r="X269" s="63"/>
      <c r="Y269" s="63"/>
      <c r="Z269" s="63"/>
      <c r="AA269" s="63"/>
    </row>
    <row r="270" s="59" customFormat="1" ht="16.5" outlineLevel="7" spans="1:27">
      <c r="A270" s="79"/>
      <c r="B270" s="107" t="s">
        <v>192</v>
      </c>
      <c r="C270" s="108">
        <v>400195</v>
      </c>
      <c r="D270" s="109" t="s">
        <v>517</v>
      </c>
      <c r="E270" s="110">
        <v>45657</v>
      </c>
      <c r="F270" s="111">
        <v>120</v>
      </c>
      <c r="G270" s="112">
        <v>0.05</v>
      </c>
      <c r="H270" s="113">
        <v>4600</v>
      </c>
      <c r="I270" s="113">
        <v>582.72</v>
      </c>
      <c r="J270" s="113">
        <v>0</v>
      </c>
      <c r="K270" s="114">
        <f t="shared" si="23"/>
        <v>4017.28</v>
      </c>
      <c r="L270" s="113">
        <v>145.68</v>
      </c>
      <c r="M270" s="115"/>
      <c r="N270" s="116"/>
      <c r="O270" s="117">
        <f t="shared" si="24"/>
        <v>49309</v>
      </c>
      <c r="P270" s="118">
        <f t="shared" si="25"/>
        <v>4</v>
      </c>
      <c r="Q270" s="119">
        <f t="shared" si="21"/>
        <v>145.666666666667</v>
      </c>
      <c r="R270" s="119">
        <f t="shared" si="22"/>
        <v>-0.0133333333333496</v>
      </c>
      <c r="S270" s="120" t="s">
        <v>106</v>
      </c>
      <c r="U270" s="67"/>
      <c r="V270" s="121"/>
      <c r="W270" s="122"/>
      <c r="X270" s="63"/>
      <c r="Y270" s="63"/>
      <c r="Z270" s="63"/>
      <c r="AA270" s="63"/>
    </row>
    <row r="271" s="59" customFormat="1" ht="16.5" outlineLevel="7" spans="1:27">
      <c r="A271" s="79"/>
      <c r="B271" s="107" t="s">
        <v>192</v>
      </c>
      <c r="C271" s="108">
        <v>400196</v>
      </c>
      <c r="D271" s="109" t="s">
        <v>517</v>
      </c>
      <c r="E271" s="110">
        <v>45657</v>
      </c>
      <c r="F271" s="111">
        <v>120</v>
      </c>
      <c r="G271" s="112">
        <v>0.05</v>
      </c>
      <c r="H271" s="113">
        <v>4600</v>
      </c>
      <c r="I271" s="113">
        <v>582.72</v>
      </c>
      <c r="J271" s="113">
        <v>0</v>
      </c>
      <c r="K271" s="114">
        <f t="shared" si="23"/>
        <v>4017.28</v>
      </c>
      <c r="L271" s="113">
        <v>145.68</v>
      </c>
      <c r="M271" s="115"/>
      <c r="N271" s="116"/>
      <c r="O271" s="117">
        <f t="shared" si="24"/>
        <v>49309</v>
      </c>
      <c r="P271" s="118">
        <f t="shared" si="25"/>
        <v>4</v>
      </c>
      <c r="Q271" s="119">
        <f t="shared" si="21"/>
        <v>145.666666666667</v>
      </c>
      <c r="R271" s="119">
        <f t="shared" si="22"/>
        <v>-0.0133333333333496</v>
      </c>
      <c r="S271" s="120" t="s">
        <v>106</v>
      </c>
      <c r="U271" s="67"/>
      <c r="V271" s="121"/>
      <c r="W271" s="122"/>
      <c r="X271" s="63"/>
      <c r="Y271" s="63"/>
      <c r="Z271" s="63"/>
      <c r="AA271" s="63"/>
    </row>
    <row r="272" s="59" customFormat="1" ht="16.5" outlineLevel="7" spans="1:27">
      <c r="A272" s="79"/>
      <c r="B272" s="123" t="s">
        <v>192</v>
      </c>
      <c r="C272" s="124">
        <v>400197</v>
      </c>
      <c r="D272" s="125" t="s">
        <v>524</v>
      </c>
      <c r="E272" s="126">
        <v>45657</v>
      </c>
      <c r="F272" s="111">
        <v>120</v>
      </c>
      <c r="G272" s="127">
        <v>0.05</v>
      </c>
      <c r="H272" s="128">
        <v>850000</v>
      </c>
      <c r="I272" s="113">
        <v>107666.72</v>
      </c>
      <c r="J272" s="113">
        <v>0</v>
      </c>
      <c r="K272" s="114">
        <f t="shared" si="23"/>
        <v>742333.28</v>
      </c>
      <c r="L272" s="128">
        <v>26916.68</v>
      </c>
      <c r="M272" s="115"/>
      <c r="N272" s="116"/>
      <c r="O272" s="117">
        <f t="shared" si="24"/>
        <v>49309</v>
      </c>
      <c r="P272" s="118">
        <f t="shared" si="25"/>
        <v>4</v>
      </c>
      <c r="Q272" s="119">
        <f t="shared" si="21"/>
        <v>26916.6666666667</v>
      </c>
      <c r="R272" s="119">
        <f t="shared" si="22"/>
        <v>-0.0133333333324117</v>
      </c>
      <c r="S272" s="120" t="s">
        <v>106</v>
      </c>
      <c r="U272" s="67"/>
      <c r="V272" s="121"/>
      <c r="W272" s="122"/>
      <c r="X272" s="63"/>
      <c r="Y272" s="63"/>
      <c r="Z272" s="63"/>
      <c r="AA272" s="63"/>
    </row>
    <row r="273" s="59" customFormat="1" ht="16.5" outlineLevel="7" spans="1:27">
      <c r="A273" s="79"/>
      <c r="B273" s="123" t="s">
        <v>192</v>
      </c>
      <c r="C273" s="124">
        <v>400198</v>
      </c>
      <c r="D273" s="125" t="s">
        <v>502</v>
      </c>
      <c r="E273" s="126">
        <v>45657</v>
      </c>
      <c r="F273" s="111">
        <v>120</v>
      </c>
      <c r="G273" s="127">
        <v>0.05</v>
      </c>
      <c r="H273" s="128">
        <v>800000</v>
      </c>
      <c r="I273" s="113">
        <v>101333.28</v>
      </c>
      <c r="J273" s="113">
        <v>0</v>
      </c>
      <c r="K273" s="114">
        <f t="shared" si="23"/>
        <v>698666.72</v>
      </c>
      <c r="L273" s="128">
        <v>25333.32</v>
      </c>
      <c r="M273" s="115"/>
      <c r="N273" s="116"/>
      <c r="O273" s="117">
        <f t="shared" si="24"/>
        <v>49309</v>
      </c>
      <c r="P273" s="118">
        <f t="shared" si="25"/>
        <v>4</v>
      </c>
      <c r="Q273" s="119">
        <f t="shared" si="21"/>
        <v>25333.3333333333</v>
      </c>
      <c r="R273" s="119">
        <f t="shared" si="22"/>
        <v>0.0133333333324117</v>
      </c>
      <c r="S273" s="120" t="s">
        <v>106</v>
      </c>
      <c r="U273" s="67"/>
      <c r="V273" s="121"/>
      <c r="W273" s="122"/>
      <c r="X273" s="63"/>
      <c r="Y273" s="63"/>
      <c r="Z273" s="63"/>
      <c r="AA273" s="63"/>
    </row>
    <row r="274" s="59" customFormat="1" ht="16.5" outlineLevel="7" spans="1:27">
      <c r="A274" s="79"/>
      <c r="B274" s="123" t="s">
        <v>192</v>
      </c>
      <c r="C274" s="124">
        <v>400199</v>
      </c>
      <c r="D274" s="125" t="s">
        <v>294</v>
      </c>
      <c r="E274" s="126">
        <v>45657</v>
      </c>
      <c r="F274" s="111">
        <v>120</v>
      </c>
      <c r="G274" s="127">
        <v>0.05</v>
      </c>
      <c r="H274" s="128">
        <v>9500</v>
      </c>
      <c r="I274" s="113">
        <v>1203.36</v>
      </c>
      <c r="J274" s="113">
        <v>0</v>
      </c>
      <c r="K274" s="114">
        <f t="shared" si="23"/>
        <v>8296.64</v>
      </c>
      <c r="L274" s="128">
        <v>300.84</v>
      </c>
      <c r="M274" s="115"/>
      <c r="N274" s="116"/>
      <c r="O274" s="117">
        <f t="shared" si="24"/>
        <v>49309</v>
      </c>
      <c r="P274" s="118">
        <f t="shared" si="25"/>
        <v>4</v>
      </c>
      <c r="Q274" s="119">
        <f t="shared" si="21"/>
        <v>300.833333333333</v>
      </c>
      <c r="R274" s="119">
        <f t="shared" si="22"/>
        <v>-0.0066666666666606</v>
      </c>
      <c r="S274" s="120" t="s">
        <v>106</v>
      </c>
      <c r="U274" s="67"/>
      <c r="V274" s="121"/>
      <c r="W274" s="122"/>
      <c r="X274" s="63"/>
      <c r="Y274" s="63"/>
      <c r="Z274" s="63"/>
      <c r="AA274" s="63"/>
    </row>
    <row r="275" s="59" customFormat="1" ht="16.5" outlineLevel="7" spans="1:27">
      <c r="A275" s="79"/>
      <c r="B275" s="123" t="s">
        <v>192</v>
      </c>
      <c r="C275" s="124">
        <v>400200</v>
      </c>
      <c r="D275" s="125" t="s">
        <v>294</v>
      </c>
      <c r="E275" s="126">
        <v>45657</v>
      </c>
      <c r="F275" s="111">
        <v>120</v>
      </c>
      <c r="G275" s="127">
        <v>0.05</v>
      </c>
      <c r="H275" s="128">
        <v>9500</v>
      </c>
      <c r="I275" s="113">
        <v>1203.36</v>
      </c>
      <c r="J275" s="113">
        <v>0</v>
      </c>
      <c r="K275" s="114">
        <f t="shared" si="23"/>
        <v>8296.64</v>
      </c>
      <c r="L275" s="128">
        <v>300.84</v>
      </c>
      <c r="M275" s="115"/>
      <c r="N275" s="116"/>
      <c r="O275" s="117">
        <f t="shared" si="24"/>
        <v>49309</v>
      </c>
      <c r="P275" s="118">
        <f t="shared" si="25"/>
        <v>4</v>
      </c>
      <c r="Q275" s="119">
        <f t="shared" si="21"/>
        <v>300.833333333333</v>
      </c>
      <c r="R275" s="119">
        <f t="shared" si="22"/>
        <v>-0.0066666666666606</v>
      </c>
      <c r="S275" s="120" t="s">
        <v>106</v>
      </c>
      <c r="U275" s="67"/>
      <c r="V275" s="121"/>
      <c r="W275" s="122"/>
      <c r="X275" s="63"/>
      <c r="Y275" s="63"/>
      <c r="Z275" s="63"/>
      <c r="AA275" s="63"/>
    </row>
    <row r="276" s="59" customFormat="1" ht="16.5" outlineLevel="7" spans="1:27">
      <c r="A276" s="79"/>
      <c r="B276" s="123" t="s">
        <v>192</v>
      </c>
      <c r="C276" s="124">
        <v>400201</v>
      </c>
      <c r="D276" s="125" t="s">
        <v>294</v>
      </c>
      <c r="E276" s="126">
        <v>45657</v>
      </c>
      <c r="F276" s="111">
        <v>120</v>
      </c>
      <c r="G276" s="127">
        <v>0.05</v>
      </c>
      <c r="H276" s="128">
        <v>9500</v>
      </c>
      <c r="I276" s="113">
        <v>1203.36</v>
      </c>
      <c r="J276" s="113">
        <v>0</v>
      </c>
      <c r="K276" s="114">
        <f t="shared" si="23"/>
        <v>8296.64</v>
      </c>
      <c r="L276" s="128">
        <v>300.84</v>
      </c>
      <c r="M276" s="115"/>
      <c r="N276" s="116"/>
      <c r="O276" s="117">
        <f t="shared" si="24"/>
        <v>49309</v>
      </c>
      <c r="P276" s="118">
        <f t="shared" si="25"/>
        <v>4</v>
      </c>
      <c r="Q276" s="119">
        <f t="shared" si="21"/>
        <v>300.833333333333</v>
      </c>
      <c r="R276" s="119">
        <f t="shared" si="22"/>
        <v>-0.0066666666666606</v>
      </c>
      <c r="S276" s="120" t="s">
        <v>106</v>
      </c>
      <c r="U276" s="67"/>
      <c r="V276" s="121"/>
      <c r="W276" s="122"/>
      <c r="X276" s="63"/>
      <c r="Y276" s="63"/>
      <c r="Z276" s="63"/>
      <c r="AA276" s="63"/>
    </row>
    <row r="277" s="59" customFormat="1" ht="16.5" outlineLevel="7" spans="1:27">
      <c r="A277" s="79"/>
      <c r="B277" s="107" t="s">
        <v>195</v>
      </c>
      <c r="C277" s="108">
        <v>100206</v>
      </c>
      <c r="D277" s="109" t="s">
        <v>527</v>
      </c>
      <c r="E277" s="110">
        <v>44804</v>
      </c>
      <c r="F277" s="111">
        <v>36</v>
      </c>
      <c r="G277" s="112">
        <v>0.05</v>
      </c>
      <c r="H277" s="113">
        <v>928.32</v>
      </c>
      <c r="I277" s="113">
        <v>881.9</v>
      </c>
      <c r="J277" s="113">
        <v>0</v>
      </c>
      <c r="K277" s="114">
        <f t="shared" si="23"/>
        <v>46.4200000000001</v>
      </c>
      <c r="L277" s="113">
        <v>0</v>
      </c>
      <c r="M277" s="115"/>
      <c r="N277" s="116"/>
      <c r="O277" s="117">
        <f t="shared" si="24"/>
        <v>45900</v>
      </c>
      <c r="P277" s="118">
        <f t="shared" si="25"/>
        <v>0</v>
      </c>
      <c r="Q277" s="119">
        <f t="shared" si="21"/>
        <v>0</v>
      </c>
      <c r="R277" s="119">
        <f t="shared" si="22"/>
        <v>0</v>
      </c>
      <c r="S277" s="120" t="s">
        <v>106</v>
      </c>
      <c r="U277" s="67"/>
      <c r="V277" s="121"/>
      <c r="W277" s="122"/>
      <c r="X277" s="63"/>
      <c r="Y277" s="63"/>
      <c r="Z277" s="63"/>
      <c r="AA277" s="63"/>
    </row>
    <row r="278" s="59" customFormat="1" ht="16.5" outlineLevel="7" spans="1:27">
      <c r="A278" s="79"/>
      <c r="B278" s="107" t="s">
        <v>195</v>
      </c>
      <c r="C278" s="108">
        <v>100207</v>
      </c>
      <c r="D278" s="109" t="s">
        <v>528</v>
      </c>
      <c r="E278" s="110">
        <v>44804</v>
      </c>
      <c r="F278" s="111">
        <v>36</v>
      </c>
      <c r="G278" s="112">
        <v>0.05</v>
      </c>
      <c r="H278" s="113">
        <v>867.26</v>
      </c>
      <c r="I278" s="113">
        <v>823.9</v>
      </c>
      <c r="J278" s="113">
        <v>0</v>
      </c>
      <c r="K278" s="114">
        <f t="shared" si="23"/>
        <v>43.36</v>
      </c>
      <c r="L278" s="113">
        <v>0</v>
      </c>
      <c r="M278" s="115"/>
      <c r="N278" s="116"/>
      <c r="O278" s="117">
        <f t="shared" si="24"/>
        <v>45900</v>
      </c>
      <c r="P278" s="118">
        <f t="shared" si="25"/>
        <v>0</v>
      </c>
      <c r="Q278" s="119">
        <f t="shared" si="21"/>
        <v>0</v>
      </c>
      <c r="R278" s="119">
        <f t="shared" si="22"/>
        <v>0</v>
      </c>
      <c r="S278" s="120" t="s">
        <v>106</v>
      </c>
      <c r="U278" s="67"/>
      <c r="V278" s="121"/>
      <c r="W278" s="122"/>
      <c r="X278" s="63"/>
      <c r="Y278" s="63"/>
      <c r="Z278" s="63"/>
      <c r="AA278" s="63"/>
    </row>
    <row r="279" s="59" customFormat="1" ht="16.5" outlineLevel="7" spans="1:27">
      <c r="A279" s="79"/>
      <c r="B279" s="123" t="s">
        <v>195</v>
      </c>
      <c r="C279" s="124">
        <v>100208</v>
      </c>
      <c r="D279" s="125" t="s">
        <v>529</v>
      </c>
      <c r="E279" s="126">
        <v>44804</v>
      </c>
      <c r="F279" s="111">
        <v>36</v>
      </c>
      <c r="G279" s="127">
        <v>0.05</v>
      </c>
      <c r="H279" s="128">
        <v>3892.92</v>
      </c>
      <c r="I279" s="113">
        <v>3698.27</v>
      </c>
      <c r="J279" s="113">
        <v>0</v>
      </c>
      <c r="K279" s="114">
        <f t="shared" si="23"/>
        <v>194.65</v>
      </c>
      <c r="L279" s="128">
        <v>0</v>
      </c>
      <c r="M279" s="115"/>
      <c r="N279" s="116"/>
      <c r="O279" s="117">
        <f t="shared" si="24"/>
        <v>45900</v>
      </c>
      <c r="P279" s="118">
        <f t="shared" si="25"/>
        <v>0</v>
      </c>
      <c r="Q279" s="119">
        <f t="shared" ref="Q279:Q342" si="26">IFERROR(IF(N279=0,(H279*(1-G279))/F279*P279,(N279*(1-G279))/F279*P279),0)</f>
        <v>0</v>
      </c>
      <c r="R279" s="119">
        <f t="shared" ref="R279:R342" si="27">Q279-L279</f>
        <v>0</v>
      </c>
      <c r="S279" s="120" t="s">
        <v>106</v>
      </c>
      <c r="U279" s="67"/>
      <c r="V279" s="121"/>
      <c r="W279" s="122"/>
      <c r="X279" s="63"/>
      <c r="Y279" s="63"/>
      <c r="Z279" s="63"/>
      <c r="AA279" s="63"/>
    </row>
    <row r="280" s="59" customFormat="1" ht="16.5" outlineLevel="7" spans="1:27">
      <c r="A280" s="79"/>
      <c r="B280" s="123" t="s">
        <v>195</v>
      </c>
      <c r="C280" s="124">
        <v>100209</v>
      </c>
      <c r="D280" s="125" t="s">
        <v>529</v>
      </c>
      <c r="E280" s="126">
        <v>44804</v>
      </c>
      <c r="F280" s="111">
        <v>36</v>
      </c>
      <c r="G280" s="127">
        <v>0.05</v>
      </c>
      <c r="H280" s="128">
        <v>3892.92</v>
      </c>
      <c r="I280" s="113">
        <v>3698.27</v>
      </c>
      <c r="J280" s="113">
        <v>0</v>
      </c>
      <c r="K280" s="114">
        <f t="shared" si="23"/>
        <v>194.65</v>
      </c>
      <c r="L280" s="128">
        <v>0</v>
      </c>
      <c r="M280" s="115"/>
      <c r="N280" s="116"/>
      <c r="O280" s="117">
        <f t="shared" si="24"/>
        <v>45900</v>
      </c>
      <c r="P280" s="118">
        <f t="shared" si="25"/>
        <v>0</v>
      </c>
      <c r="Q280" s="119">
        <f t="shared" si="26"/>
        <v>0</v>
      </c>
      <c r="R280" s="119">
        <f t="shared" si="27"/>
        <v>0</v>
      </c>
      <c r="S280" s="120" t="s">
        <v>106</v>
      </c>
      <c r="U280" s="67"/>
      <c r="V280" s="121"/>
      <c r="W280" s="122"/>
      <c r="X280" s="63"/>
      <c r="Y280" s="63"/>
      <c r="Z280" s="63"/>
      <c r="AA280" s="63"/>
    </row>
    <row r="281" s="59" customFormat="1" ht="16.5" outlineLevel="7" spans="1:27">
      <c r="A281" s="79"/>
      <c r="B281" s="123" t="s">
        <v>195</v>
      </c>
      <c r="C281" s="124">
        <v>100210</v>
      </c>
      <c r="D281" s="125" t="s">
        <v>529</v>
      </c>
      <c r="E281" s="126">
        <v>44804</v>
      </c>
      <c r="F281" s="111">
        <v>36</v>
      </c>
      <c r="G281" s="127">
        <v>0.05</v>
      </c>
      <c r="H281" s="128">
        <v>3892.92</v>
      </c>
      <c r="I281" s="113">
        <v>3698.27</v>
      </c>
      <c r="J281" s="113">
        <v>0</v>
      </c>
      <c r="K281" s="114">
        <f t="shared" si="23"/>
        <v>194.65</v>
      </c>
      <c r="L281" s="128">
        <v>0</v>
      </c>
      <c r="M281" s="115"/>
      <c r="N281" s="116"/>
      <c r="O281" s="117">
        <f t="shared" si="24"/>
        <v>45900</v>
      </c>
      <c r="P281" s="118">
        <f t="shared" si="25"/>
        <v>0</v>
      </c>
      <c r="Q281" s="119">
        <f t="shared" si="26"/>
        <v>0</v>
      </c>
      <c r="R281" s="119">
        <f t="shared" si="27"/>
        <v>0</v>
      </c>
      <c r="S281" s="120" t="s">
        <v>106</v>
      </c>
      <c r="U281" s="67"/>
      <c r="V281" s="121"/>
      <c r="W281" s="122"/>
      <c r="X281" s="63"/>
      <c r="Y281" s="63"/>
      <c r="Z281" s="63"/>
      <c r="AA281" s="63"/>
    </row>
    <row r="282" s="59" customFormat="1" ht="16.5" outlineLevel="7" spans="1:27">
      <c r="A282" s="79"/>
      <c r="B282" s="123" t="s">
        <v>195</v>
      </c>
      <c r="C282" s="124">
        <v>100211</v>
      </c>
      <c r="D282" s="125" t="s">
        <v>530</v>
      </c>
      <c r="E282" s="126">
        <v>44805</v>
      </c>
      <c r="F282" s="111">
        <v>36</v>
      </c>
      <c r="G282" s="127">
        <v>0.05</v>
      </c>
      <c r="H282" s="128">
        <v>1193.81</v>
      </c>
      <c r="I282" s="113">
        <v>1134.12</v>
      </c>
      <c r="J282" s="113">
        <v>0</v>
      </c>
      <c r="K282" s="114">
        <f t="shared" si="23"/>
        <v>59.6900000000001</v>
      </c>
      <c r="L282" s="128">
        <v>0</v>
      </c>
      <c r="M282" s="115"/>
      <c r="N282" s="116"/>
      <c r="O282" s="117">
        <f t="shared" si="24"/>
        <v>45930</v>
      </c>
      <c r="P282" s="118">
        <f t="shared" si="25"/>
        <v>0</v>
      </c>
      <c r="Q282" s="119">
        <f t="shared" si="26"/>
        <v>0</v>
      </c>
      <c r="R282" s="119">
        <f t="shared" si="27"/>
        <v>0</v>
      </c>
      <c r="S282" s="120" t="s">
        <v>106</v>
      </c>
      <c r="U282" s="67"/>
      <c r="V282" s="121"/>
      <c r="W282" s="122"/>
      <c r="X282" s="63"/>
      <c r="Y282" s="63"/>
      <c r="Z282" s="63"/>
      <c r="AA282" s="63"/>
    </row>
    <row r="283" s="59" customFormat="1" ht="16.5" outlineLevel="7" spans="1:27">
      <c r="A283" s="79"/>
      <c r="B283" s="123" t="s">
        <v>195</v>
      </c>
      <c r="C283" s="124">
        <v>100212</v>
      </c>
      <c r="D283" s="125" t="s">
        <v>531</v>
      </c>
      <c r="E283" s="126">
        <v>44798</v>
      </c>
      <c r="F283" s="111">
        <v>36</v>
      </c>
      <c r="G283" s="127">
        <v>0.05</v>
      </c>
      <c r="H283" s="128">
        <v>8485.84</v>
      </c>
      <c r="I283" s="113">
        <v>8061.55</v>
      </c>
      <c r="J283" s="113">
        <v>0</v>
      </c>
      <c r="K283" s="114">
        <f t="shared" si="23"/>
        <v>424.29</v>
      </c>
      <c r="L283" s="128">
        <v>0</v>
      </c>
      <c r="M283" s="115"/>
      <c r="N283" s="116"/>
      <c r="O283" s="117">
        <f t="shared" si="24"/>
        <v>45900</v>
      </c>
      <c r="P283" s="118">
        <f t="shared" si="25"/>
        <v>0</v>
      </c>
      <c r="Q283" s="119">
        <f t="shared" si="26"/>
        <v>0</v>
      </c>
      <c r="R283" s="119">
        <f t="shared" si="27"/>
        <v>0</v>
      </c>
      <c r="S283" s="120" t="s">
        <v>106</v>
      </c>
      <c r="U283" s="67"/>
      <c r="V283" s="121"/>
      <c r="W283" s="122"/>
      <c r="X283" s="63"/>
      <c r="Y283" s="63"/>
      <c r="Z283" s="63"/>
      <c r="AA283" s="63"/>
    </row>
    <row r="284" s="59" customFormat="1" ht="16.5" outlineLevel="7" spans="1:27">
      <c r="A284" s="79"/>
      <c r="B284" s="107" t="s">
        <v>195</v>
      </c>
      <c r="C284" s="108">
        <v>100213</v>
      </c>
      <c r="D284" s="109" t="s">
        <v>533</v>
      </c>
      <c r="E284" s="110">
        <v>44788</v>
      </c>
      <c r="F284" s="111">
        <v>36</v>
      </c>
      <c r="G284" s="112">
        <v>0.05</v>
      </c>
      <c r="H284" s="113">
        <v>1946.02</v>
      </c>
      <c r="I284" s="113">
        <v>1848.72</v>
      </c>
      <c r="J284" s="113">
        <v>0</v>
      </c>
      <c r="K284" s="114">
        <f t="shared" si="23"/>
        <v>97.3</v>
      </c>
      <c r="L284" s="113">
        <v>0</v>
      </c>
      <c r="M284" s="115"/>
      <c r="N284" s="116"/>
      <c r="O284" s="117">
        <f t="shared" si="24"/>
        <v>45900</v>
      </c>
      <c r="P284" s="118">
        <f t="shared" si="25"/>
        <v>0</v>
      </c>
      <c r="Q284" s="119">
        <f t="shared" si="26"/>
        <v>0</v>
      </c>
      <c r="R284" s="119">
        <f t="shared" si="27"/>
        <v>0</v>
      </c>
      <c r="S284" s="120" t="s">
        <v>106</v>
      </c>
      <c r="U284" s="67"/>
      <c r="V284" s="121"/>
      <c r="W284" s="122"/>
      <c r="X284" s="63"/>
      <c r="Y284" s="63"/>
      <c r="Z284" s="63"/>
      <c r="AA284" s="63"/>
    </row>
    <row r="285" s="59" customFormat="1" ht="16.5" outlineLevel="7" spans="1:27">
      <c r="A285" s="79"/>
      <c r="B285" s="107" t="s">
        <v>195</v>
      </c>
      <c r="C285" s="108">
        <v>100214</v>
      </c>
      <c r="D285" s="109" t="s">
        <v>534</v>
      </c>
      <c r="E285" s="110">
        <v>44843</v>
      </c>
      <c r="F285" s="111">
        <v>36</v>
      </c>
      <c r="G285" s="112">
        <v>0.05</v>
      </c>
      <c r="H285" s="113">
        <v>3325.66</v>
      </c>
      <c r="I285" s="113">
        <v>3159.38</v>
      </c>
      <c r="J285" s="113">
        <v>0</v>
      </c>
      <c r="K285" s="114">
        <f t="shared" si="23"/>
        <v>166.28</v>
      </c>
      <c r="L285" s="113">
        <v>0</v>
      </c>
      <c r="M285" s="115"/>
      <c r="N285" s="116"/>
      <c r="O285" s="117">
        <f t="shared" si="24"/>
        <v>45961</v>
      </c>
      <c r="P285" s="118">
        <f t="shared" si="25"/>
        <v>0</v>
      </c>
      <c r="Q285" s="119">
        <f t="shared" si="26"/>
        <v>0</v>
      </c>
      <c r="R285" s="119">
        <f t="shared" si="27"/>
        <v>0</v>
      </c>
      <c r="S285" s="120" t="s">
        <v>106</v>
      </c>
      <c r="U285" s="67"/>
      <c r="V285" s="121"/>
      <c r="W285" s="122"/>
      <c r="X285" s="63"/>
      <c r="Y285" s="63"/>
      <c r="Z285" s="63"/>
      <c r="AA285" s="63"/>
    </row>
    <row r="286" s="59" customFormat="1" ht="16.5" outlineLevel="7" spans="1:27">
      <c r="A286" s="79"/>
      <c r="B286" s="123" t="s">
        <v>195</v>
      </c>
      <c r="C286" s="124">
        <v>100215</v>
      </c>
      <c r="D286" s="125" t="s">
        <v>534</v>
      </c>
      <c r="E286" s="126">
        <v>44843</v>
      </c>
      <c r="F286" s="111">
        <v>36</v>
      </c>
      <c r="G286" s="127">
        <v>0.05</v>
      </c>
      <c r="H286" s="128">
        <v>3325.66</v>
      </c>
      <c r="I286" s="113">
        <v>3159.38</v>
      </c>
      <c r="J286" s="113">
        <v>0</v>
      </c>
      <c r="K286" s="114">
        <f t="shared" si="23"/>
        <v>166.28</v>
      </c>
      <c r="L286" s="128">
        <v>0</v>
      </c>
      <c r="M286" s="115"/>
      <c r="N286" s="116"/>
      <c r="O286" s="117">
        <f t="shared" si="24"/>
        <v>45961</v>
      </c>
      <c r="P286" s="118">
        <f t="shared" si="25"/>
        <v>0</v>
      </c>
      <c r="Q286" s="119">
        <f t="shared" si="26"/>
        <v>0</v>
      </c>
      <c r="R286" s="119">
        <f t="shared" si="27"/>
        <v>0</v>
      </c>
      <c r="S286" s="120" t="s">
        <v>106</v>
      </c>
      <c r="U286" s="67"/>
      <c r="V286" s="121"/>
      <c r="W286" s="122"/>
      <c r="X286" s="63"/>
      <c r="Y286" s="63"/>
      <c r="Z286" s="63"/>
      <c r="AA286" s="63"/>
    </row>
    <row r="287" s="59" customFormat="1" ht="16.5" outlineLevel="7" spans="1:27">
      <c r="A287" s="79"/>
      <c r="B287" s="123" t="s">
        <v>195</v>
      </c>
      <c r="C287" s="124">
        <v>100216</v>
      </c>
      <c r="D287" s="125" t="s">
        <v>534</v>
      </c>
      <c r="E287" s="126">
        <v>44843</v>
      </c>
      <c r="F287" s="111">
        <v>36</v>
      </c>
      <c r="G287" s="127">
        <v>0.05</v>
      </c>
      <c r="H287" s="128">
        <v>3325.66</v>
      </c>
      <c r="I287" s="113">
        <v>3159.38</v>
      </c>
      <c r="J287" s="113">
        <v>0</v>
      </c>
      <c r="K287" s="114">
        <f t="shared" si="23"/>
        <v>166.28</v>
      </c>
      <c r="L287" s="128">
        <v>0</v>
      </c>
      <c r="M287" s="115"/>
      <c r="N287" s="116"/>
      <c r="O287" s="117">
        <f t="shared" si="24"/>
        <v>45961</v>
      </c>
      <c r="P287" s="118">
        <f t="shared" si="25"/>
        <v>0</v>
      </c>
      <c r="Q287" s="119">
        <f t="shared" si="26"/>
        <v>0</v>
      </c>
      <c r="R287" s="119">
        <f t="shared" si="27"/>
        <v>0</v>
      </c>
      <c r="S287" s="120" t="s">
        <v>106</v>
      </c>
      <c r="U287" s="67"/>
      <c r="V287" s="121"/>
      <c r="W287" s="122"/>
      <c r="X287" s="63"/>
      <c r="Y287" s="63"/>
      <c r="Z287" s="63"/>
      <c r="AA287" s="63"/>
    </row>
    <row r="288" s="59" customFormat="1" ht="16.5" outlineLevel="7" spans="1:27">
      <c r="A288" s="79"/>
      <c r="B288" s="123" t="s">
        <v>195</v>
      </c>
      <c r="C288" s="124">
        <v>100217</v>
      </c>
      <c r="D288" s="125" t="s">
        <v>534</v>
      </c>
      <c r="E288" s="126">
        <v>44843</v>
      </c>
      <c r="F288" s="111">
        <v>36</v>
      </c>
      <c r="G288" s="127">
        <v>0.05</v>
      </c>
      <c r="H288" s="128">
        <v>3325.67</v>
      </c>
      <c r="I288" s="113">
        <v>3159.39</v>
      </c>
      <c r="J288" s="113">
        <v>0</v>
      </c>
      <c r="K288" s="114">
        <f t="shared" si="23"/>
        <v>166.28</v>
      </c>
      <c r="L288" s="128">
        <v>0</v>
      </c>
      <c r="M288" s="115"/>
      <c r="N288" s="116"/>
      <c r="O288" s="117">
        <f t="shared" si="24"/>
        <v>45961</v>
      </c>
      <c r="P288" s="118">
        <f t="shared" si="25"/>
        <v>0</v>
      </c>
      <c r="Q288" s="119">
        <f t="shared" si="26"/>
        <v>0</v>
      </c>
      <c r="R288" s="119">
        <f t="shared" si="27"/>
        <v>0</v>
      </c>
      <c r="S288" s="120" t="s">
        <v>106</v>
      </c>
      <c r="U288" s="67"/>
      <c r="V288" s="121"/>
      <c r="W288" s="122"/>
      <c r="X288" s="63"/>
      <c r="Y288" s="63"/>
      <c r="Z288" s="63"/>
      <c r="AA288" s="63"/>
    </row>
    <row r="289" s="59" customFormat="1" ht="16.5" outlineLevel="7" spans="1:27">
      <c r="A289" s="79"/>
      <c r="B289" s="123" t="s">
        <v>195</v>
      </c>
      <c r="C289" s="124">
        <v>100218</v>
      </c>
      <c r="D289" s="125" t="s">
        <v>534</v>
      </c>
      <c r="E289" s="126">
        <v>44843</v>
      </c>
      <c r="F289" s="111">
        <v>36</v>
      </c>
      <c r="G289" s="127">
        <v>0.05</v>
      </c>
      <c r="H289" s="128">
        <v>3641.59</v>
      </c>
      <c r="I289" s="113">
        <v>3459.51</v>
      </c>
      <c r="J289" s="113">
        <v>0</v>
      </c>
      <c r="K289" s="114">
        <f t="shared" si="23"/>
        <v>182.08</v>
      </c>
      <c r="L289" s="128">
        <v>0</v>
      </c>
      <c r="M289" s="115"/>
      <c r="N289" s="116"/>
      <c r="O289" s="117">
        <f t="shared" si="24"/>
        <v>45961</v>
      </c>
      <c r="P289" s="118">
        <f t="shared" si="25"/>
        <v>0</v>
      </c>
      <c r="Q289" s="119">
        <f t="shared" si="26"/>
        <v>0</v>
      </c>
      <c r="R289" s="119">
        <f t="shared" si="27"/>
        <v>0</v>
      </c>
      <c r="S289" s="120" t="s">
        <v>106</v>
      </c>
      <c r="U289" s="67"/>
      <c r="V289" s="121"/>
      <c r="W289" s="122"/>
      <c r="X289" s="63"/>
      <c r="Y289" s="63"/>
      <c r="Z289" s="63"/>
      <c r="AA289" s="63"/>
    </row>
    <row r="290" s="59" customFormat="1" ht="16.5" outlineLevel="7" spans="1:27">
      <c r="A290" s="79"/>
      <c r="B290" s="123" t="s">
        <v>195</v>
      </c>
      <c r="C290" s="124">
        <v>100219</v>
      </c>
      <c r="D290" s="125" t="s">
        <v>534</v>
      </c>
      <c r="E290" s="126">
        <v>44843</v>
      </c>
      <c r="F290" s="111">
        <v>36</v>
      </c>
      <c r="G290" s="127">
        <v>0.05</v>
      </c>
      <c r="H290" s="128">
        <v>3641.6</v>
      </c>
      <c r="I290" s="113">
        <v>3459.52</v>
      </c>
      <c r="J290" s="113">
        <v>0</v>
      </c>
      <c r="K290" s="114">
        <f t="shared" si="23"/>
        <v>182.08</v>
      </c>
      <c r="L290" s="128">
        <v>0</v>
      </c>
      <c r="M290" s="115"/>
      <c r="N290" s="116"/>
      <c r="O290" s="117">
        <f t="shared" si="24"/>
        <v>45961</v>
      </c>
      <c r="P290" s="118">
        <f t="shared" si="25"/>
        <v>0</v>
      </c>
      <c r="Q290" s="119">
        <f t="shared" si="26"/>
        <v>0</v>
      </c>
      <c r="R290" s="119">
        <f t="shared" si="27"/>
        <v>0</v>
      </c>
      <c r="S290" s="120" t="s">
        <v>106</v>
      </c>
      <c r="U290" s="67"/>
      <c r="V290" s="121"/>
      <c r="W290" s="122"/>
      <c r="X290" s="63"/>
      <c r="Y290" s="63"/>
      <c r="Z290" s="63"/>
      <c r="AA290" s="63"/>
    </row>
    <row r="291" s="59" customFormat="1" ht="16.5" outlineLevel="7" spans="1:27">
      <c r="A291" s="79"/>
      <c r="B291" s="107" t="s">
        <v>195</v>
      </c>
      <c r="C291" s="108">
        <v>100220</v>
      </c>
      <c r="D291" s="109" t="s">
        <v>535</v>
      </c>
      <c r="E291" s="110">
        <v>44848</v>
      </c>
      <c r="F291" s="111">
        <v>36</v>
      </c>
      <c r="G291" s="112">
        <v>0.05</v>
      </c>
      <c r="H291" s="113">
        <v>4424.77</v>
      </c>
      <c r="I291" s="113">
        <v>4203.53</v>
      </c>
      <c r="J291" s="113">
        <v>0</v>
      </c>
      <c r="K291" s="114">
        <f t="shared" si="23"/>
        <v>221.240000000001</v>
      </c>
      <c r="L291" s="113">
        <v>0</v>
      </c>
      <c r="M291" s="115"/>
      <c r="N291" s="116"/>
      <c r="O291" s="117">
        <f t="shared" si="24"/>
        <v>45961</v>
      </c>
      <c r="P291" s="118">
        <f t="shared" si="25"/>
        <v>0</v>
      </c>
      <c r="Q291" s="119">
        <f t="shared" si="26"/>
        <v>0</v>
      </c>
      <c r="R291" s="119">
        <f t="shared" si="27"/>
        <v>0</v>
      </c>
      <c r="S291" s="120" t="s">
        <v>106</v>
      </c>
      <c r="U291" s="67"/>
      <c r="V291" s="121"/>
      <c r="W291" s="122"/>
      <c r="X291" s="63"/>
      <c r="Y291" s="63"/>
      <c r="Z291" s="63"/>
      <c r="AA291" s="63"/>
    </row>
    <row r="292" s="59" customFormat="1" ht="16.5" outlineLevel="7" spans="1:27">
      <c r="A292" s="79"/>
      <c r="B292" s="107" t="s">
        <v>195</v>
      </c>
      <c r="C292" s="108">
        <v>100221</v>
      </c>
      <c r="D292" s="109" t="s">
        <v>535</v>
      </c>
      <c r="E292" s="110">
        <v>44848</v>
      </c>
      <c r="F292" s="111">
        <v>36</v>
      </c>
      <c r="G292" s="112">
        <v>0.05</v>
      </c>
      <c r="H292" s="113">
        <v>4424.77</v>
      </c>
      <c r="I292" s="113">
        <v>4203.53</v>
      </c>
      <c r="J292" s="113">
        <v>0</v>
      </c>
      <c r="K292" s="114">
        <f t="shared" si="23"/>
        <v>221.240000000001</v>
      </c>
      <c r="L292" s="113">
        <v>0</v>
      </c>
      <c r="M292" s="115"/>
      <c r="N292" s="116"/>
      <c r="O292" s="117">
        <f t="shared" si="24"/>
        <v>45961</v>
      </c>
      <c r="P292" s="118">
        <f t="shared" si="25"/>
        <v>0</v>
      </c>
      <c r="Q292" s="119">
        <f t="shared" si="26"/>
        <v>0</v>
      </c>
      <c r="R292" s="119">
        <f t="shared" si="27"/>
        <v>0</v>
      </c>
      <c r="S292" s="120" t="s">
        <v>106</v>
      </c>
      <c r="U292" s="67"/>
      <c r="V292" s="121"/>
      <c r="W292" s="122"/>
      <c r="X292" s="63"/>
      <c r="Y292" s="63"/>
      <c r="Z292" s="63"/>
      <c r="AA292" s="63"/>
    </row>
    <row r="293" s="59" customFormat="1" ht="16.5" outlineLevel="7" spans="1:27">
      <c r="A293" s="79"/>
      <c r="B293" s="123" t="s">
        <v>195</v>
      </c>
      <c r="C293" s="124">
        <v>100222</v>
      </c>
      <c r="D293" s="125" t="s">
        <v>535</v>
      </c>
      <c r="E293" s="126">
        <v>44848</v>
      </c>
      <c r="F293" s="111">
        <v>36</v>
      </c>
      <c r="G293" s="127">
        <v>0.05</v>
      </c>
      <c r="H293" s="128">
        <v>4424.77</v>
      </c>
      <c r="I293" s="113">
        <v>4203.53</v>
      </c>
      <c r="J293" s="113">
        <v>0</v>
      </c>
      <c r="K293" s="114">
        <f t="shared" si="23"/>
        <v>221.240000000001</v>
      </c>
      <c r="L293" s="128">
        <v>0</v>
      </c>
      <c r="M293" s="115"/>
      <c r="N293" s="116"/>
      <c r="O293" s="117">
        <f t="shared" si="24"/>
        <v>45961</v>
      </c>
      <c r="P293" s="118">
        <f t="shared" si="25"/>
        <v>0</v>
      </c>
      <c r="Q293" s="119">
        <f t="shared" si="26"/>
        <v>0</v>
      </c>
      <c r="R293" s="119">
        <f t="shared" si="27"/>
        <v>0</v>
      </c>
      <c r="S293" s="120" t="s">
        <v>106</v>
      </c>
      <c r="U293" s="67"/>
      <c r="V293" s="121"/>
      <c r="W293" s="122"/>
      <c r="X293" s="63"/>
      <c r="Y293" s="63"/>
      <c r="Z293" s="63"/>
      <c r="AA293" s="63"/>
    </row>
    <row r="294" s="59" customFormat="1" ht="16.5" outlineLevel="7" spans="1:27">
      <c r="A294" s="79"/>
      <c r="B294" s="123" t="s">
        <v>195</v>
      </c>
      <c r="C294" s="124">
        <v>100223</v>
      </c>
      <c r="D294" s="125" t="s">
        <v>535</v>
      </c>
      <c r="E294" s="126">
        <v>44848</v>
      </c>
      <c r="F294" s="111">
        <v>36</v>
      </c>
      <c r="G294" s="127">
        <v>0.05</v>
      </c>
      <c r="H294" s="128">
        <v>4424.77</v>
      </c>
      <c r="I294" s="113">
        <v>4203.53</v>
      </c>
      <c r="J294" s="113">
        <v>0</v>
      </c>
      <c r="K294" s="114">
        <f t="shared" si="23"/>
        <v>221.240000000001</v>
      </c>
      <c r="L294" s="128">
        <v>0</v>
      </c>
      <c r="M294" s="115"/>
      <c r="N294" s="116"/>
      <c r="O294" s="117">
        <f t="shared" si="24"/>
        <v>45961</v>
      </c>
      <c r="P294" s="118">
        <f t="shared" si="25"/>
        <v>0</v>
      </c>
      <c r="Q294" s="119">
        <f t="shared" si="26"/>
        <v>0</v>
      </c>
      <c r="R294" s="119">
        <f t="shared" si="27"/>
        <v>0</v>
      </c>
      <c r="S294" s="120" t="s">
        <v>106</v>
      </c>
      <c r="U294" s="67"/>
      <c r="V294" s="121"/>
      <c r="W294" s="122"/>
      <c r="X294" s="63"/>
      <c r="Y294" s="63"/>
      <c r="Z294" s="63"/>
      <c r="AA294" s="63"/>
    </row>
    <row r="295" s="59" customFormat="1" ht="16.5" outlineLevel="7" spans="1:27">
      <c r="A295" s="79"/>
      <c r="B295" s="123" t="s">
        <v>195</v>
      </c>
      <c r="C295" s="124">
        <v>100224</v>
      </c>
      <c r="D295" s="125" t="s">
        <v>535</v>
      </c>
      <c r="E295" s="126">
        <v>44848</v>
      </c>
      <c r="F295" s="111">
        <v>36</v>
      </c>
      <c r="G295" s="127">
        <v>0.05</v>
      </c>
      <c r="H295" s="128">
        <v>4424.81</v>
      </c>
      <c r="I295" s="113">
        <v>4203.57</v>
      </c>
      <c r="J295" s="113">
        <v>0</v>
      </c>
      <c r="K295" s="114">
        <f t="shared" si="23"/>
        <v>221.240000000001</v>
      </c>
      <c r="L295" s="128">
        <v>0</v>
      </c>
      <c r="M295" s="115"/>
      <c r="N295" s="116"/>
      <c r="O295" s="117">
        <f t="shared" si="24"/>
        <v>45961</v>
      </c>
      <c r="P295" s="118">
        <f t="shared" si="25"/>
        <v>0</v>
      </c>
      <c r="Q295" s="119">
        <f t="shared" si="26"/>
        <v>0</v>
      </c>
      <c r="R295" s="119">
        <f t="shared" si="27"/>
        <v>0</v>
      </c>
      <c r="S295" s="120" t="s">
        <v>106</v>
      </c>
      <c r="U295" s="67"/>
      <c r="V295" s="121"/>
      <c r="W295" s="122"/>
      <c r="X295" s="63"/>
      <c r="Y295" s="63"/>
      <c r="Z295" s="63"/>
      <c r="AA295" s="63"/>
    </row>
    <row r="296" s="59" customFormat="1" ht="16.5" outlineLevel="7" spans="1:27">
      <c r="A296" s="79"/>
      <c r="B296" s="123" t="s">
        <v>195</v>
      </c>
      <c r="C296" s="124">
        <v>100225</v>
      </c>
      <c r="D296" s="125" t="s">
        <v>536</v>
      </c>
      <c r="E296" s="126">
        <v>44880</v>
      </c>
      <c r="F296" s="111">
        <v>36</v>
      </c>
      <c r="G296" s="127">
        <v>0.05</v>
      </c>
      <c r="H296" s="128">
        <v>530.09</v>
      </c>
      <c r="I296" s="113">
        <v>503.59</v>
      </c>
      <c r="J296" s="113">
        <v>0</v>
      </c>
      <c r="K296" s="114">
        <f t="shared" si="23"/>
        <v>26.5000000000001</v>
      </c>
      <c r="L296" s="128">
        <v>0</v>
      </c>
      <c r="M296" s="115"/>
      <c r="N296" s="116"/>
      <c r="O296" s="117">
        <f t="shared" si="24"/>
        <v>45991</v>
      </c>
      <c r="P296" s="118">
        <f t="shared" si="25"/>
        <v>0</v>
      </c>
      <c r="Q296" s="119">
        <f t="shared" si="26"/>
        <v>0</v>
      </c>
      <c r="R296" s="119">
        <f t="shared" si="27"/>
        <v>0</v>
      </c>
      <c r="S296" s="120" t="s">
        <v>106</v>
      </c>
      <c r="U296" s="67"/>
      <c r="V296" s="121"/>
      <c r="W296" s="122"/>
      <c r="X296" s="63"/>
      <c r="Y296" s="63"/>
      <c r="Z296" s="63"/>
      <c r="AA296" s="63"/>
    </row>
    <row r="297" s="59" customFormat="1" ht="16.5" outlineLevel="7" spans="1:27">
      <c r="A297" s="79"/>
      <c r="B297" s="123" t="s">
        <v>195</v>
      </c>
      <c r="C297" s="124">
        <v>100226</v>
      </c>
      <c r="D297" s="125" t="s">
        <v>537</v>
      </c>
      <c r="E297" s="126">
        <v>44875</v>
      </c>
      <c r="F297" s="111">
        <v>36</v>
      </c>
      <c r="G297" s="127">
        <v>0.05</v>
      </c>
      <c r="H297" s="128">
        <v>4202.65</v>
      </c>
      <c r="I297" s="113">
        <v>3992.52</v>
      </c>
      <c r="J297" s="113">
        <v>0</v>
      </c>
      <c r="K297" s="114">
        <f t="shared" si="23"/>
        <v>210.13</v>
      </c>
      <c r="L297" s="128">
        <v>0</v>
      </c>
      <c r="M297" s="115"/>
      <c r="N297" s="116"/>
      <c r="O297" s="117">
        <f t="shared" si="24"/>
        <v>45991</v>
      </c>
      <c r="P297" s="118">
        <f t="shared" si="25"/>
        <v>0</v>
      </c>
      <c r="Q297" s="119">
        <f t="shared" si="26"/>
        <v>0</v>
      </c>
      <c r="R297" s="119">
        <f t="shared" si="27"/>
        <v>0</v>
      </c>
      <c r="S297" s="120" t="s">
        <v>106</v>
      </c>
      <c r="U297" s="67"/>
      <c r="V297" s="121"/>
      <c r="W297" s="122"/>
      <c r="X297" s="63"/>
      <c r="Y297" s="63"/>
      <c r="Z297" s="63"/>
      <c r="AA297" s="63"/>
    </row>
    <row r="298" s="59" customFormat="1" ht="16.5" outlineLevel="7" spans="1:27">
      <c r="A298" s="79"/>
      <c r="B298" s="107" t="s">
        <v>195</v>
      </c>
      <c r="C298" s="108">
        <v>100227</v>
      </c>
      <c r="D298" s="109" t="s">
        <v>534</v>
      </c>
      <c r="E298" s="110">
        <v>44901</v>
      </c>
      <c r="F298" s="111">
        <v>36</v>
      </c>
      <c r="G298" s="112">
        <v>0.05</v>
      </c>
      <c r="H298" s="113">
        <v>1211.5</v>
      </c>
      <c r="I298" s="113">
        <v>1150.92</v>
      </c>
      <c r="J298" s="113">
        <v>0</v>
      </c>
      <c r="K298" s="114">
        <f t="shared" si="23"/>
        <v>60.5799999999999</v>
      </c>
      <c r="L298" s="113">
        <v>0</v>
      </c>
      <c r="M298" s="115"/>
      <c r="N298" s="116"/>
      <c r="O298" s="117">
        <f t="shared" si="24"/>
        <v>46022</v>
      </c>
      <c r="P298" s="118">
        <f t="shared" si="25"/>
        <v>0</v>
      </c>
      <c r="Q298" s="119">
        <f t="shared" si="26"/>
        <v>0</v>
      </c>
      <c r="R298" s="119">
        <f t="shared" si="27"/>
        <v>0</v>
      </c>
      <c r="S298" s="120" t="s">
        <v>106</v>
      </c>
      <c r="U298" s="67"/>
      <c r="V298" s="121"/>
      <c r="W298" s="122"/>
      <c r="X298" s="63"/>
      <c r="Y298" s="63"/>
      <c r="Z298" s="63"/>
      <c r="AA298" s="63"/>
    </row>
    <row r="299" s="59" customFormat="1" ht="16.5" outlineLevel="7" spans="1:27">
      <c r="A299" s="79"/>
      <c r="B299" s="107" t="s">
        <v>195</v>
      </c>
      <c r="C299" s="108">
        <v>100228</v>
      </c>
      <c r="D299" s="109" t="s">
        <v>538</v>
      </c>
      <c r="E299" s="110">
        <v>44907</v>
      </c>
      <c r="F299" s="111">
        <v>36</v>
      </c>
      <c r="G299" s="112">
        <v>0.05</v>
      </c>
      <c r="H299" s="113">
        <v>2085</v>
      </c>
      <c r="I299" s="113">
        <v>1980.75</v>
      </c>
      <c r="J299" s="113">
        <v>0</v>
      </c>
      <c r="K299" s="114">
        <f t="shared" si="23"/>
        <v>104.25</v>
      </c>
      <c r="L299" s="113">
        <v>0</v>
      </c>
      <c r="M299" s="115"/>
      <c r="N299" s="116"/>
      <c r="O299" s="117">
        <f t="shared" si="24"/>
        <v>46022</v>
      </c>
      <c r="P299" s="118">
        <f t="shared" si="25"/>
        <v>0</v>
      </c>
      <c r="Q299" s="119">
        <f t="shared" si="26"/>
        <v>0</v>
      </c>
      <c r="R299" s="119">
        <f t="shared" si="27"/>
        <v>0</v>
      </c>
      <c r="S299" s="120" t="s">
        <v>106</v>
      </c>
      <c r="U299" s="67"/>
      <c r="V299" s="121"/>
      <c r="W299" s="122"/>
      <c r="X299" s="63"/>
      <c r="Y299" s="63"/>
      <c r="Z299" s="63"/>
      <c r="AA299" s="63"/>
    </row>
    <row r="300" s="59" customFormat="1" ht="16.5" outlineLevel="7" spans="1:27">
      <c r="A300" s="79"/>
      <c r="B300" s="123" t="s">
        <v>195</v>
      </c>
      <c r="C300" s="124">
        <v>100229</v>
      </c>
      <c r="D300" s="125" t="s">
        <v>538</v>
      </c>
      <c r="E300" s="126">
        <v>44907</v>
      </c>
      <c r="F300" s="111">
        <v>36</v>
      </c>
      <c r="G300" s="127">
        <v>0.05</v>
      </c>
      <c r="H300" s="128">
        <v>2085</v>
      </c>
      <c r="I300" s="113">
        <v>1980.75</v>
      </c>
      <c r="J300" s="113">
        <v>0</v>
      </c>
      <c r="K300" s="114">
        <f t="shared" si="23"/>
        <v>104.25</v>
      </c>
      <c r="L300" s="128">
        <v>0</v>
      </c>
      <c r="M300" s="115"/>
      <c r="N300" s="116"/>
      <c r="O300" s="117">
        <f t="shared" si="24"/>
        <v>46022</v>
      </c>
      <c r="P300" s="118">
        <f t="shared" si="25"/>
        <v>0</v>
      </c>
      <c r="Q300" s="119">
        <f t="shared" si="26"/>
        <v>0</v>
      </c>
      <c r="R300" s="119">
        <f t="shared" si="27"/>
        <v>0</v>
      </c>
      <c r="S300" s="120" t="s">
        <v>106</v>
      </c>
      <c r="U300" s="67"/>
      <c r="V300" s="121"/>
      <c r="W300" s="122"/>
      <c r="X300" s="63"/>
      <c r="Y300" s="63"/>
      <c r="Z300" s="63"/>
      <c r="AA300" s="63"/>
    </row>
    <row r="301" s="59" customFormat="1" ht="16.5" outlineLevel="7" spans="1:27">
      <c r="A301" s="79"/>
      <c r="B301" s="123" t="s">
        <v>195</v>
      </c>
      <c r="C301" s="124">
        <v>100230</v>
      </c>
      <c r="D301" s="125" t="s">
        <v>539</v>
      </c>
      <c r="E301" s="126">
        <v>44904</v>
      </c>
      <c r="F301" s="111">
        <v>36</v>
      </c>
      <c r="G301" s="127">
        <v>0.05</v>
      </c>
      <c r="H301" s="128">
        <v>1620</v>
      </c>
      <c r="I301" s="113">
        <v>1539</v>
      </c>
      <c r="J301" s="113">
        <v>0</v>
      </c>
      <c r="K301" s="114">
        <f t="shared" si="23"/>
        <v>81</v>
      </c>
      <c r="L301" s="128">
        <v>0</v>
      </c>
      <c r="M301" s="115"/>
      <c r="N301" s="116"/>
      <c r="O301" s="117">
        <f t="shared" si="24"/>
        <v>46022</v>
      </c>
      <c r="P301" s="118">
        <f t="shared" si="25"/>
        <v>0</v>
      </c>
      <c r="Q301" s="119">
        <f t="shared" si="26"/>
        <v>0</v>
      </c>
      <c r="R301" s="119">
        <f t="shared" si="27"/>
        <v>0</v>
      </c>
      <c r="S301" s="120" t="s">
        <v>106</v>
      </c>
      <c r="U301" s="67"/>
      <c r="V301" s="121"/>
      <c r="W301" s="122"/>
      <c r="X301" s="63"/>
      <c r="Y301" s="63"/>
      <c r="Z301" s="63"/>
      <c r="AA301" s="63"/>
    </row>
    <row r="302" s="59" customFormat="1" ht="16.5" outlineLevel="7" spans="1:27">
      <c r="A302" s="79"/>
      <c r="B302" s="123" t="s">
        <v>195</v>
      </c>
      <c r="C302" s="124">
        <v>100231</v>
      </c>
      <c r="D302" s="125" t="s">
        <v>539</v>
      </c>
      <c r="E302" s="126">
        <v>44904</v>
      </c>
      <c r="F302" s="111">
        <v>36</v>
      </c>
      <c r="G302" s="127">
        <v>0.05</v>
      </c>
      <c r="H302" s="128">
        <v>1620</v>
      </c>
      <c r="I302" s="113">
        <v>1539</v>
      </c>
      <c r="J302" s="113">
        <v>0</v>
      </c>
      <c r="K302" s="114">
        <f t="shared" si="23"/>
        <v>81</v>
      </c>
      <c r="L302" s="128">
        <v>0</v>
      </c>
      <c r="M302" s="115"/>
      <c r="N302" s="116"/>
      <c r="O302" s="117">
        <f t="shared" si="24"/>
        <v>46022</v>
      </c>
      <c r="P302" s="118">
        <f t="shared" si="25"/>
        <v>0</v>
      </c>
      <c r="Q302" s="119">
        <f t="shared" si="26"/>
        <v>0</v>
      </c>
      <c r="R302" s="119">
        <f t="shared" si="27"/>
        <v>0</v>
      </c>
      <c r="S302" s="120" t="s">
        <v>106</v>
      </c>
      <c r="U302" s="67"/>
      <c r="V302" s="121"/>
      <c r="W302" s="122"/>
      <c r="X302" s="63"/>
      <c r="Y302" s="63"/>
      <c r="Z302" s="63"/>
      <c r="AA302" s="63"/>
    </row>
    <row r="303" s="59" customFormat="1" ht="16.5" outlineLevel="7" spans="1:27">
      <c r="A303" s="79"/>
      <c r="B303" s="123" t="s">
        <v>195</v>
      </c>
      <c r="C303" s="124">
        <v>100232</v>
      </c>
      <c r="D303" s="125" t="s">
        <v>540</v>
      </c>
      <c r="E303" s="126">
        <v>44902</v>
      </c>
      <c r="F303" s="111">
        <v>36</v>
      </c>
      <c r="G303" s="127">
        <v>0.05</v>
      </c>
      <c r="H303" s="128">
        <v>629</v>
      </c>
      <c r="I303" s="113">
        <v>597.55</v>
      </c>
      <c r="J303" s="113">
        <v>0</v>
      </c>
      <c r="K303" s="114">
        <f t="shared" si="23"/>
        <v>31.45</v>
      </c>
      <c r="L303" s="128">
        <v>0</v>
      </c>
      <c r="M303" s="115"/>
      <c r="N303" s="116"/>
      <c r="O303" s="117">
        <f t="shared" si="24"/>
        <v>46022</v>
      </c>
      <c r="P303" s="118">
        <f t="shared" si="25"/>
        <v>0</v>
      </c>
      <c r="Q303" s="119">
        <f t="shared" si="26"/>
        <v>0</v>
      </c>
      <c r="R303" s="119">
        <f t="shared" si="27"/>
        <v>0</v>
      </c>
      <c r="S303" s="120" t="s">
        <v>106</v>
      </c>
      <c r="U303" s="67"/>
      <c r="V303" s="121"/>
      <c r="W303" s="122"/>
      <c r="X303" s="63"/>
      <c r="Y303" s="63"/>
      <c r="Z303" s="63"/>
      <c r="AA303" s="63"/>
    </row>
    <row r="304" s="59" customFormat="1" ht="16.5" outlineLevel="7" spans="1:27">
      <c r="A304" s="79"/>
      <c r="B304" s="123" t="s">
        <v>195</v>
      </c>
      <c r="C304" s="124">
        <v>100233</v>
      </c>
      <c r="D304" s="125" t="s">
        <v>541</v>
      </c>
      <c r="E304" s="126">
        <v>44937</v>
      </c>
      <c r="F304" s="111">
        <v>36</v>
      </c>
      <c r="G304" s="127">
        <v>0.05</v>
      </c>
      <c r="H304" s="128">
        <v>7078.76</v>
      </c>
      <c r="I304" s="113">
        <v>6724.82</v>
      </c>
      <c r="J304" s="113">
        <v>0</v>
      </c>
      <c r="K304" s="114">
        <f t="shared" si="23"/>
        <v>353.940000000001</v>
      </c>
      <c r="L304" s="128">
        <v>186.8</v>
      </c>
      <c r="M304" s="115"/>
      <c r="N304" s="116"/>
      <c r="O304" s="117">
        <f t="shared" si="24"/>
        <v>46053</v>
      </c>
      <c r="P304" s="118">
        <f t="shared" si="25"/>
        <v>1</v>
      </c>
      <c r="Q304" s="119">
        <f t="shared" si="26"/>
        <v>186.800611111111</v>
      </c>
      <c r="R304" s="119">
        <f t="shared" si="27"/>
        <v>0.00061111111111245</v>
      </c>
      <c r="S304" s="120" t="s">
        <v>106</v>
      </c>
      <c r="U304" s="67"/>
      <c r="V304" s="121"/>
      <c r="W304" s="122"/>
      <c r="X304" s="63"/>
      <c r="Y304" s="63"/>
      <c r="Z304" s="63"/>
      <c r="AA304" s="63"/>
    </row>
    <row r="305" s="59" customFormat="1" ht="16.5" outlineLevel="7" spans="1:27">
      <c r="A305" s="79"/>
      <c r="B305" s="107" t="s">
        <v>195</v>
      </c>
      <c r="C305" s="108">
        <v>100234</v>
      </c>
      <c r="D305" s="109" t="s">
        <v>542</v>
      </c>
      <c r="E305" s="110">
        <v>44946</v>
      </c>
      <c r="F305" s="111">
        <v>36</v>
      </c>
      <c r="G305" s="112">
        <v>0.05</v>
      </c>
      <c r="H305" s="113">
        <v>4884.96</v>
      </c>
      <c r="I305" s="113">
        <v>4640.71</v>
      </c>
      <c r="J305" s="113">
        <v>0</v>
      </c>
      <c r="K305" s="114">
        <f t="shared" si="23"/>
        <v>244.25</v>
      </c>
      <c r="L305" s="113">
        <v>128.9</v>
      </c>
      <c r="M305" s="115"/>
      <c r="N305" s="116"/>
      <c r="O305" s="117">
        <f t="shared" si="24"/>
        <v>46053</v>
      </c>
      <c r="P305" s="118">
        <f t="shared" si="25"/>
        <v>1</v>
      </c>
      <c r="Q305" s="119">
        <f t="shared" si="26"/>
        <v>128.908666666667</v>
      </c>
      <c r="R305" s="119">
        <f t="shared" si="27"/>
        <v>0.00866666666664173</v>
      </c>
      <c r="S305" s="120" t="s">
        <v>106</v>
      </c>
      <c r="U305" s="67"/>
      <c r="V305" s="121"/>
      <c r="W305" s="122"/>
      <c r="X305" s="63"/>
      <c r="Y305" s="63"/>
      <c r="Z305" s="63"/>
      <c r="AA305" s="63"/>
    </row>
    <row r="306" s="59" customFormat="1" ht="16.5" outlineLevel="7" spans="1:27">
      <c r="A306" s="79"/>
      <c r="B306" s="107" t="s">
        <v>195</v>
      </c>
      <c r="C306" s="108">
        <v>100235</v>
      </c>
      <c r="D306" s="109" t="s">
        <v>543</v>
      </c>
      <c r="E306" s="110">
        <v>44977</v>
      </c>
      <c r="F306" s="111">
        <v>36</v>
      </c>
      <c r="G306" s="112">
        <v>0.05</v>
      </c>
      <c r="H306" s="113">
        <v>1513.27</v>
      </c>
      <c r="I306" s="113">
        <v>1437.61</v>
      </c>
      <c r="J306" s="113">
        <v>0</v>
      </c>
      <c r="K306" s="114">
        <f t="shared" si="23"/>
        <v>75.6600000000001</v>
      </c>
      <c r="L306" s="113">
        <v>79.87</v>
      </c>
      <c r="M306" s="115"/>
      <c r="N306" s="116"/>
      <c r="O306" s="117">
        <f t="shared" si="24"/>
        <v>46081</v>
      </c>
      <c r="P306" s="118">
        <f t="shared" si="25"/>
        <v>2</v>
      </c>
      <c r="Q306" s="119">
        <f t="shared" si="26"/>
        <v>79.8670277777778</v>
      </c>
      <c r="R306" s="119">
        <f t="shared" si="27"/>
        <v>-0.00297222222224036</v>
      </c>
      <c r="S306" s="120" t="s">
        <v>106</v>
      </c>
      <c r="U306" s="67"/>
      <c r="V306" s="121"/>
      <c r="W306" s="122"/>
      <c r="X306" s="63"/>
      <c r="Y306" s="63"/>
      <c r="Z306" s="63"/>
      <c r="AA306" s="63"/>
    </row>
    <row r="307" s="59" customFormat="1" ht="16.5" outlineLevel="7" spans="1:27">
      <c r="A307" s="79"/>
      <c r="B307" s="123" t="s">
        <v>195</v>
      </c>
      <c r="C307" s="124">
        <v>100236</v>
      </c>
      <c r="D307" s="125" t="s">
        <v>543</v>
      </c>
      <c r="E307" s="126">
        <v>44977</v>
      </c>
      <c r="F307" s="111">
        <v>36</v>
      </c>
      <c r="G307" s="127">
        <v>0.05</v>
      </c>
      <c r="H307" s="128">
        <v>1513.27</v>
      </c>
      <c r="I307" s="113">
        <v>1437.61</v>
      </c>
      <c r="J307" s="113">
        <v>0</v>
      </c>
      <c r="K307" s="114">
        <f t="shared" si="23"/>
        <v>75.6600000000001</v>
      </c>
      <c r="L307" s="128">
        <v>79.87</v>
      </c>
      <c r="M307" s="115"/>
      <c r="N307" s="116"/>
      <c r="O307" s="117">
        <f t="shared" si="24"/>
        <v>46081</v>
      </c>
      <c r="P307" s="118">
        <f t="shared" si="25"/>
        <v>2</v>
      </c>
      <c r="Q307" s="119">
        <f t="shared" si="26"/>
        <v>79.8670277777778</v>
      </c>
      <c r="R307" s="119">
        <f t="shared" si="27"/>
        <v>-0.00297222222224036</v>
      </c>
      <c r="S307" s="120" t="s">
        <v>106</v>
      </c>
      <c r="U307" s="67"/>
      <c r="V307" s="121"/>
      <c r="W307" s="122"/>
      <c r="X307" s="63"/>
      <c r="Y307" s="63"/>
      <c r="Z307" s="63"/>
      <c r="AA307" s="63"/>
    </row>
    <row r="308" s="59" customFormat="1" ht="16.5" outlineLevel="7" spans="1:27">
      <c r="A308" s="79"/>
      <c r="B308" s="123" t="s">
        <v>195</v>
      </c>
      <c r="C308" s="124">
        <v>100237</v>
      </c>
      <c r="D308" s="125" t="s">
        <v>543</v>
      </c>
      <c r="E308" s="126">
        <v>44977</v>
      </c>
      <c r="F308" s="111">
        <v>36</v>
      </c>
      <c r="G308" s="127">
        <v>0.05</v>
      </c>
      <c r="H308" s="128">
        <v>1513.27</v>
      </c>
      <c r="I308" s="113">
        <v>1437.61</v>
      </c>
      <c r="J308" s="113">
        <v>0</v>
      </c>
      <c r="K308" s="114">
        <f t="shared" si="23"/>
        <v>75.6600000000001</v>
      </c>
      <c r="L308" s="128">
        <v>79.87</v>
      </c>
      <c r="M308" s="115"/>
      <c r="N308" s="116"/>
      <c r="O308" s="117">
        <f t="shared" si="24"/>
        <v>46081</v>
      </c>
      <c r="P308" s="118">
        <f t="shared" si="25"/>
        <v>2</v>
      </c>
      <c r="Q308" s="119">
        <f t="shared" si="26"/>
        <v>79.8670277777778</v>
      </c>
      <c r="R308" s="119">
        <f t="shared" si="27"/>
        <v>-0.00297222222224036</v>
      </c>
      <c r="S308" s="120" t="s">
        <v>106</v>
      </c>
      <c r="U308" s="67"/>
      <c r="V308" s="121"/>
      <c r="W308" s="122"/>
      <c r="X308" s="63"/>
      <c r="Y308" s="63"/>
      <c r="Z308" s="63"/>
      <c r="AA308" s="63"/>
    </row>
    <row r="309" s="59" customFormat="1" ht="16.5" outlineLevel="7" spans="1:27">
      <c r="A309" s="79"/>
      <c r="B309" s="123" t="s">
        <v>195</v>
      </c>
      <c r="C309" s="124">
        <v>100238</v>
      </c>
      <c r="D309" s="125" t="s">
        <v>543</v>
      </c>
      <c r="E309" s="126">
        <v>44977</v>
      </c>
      <c r="F309" s="111">
        <v>36</v>
      </c>
      <c r="G309" s="127">
        <v>0.05</v>
      </c>
      <c r="H309" s="128">
        <v>1513.27</v>
      </c>
      <c r="I309" s="113">
        <v>1437.61</v>
      </c>
      <c r="J309" s="113">
        <v>0</v>
      </c>
      <c r="K309" s="114">
        <f t="shared" si="23"/>
        <v>75.6600000000001</v>
      </c>
      <c r="L309" s="128">
        <v>79.87</v>
      </c>
      <c r="M309" s="115"/>
      <c r="N309" s="116"/>
      <c r="O309" s="117">
        <f t="shared" si="24"/>
        <v>46081</v>
      </c>
      <c r="P309" s="118">
        <f t="shared" si="25"/>
        <v>2</v>
      </c>
      <c r="Q309" s="119">
        <f t="shared" si="26"/>
        <v>79.8670277777778</v>
      </c>
      <c r="R309" s="119">
        <f t="shared" si="27"/>
        <v>-0.00297222222224036</v>
      </c>
      <c r="S309" s="120" t="s">
        <v>106</v>
      </c>
      <c r="U309" s="67"/>
      <c r="V309" s="121"/>
      <c r="W309" s="122"/>
      <c r="X309" s="63"/>
      <c r="Y309" s="63"/>
      <c r="Z309" s="63"/>
      <c r="AA309" s="63"/>
    </row>
    <row r="310" s="59" customFormat="1" ht="16.5" outlineLevel="7" spans="1:27">
      <c r="A310" s="79"/>
      <c r="B310" s="123" t="s">
        <v>195</v>
      </c>
      <c r="C310" s="124">
        <v>100239</v>
      </c>
      <c r="D310" s="125" t="s">
        <v>543</v>
      </c>
      <c r="E310" s="126">
        <v>44977</v>
      </c>
      <c r="F310" s="111">
        <v>36</v>
      </c>
      <c r="G310" s="127">
        <v>0.05</v>
      </c>
      <c r="H310" s="128">
        <v>1513.27</v>
      </c>
      <c r="I310" s="113">
        <v>1437.61</v>
      </c>
      <c r="J310" s="113">
        <v>0</v>
      </c>
      <c r="K310" s="114">
        <f t="shared" si="23"/>
        <v>75.6600000000001</v>
      </c>
      <c r="L310" s="128">
        <v>79.87</v>
      </c>
      <c r="M310" s="115"/>
      <c r="N310" s="116"/>
      <c r="O310" s="117">
        <f t="shared" si="24"/>
        <v>46081</v>
      </c>
      <c r="P310" s="118">
        <f t="shared" si="25"/>
        <v>2</v>
      </c>
      <c r="Q310" s="119">
        <f t="shared" si="26"/>
        <v>79.8670277777778</v>
      </c>
      <c r="R310" s="119">
        <f t="shared" si="27"/>
        <v>-0.00297222222224036</v>
      </c>
      <c r="S310" s="120" t="s">
        <v>106</v>
      </c>
      <c r="U310" s="67"/>
      <c r="V310" s="121"/>
      <c r="W310" s="122"/>
      <c r="X310" s="63"/>
      <c r="Y310" s="63"/>
      <c r="Z310" s="63"/>
      <c r="AA310" s="63"/>
    </row>
    <row r="311" s="59" customFormat="1" ht="16.5" outlineLevel="7" spans="1:27">
      <c r="A311" s="79"/>
      <c r="B311" s="123" t="s">
        <v>195</v>
      </c>
      <c r="C311" s="124">
        <v>100240</v>
      </c>
      <c r="D311" s="125" t="s">
        <v>543</v>
      </c>
      <c r="E311" s="126">
        <v>44977</v>
      </c>
      <c r="F311" s="111">
        <v>36</v>
      </c>
      <c r="G311" s="127">
        <v>0.05</v>
      </c>
      <c r="H311" s="128">
        <v>1513.3</v>
      </c>
      <c r="I311" s="113">
        <v>1437.63</v>
      </c>
      <c r="J311" s="113">
        <v>0</v>
      </c>
      <c r="K311" s="114">
        <f t="shared" si="23"/>
        <v>75.6699999999998</v>
      </c>
      <c r="L311" s="128">
        <v>79.87</v>
      </c>
      <c r="M311" s="115"/>
      <c r="N311" s="116"/>
      <c r="O311" s="117">
        <f t="shared" si="24"/>
        <v>46081</v>
      </c>
      <c r="P311" s="118">
        <f t="shared" si="25"/>
        <v>2</v>
      </c>
      <c r="Q311" s="119">
        <f t="shared" si="26"/>
        <v>79.8686111111111</v>
      </c>
      <c r="R311" s="119">
        <f t="shared" si="27"/>
        <v>-0.0013888888888971</v>
      </c>
      <c r="S311" s="120" t="s">
        <v>106</v>
      </c>
      <c r="U311" s="67"/>
      <c r="V311" s="121"/>
      <c r="W311" s="122"/>
      <c r="X311" s="63"/>
      <c r="Y311" s="63"/>
      <c r="Z311" s="63"/>
      <c r="AA311" s="63"/>
    </row>
    <row r="312" s="59" customFormat="1" ht="16.5" outlineLevel="7" spans="1:27">
      <c r="A312" s="79"/>
      <c r="B312" s="107" t="s">
        <v>195</v>
      </c>
      <c r="C312" s="108">
        <v>100241</v>
      </c>
      <c r="D312" s="109" t="s">
        <v>543</v>
      </c>
      <c r="E312" s="110">
        <v>44977</v>
      </c>
      <c r="F312" s="111">
        <v>36</v>
      </c>
      <c r="G312" s="112">
        <v>0.05</v>
      </c>
      <c r="H312" s="113">
        <v>849.56</v>
      </c>
      <c r="I312" s="113">
        <v>807.08</v>
      </c>
      <c r="J312" s="113">
        <v>0</v>
      </c>
      <c r="K312" s="114">
        <f t="shared" si="23"/>
        <v>42.4799999999999</v>
      </c>
      <c r="L312" s="113">
        <v>44.83</v>
      </c>
      <c r="M312" s="115"/>
      <c r="N312" s="116"/>
      <c r="O312" s="117">
        <f t="shared" si="24"/>
        <v>46081</v>
      </c>
      <c r="P312" s="118">
        <f t="shared" si="25"/>
        <v>2</v>
      </c>
      <c r="Q312" s="119">
        <f t="shared" si="26"/>
        <v>44.8378888888889</v>
      </c>
      <c r="R312" s="119">
        <f t="shared" si="27"/>
        <v>0.0078888888888855</v>
      </c>
      <c r="S312" s="120" t="s">
        <v>106</v>
      </c>
      <c r="U312" s="67"/>
      <c r="V312" s="121"/>
      <c r="W312" s="122"/>
      <c r="X312" s="63"/>
      <c r="Y312" s="63"/>
      <c r="Z312" s="63"/>
      <c r="AA312" s="63"/>
    </row>
    <row r="313" s="59" customFormat="1" ht="16.5" outlineLevel="7" spans="1:27">
      <c r="A313" s="79"/>
      <c r="B313" s="107" t="s">
        <v>195</v>
      </c>
      <c r="C313" s="108">
        <v>100242</v>
      </c>
      <c r="D313" s="109" t="s">
        <v>543</v>
      </c>
      <c r="E313" s="110">
        <v>44977</v>
      </c>
      <c r="F313" s="111">
        <v>36</v>
      </c>
      <c r="G313" s="112">
        <v>0.05</v>
      </c>
      <c r="H313" s="113">
        <v>849.56</v>
      </c>
      <c r="I313" s="113">
        <v>807.08</v>
      </c>
      <c r="J313" s="113">
        <v>0</v>
      </c>
      <c r="K313" s="114">
        <f t="shared" si="23"/>
        <v>42.4799999999999</v>
      </c>
      <c r="L313" s="113">
        <v>44.83</v>
      </c>
      <c r="M313" s="115"/>
      <c r="N313" s="116"/>
      <c r="O313" s="117">
        <f t="shared" si="24"/>
        <v>46081</v>
      </c>
      <c r="P313" s="118">
        <f t="shared" si="25"/>
        <v>2</v>
      </c>
      <c r="Q313" s="119">
        <f t="shared" si="26"/>
        <v>44.8378888888889</v>
      </c>
      <c r="R313" s="119">
        <f t="shared" si="27"/>
        <v>0.0078888888888855</v>
      </c>
      <c r="S313" s="120" t="s">
        <v>106</v>
      </c>
      <c r="U313" s="67"/>
      <c r="V313" s="121"/>
      <c r="W313" s="122"/>
      <c r="X313" s="63"/>
      <c r="Y313" s="63"/>
      <c r="Z313" s="63"/>
      <c r="AA313" s="63"/>
    </row>
    <row r="314" s="59" customFormat="1" ht="16.5" outlineLevel="7" spans="1:27">
      <c r="A314" s="79"/>
      <c r="B314" s="123" t="s">
        <v>195</v>
      </c>
      <c r="C314" s="124">
        <v>100243</v>
      </c>
      <c r="D314" s="125" t="s">
        <v>543</v>
      </c>
      <c r="E314" s="126">
        <v>44977</v>
      </c>
      <c r="F314" s="111">
        <v>36</v>
      </c>
      <c r="G314" s="127">
        <v>0.05</v>
      </c>
      <c r="H314" s="128">
        <v>849.56</v>
      </c>
      <c r="I314" s="113">
        <v>807.08</v>
      </c>
      <c r="J314" s="113">
        <v>0</v>
      </c>
      <c r="K314" s="114">
        <f t="shared" si="23"/>
        <v>42.4799999999999</v>
      </c>
      <c r="L314" s="128">
        <v>44.83</v>
      </c>
      <c r="M314" s="115"/>
      <c r="N314" s="116"/>
      <c r="O314" s="117">
        <f t="shared" si="24"/>
        <v>46081</v>
      </c>
      <c r="P314" s="118">
        <f t="shared" si="25"/>
        <v>2</v>
      </c>
      <c r="Q314" s="119">
        <f t="shared" si="26"/>
        <v>44.8378888888889</v>
      </c>
      <c r="R314" s="119">
        <f t="shared" si="27"/>
        <v>0.0078888888888855</v>
      </c>
      <c r="S314" s="120" t="s">
        <v>106</v>
      </c>
      <c r="U314" s="67"/>
      <c r="V314" s="121"/>
      <c r="W314" s="122"/>
      <c r="X314" s="63"/>
      <c r="Y314" s="63"/>
      <c r="Z314" s="63"/>
      <c r="AA314" s="63"/>
    </row>
    <row r="315" s="59" customFormat="1" ht="16.5" outlineLevel="7" spans="1:27">
      <c r="A315" s="79"/>
      <c r="B315" s="123" t="s">
        <v>195</v>
      </c>
      <c r="C315" s="124">
        <v>100244</v>
      </c>
      <c r="D315" s="125" t="s">
        <v>543</v>
      </c>
      <c r="E315" s="126">
        <v>44977</v>
      </c>
      <c r="F315" s="111">
        <v>36</v>
      </c>
      <c r="G315" s="127">
        <v>0.05</v>
      </c>
      <c r="H315" s="128">
        <v>849.56</v>
      </c>
      <c r="I315" s="113">
        <v>807.08</v>
      </c>
      <c r="J315" s="113">
        <v>0</v>
      </c>
      <c r="K315" s="114">
        <f t="shared" si="23"/>
        <v>42.4799999999999</v>
      </c>
      <c r="L315" s="128">
        <v>44.83</v>
      </c>
      <c r="M315" s="115"/>
      <c r="N315" s="116"/>
      <c r="O315" s="117">
        <f t="shared" si="24"/>
        <v>46081</v>
      </c>
      <c r="P315" s="118">
        <f t="shared" si="25"/>
        <v>2</v>
      </c>
      <c r="Q315" s="119">
        <f t="shared" si="26"/>
        <v>44.8378888888889</v>
      </c>
      <c r="R315" s="119">
        <f t="shared" si="27"/>
        <v>0.0078888888888855</v>
      </c>
      <c r="S315" s="120" t="s">
        <v>106</v>
      </c>
      <c r="U315" s="67"/>
      <c r="V315" s="121"/>
      <c r="W315" s="122"/>
      <c r="X315" s="63"/>
      <c r="Y315" s="63"/>
      <c r="Z315" s="63"/>
      <c r="AA315" s="63"/>
    </row>
    <row r="316" s="59" customFormat="1" ht="16.5" outlineLevel="7" spans="1:27">
      <c r="A316" s="79"/>
      <c r="B316" s="123" t="s">
        <v>195</v>
      </c>
      <c r="C316" s="124">
        <v>100245</v>
      </c>
      <c r="D316" s="125" t="s">
        <v>543</v>
      </c>
      <c r="E316" s="126">
        <v>44977</v>
      </c>
      <c r="F316" s="111">
        <v>36</v>
      </c>
      <c r="G316" s="127">
        <v>0.05</v>
      </c>
      <c r="H316" s="128">
        <v>849.56</v>
      </c>
      <c r="I316" s="113">
        <v>807.08</v>
      </c>
      <c r="J316" s="113">
        <v>0</v>
      </c>
      <c r="K316" s="114">
        <f t="shared" si="23"/>
        <v>42.4799999999999</v>
      </c>
      <c r="L316" s="128">
        <v>44.83</v>
      </c>
      <c r="M316" s="115"/>
      <c r="N316" s="116"/>
      <c r="O316" s="117">
        <f t="shared" si="24"/>
        <v>46081</v>
      </c>
      <c r="P316" s="118">
        <f t="shared" si="25"/>
        <v>2</v>
      </c>
      <c r="Q316" s="119">
        <f t="shared" si="26"/>
        <v>44.8378888888889</v>
      </c>
      <c r="R316" s="119">
        <f t="shared" si="27"/>
        <v>0.0078888888888855</v>
      </c>
      <c r="S316" s="120" t="s">
        <v>106</v>
      </c>
      <c r="U316" s="67"/>
      <c r="V316" s="121"/>
      <c r="W316" s="122"/>
      <c r="X316" s="63"/>
      <c r="Y316" s="63"/>
      <c r="Z316" s="63"/>
      <c r="AA316" s="63"/>
    </row>
    <row r="317" s="59" customFormat="1" ht="16.5" outlineLevel="7" spans="1:27">
      <c r="A317" s="79"/>
      <c r="B317" s="123" t="s">
        <v>195</v>
      </c>
      <c r="C317" s="124">
        <v>100246</v>
      </c>
      <c r="D317" s="125" t="s">
        <v>543</v>
      </c>
      <c r="E317" s="126">
        <v>44977</v>
      </c>
      <c r="F317" s="111">
        <v>36</v>
      </c>
      <c r="G317" s="127">
        <v>0.05</v>
      </c>
      <c r="H317" s="128">
        <v>849.56</v>
      </c>
      <c r="I317" s="113">
        <v>807.08</v>
      </c>
      <c r="J317" s="113">
        <v>0</v>
      </c>
      <c r="K317" s="114">
        <f t="shared" si="23"/>
        <v>42.4799999999999</v>
      </c>
      <c r="L317" s="128">
        <v>44.83</v>
      </c>
      <c r="M317" s="115"/>
      <c r="N317" s="116"/>
      <c r="O317" s="117">
        <f t="shared" si="24"/>
        <v>46081</v>
      </c>
      <c r="P317" s="118">
        <f t="shared" si="25"/>
        <v>2</v>
      </c>
      <c r="Q317" s="119">
        <f t="shared" si="26"/>
        <v>44.8378888888889</v>
      </c>
      <c r="R317" s="119">
        <f t="shared" si="27"/>
        <v>0.0078888888888855</v>
      </c>
      <c r="S317" s="120" t="s">
        <v>106</v>
      </c>
      <c r="U317" s="67"/>
      <c r="V317" s="121"/>
      <c r="W317" s="122"/>
      <c r="X317" s="63"/>
      <c r="Y317" s="63"/>
      <c r="Z317" s="63"/>
      <c r="AA317" s="63"/>
    </row>
    <row r="318" s="59" customFormat="1" ht="16.5" outlineLevel="7" spans="1:27">
      <c r="A318" s="79"/>
      <c r="B318" s="123" t="s">
        <v>195</v>
      </c>
      <c r="C318" s="124">
        <v>100247</v>
      </c>
      <c r="D318" s="125" t="s">
        <v>543</v>
      </c>
      <c r="E318" s="126">
        <v>44977</v>
      </c>
      <c r="F318" s="111">
        <v>36</v>
      </c>
      <c r="G318" s="127">
        <v>0.05</v>
      </c>
      <c r="H318" s="128">
        <v>849.56</v>
      </c>
      <c r="I318" s="113">
        <v>807.08</v>
      </c>
      <c r="J318" s="113">
        <v>0</v>
      </c>
      <c r="K318" s="114">
        <f t="shared" si="23"/>
        <v>42.4799999999999</v>
      </c>
      <c r="L318" s="128">
        <v>44.83</v>
      </c>
      <c r="M318" s="115"/>
      <c r="N318" s="116"/>
      <c r="O318" s="117">
        <f t="shared" si="24"/>
        <v>46081</v>
      </c>
      <c r="P318" s="118">
        <f t="shared" si="25"/>
        <v>2</v>
      </c>
      <c r="Q318" s="119">
        <f t="shared" si="26"/>
        <v>44.8378888888889</v>
      </c>
      <c r="R318" s="119">
        <f t="shared" si="27"/>
        <v>0.0078888888888855</v>
      </c>
      <c r="S318" s="120" t="s">
        <v>106</v>
      </c>
      <c r="U318" s="67"/>
      <c r="V318" s="121"/>
      <c r="W318" s="122"/>
      <c r="X318" s="63"/>
      <c r="Y318" s="63"/>
      <c r="Z318" s="63"/>
      <c r="AA318" s="63"/>
    </row>
    <row r="319" s="59" customFormat="1" ht="16.5" outlineLevel="7" spans="1:27">
      <c r="A319" s="79"/>
      <c r="B319" s="107" t="s">
        <v>195</v>
      </c>
      <c r="C319" s="108">
        <v>100248</v>
      </c>
      <c r="D319" s="109" t="s">
        <v>543</v>
      </c>
      <c r="E319" s="110">
        <v>44977</v>
      </c>
      <c r="F319" s="111">
        <v>36</v>
      </c>
      <c r="G319" s="112">
        <v>0.05</v>
      </c>
      <c r="H319" s="113">
        <v>849.54</v>
      </c>
      <c r="I319" s="113">
        <v>807.06</v>
      </c>
      <c r="J319" s="113">
        <v>0</v>
      </c>
      <c r="K319" s="114">
        <f t="shared" si="23"/>
        <v>42.48</v>
      </c>
      <c r="L319" s="113">
        <v>44.83</v>
      </c>
      <c r="M319" s="115"/>
      <c r="N319" s="116"/>
      <c r="O319" s="117">
        <f t="shared" si="24"/>
        <v>46081</v>
      </c>
      <c r="P319" s="118">
        <f t="shared" si="25"/>
        <v>2</v>
      </c>
      <c r="Q319" s="119">
        <f t="shared" si="26"/>
        <v>44.8368333333333</v>
      </c>
      <c r="R319" s="119">
        <f t="shared" si="27"/>
        <v>0.0068333333333257</v>
      </c>
      <c r="S319" s="120" t="s">
        <v>106</v>
      </c>
      <c r="U319" s="67"/>
      <c r="V319" s="121"/>
      <c r="W319" s="122"/>
      <c r="X319" s="63"/>
      <c r="Y319" s="63"/>
      <c r="Z319" s="63"/>
      <c r="AA319" s="63"/>
    </row>
    <row r="320" s="59" customFormat="1" ht="16.5" outlineLevel="7" spans="1:27">
      <c r="A320" s="79"/>
      <c r="B320" s="107" t="s">
        <v>195</v>
      </c>
      <c r="C320" s="108">
        <v>100249</v>
      </c>
      <c r="D320" s="109" t="s">
        <v>544</v>
      </c>
      <c r="E320" s="110">
        <v>44959</v>
      </c>
      <c r="F320" s="111">
        <v>36</v>
      </c>
      <c r="G320" s="112">
        <v>0.05</v>
      </c>
      <c r="H320" s="113">
        <v>9291.15</v>
      </c>
      <c r="I320" s="113">
        <v>8826.59</v>
      </c>
      <c r="J320" s="113">
        <v>0</v>
      </c>
      <c r="K320" s="114">
        <f t="shared" si="23"/>
        <v>464.559999999999</v>
      </c>
      <c r="L320" s="113">
        <v>490.37</v>
      </c>
      <c r="M320" s="115"/>
      <c r="N320" s="116"/>
      <c r="O320" s="117">
        <f t="shared" si="24"/>
        <v>46081</v>
      </c>
      <c r="P320" s="118">
        <f t="shared" si="25"/>
        <v>2</v>
      </c>
      <c r="Q320" s="119">
        <f t="shared" si="26"/>
        <v>490.36625</v>
      </c>
      <c r="R320" s="119">
        <f t="shared" si="27"/>
        <v>-0.00375000000008185</v>
      </c>
      <c r="S320" s="120" t="s">
        <v>106</v>
      </c>
      <c r="U320" s="67"/>
      <c r="V320" s="121"/>
      <c r="W320" s="122"/>
      <c r="X320" s="63"/>
      <c r="Y320" s="63"/>
      <c r="Z320" s="63"/>
      <c r="AA320" s="63"/>
    </row>
    <row r="321" s="59" customFormat="1" ht="16.5" outlineLevel="7" spans="1:27">
      <c r="A321" s="79"/>
      <c r="B321" s="123" t="s">
        <v>195</v>
      </c>
      <c r="C321" s="124">
        <v>100250</v>
      </c>
      <c r="D321" s="125" t="s">
        <v>545</v>
      </c>
      <c r="E321" s="126">
        <v>44988</v>
      </c>
      <c r="F321" s="111">
        <v>36</v>
      </c>
      <c r="G321" s="127">
        <v>0.05</v>
      </c>
      <c r="H321" s="128">
        <v>4423.89</v>
      </c>
      <c r="I321" s="113">
        <v>4202.7</v>
      </c>
      <c r="J321" s="113">
        <v>0</v>
      </c>
      <c r="K321" s="114">
        <f t="shared" si="23"/>
        <v>221.190000000001</v>
      </c>
      <c r="L321" s="128">
        <v>350.23</v>
      </c>
      <c r="M321" s="115"/>
      <c r="N321" s="116"/>
      <c r="O321" s="117">
        <f t="shared" si="24"/>
        <v>46112</v>
      </c>
      <c r="P321" s="118">
        <f t="shared" si="25"/>
        <v>3</v>
      </c>
      <c r="Q321" s="119">
        <f t="shared" si="26"/>
        <v>350.224625</v>
      </c>
      <c r="R321" s="119">
        <f t="shared" si="27"/>
        <v>-0.00537500000001501</v>
      </c>
      <c r="S321" s="120" t="s">
        <v>106</v>
      </c>
      <c r="U321" s="67"/>
      <c r="V321" s="121"/>
      <c r="W321" s="122"/>
      <c r="X321" s="63"/>
      <c r="Y321" s="63"/>
      <c r="Z321" s="63"/>
      <c r="AA321" s="63"/>
    </row>
    <row r="322" s="59" customFormat="1" ht="16.5" outlineLevel="7" spans="1:27">
      <c r="A322" s="79"/>
      <c r="B322" s="123" t="s">
        <v>195</v>
      </c>
      <c r="C322" s="124">
        <v>100251</v>
      </c>
      <c r="D322" s="125" t="s">
        <v>545</v>
      </c>
      <c r="E322" s="126">
        <v>44988</v>
      </c>
      <c r="F322" s="111">
        <v>36</v>
      </c>
      <c r="G322" s="127">
        <v>0.05</v>
      </c>
      <c r="H322" s="128">
        <v>4423.89</v>
      </c>
      <c r="I322" s="113">
        <v>4202.7</v>
      </c>
      <c r="J322" s="113">
        <v>0</v>
      </c>
      <c r="K322" s="114">
        <f t="shared" si="23"/>
        <v>221.190000000001</v>
      </c>
      <c r="L322" s="128">
        <v>350.23</v>
      </c>
      <c r="M322" s="115"/>
      <c r="N322" s="116"/>
      <c r="O322" s="117">
        <f t="shared" si="24"/>
        <v>46112</v>
      </c>
      <c r="P322" s="118">
        <f t="shared" si="25"/>
        <v>3</v>
      </c>
      <c r="Q322" s="119">
        <f t="shared" si="26"/>
        <v>350.224625</v>
      </c>
      <c r="R322" s="119">
        <f t="shared" si="27"/>
        <v>-0.00537500000001501</v>
      </c>
      <c r="S322" s="120" t="s">
        <v>106</v>
      </c>
      <c r="U322" s="67"/>
      <c r="V322" s="121"/>
      <c r="W322" s="122"/>
      <c r="X322" s="63"/>
      <c r="Y322" s="63"/>
      <c r="Z322" s="63"/>
      <c r="AA322" s="63"/>
    </row>
    <row r="323" s="59" customFormat="1" ht="16.5" outlineLevel="7" spans="1:27">
      <c r="A323" s="79"/>
      <c r="B323" s="123" t="s">
        <v>195</v>
      </c>
      <c r="C323" s="124">
        <v>100252</v>
      </c>
      <c r="D323" s="125" t="s">
        <v>545</v>
      </c>
      <c r="E323" s="126">
        <v>44988</v>
      </c>
      <c r="F323" s="111">
        <v>36</v>
      </c>
      <c r="G323" s="127">
        <v>0.05</v>
      </c>
      <c r="H323" s="128">
        <v>4423.89</v>
      </c>
      <c r="I323" s="113">
        <v>4202.7</v>
      </c>
      <c r="J323" s="113">
        <v>0</v>
      </c>
      <c r="K323" s="114">
        <f t="shared" si="23"/>
        <v>221.190000000001</v>
      </c>
      <c r="L323" s="128">
        <v>350.23</v>
      </c>
      <c r="M323" s="115"/>
      <c r="N323" s="116"/>
      <c r="O323" s="117">
        <f t="shared" si="24"/>
        <v>46112</v>
      </c>
      <c r="P323" s="118">
        <f t="shared" si="25"/>
        <v>3</v>
      </c>
      <c r="Q323" s="119">
        <f t="shared" si="26"/>
        <v>350.224625</v>
      </c>
      <c r="R323" s="119">
        <f t="shared" si="27"/>
        <v>-0.00537500000001501</v>
      </c>
      <c r="S323" s="120" t="s">
        <v>106</v>
      </c>
      <c r="U323" s="67"/>
      <c r="V323" s="121"/>
      <c r="W323" s="122"/>
      <c r="X323" s="63"/>
      <c r="Y323" s="63"/>
      <c r="Z323" s="63"/>
      <c r="AA323" s="63"/>
    </row>
    <row r="324" s="59" customFormat="1" ht="16.5" outlineLevel="7" spans="1:27">
      <c r="A324" s="79"/>
      <c r="B324" s="123" t="s">
        <v>195</v>
      </c>
      <c r="C324" s="124">
        <v>100253</v>
      </c>
      <c r="D324" s="125" t="s">
        <v>545</v>
      </c>
      <c r="E324" s="126">
        <v>44988</v>
      </c>
      <c r="F324" s="111">
        <v>36</v>
      </c>
      <c r="G324" s="127">
        <v>0.05</v>
      </c>
      <c r="H324" s="128">
        <v>4423.89</v>
      </c>
      <c r="I324" s="113">
        <v>4202.7</v>
      </c>
      <c r="J324" s="113">
        <v>0</v>
      </c>
      <c r="K324" s="114">
        <f t="shared" si="23"/>
        <v>221.190000000001</v>
      </c>
      <c r="L324" s="128">
        <v>350.23</v>
      </c>
      <c r="M324" s="115"/>
      <c r="N324" s="116"/>
      <c r="O324" s="117">
        <f t="shared" si="24"/>
        <v>46112</v>
      </c>
      <c r="P324" s="118">
        <f t="shared" si="25"/>
        <v>3</v>
      </c>
      <c r="Q324" s="119">
        <f t="shared" si="26"/>
        <v>350.224625</v>
      </c>
      <c r="R324" s="119">
        <f t="shared" si="27"/>
        <v>-0.00537500000001501</v>
      </c>
      <c r="S324" s="120" t="s">
        <v>106</v>
      </c>
      <c r="U324" s="67"/>
      <c r="V324" s="121"/>
      <c r="W324" s="122"/>
      <c r="X324" s="63"/>
      <c r="Y324" s="63"/>
      <c r="Z324" s="63"/>
      <c r="AA324" s="63"/>
    </row>
    <row r="325" s="59" customFormat="1" ht="16.5" outlineLevel="7" spans="1:27">
      <c r="A325" s="79"/>
      <c r="B325" s="123" t="s">
        <v>195</v>
      </c>
      <c r="C325" s="124">
        <v>100254</v>
      </c>
      <c r="D325" s="125" t="s">
        <v>545</v>
      </c>
      <c r="E325" s="126">
        <v>44988</v>
      </c>
      <c r="F325" s="111">
        <v>36</v>
      </c>
      <c r="G325" s="127">
        <v>0.05</v>
      </c>
      <c r="H325" s="128">
        <v>4423.91</v>
      </c>
      <c r="I325" s="113">
        <v>4202.71</v>
      </c>
      <c r="J325" s="113">
        <v>0</v>
      </c>
      <c r="K325" s="114">
        <f t="shared" si="23"/>
        <v>221.2</v>
      </c>
      <c r="L325" s="128">
        <v>350.23</v>
      </c>
      <c r="M325" s="115"/>
      <c r="N325" s="116"/>
      <c r="O325" s="117">
        <f t="shared" si="24"/>
        <v>46112</v>
      </c>
      <c r="P325" s="118">
        <f t="shared" si="25"/>
        <v>3</v>
      </c>
      <c r="Q325" s="119">
        <f t="shared" si="26"/>
        <v>350.226208333333</v>
      </c>
      <c r="R325" s="119">
        <f t="shared" si="27"/>
        <v>-0.00379166666670017</v>
      </c>
      <c r="S325" s="120" t="s">
        <v>106</v>
      </c>
      <c r="U325" s="67"/>
      <c r="V325" s="121"/>
      <c r="W325" s="122"/>
      <c r="X325" s="63"/>
      <c r="Y325" s="63"/>
      <c r="Z325" s="63"/>
      <c r="AA325" s="63"/>
    </row>
    <row r="326" s="59" customFormat="1" ht="16.5" outlineLevel="7" spans="1:27">
      <c r="A326" s="79"/>
      <c r="B326" s="107" t="s">
        <v>195</v>
      </c>
      <c r="C326" s="108">
        <v>100255</v>
      </c>
      <c r="D326" s="109" t="s">
        <v>547</v>
      </c>
      <c r="E326" s="110">
        <v>44996</v>
      </c>
      <c r="F326" s="111">
        <v>36</v>
      </c>
      <c r="G326" s="112">
        <v>0.05</v>
      </c>
      <c r="H326" s="113">
        <v>3984.42</v>
      </c>
      <c r="I326" s="113">
        <v>3785.2</v>
      </c>
      <c r="J326" s="113">
        <v>0</v>
      </c>
      <c r="K326" s="114">
        <f t="shared" si="23"/>
        <v>199.22</v>
      </c>
      <c r="L326" s="113">
        <v>315.43</v>
      </c>
      <c r="M326" s="115"/>
      <c r="N326" s="116"/>
      <c r="O326" s="117">
        <f t="shared" si="24"/>
        <v>46112</v>
      </c>
      <c r="P326" s="118">
        <f t="shared" si="25"/>
        <v>3</v>
      </c>
      <c r="Q326" s="119">
        <f t="shared" si="26"/>
        <v>315.43325</v>
      </c>
      <c r="R326" s="119">
        <f t="shared" si="27"/>
        <v>0.00325000000003683</v>
      </c>
      <c r="S326" s="120" t="s">
        <v>106</v>
      </c>
      <c r="U326" s="67"/>
      <c r="V326" s="121"/>
      <c r="W326" s="122"/>
      <c r="X326" s="63"/>
      <c r="Y326" s="63"/>
      <c r="Z326" s="63"/>
      <c r="AA326" s="63"/>
    </row>
    <row r="327" s="59" customFormat="1" ht="16.5" outlineLevel="7" spans="1:27">
      <c r="A327" s="79"/>
      <c r="B327" s="107" t="s">
        <v>195</v>
      </c>
      <c r="C327" s="108">
        <v>100256</v>
      </c>
      <c r="D327" s="109" t="s">
        <v>548</v>
      </c>
      <c r="E327" s="110">
        <v>45028</v>
      </c>
      <c r="F327" s="111">
        <v>36</v>
      </c>
      <c r="G327" s="112">
        <v>0.05</v>
      </c>
      <c r="H327" s="113">
        <v>1149.56</v>
      </c>
      <c r="I327" s="113">
        <v>1092.08</v>
      </c>
      <c r="J327" s="113">
        <v>0</v>
      </c>
      <c r="K327" s="114">
        <f t="shared" si="23"/>
        <v>57.48</v>
      </c>
      <c r="L327" s="113">
        <v>121.34</v>
      </c>
      <c r="M327" s="115"/>
      <c r="N327" s="116"/>
      <c r="O327" s="117">
        <f t="shared" si="24"/>
        <v>46142</v>
      </c>
      <c r="P327" s="118">
        <f t="shared" si="25"/>
        <v>4</v>
      </c>
      <c r="Q327" s="119">
        <f t="shared" si="26"/>
        <v>121.342444444444</v>
      </c>
      <c r="R327" s="119">
        <f t="shared" si="27"/>
        <v>0.00244444444442138</v>
      </c>
      <c r="S327" s="120" t="s">
        <v>106</v>
      </c>
      <c r="U327" s="67"/>
      <c r="V327" s="121"/>
      <c r="W327" s="122"/>
      <c r="X327" s="63"/>
      <c r="Y327" s="63"/>
      <c r="Z327" s="63"/>
      <c r="AA327" s="63"/>
    </row>
    <row r="328" s="59" customFormat="1" ht="16.5" outlineLevel="7" spans="1:27">
      <c r="A328" s="79"/>
      <c r="B328" s="123" t="s">
        <v>195</v>
      </c>
      <c r="C328" s="124">
        <v>100257</v>
      </c>
      <c r="D328" s="125" t="s">
        <v>549</v>
      </c>
      <c r="E328" s="126">
        <v>45033</v>
      </c>
      <c r="F328" s="111">
        <v>36</v>
      </c>
      <c r="G328" s="127">
        <v>0.05</v>
      </c>
      <c r="H328" s="128">
        <v>5929.2</v>
      </c>
      <c r="I328" s="113">
        <v>5632.74</v>
      </c>
      <c r="J328" s="113">
        <v>0</v>
      </c>
      <c r="K328" s="114">
        <f t="shared" si="23"/>
        <v>296.46</v>
      </c>
      <c r="L328" s="128">
        <v>625.86</v>
      </c>
      <c r="M328" s="115"/>
      <c r="N328" s="116"/>
      <c r="O328" s="117">
        <f t="shared" si="24"/>
        <v>46142</v>
      </c>
      <c r="P328" s="118">
        <f t="shared" si="25"/>
        <v>4</v>
      </c>
      <c r="Q328" s="119">
        <f t="shared" si="26"/>
        <v>625.86</v>
      </c>
      <c r="R328" s="119">
        <f t="shared" si="27"/>
        <v>0</v>
      </c>
      <c r="S328" s="120" t="s">
        <v>106</v>
      </c>
      <c r="U328" s="67"/>
      <c r="V328" s="121"/>
      <c r="W328" s="122"/>
      <c r="X328" s="63"/>
      <c r="Y328" s="63"/>
      <c r="Z328" s="63"/>
      <c r="AA328" s="63"/>
    </row>
    <row r="329" s="59" customFormat="1" ht="16.5" outlineLevel="7" spans="1:27">
      <c r="A329" s="79"/>
      <c r="B329" s="123" t="s">
        <v>195</v>
      </c>
      <c r="C329" s="124">
        <v>100258</v>
      </c>
      <c r="D329" s="125" t="s">
        <v>544</v>
      </c>
      <c r="E329" s="126">
        <v>45020</v>
      </c>
      <c r="F329" s="111">
        <v>36</v>
      </c>
      <c r="G329" s="127">
        <v>0.05</v>
      </c>
      <c r="H329" s="128">
        <v>4689.38</v>
      </c>
      <c r="I329" s="113">
        <v>4454.91</v>
      </c>
      <c r="J329" s="113">
        <v>0</v>
      </c>
      <c r="K329" s="114">
        <f t="shared" ref="K329:K392" si="28">H329-I329-J329</f>
        <v>234.47</v>
      </c>
      <c r="L329" s="128">
        <v>494.98</v>
      </c>
      <c r="M329" s="115"/>
      <c r="N329" s="116"/>
      <c r="O329" s="117">
        <f t="shared" ref="O329:O392" si="29">IFERROR(EOMONTH(E329,F329),"")</f>
        <v>46142</v>
      </c>
      <c r="P329" s="118">
        <f t="shared" ref="P329:P392" si="30">IFERROR(IF(OR(AND(M329&lt;&gt;"",YEAR(M329)&lt;YEAR($L$6)),AND(O329&lt;&gt;"",YEAR(O329)&lt;YEAR($L$6))),0,IF(YEAR(E329)&gt;YEAR($L$6),0,IF(OR((IF(YEAR(E329)&lt;YEAR($L$6),1,IF(MONTH(E329)=12,99,MONTH(E329)+1))&gt;12),(IF(YEAR(E329)&lt;YEAR($L$6),1,IF(MONTH(E329)=12,99,MONTH(E329)+1))&gt;MIN(MONTH($L$6),IF(AND(M329&lt;&gt;"",YEAR(M329)=YEAR($L$6)),MONTH(M329),99),IF(AND(O329&lt;&gt;"",YEAR(O329)=YEAR($L$6)),MONTH(O329),99)))),0,MIN(MONTH($L$6),IF(AND(M329&lt;&gt;"",YEAR(M329)=YEAR($L$6)),MONTH(M329),99),IF(AND(O329&lt;&gt;"",YEAR(O329)=YEAR($L$6)),MONTH(O329),99))-IF(YEAR(E329)&lt;YEAR($L$6),1,IF(MONTH(E329)=12,99,MONTH(E329)+1))+1))),0)</f>
        <v>4</v>
      </c>
      <c r="Q329" s="119">
        <f t="shared" si="26"/>
        <v>494.990111111111</v>
      </c>
      <c r="R329" s="119">
        <f t="shared" si="27"/>
        <v>0.0101111111110868</v>
      </c>
      <c r="S329" s="120" t="s">
        <v>106</v>
      </c>
      <c r="U329" s="67"/>
      <c r="V329" s="121"/>
      <c r="W329" s="122"/>
      <c r="X329" s="63"/>
      <c r="Y329" s="63"/>
      <c r="Z329" s="63"/>
      <c r="AA329" s="63"/>
    </row>
    <row r="330" s="59" customFormat="1" ht="16.5" outlineLevel="7" spans="1:27">
      <c r="A330" s="79"/>
      <c r="B330" s="123" t="s">
        <v>195</v>
      </c>
      <c r="C330" s="124">
        <v>100259</v>
      </c>
      <c r="D330" s="125" t="s">
        <v>544</v>
      </c>
      <c r="E330" s="126">
        <v>45020</v>
      </c>
      <c r="F330" s="111">
        <v>36</v>
      </c>
      <c r="G330" s="127">
        <v>0.05</v>
      </c>
      <c r="H330" s="128">
        <v>4689.38</v>
      </c>
      <c r="I330" s="113">
        <v>4454.91</v>
      </c>
      <c r="J330" s="113">
        <v>0</v>
      </c>
      <c r="K330" s="114">
        <f t="shared" si="28"/>
        <v>234.47</v>
      </c>
      <c r="L330" s="128">
        <v>494.98</v>
      </c>
      <c r="M330" s="115"/>
      <c r="N330" s="116"/>
      <c r="O330" s="117">
        <f t="shared" si="29"/>
        <v>46142</v>
      </c>
      <c r="P330" s="118">
        <f t="shared" si="30"/>
        <v>4</v>
      </c>
      <c r="Q330" s="119">
        <f t="shared" si="26"/>
        <v>494.990111111111</v>
      </c>
      <c r="R330" s="119">
        <f t="shared" si="27"/>
        <v>0.0101111111110868</v>
      </c>
      <c r="S330" s="120" t="s">
        <v>106</v>
      </c>
      <c r="U330" s="67"/>
      <c r="V330" s="121"/>
      <c r="W330" s="122"/>
      <c r="X330" s="63"/>
      <c r="Y330" s="63"/>
      <c r="Z330" s="63"/>
      <c r="AA330" s="63"/>
    </row>
    <row r="331" s="59" customFormat="1" ht="16.5" outlineLevel="7" spans="1:27">
      <c r="A331" s="79"/>
      <c r="B331" s="123" t="s">
        <v>195</v>
      </c>
      <c r="C331" s="124">
        <v>100260</v>
      </c>
      <c r="D331" s="125" t="s">
        <v>544</v>
      </c>
      <c r="E331" s="126">
        <v>45020</v>
      </c>
      <c r="F331" s="111">
        <v>36</v>
      </c>
      <c r="G331" s="127">
        <v>0.05</v>
      </c>
      <c r="H331" s="128">
        <v>4689.38</v>
      </c>
      <c r="I331" s="113">
        <v>4454.91</v>
      </c>
      <c r="J331" s="113">
        <v>0</v>
      </c>
      <c r="K331" s="114">
        <f t="shared" si="28"/>
        <v>234.47</v>
      </c>
      <c r="L331" s="128">
        <v>494.98</v>
      </c>
      <c r="M331" s="115"/>
      <c r="N331" s="116"/>
      <c r="O331" s="117">
        <f t="shared" si="29"/>
        <v>46142</v>
      </c>
      <c r="P331" s="118">
        <f t="shared" si="30"/>
        <v>4</v>
      </c>
      <c r="Q331" s="119">
        <f t="shared" si="26"/>
        <v>494.990111111111</v>
      </c>
      <c r="R331" s="119">
        <f t="shared" si="27"/>
        <v>0.0101111111110868</v>
      </c>
      <c r="S331" s="120" t="s">
        <v>106</v>
      </c>
      <c r="U331" s="67"/>
      <c r="V331" s="121"/>
      <c r="W331" s="122"/>
      <c r="X331" s="63"/>
      <c r="Y331" s="63"/>
      <c r="Z331" s="63"/>
      <c r="AA331" s="63"/>
    </row>
    <row r="332" s="59" customFormat="1" ht="16.5" outlineLevel="7" spans="1:27">
      <c r="A332" s="79"/>
      <c r="B332" s="123" t="s">
        <v>195</v>
      </c>
      <c r="C332" s="124">
        <v>100261</v>
      </c>
      <c r="D332" s="125" t="s">
        <v>551</v>
      </c>
      <c r="E332" s="126">
        <v>45047</v>
      </c>
      <c r="F332" s="111">
        <v>36</v>
      </c>
      <c r="G332" s="127">
        <v>0.05</v>
      </c>
      <c r="H332" s="128">
        <v>3085</v>
      </c>
      <c r="I332" s="113">
        <v>2849.35</v>
      </c>
      <c r="J332" s="113">
        <v>0</v>
      </c>
      <c r="K332" s="114">
        <f t="shared" si="28"/>
        <v>235.65</v>
      </c>
      <c r="L332" s="128">
        <v>325.64</v>
      </c>
      <c r="M332" s="115"/>
      <c r="N332" s="116"/>
      <c r="O332" s="117">
        <f t="shared" si="29"/>
        <v>46173</v>
      </c>
      <c r="P332" s="118">
        <f t="shared" si="30"/>
        <v>4</v>
      </c>
      <c r="Q332" s="119">
        <f t="shared" si="26"/>
        <v>325.638888888889</v>
      </c>
      <c r="R332" s="119">
        <f t="shared" si="27"/>
        <v>-0.0011111111110722</v>
      </c>
      <c r="S332" s="120" t="s">
        <v>106</v>
      </c>
      <c r="U332" s="67"/>
      <c r="V332" s="121"/>
      <c r="W332" s="122"/>
      <c r="X332" s="63"/>
      <c r="Y332" s="63"/>
      <c r="Z332" s="63"/>
      <c r="AA332" s="63"/>
    </row>
    <row r="333" s="59" customFormat="1" ht="16.5" outlineLevel="7" spans="1:27">
      <c r="A333" s="79"/>
      <c r="B333" s="107" t="s">
        <v>195</v>
      </c>
      <c r="C333" s="108">
        <v>100262</v>
      </c>
      <c r="D333" s="109" t="s">
        <v>552</v>
      </c>
      <c r="E333" s="110">
        <v>45040</v>
      </c>
      <c r="F333" s="111">
        <v>36</v>
      </c>
      <c r="G333" s="112">
        <v>0.05</v>
      </c>
      <c r="H333" s="113">
        <v>1108</v>
      </c>
      <c r="I333" s="113">
        <v>1052.6</v>
      </c>
      <c r="J333" s="113">
        <v>0</v>
      </c>
      <c r="K333" s="114">
        <f t="shared" si="28"/>
        <v>55.4000000000001</v>
      </c>
      <c r="L333" s="113">
        <v>116.94</v>
      </c>
      <c r="M333" s="115"/>
      <c r="N333" s="116"/>
      <c r="O333" s="117">
        <f t="shared" si="29"/>
        <v>46142</v>
      </c>
      <c r="P333" s="118">
        <f t="shared" si="30"/>
        <v>4</v>
      </c>
      <c r="Q333" s="119">
        <f t="shared" si="26"/>
        <v>116.955555555556</v>
      </c>
      <c r="R333" s="119">
        <f t="shared" si="27"/>
        <v>0.0155555555555509</v>
      </c>
      <c r="S333" s="120" t="s">
        <v>106</v>
      </c>
      <c r="U333" s="67"/>
      <c r="V333" s="121"/>
      <c r="W333" s="122"/>
      <c r="X333" s="63"/>
      <c r="Y333" s="63"/>
      <c r="Z333" s="63"/>
      <c r="AA333" s="63"/>
    </row>
    <row r="334" s="59" customFormat="1" ht="16.5" outlineLevel="7" spans="1:27">
      <c r="A334" s="79"/>
      <c r="B334" s="107" t="s">
        <v>195</v>
      </c>
      <c r="C334" s="108">
        <v>100264</v>
      </c>
      <c r="D334" s="109" t="s">
        <v>553</v>
      </c>
      <c r="E334" s="110">
        <v>45057</v>
      </c>
      <c r="F334" s="111">
        <v>36</v>
      </c>
      <c r="G334" s="112">
        <v>0.05</v>
      </c>
      <c r="H334" s="113">
        <v>1184.96</v>
      </c>
      <c r="I334" s="113">
        <v>1094.45</v>
      </c>
      <c r="J334" s="113">
        <v>0</v>
      </c>
      <c r="K334" s="114">
        <f t="shared" si="28"/>
        <v>90.51</v>
      </c>
      <c r="L334" s="113">
        <v>125.08</v>
      </c>
      <c r="M334" s="115"/>
      <c r="N334" s="116"/>
      <c r="O334" s="117">
        <f t="shared" si="29"/>
        <v>46173</v>
      </c>
      <c r="P334" s="118">
        <f t="shared" si="30"/>
        <v>4</v>
      </c>
      <c r="Q334" s="119">
        <f t="shared" si="26"/>
        <v>125.079111111111</v>
      </c>
      <c r="R334" s="119">
        <f t="shared" si="27"/>
        <v>-0.000888888888894712</v>
      </c>
      <c r="S334" s="120" t="s">
        <v>106</v>
      </c>
      <c r="U334" s="67"/>
      <c r="V334" s="121"/>
      <c r="W334" s="122"/>
      <c r="X334" s="63"/>
      <c r="Y334" s="63"/>
      <c r="Z334" s="63"/>
      <c r="AA334" s="63"/>
    </row>
    <row r="335" s="59" customFormat="1" ht="16.5" outlineLevel="7" spans="1:27">
      <c r="A335" s="79"/>
      <c r="B335" s="123" t="s">
        <v>195</v>
      </c>
      <c r="C335" s="124">
        <v>100265</v>
      </c>
      <c r="D335" s="125" t="s">
        <v>554</v>
      </c>
      <c r="E335" s="126">
        <v>45054</v>
      </c>
      <c r="F335" s="111">
        <v>36</v>
      </c>
      <c r="G335" s="127">
        <v>0.05</v>
      </c>
      <c r="H335" s="128">
        <v>7167.26</v>
      </c>
      <c r="I335" s="113">
        <v>6619.77</v>
      </c>
      <c r="J335" s="113">
        <v>0</v>
      </c>
      <c r="K335" s="114">
        <f t="shared" si="28"/>
        <v>547.49</v>
      </c>
      <c r="L335" s="128">
        <v>756.54</v>
      </c>
      <c r="M335" s="115"/>
      <c r="N335" s="116"/>
      <c r="O335" s="117">
        <f t="shared" si="29"/>
        <v>46173</v>
      </c>
      <c r="P335" s="118">
        <f t="shared" si="30"/>
        <v>4</v>
      </c>
      <c r="Q335" s="119">
        <f t="shared" si="26"/>
        <v>756.544111111111</v>
      </c>
      <c r="R335" s="119">
        <f t="shared" si="27"/>
        <v>0.00411111111111495</v>
      </c>
      <c r="S335" s="120" t="s">
        <v>106</v>
      </c>
      <c r="U335" s="67"/>
      <c r="V335" s="121"/>
      <c r="W335" s="122"/>
      <c r="X335" s="63"/>
      <c r="Y335" s="63"/>
      <c r="Z335" s="63"/>
      <c r="AA335" s="63"/>
    </row>
    <row r="336" s="59" customFormat="1" ht="16.5" outlineLevel="7" spans="1:27">
      <c r="A336" s="79"/>
      <c r="B336" s="123" t="s">
        <v>195</v>
      </c>
      <c r="C336" s="124">
        <v>100266</v>
      </c>
      <c r="D336" s="125" t="s">
        <v>555</v>
      </c>
      <c r="E336" s="126">
        <v>45044</v>
      </c>
      <c r="F336" s="111">
        <v>36</v>
      </c>
      <c r="G336" s="127">
        <v>0.05</v>
      </c>
      <c r="H336" s="128">
        <v>3167.33</v>
      </c>
      <c r="I336" s="113">
        <v>3008.96</v>
      </c>
      <c r="J336" s="113">
        <v>0</v>
      </c>
      <c r="K336" s="114">
        <f t="shared" si="28"/>
        <v>158.37</v>
      </c>
      <c r="L336" s="128">
        <v>334.34</v>
      </c>
      <c r="M336" s="115"/>
      <c r="N336" s="116"/>
      <c r="O336" s="117">
        <f t="shared" si="29"/>
        <v>46142</v>
      </c>
      <c r="P336" s="118">
        <f t="shared" si="30"/>
        <v>4</v>
      </c>
      <c r="Q336" s="119">
        <f t="shared" si="26"/>
        <v>334.329277777778</v>
      </c>
      <c r="R336" s="119">
        <f t="shared" si="27"/>
        <v>-0.0107222222222276</v>
      </c>
      <c r="S336" s="120" t="s">
        <v>106</v>
      </c>
      <c r="U336" s="67"/>
      <c r="V336" s="121"/>
      <c r="W336" s="122"/>
      <c r="X336" s="63"/>
      <c r="Y336" s="63"/>
      <c r="Z336" s="63"/>
      <c r="AA336" s="63"/>
    </row>
    <row r="337" s="59" customFormat="1" ht="16.5" outlineLevel="7" spans="1:27">
      <c r="A337" s="79"/>
      <c r="B337" s="123" t="s">
        <v>195</v>
      </c>
      <c r="C337" s="124">
        <v>100267</v>
      </c>
      <c r="D337" s="125" t="s">
        <v>556</v>
      </c>
      <c r="E337" s="126">
        <v>45044</v>
      </c>
      <c r="F337" s="111">
        <v>36</v>
      </c>
      <c r="G337" s="127">
        <v>0.05</v>
      </c>
      <c r="H337" s="128">
        <v>2969.31</v>
      </c>
      <c r="I337" s="113">
        <v>2820.84</v>
      </c>
      <c r="J337" s="113">
        <v>0</v>
      </c>
      <c r="K337" s="114">
        <f t="shared" si="28"/>
        <v>148.47</v>
      </c>
      <c r="L337" s="128">
        <v>313.42</v>
      </c>
      <c r="M337" s="115"/>
      <c r="N337" s="116"/>
      <c r="O337" s="117">
        <f t="shared" si="29"/>
        <v>46142</v>
      </c>
      <c r="P337" s="118">
        <f t="shared" si="30"/>
        <v>4</v>
      </c>
      <c r="Q337" s="119">
        <f t="shared" si="26"/>
        <v>313.427166666667</v>
      </c>
      <c r="R337" s="119">
        <f t="shared" si="27"/>
        <v>0.00716666666659194</v>
      </c>
      <c r="S337" s="120" t="s">
        <v>106</v>
      </c>
      <c r="U337" s="67"/>
      <c r="V337" s="121"/>
      <c r="W337" s="122"/>
      <c r="X337" s="63"/>
      <c r="Y337" s="63"/>
      <c r="Z337" s="63"/>
      <c r="AA337" s="63"/>
    </row>
    <row r="338" s="59" customFormat="1" ht="16.5" outlineLevel="7" spans="1:27">
      <c r="A338" s="79"/>
      <c r="B338" s="123" t="s">
        <v>195</v>
      </c>
      <c r="C338" s="124">
        <v>100562</v>
      </c>
      <c r="D338" s="125" t="s">
        <v>557</v>
      </c>
      <c r="E338" s="126">
        <v>45512</v>
      </c>
      <c r="F338" s="111">
        <v>36</v>
      </c>
      <c r="G338" s="127">
        <v>0.05</v>
      </c>
      <c r="H338" s="128">
        <v>894.69</v>
      </c>
      <c r="I338" s="113">
        <v>472.2</v>
      </c>
      <c r="J338" s="113">
        <v>0</v>
      </c>
      <c r="K338" s="114">
        <f t="shared" si="28"/>
        <v>422.49</v>
      </c>
      <c r="L338" s="128">
        <v>94.44</v>
      </c>
      <c r="M338" s="115"/>
      <c r="N338" s="116"/>
      <c r="O338" s="117">
        <f t="shared" si="29"/>
        <v>46630</v>
      </c>
      <c r="P338" s="118">
        <f t="shared" si="30"/>
        <v>4</v>
      </c>
      <c r="Q338" s="119">
        <f t="shared" si="26"/>
        <v>94.4395</v>
      </c>
      <c r="R338" s="119">
        <f t="shared" si="27"/>
        <v>-0.000499999999988177</v>
      </c>
      <c r="S338" s="120" t="s">
        <v>106</v>
      </c>
      <c r="U338" s="67"/>
      <c r="V338" s="121"/>
      <c r="W338" s="122"/>
      <c r="X338" s="63"/>
      <c r="Y338" s="63"/>
      <c r="Z338" s="63"/>
      <c r="AA338" s="63"/>
    </row>
    <row r="339" s="59" customFormat="1" ht="16.5" outlineLevel="7" spans="1:27">
      <c r="A339" s="79"/>
      <c r="B339" s="123" t="s">
        <v>195</v>
      </c>
      <c r="C339" s="124">
        <v>100563</v>
      </c>
      <c r="D339" s="125" t="s">
        <v>557</v>
      </c>
      <c r="E339" s="126">
        <v>45512</v>
      </c>
      <c r="F339" s="111">
        <v>36</v>
      </c>
      <c r="G339" s="127">
        <v>0.05</v>
      </c>
      <c r="H339" s="128">
        <v>891.15</v>
      </c>
      <c r="I339" s="113">
        <v>470.35</v>
      </c>
      <c r="J339" s="113">
        <v>0</v>
      </c>
      <c r="K339" s="114">
        <f t="shared" si="28"/>
        <v>420.8</v>
      </c>
      <c r="L339" s="128">
        <v>94.06</v>
      </c>
      <c r="M339" s="115"/>
      <c r="N339" s="116"/>
      <c r="O339" s="117">
        <f t="shared" si="29"/>
        <v>46630</v>
      </c>
      <c r="P339" s="118">
        <f t="shared" si="30"/>
        <v>4</v>
      </c>
      <c r="Q339" s="119">
        <f t="shared" si="26"/>
        <v>94.0658333333333</v>
      </c>
      <c r="R339" s="119">
        <f t="shared" si="27"/>
        <v>0.00583333333332803</v>
      </c>
      <c r="S339" s="120" t="s">
        <v>106</v>
      </c>
      <c r="U339" s="67"/>
      <c r="V339" s="121"/>
      <c r="W339" s="122"/>
      <c r="X339" s="63"/>
      <c r="Y339" s="63"/>
      <c r="Z339" s="63"/>
      <c r="AA339" s="63"/>
    </row>
    <row r="340" s="59" customFormat="1" ht="16.5" outlineLevel="7" spans="1:27">
      <c r="A340" s="79"/>
      <c r="B340" s="107" t="s">
        <v>195</v>
      </c>
      <c r="C340" s="108">
        <v>100564</v>
      </c>
      <c r="D340" s="109" t="s">
        <v>557</v>
      </c>
      <c r="E340" s="110">
        <v>45529</v>
      </c>
      <c r="F340" s="111">
        <v>36</v>
      </c>
      <c r="G340" s="112">
        <v>0.05</v>
      </c>
      <c r="H340" s="113">
        <v>891.15</v>
      </c>
      <c r="I340" s="113">
        <v>470.35</v>
      </c>
      <c r="J340" s="113">
        <v>0</v>
      </c>
      <c r="K340" s="114">
        <f t="shared" si="28"/>
        <v>420.8</v>
      </c>
      <c r="L340" s="113">
        <v>94.06</v>
      </c>
      <c r="M340" s="115"/>
      <c r="N340" s="116"/>
      <c r="O340" s="117">
        <f t="shared" si="29"/>
        <v>46630</v>
      </c>
      <c r="P340" s="118">
        <f t="shared" si="30"/>
        <v>4</v>
      </c>
      <c r="Q340" s="119">
        <f t="shared" si="26"/>
        <v>94.0658333333333</v>
      </c>
      <c r="R340" s="119">
        <f t="shared" si="27"/>
        <v>0.00583333333332803</v>
      </c>
      <c r="S340" s="120" t="s">
        <v>106</v>
      </c>
      <c r="U340" s="67"/>
      <c r="V340" s="121"/>
      <c r="W340" s="122"/>
      <c r="X340" s="63"/>
      <c r="Y340" s="63"/>
      <c r="Z340" s="63"/>
      <c r="AA340" s="63"/>
    </row>
    <row r="341" s="59" customFormat="1" ht="16.5" outlineLevel="7" spans="1:27">
      <c r="A341" s="79"/>
      <c r="B341" s="107" t="s">
        <v>195</v>
      </c>
      <c r="C341" s="108">
        <v>100565</v>
      </c>
      <c r="D341" s="109" t="s">
        <v>559</v>
      </c>
      <c r="E341" s="110">
        <v>45525</v>
      </c>
      <c r="F341" s="111">
        <v>36</v>
      </c>
      <c r="G341" s="112">
        <v>0.05</v>
      </c>
      <c r="H341" s="113">
        <v>1220.35</v>
      </c>
      <c r="I341" s="113">
        <v>644.05</v>
      </c>
      <c r="J341" s="113">
        <v>0</v>
      </c>
      <c r="K341" s="114">
        <f t="shared" si="28"/>
        <v>576.3</v>
      </c>
      <c r="L341" s="113">
        <v>128.82</v>
      </c>
      <c r="M341" s="115"/>
      <c r="N341" s="116"/>
      <c r="O341" s="117">
        <f t="shared" si="29"/>
        <v>46630</v>
      </c>
      <c r="P341" s="118">
        <f t="shared" si="30"/>
        <v>4</v>
      </c>
      <c r="Q341" s="119">
        <f t="shared" si="26"/>
        <v>128.814722222222</v>
      </c>
      <c r="R341" s="119">
        <f t="shared" si="27"/>
        <v>-0.00527777777779193</v>
      </c>
      <c r="S341" s="120" t="s">
        <v>106</v>
      </c>
      <c r="U341" s="67"/>
      <c r="V341" s="121"/>
      <c r="W341" s="122"/>
      <c r="X341" s="63"/>
      <c r="Y341" s="63"/>
      <c r="Z341" s="63"/>
      <c r="AA341" s="63"/>
    </row>
    <row r="342" s="59" customFormat="1" ht="16.5" outlineLevel="7" spans="1:27">
      <c r="A342" s="79"/>
      <c r="B342" s="123" t="s">
        <v>195</v>
      </c>
      <c r="C342" s="124">
        <v>100566</v>
      </c>
      <c r="D342" s="125" t="s">
        <v>560</v>
      </c>
      <c r="E342" s="126">
        <v>45542</v>
      </c>
      <c r="F342" s="111">
        <v>36</v>
      </c>
      <c r="G342" s="127">
        <v>0.05</v>
      </c>
      <c r="H342" s="128">
        <v>1406.19</v>
      </c>
      <c r="I342" s="113">
        <v>705.09</v>
      </c>
      <c r="J342" s="113">
        <v>0</v>
      </c>
      <c r="K342" s="114">
        <f t="shared" si="28"/>
        <v>701.1</v>
      </c>
      <c r="L342" s="128">
        <v>148.44</v>
      </c>
      <c r="M342" s="115"/>
      <c r="N342" s="116"/>
      <c r="O342" s="117">
        <f t="shared" si="29"/>
        <v>46660</v>
      </c>
      <c r="P342" s="118">
        <f t="shared" si="30"/>
        <v>4</v>
      </c>
      <c r="Q342" s="119">
        <f t="shared" si="26"/>
        <v>148.431166666667</v>
      </c>
      <c r="R342" s="119">
        <f t="shared" si="27"/>
        <v>-0.00883333333334235</v>
      </c>
      <c r="S342" s="120" t="s">
        <v>106</v>
      </c>
      <c r="U342" s="67"/>
      <c r="V342" s="121"/>
      <c r="W342" s="122"/>
      <c r="X342" s="63"/>
      <c r="Y342" s="63"/>
      <c r="Z342" s="63"/>
      <c r="AA342" s="63"/>
    </row>
    <row r="343" s="59" customFormat="1" ht="16.5" outlineLevel="7" spans="1:27">
      <c r="A343" s="79"/>
      <c r="B343" s="123" t="s">
        <v>195</v>
      </c>
      <c r="C343" s="124">
        <v>100567</v>
      </c>
      <c r="D343" s="125" t="s">
        <v>562</v>
      </c>
      <c r="E343" s="126">
        <v>45540</v>
      </c>
      <c r="F343" s="111">
        <v>36</v>
      </c>
      <c r="G343" s="127">
        <v>0.05</v>
      </c>
      <c r="H343" s="128">
        <v>6141.59</v>
      </c>
      <c r="I343" s="113">
        <v>3079.33</v>
      </c>
      <c r="J343" s="113">
        <v>0</v>
      </c>
      <c r="K343" s="114">
        <f t="shared" si="28"/>
        <v>3062.26</v>
      </c>
      <c r="L343" s="128">
        <v>648.28</v>
      </c>
      <c r="M343" s="115"/>
      <c r="N343" s="116"/>
      <c r="O343" s="117">
        <f t="shared" si="29"/>
        <v>46660</v>
      </c>
      <c r="P343" s="118">
        <f t="shared" si="30"/>
        <v>4</v>
      </c>
      <c r="Q343" s="119">
        <f t="shared" ref="Q343:Q406" si="31">IFERROR(IF(N343=0,(H343*(1-G343))/F343*P343,(N343*(1-G343))/F343*P343),0)</f>
        <v>648.278944444445</v>
      </c>
      <c r="R343" s="119">
        <f t="shared" ref="R343:R406" si="32">Q343-L343</f>
        <v>-0.00105555555546744</v>
      </c>
      <c r="S343" s="120" t="s">
        <v>106</v>
      </c>
      <c r="U343" s="67"/>
      <c r="V343" s="121"/>
      <c r="W343" s="122"/>
      <c r="X343" s="63"/>
      <c r="Y343" s="63"/>
      <c r="Z343" s="63"/>
      <c r="AA343" s="63"/>
    </row>
    <row r="344" s="59" customFormat="1" ht="16.5" outlineLevel="7" spans="1:27">
      <c r="A344" s="79"/>
      <c r="B344" s="123" t="s">
        <v>195</v>
      </c>
      <c r="C344" s="124">
        <v>100568</v>
      </c>
      <c r="D344" s="125" t="s">
        <v>560</v>
      </c>
      <c r="E344" s="126">
        <v>45581</v>
      </c>
      <c r="F344" s="111">
        <v>36</v>
      </c>
      <c r="G344" s="127">
        <v>0.05</v>
      </c>
      <c r="H344" s="128">
        <v>928</v>
      </c>
      <c r="I344" s="113">
        <v>440.82</v>
      </c>
      <c r="J344" s="113">
        <v>0</v>
      </c>
      <c r="K344" s="114">
        <f t="shared" si="28"/>
        <v>487.18</v>
      </c>
      <c r="L344" s="128">
        <v>97.96</v>
      </c>
      <c r="M344" s="115"/>
      <c r="N344" s="116"/>
      <c r="O344" s="117">
        <f t="shared" si="29"/>
        <v>46691</v>
      </c>
      <c r="P344" s="118">
        <f t="shared" si="30"/>
        <v>4</v>
      </c>
      <c r="Q344" s="119">
        <f t="shared" si="31"/>
        <v>97.9555555555555</v>
      </c>
      <c r="R344" s="119">
        <f t="shared" si="32"/>
        <v>-0.00444444444444514</v>
      </c>
      <c r="S344" s="120" t="s">
        <v>106</v>
      </c>
      <c r="U344" s="67"/>
      <c r="V344" s="121"/>
      <c r="W344" s="122"/>
      <c r="X344" s="63"/>
      <c r="Y344" s="63"/>
      <c r="Z344" s="63"/>
      <c r="AA344" s="63"/>
    </row>
    <row r="345" s="59" customFormat="1" ht="16.5" outlineLevel="7" spans="1:27">
      <c r="A345" s="79"/>
      <c r="B345" s="123" t="s">
        <v>195</v>
      </c>
      <c r="C345" s="124">
        <v>100569</v>
      </c>
      <c r="D345" s="125" t="s">
        <v>565</v>
      </c>
      <c r="E345" s="126">
        <v>45588</v>
      </c>
      <c r="F345" s="111">
        <v>36</v>
      </c>
      <c r="G345" s="127">
        <v>0.05</v>
      </c>
      <c r="H345" s="128">
        <v>3884.07</v>
      </c>
      <c r="I345" s="113">
        <v>1844.96</v>
      </c>
      <c r="J345" s="113">
        <v>0</v>
      </c>
      <c r="K345" s="114">
        <f t="shared" si="28"/>
        <v>2039.11</v>
      </c>
      <c r="L345" s="128">
        <v>409.98</v>
      </c>
      <c r="M345" s="115"/>
      <c r="N345" s="116"/>
      <c r="O345" s="117">
        <f t="shared" si="29"/>
        <v>46691</v>
      </c>
      <c r="P345" s="118">
        <f t="shared" si="30"/>
        <v>4</v>
      </c>
      <c r="Q345" s="119">
        <f t="shared" si="31"/>
        <v>409.985166666667</v>
      </c>
      <c r="R345" s="119">
        <f t="shared" si="32"/>
        <v>0.00516666666663923</v>
      </c>
      <c r="S345" s="120" t="s">
        <v>106</v>
      </c>
      <c r="U345" s="67"/>
      <c r="V345" s="121"/>
      <c r="W345" s="122"/>
      <c r="X345" s="63"/>
      <c r="Y345" s="63"/>
      <c r="Z345" s="63"/>
      <c r="AA345" s="63"/>
    </row>
    <row r="346" s="59" customFormat="1" ht="16.5" outlineLevel="7" spans="1:27">
      <c r="A346" s="79"/>
      <c r="B346" s="123" t="s">
        <v>195</v>
      </c>
      <c r="C346" s="124">
        <v>100570</v>
      </c>
      <c r="D346" s="125" t="s">
        <v>545</v>
      </c>
      <c r="E346" s="126">
        <v>45590</v>
      </c>
      <c r="F346" s="111">
        <v>36</v>
      </c>
      <c r="G346" s="127">
        <v>0.05</v>
      </c>
      <c r="H346" s="128">
        <v>5291.15</v>
      </c>
      <c r="I346" s="113">
        <v>2513.34</v>
      </c>
      <c r="J346" s="113">
        <v>0</v>
      </c>
      <c r="K346" s="114">
        <f t="shared" si="28"/>
        <v>2777.81</v>
      </c>
      <c r="L346" s="128">
        <v>558.52</v>
      </c>
      <c r="M346" s="115"/>
      <c r="N346" s="116"/>
      <c r="O346" s="117">
        <f t="shared" si="29"/>
        <v>46691</v>
      </c>
      <c r="P346" s="118">
        <f t="shared" si="30"/>
        <v>4</v>
      </c>
      <c r="Q346" s="119">
        <f t="shared" si="31"/>
        <v>558.510277777778</v>
      </c>
      <c r="R346" s="119">
        <f t="shared" si="32"/>
        <v>-0.00972222222219443</v>
      </c>
      <c r="S346" s="120" t="s">
        <v>106</v>
      </c>
      <c r="U346" s="67"/>
      <c r="V346" s="121"/>
      <c r="W346" s="122"/>
      <c r="X346" s="63"/>
      <c r="Y346" s="63"/>
      <c r="Z346" s="63"/>
      <c r="AA346" s="63"/>
    </row>
    <row r="347" s="59" customFormat="1" ht="16.5" outlineLevel="7" spans="1:27">
      <c r="A347" s="79"/>
      <c r="B347" s="107" t="s">
        <v>195</v>
      </c>
      <c r="C347" s="108">
        <v>100571</v>
      </c>
      <c r="D347" s="109" t="s">
        <v>560</v>
      </c>
      <c r="E347" s="110">
        <v>45590</v>
      </c>
      <c r="F347" s="111">
        <v>36</v>
      </c>
      <c r="G347" s="112">
        <v>0.05</v>
      </c>
      <c r="H347" s="113">
        <v>794.69</v>
      </c>
      <c r="I347" s="113">
        <v>377.46</v>
      </c>
      <c r="J347" s="113">
        <v>0</v>
      </c>
      <c r="K347" s="114">
        <f t="shared" si="28"/>
        <v>417.23</v>
      </c>
      <c r="L347" s="113">
        <v>83.88</v>
      </c>
      <c r="M347" s="115"/>
      <c r="N347" s="116"/>
      <c r="O347" s="117">
        <f t="shared" si="29"/>
        <v>46691</v>
      </c>
      <c r="P347" s="118">
        <f t="shared" si="30"/>
        <v>4</v>
      </c>
      <c r="Q347" s="119">
        <f t="shared" si="31"/>
        <v>83.8839444444445</v>
      </c>
      <c r="R347" s="119">
        <f t="shared" si="32"/>
        <v>0.00394444444445696</v>
      </c>
      <c r="S347" s="120" t="s">
        <v>106</v>
      </c>
      <c r="U347" s="67"/>
      <c r="V347" s="121"/>
      <c r="W347" s="122"/>
      <c r="X347" s="63"/>
      <c r="Y347" s="63"/>
      <c r="Z347" s="63"/>
      <c r="AA347" s="63"/>
    </row>
    <row r="348" s="59" customFormat="1" ht="16.5" outlineLevel="7" spans="1:27">
      <c r="A348" s="79"/>
      <c r="B348" s="107" t="s">
        <v>195</v>
      </c>
      <c r="C348" s="108">
        <v>100560</v>
      </c>
      <c r="D348" s="109" t="s">
        <v>559</v>
      </c>
      <c r="E348" s="110">
        <v>45506</v>
      </c>
      <c r="F348" s="111">
        <v>36</v>
      </c>
      <c r="G348" s="112">
        <v>0.05</v>
      </c>
      <c r="H348" s="113">
        <v>707.08</v>
      </c>
      <c r="I348" s="113">
        <v>373.2</v>
      </c>
      <c r="J348" s="113">
        <v>0</v>
      </c>
      <c r="K348" s="114">
        <f t="shared" si="28"/>
        <v>333.88</v>
      </c>
      <c r="L348" s="113">
        <v>74.64</v>
      </c>
      <c r="M348" s="115"/>
      <c r="N348" s="116"/>
      <c r="O348" s="117">
        <f t="shared" si="29"/>
        <v>46630</v>
      </c>
      <c r="P348" s="118">
        <f t="shared" si="30"/>
        <v>4</v>
      </c>
      <c r="Q348" s="119">
        <f t="shared" si="31"/>
        <v>74.6362222222222</v>
      </c>
      <c r="R348" s="119">
        <f t="shared" si="32"/>
        <v>-0.00377777777778476</v>
      </c>
      <c r="S348" s="120" t="s">
        <v>106</v>
      </c>
      <c r="U348" s="67"/>
      <c r="V348" s="121"/>
      <c r="W348" s="122"/>
      <c r="X348" s="63"/>
      <c r="Y348" s="63"/>
      <c r="Z348" s="63"/>
      <c r="AA348" s="63"/>
    </row>
    <row r="349" s="59" customFormat="1" ht="16.5" outlineLevel="7" spans="1:27">
      <c r="A349" s="79"/>
      <c r="B349" s="123" t="s">
        <v>195</v>
      </c>
      <c r="C349" s="124">
        <v>100561</v>
      </c>
      <c r="D349" s="125" t="s">
        <v>557</v>
      </c>
      <c r="E349" s="126">
        <v>45512</v>
      </c>
      <c r="F349" s="111">
        <v>36</v>
      </c>
      <c r="G349" s="127">
        <v>0.05</v>
      </c>
      <c r="H349" s="128">
        <v>894.69</v>
      </c>
      <c r="I349" s="113">
        <v>472.2</v>
      </c>
      <c r="J349" s="113">
        <v>0</v>
      </c>
      <c r="K349" s="114">
        <f t="shared" si="28"/>
        <v>422.49</v>
      </c>
      <c r="L349" s="128">
        <v>94.44</v>
      </c>
      <c r="M349" s="115"/>
      <c r="N349" s="116"/>
      <c r="O349" s="117">
        <f t="shared" si="29"/>
        <v>46630</v>
      </c>
      <c r="P349" s="118">
        <f t="shared" si="30"/>
        <v>4</v>
      </c>
      <c r="Q349" s="119">
        <f t="shared" si="31"/>
        <v>94.4395</v>
      </c>
      <c r="R349" s="119">
        <f t="shared" si="32"/>
        <v>-0.000499999999988177</v>
      </c>
      <c r="S349" s="120" t="s">
        <v>106</v>
      </c>
      <c r="U349" s="67"/>
      <c r="V349" s="121"/>
      <c r="W349" s="122"/>
      <c r="X349" s="63"/>
      <c r="Y349" s="63"/>
      <c r="Z349" s="63"/>
      <c r="AA349" s="63"/>
    </row>
    <row r="350" s="59" customFormat="1" ht="16.5" outlineLevel="7" spans="1:27">
      <c r="A350" s="79"/>
      <c r="B350" s="123" t="s">
        <v>195</v>
      </c>
      <c r="C350" s="124">
        <v>100572</v>
      </c>
      <c r="D350" s="125" t="s">
        <v>569</v>
      </c>
      <c r="E350" s="126">
        <v>45589</v>
      </c>
      <c r="F350" s="111">
        <v>36</v>
      </c>
      <c r="G350" s="127">
        <v>0.05</v>
      </c>
      <c r="H350" s="128">
        <v>713.76</v>
      </c>
      <c r="I350" s="113">
        <v>339.04</v>
      </c>
      <c r="J350" s="113">
        <v>0</v>
      </c>
      <c r="K350" s="114">
        <f t="shared" si="28"/>
        <v>374.72</v>
      </c>
      <c r="L350" s="128">
        <v>75.34</v>
      </c>
      <c r="M350" s="115"/>
      <c r="N350" s="116"/>
      <c r="O350" s="117">
        <f t="shared" si="29"/>
        <v>46691</v>
      </c>
      <c r="P350" s="118">
        <f t="shared" si="30"/>
        <v>4</v>
      </c>
      <c r="Q350" s="119">
        <f t="shared" si="31"/>
        <v>75.3413333333333</v>
      </c>
      <c r="R350" s="119">
        <f t="shared" si="32"/>
        <v>0.00133333333333496</v>
      </c>
      <c r="S350" s="120" t="s">
        <v>106</v>
      </c>
      <c r="U350" s="67"/>
      <c r="V350" s="121"/>
      <c r="W350" s="122"/>
      <c r="X350" s="63"/>
      <c r="Y350" s="63"/>
      <c r="Z350" s="63"/>
      <c r="AA350" s="63"/>
    </row>
    <row r="351" s="59" customFormat="1" ht="16.5" outlineLevel="7" spans="1:27">
      <c r="A351" s="79"/>
      <c r="B351" s="123" t="s">
        <v>195</v>
      </c>
      <c r="C351" s="124">
        <v>100573</v>
      </c>
      <c r="D351" s="125" t="s">
        <v>571</v>
      </c>
      <c r="E351" s="126">
        <v>45595</v>
      </c>
      <c r="F351" s="111">
        <v>36</v>
      </c>
      <c r="G351" s="127">
        <v>0.05</v>
      </c>
      <c r="H351" s="128">
        <v>794.69</v>
      </c>
      <c r="I351" s="113">
        <v>377.46</v>
      </c>
      <c r="J351" s="113">
        <v>0</v>
      </c>
      <c r="K351" s="114">
        <f t="shared" si="28"/>
        <v>417.23</v>
      </c>
      <c r="L351" s="128">
        <v>83.88</v>
      </c>
      <c r="M351" s="115"/>
      <c r="N351" s="116"/>
      <c r="O351" s="117">
        <f t="shared" si="29"/>
        <v>46691</v>
      </c>
      <c r="P351" s="118">
        <f t="shared" si="30"/>
        <v>4</v>
      </c>
      <c r="Q351" s="119">
        <f t="shared" si="31"/>
        <v>83.8839444444445</v>
      </c>
      <c r="R351" s="119">
        <f t="shared" si="32"/>
        <v>0.00394444444445696</v>
      </c>
      <c r="S351" s="120" t="s">
        <v>106</v>
      </c>
      <c r="U351" s="67"/>
      <c r="V351" s="121"/>
      <c r="W351" s="122"/>
      <c r="X351" s="63"/>
      <c r="Y351" s="63"/>
      <c r="Z351" s="63"/>
      <c r="AA351" s="63"/>
    </row>
    <row r="352" s="59" customFormat="1" ht="16.5" outlineLevel="7" spans="1:27">
      <c r="A352" s="79"/>
      <c r="B352" s="123" t="s">
        <v>195</v>
      </c>
      <c r="C352" s="124">
        <v>100574</v>
      </c>
      <c r="D352" s="125" t="s">
        <v>571</v>
      </c>
      <c r="E352" s="126">
        <v>45595</v>
      </c>
      <c r="F352" s="111">
        <v>36</v>
      </c>
      <c r="G352" s="127">
        <v>0.05</v>
      </c>
      <c r="H352" s="128">
        <v>794.69</v>
      </c>
      <c r="I352" s="113">
        <v>374.94</v>
      </c>
      <c r="J352" s="113">
        <v>0</v>
      </c>
      <c r="K352" s="114">
        <f t="shared" si="28"/>
        <v>419.75</v>
      </c>
      <c r="L352" s="128">
        <v>83.32</v>
      </c>
      <c r="M352" s="115"/>
      <c r="N352" s="116"/>
      <c r="O352" s="117">
        <f t="shared" si="29"/>
        <v>46691</v>
      </c>
      <c r="P352" s="118">
        <f t="shared" si="30"/>
        <v>4</v>
      </c>
      <c r="Q352" s="119">
        <f t="shared" si="31"/>
        <v>83.8839444444445</v>
      </c>
      <c r="R352" s="119">
        <f t="shared" si="32"/>
        <v>0.563944444444459</v>
      </c>
      <c r="S352" s="120" t="s">
        <v>106</v>
      </c>
      <c r="U352" s="67"/>
      <c r="V352" s="121"/>
      <c r="W352" s="122"/>
      <c r="X352" s="63"/>
      <c r="Y352" s="63"/>
      <c r="Z352" s="63"/>
      <c r="AA352" s="63"/>
    </row>
    <row r="353" s="59" customFormat="1" ht="16.5" outlineLevel="7" spans="1:27">
      <c r="A353" s="79"/>
      <c r="B353" s="123" t="s">
        <v>195</v>
      </c>
      <c r="C353" s="124">
        <v>100575</v>
      </c>
      <c r="D353" s="125" t="s">
        <v>571</v>
      </c>
      <c r="E353" s="126">
        <v>45595</v>
      </c>
      <c r="F353" s="111">
        <v>36</v>
      </c>
      <c r="G353" s="127">
        <v>0.05</v>
      </c>
      <c r="H353" s="128">
        <v>794.69</v>
      </c>
      <c r="I353" s="113">
        <v>377.46</v>
      </c>
      <c r="J353" s="113">
        <v>0</v>
      </c>
      <c r="K353" s="114">
        <f t="shared" si="28"/>
        <v>417.23</v>
      </c>
      <c r="L353" s="128">
        <v>83.88</v>
      </c>
      <c r="M353" s="115"/>
      <c r="N353" s="116"/>
      <c r="O353" s="117">
        <f t="shared" si="29"/>
        <v>46691</v>
      </c>
      <c r="P353" s="118">
        <f t="shared" si="30"/>
        <v>4</v>
      </c>
      <c r="Q353" s="119">
        <f t="shared" si="31"/>
        <v>83.8839444444445</v>
      </c>
      <c r="R353" s="119">
        <f t="shared" si="32"/>
        <v>0.00394444444445696</v>
      </c>
      <c r="S353" s="120" t="s">
        <v>106</v>
      </c>
      <c r="U353" s="67"/>
      <c r="V353" s="121"/>
      <c r="W353" s="122"/>
      <c r="X353" s="63"/>
      <c r="Y353" s="63"/>
      <c r="Z353" s="63"/>
      <c r="AA353" s="63"/>
    </row>
    <row r="354" s="59" customFormat="1" ht="16.5" outlineLevel="7" spans="1:27">
      <c r="A354" s="79"/>
      <c r="B354" s="107" t="s">
        <v>195</v>
      </c>
      <c r="C354" s="108">
        <v>100576</v>
      </c>
      <c r="D354" s="109" t="s">
        <v>574</v>
      </c>
      <c r="E354" s="110">
        <v>45603</v>
      </c>
      <c r="F354" s="111">
        <v>36</v>
      </c>
      <c r="G354" s="112">
        <v>0.05</v>
      </c>
      <c r="H354" s="113">
        <v>2580</v>
      </c>
      <c r="I354" s="113">
        <v>1157.39</v>
      </c>
      <c r="J354" s="113">
        <v>0</v>
      </c>
      <c r="K354" s="114">
        <f t="shared" si="28"/>
        <v>1422.61</v>
      </c>
      <c r="L354" s="113">
        <v>272.34</v>
      </c>
      <c r="M354" s="115"/>
      <c r="N354" s="116"/>
      <c r="O354" s="117">
        <f t="shared" si="29"/>
        <v>46721</v>
      </c>
      <c r="P354" s="118">
        <f t="shared" si="30"/>
        <v>4</v>
      </c>
      <c r="Q354" s="119">
        <f t="shared" si="31"/>
        <v>272.333333333333</v>
      </c>
      <c r="R354" s="119">
        <f t="shared" si="32"/>
        <v>-0.0066666666666606</v>
      </c>
      <c r="S354" s="120" t="s">
        <v>106</v>
      </c>
      <c r="U354" s="67"/>
      <c r="V354" s="121"/>
      <c r="W354" s="122"/>
      <c r="X354" s="63"/>
      <c r="Y354" s="63"/>
      <c r="Z354" s="63"/>
      <c r="AA354" s="63"/>
    </row>
    <row r="355" s="59" customFormat="1" ht="16.5" outlineLevel="7" spans="1:27">
      <c r="A355" s="79"/>
      <c r="B355" s="107" t="s">
        <v>195</v>
      </c>
      <c r="C355" s="108">
        <v>100577</v>
      </c>
      <c r="D355" s="109" t="s">
        <v>545</v>
      </c>
      <c r="E355" s="110">
        <v>45605</v>
      </c>
      <c r="F355" s="111">
        <v>36</v>
      </c>
      <c r="G355" s="112">
        <v>0.05</v>
      </c>
      <c r="H355" s="113">
        <v>6176.11</v>
      </c>
      <c r="I355" s="113">
        <v>2770.66</v>
      </c>
      <c r="J355" s="113">
        <v>0</v>
      </c>
      <c r="K355" s="114">
        <f t="shared" si="28"/>
        <v>3405.45</v>
      </c>
      <c r="L355" s="113">
        <v>651.92</v>
      </c>
      <c r="M355" s="115"/>
      <c r="N355" s="116"/>
      <c r="O355" s="117">
        <f t="shared" si="29"/>
        <v>46721</v>
      </c>
      <c r="P355" s="118">
        <f t="shared" si="30"/>
        <v>4</v>
      </c>
      <c r="Q355" s="119">
        <f t="shared" si="31"/>
        <v>651.922722222222</v>
      </c>
      <c r="R355" s="119">
        <f t="shared" si="32"/>
        <v>0.00272222222213259</v>
      </c>
      <c r="S355" s="120" t="s">
        <v>106</v>
      </c>
      <c r="U355" s="67"/>
      <c r="V355" s="121"/>
      <c r="W355" s="122"/>
      <c r="X355" s="63"/>
      <c r="Y355" s="63"/>
      <c r="Z355" s="63"/>
      <c r="AA355" s="63"/>
    </row>
    <row r="356" s="59" customFormat="1" ht="16.5" outlineLevel="7" spans="1:27">
      <c r="A356" s="79"/>
      <c r="B356" s="123" t="s">
        <v>195</v>
      </c>
      <c r="C356" s="124">
        <v>100578</v>
      </c>
      <c r="D356" s="125" t="s">
        <v>545</v>
      </c>
      <c r="E356" s="126">
        <v>45617</v>
      </c>
      <c r="F356" s="111">
        <v>36</v>
      </c>
      <c r="G356" s="127">
        <v>0.05</v>
      </c>
      <c r="H356" s="128">
        <v>5087.61</v>
      </c>
      <c r="I356" s="113">
        <v>2282.39</v>
      </c>
      <c r="J356" s="113">
        <v>0</v>
      </c>
      <c r="K356" s="114">
        <f t="shared" si="28"/>
        <v>2805.22</v>
      </c>
      <c r="L356" s="128">
        <v>537.02</v>
      </c>
      <c r="M356" s="115"/>
      <c r="N356" s="116"/>
      <c r="O356" s="117">
        <f t="shared" si="29"/>
        <v>46721</v>
      </c>
      <c r="P356" s="118">
        <f t="shared" si="30"/>
        <v>4</v>
      </c>
      <c r="Q356" s="119">
        <f t="shared" si="31"/>
        <v>537.0255</v>
      </c>
      <c r="R356" s="119">
        <f t="shared" si="32"/>
        <v>0.00549999999998363</v>
      </c>
      <c r="S356" s="120" t="s">
        <v>106</v>
      </c>
      <c r="U356" s="67"/>
      <c r="V356" s="121"/>
      <c r="W356" s="122"/>
      <c r="X356" s="63"/>
      <c r="Y356" s="63"/>
      <c r="Z356" s="63"/>
      <c r="AA356" s="63"/>
    </row>
    <row r="357" s="59" customFormat="1" ht="16.5" outlineLevel="7" spans="1:27">
      <c r="A357" s="79"/>
      <c r="B357" s="123" t="s">
        <v>195</v>
      </c>
      <c r="C357" s="124">
        <v>100579</v>
      </c>
      <c r="D357" s="125" t="s">
        <v>578</v>
      </c>
      <c r="E357" s="126">
        <v>45617</v>
      </c>
      <c r="F357" s="111">
        <v>36</v>
      </c>
      <c r="G357" s="127">
        <v>0.05</v>
      </c>
      <c r="H357" s="128">
        <v>4415.04</v>
      </c>
      <c r="I357" s="113">
        <v>1980.67</v>
      </c>
      <c r="J357" s="113">
        <v>0</v>
      </c>
      <c r="K357" s="114">
        <f t="shared" si="28"/>
        <v>2434.37</v>
      </c>
      <c r="L357" s="128">
        <v>466.04</v>
      </c>
      <c r="M357" s="115"/>
      <c r="N357" s="116"/>
      <c r="O357" s="117">
        <f t="shared" si="29"/>
        <v>46721</v>
      </c>
      <c r="P357" s="118">
        <f t="shared" si="30"/>
        <v>4</v>
      </c>
      <c r="Q357" s="119">
        <f t="shared" si="31"/>
        <v>466.032</v>
      </c>
      <c r="R357" s="119">
        <f t="shared" si="32"/>
        <v>-0.00800000000009504</v>
      </c>
      <c r="S357" s="120" t="s">
        <v>106</v>
      </c>
      <c r="U357" s="67"/>
      <c r="V357" s="121"/>
      <c r="W357" s="122"/>
      <c r="X357" s="63"/>
      <c r="Y357" s="63"/>
      <c r="Z357" s="63"/>
      <c r="AA357" s="63"/>
    </row>
    <row r="358" s="59" customFormat="1" ht="16.5" outlineLevel="7" spans="1:27">
      <c r="A358" s="79"/>
      <c r="B358" s="123" t="s">
        <v>195</v>
      </c>
      <c r="C358" s="124">
        <v>100580</v>
      </c>
      <c r="D358" s="125" t="s">
        <v>580</v>
      </c>
      <c r="E358" s="126">
        <v>45621</v>
      </c>
      <c r="F358" s="111">
        <v>36</v>
      </c>
      <c r="G358" s="127">
        <v>0.05</v>
      </c>
      <c r="H358" s="128">
        <v>3411.5</v>
      </c>
      <c r="I358" s="113">
        <v>1530.45</v>
      </c>
      <c r="J358" s="113">
        <v>0</v>
      </c>
      <c r="K358" s="114">
        <f t="shared" si="28"/>
        <v>1881.05</v>
      </c>
      <c r="L358" s="128">
        <v>360.1</v>
      </c>
      <c r="M358" s="115"/>
      <c r="N358" s="116"/>
      <c r="O358" s="117">
        <f t="shared" si="29"/>
        <v>46721</v>
      </c>
      <c r="P358" s="118">
        <f t="shared" si="30"/>
        <v>4</v>
      </c>
      <c r="Q358" s="119">
        <f t="shared" si="31"/>
        <v>360.102777777778</v>
      </c>
      <c r="R358" s="119">
        <f t="shared" si="32"/>
        <v>0.00277777777773736</v>
      </c>
      <c r="S358" s="120" t="s">
        <v>106</v>
      </c>
      <c r="U358" s="67"/>
      <c r="V358" s="121"/>
      <c r="W358" s="122"/>
      <c r="X358" s="63"/>
      <c r="Y358" s="63"/>
      <c r="Z358" s="63"/>
      <c r="AA358" s="63"/>
    </row>
    <row r="359" s="59" customFormat="1" ht="16.5" outlineLevel="7" spans="1:27">
      <c r="A359" s="79"/>
      <c r="B359" s="123" t="s">
        <v>195</v>
      </c>
      <c r="C359" s="124">
        <v>100581</v>
      </c>
      <c r="D359" s="125" t="s">
        <v>581</v>
      </c>
      <c r="E359" s="126">
        <v>45616</v>
      </c>
      <c r="F359" s="111">
        <v>36</v>
      </c>
      <c r="G359" s="127">
        <v>0.05</v>
      </c>
      <c r="H359" s="128">
        <v>1827.43</v>
      </c>
      <c r="I359" s="113">
        <v>819.79</v>
      </c>
      <c r="J359" s="113">
        <v>0</v>
      </c>
      <c r="K359" s="114">
        <f t="shared" si="28"/>
        <v>1007.64</v>
      </c>
      <c r="L359" s="128">
        <v>192.9</v>
      </c>
      <c r="M359" s="115"/>
      <c r="N359" s="116"/>
      <c r="O359" s="117">
        <f t="shared" si="29"/>
        <v>46721</v>
      </c>
      <c r="P359" s="118">
        <f t="shared" si="30"/>
        <v>4</v>
      </c>
      <c r="Q359" s="119">
        <f t="shared" si="31"/>
        <v>192.895388888889</v>
      </c>
      <c r="R359" s="119">
        <f t="shared" si="32"/>
        <v>-0.00461111111113155</v>
      </c>
      <c r="S359" s="120" t="s">
        <v>106</v>
      </c>
      <c r="U359" s="67"/>
      <c r="V359" s="121"/>
      <c r="W359" s="122"/>
      <c r="X359" s="63"/>
      <c r="Y359" s="63"/>
      <c r="Z359" s="63"/>
      <c r="AA359" s="63"/>
    </row>
    <row r="360" s="59" customFormat="1" ht="16.5" outlineLevel="7" spans="1:27">
      <c r="A360" s="79"/>
      <c r="B360" s="123" t="s">
        <v>195</v>
      </c>
      <c r="C360" s="124">
        <v>100582</v>
      </c>
      <c r="D360" s="125" t="s">
        <v>582</v>
      </c>
      <c r="E360" s="126">
        <v>45627</v>
      </c>
      <c r="F360" s="111">
        <v>36</v>
      </c>
      <c r="G360" s="127">
        <v>0.05</v>
      </c>
      <c r="H360" s="128">
        <v>5043.36</v>
      </c>
      <c r="I360" s="113">
        <v>2129.44</v>
      </c>
      <c r="J360" s="113">
        <v>0</v>
      </c>
      <c r="K360" s="114">
        <f t="shared" si="28"/>
        <v>2913.92</v>
      </c>
      <c r="L360" s="128">
        <v>532.36</v>
      </c>
      <c r="M360" s="115"/>
      <c r="N360" s="116"/>
      <c r="O360" s="117">
        <f t="shared" si="29"/>
        <v>46752</v>
      </c>
      <c r="P360" s="118">
        <f t="shared" si="30"/>
        <v>4</v>
      </c>
      <c r="Q360" s="119">
        <f t="shared" si="31"/>
        <v>532.354666666667</v>
      </c>
      <c r="R360" s="119">
        <f t="shared" si="32"/>
        <v>-0.00533333333339669</v>
      </c>
      <c r="S360" s="120" t="s">
        <v>106</v>
      </c>
      <c r="U360" s="67"/>
      <c r="V360" s="121"/>
      <c r="W360" s="122"/>
      <c r="X360" s="63"/>
      <c r="Y360" s="63"/>
      <c r="Z360" s="63"/>
      <c r="AA360" s="63"/>
    </row>
    <row r="361" s="59" customFormat="1" ht="16.5" outlineLevel="7" spans="1:27">
      <c r="A361" s="79"/>
      <c r="B361" s="107" t="s">
        <v>195</v>
      </c>
      <c r="C361" s="108">
        <v>100583</v>
      </c>
      <c r="D361" s="109" t="s">
        <v>545</v>
      </c>
      <c r="E361" s="110">
        <v>45627</v>
      </c>
      <c r="F361" s="111">
        <v>36</v>
      </c>
      <c r="G361" s="112">
        <v>0.05</v>
      </c>
      <c r="H361" s="113">
        <v>4910.62</v>
      </c>
      <c r="I361" s="113">
        <v>2202.98</v>
      </c>
      <c r="J361" s="113">
        <v>0</v>
      </c>
      <c r="K361" s="114">
        <f t="shared" si="28"/>
        <v>2707.64</v>
      </c>
      <c r="L361" s="113">
        <v>518.34</v>
      </c>
      <c r="M361" s="115"/>
      <c r="N361" s="116"/>
      <c r="O361" s="117">
        <f t="shared" si="29"/>
        <v>46752</v>
      </c>
      <c r="P361" s="118">
        <f t="shared" si="30"/>
        <v>4</v>
      </c>
      <c r="Q361" s="119">
        <f t="shared" si="31"/>
        <v>518.343222222222</v>
      </c>
      <c r="R361" s="119">
        <f t="shared" si="32"/>
        <v>0.00322222222223445</v>
      </c>
      <c r="S361" s="120" t="s">
        <v>106</v>
      </c>
      <c r="U361" s="67"/>
      <c r="V361" s="121"/>
      <c r="W361" s="122"/>
      <c r="X361" s="63"/>
      <c r="Y361" s="63"/>
      <c r="Z361" s="63"/>
      <c r="AA361" s="63"/>
    </row>
    <row r="362" s="59" customFormat="1" ht="16.5" outlineLevel="7" spans="1:27">
      <c r="A362" s="79"/>
      <c r="B362" s="107" t="s">
        <v>195</v>
      </c>
      <c r="C362" s="108">
        <v>100584</v>
      </c>
      <c r="D362" s="109" t="s">
        <v>585</v>
      </c>
      <c r="E362" s="110">
        <v>45636</v>
      </c>
      <c r="F362" s="111">
        <v>36</v>
      </c>
      <c r="G362" s="112">
        <v>0.05</v>
      </c>
      <c r="H362" s="113">
        <v>21681.42</v>
      </c>
      <c r="I362" s="113">
        <v>9154.4</v>
      </c>
      <c r="J362" s="113">
        <v>0</v>
      </c>
      <c r="K362" s="114">
        <f t="shared" si="28"/>
        <v>12527.02</v>
      </c>
      <c r="L362" s="113">
        <v>2288.6</v>
      </c>
      <c r="M362" s="115"/>
      <c r="N362" s="116"/>
      <c r="O362" s="117">
        <f t="shared" si="29"/>
        <v>46752</v>
      </c>
      <c r="P362" s="118">
        <f t="shared" si="30"/>
        <v>4</v>
      </c>
      <c r="Q362" s="119">
        <f t="shared" si="31"/>
        <v>2288.59433333333</v>
      </c>
      <c r="R362" s="119">
        <f t="shared" si="32"/>
        <v>-0.00566666666691162</v>
      </c>
      <c r="S362" s="120" t="s">
        <v>106</v>
      </c>
      <c r="U362" s="67"/>
      <c r="V362" s="121"/>
      <c r="W362" s="122"/>
      <c r="X362" s="63"/>
      <c r="Y362" s="63"/>
      <c r="Z362" s="63"/>
      <c r="AA362" s="63"/>
    </row>
    <row r="363" s="59" customFormat="1" ht="16.5" outlineLevel="7" spans="1:27">
      <c r="A363" s="79"/>
      <c r="B363" s="123" t="s">
        <v>195</v>
      </c>
      <c r="C363" s="124">
        <v>100585</v>
      </c>
      <c r="D363" s="125" t="s">
        <v>587</v>
      </c>
      <c r="E363" s="126">
        <v>45627</v>
      </c>
      <c r="F363" s="111">
        <v>36</v>
      </c>
      <c r="G363" s="127">
        <v>0.05</v>
      </c>
      <c r="H363" s="128">
        <v>886.7</v>
      </c>
      <c r="I363" s="113">
        <v>421.2</v>
      </c>
      <c r="J363" s="113">
        <v>0</v>
      </c>
      <c r="K363" s="114">
        <f t="shared" si="28"/>
        <v>465.5</v>
      </c>
      <c r="L363" s="128">
        <v>93.6</v>
      </c>
      <c r="M363" s="115"/>
      <c r="N363" s="116"/>
      <c r="O363" s="117">
        <f t="shared" si="29"/>
        <v>46752</v>
      </c>
      <c r="P363" s="118">
        <f t="shared" si="30"/>
        <v>4</v>
      </c>
      <c r="Q363" s="119">
        <f t="shared" si="31"/>
        <v>93.5961111111111</v>
      </c>
      <c r="R363" s="119">
        <f t="shared" si="32"/>
        <v>-0.00388888888888062</v>
      </c>
      <c r="S363" s="120" t="s">
        <v>106</v>
      </c>
      <c r="U363" s="67"/>
      <c r="V363" s="121"/>
      <c r="W363" s="122"/>
      <c r="X363" s="63"/>
      <c r="Y363" s="63"/>
      <c r="Z363" s="63"/>
      <c r="AA363" s="63"/>
    </row>
    <row r="364" s="59" customFormat="1" ht="16.5" outlineLevel="7" spans="1:27">
      <c r="A364" s="79"/>
      <c r="B364" s="123" t="s">
        <v>195</v>
      </c>
      <c r="C364" s="124">
        <v>100586</v>
      </c>
      <c r="D364" s="125" t="s">
        <v>587</v>
      </c>
      <c r="E364" s="126">
        <v>45627</v>
      </c>
      <c r="F364" s="111">
        <v>36</v>
      </c>
      <c r="G364" s="127">
        <v>0.05</v>
      </c>
      <c r="H364" s="128">
        <v>886.7</v>
      </c>
      <c r="I364" s="113">
        <v>421.2</v>
      </c>
      <c r="J364" s="113">
        <v>0</v>
      </c>
      <c r="K364" s="114">
        <f t="shared" si="28"/>
        <v>465.5</v>
      </c>
      <c r="L364" s="128">
        <v>93.6</v>
      </c>
      <c r="M364" s="115"/>
      <c r="N364" s="116"/>
      <c r="O364" s="117">
        <f t="shared" si="29"/>
        <v>46752</v>
      </c>
      <c r="P364" s="118">
        <f t="shared" si="30"/>
        <v>4</v>
      </c>
      <c r="Q364" s="119">
        <f t="shared" si="31"/>
        <v>93.5961111111111</v>
      </c>
      <c r="R364" s="119">
        <f t="shared" si="32"/>
        <v>-0.00388888888888062</v>
      </c>
      <c r="S364" s="120" t="s">
        <v>106</v>
      </c>
      <c r="U364" s="67"/>
      <c r="V364" s="121"/>
      <c r="W364" s="122"/>
      <c r="X364" s="63"/>
      <c r="Y364" s="63"/>
      <c r="Z364" s="63"/>
      <c r="AA364" s="63"/>
    </row>
    <row r="365" s="59" customFormat="1" ht="16.5" outlineLevel="7" spans="1:27">
      <c r="A365" s="79"/>
      <c r="B365" s="123" t="s">
        <v>195</v>
      </c>
      <c r="C365" s="124">
        <v>100587</v>
      </c>
      <c r="D365" s="125" t="s">
        <v>589</v>
      </c>
      <c r="E365" s="126">
        <v>45657</v>
      </c>
      <c r="F365" s="111">
        <v>36</v>
      </c>
      <c r="G365" s="127">
        <v>0.05</v>
      </c>
      <c r="H365" s="128">
        <v>1104.42</v>
      </c>
      <c r="I365" s="113">
        <v>466.3</v>
      </c>
      <c r="J365" s="113">
        <v>0</v>
      </c>
      <c r="K365" s="114">
        <f t="shared" si="28"/>
        <v>638.12</v>
      </c>
      <c r="L365" s="128">
        <v>116.58</v>
      </c>
      <c r="M365" s="115"/>
      <c r="N365" s="116"/>
      <c r="O365" s="117">
        <f t="shared" si="29"/>
        <v>46752</v>
      </c>
      <c r="P365" s="118">
        <f t="shared" si="30"/>
        <v>4</v>
      </c>
      <c r="Q365" s="119">
        <f t="shared" si="31"/>
        <v>116.577666666667</v>
      </c>
      <c r="R365" s="119">
        <f t="shared" si="32"/>
        <v>-0.00233333333332553</v>
      </c>
      <c r="S365" s="120" t="s">
        <v>106</v>
      </c>
      <c r="U365" s="67"/>
      <c r="V365" s="121"/>
      <c r="W365" s="122"/>
      <c r="X365" s="63"/>
      <c r="Y365" s="63"/>
      <c r="Z365" s="63"/>
      <c r="AA365" s="63"/>
    </row>
    <row r="366" s="59" customFormat="1" ht="16.5" outlineLevel="7" spans="1:27">
      <c r="A366" s="79"/>
      <c r="B366" s="123" t="s">
        <v>195</v>
      </c>
      <c r="C366" s="124">
        <v>100588</v>
      </c>
      <c r="D366" s="125" t="s">
        <v>545</v>
      </c>
      <c r="E366" s="126">
        <v>45665</v>
      </c>
      <c r="F366" s="111">
        <v>36</v>
      </c>
      <c r="G366" s="127">
        <v>0.05</v>
      </c>
      <c r="H366" s="128">
        <v>5530.09</v>
      </c>
      <c r="I366" s="113">
        <v>2188.96</v>
      </c>
      <c r="J366" s="113">
        <v>0</v>
      </c>
      <c r="K366" s="114">
        <f t="shared" si="28"/>
        <v>3341.13</v>
      </c>
      <c r="L366" s="128">
        <v>583.73</v>
      </c>
      <c r="M366" s="115"/>
      <c r="N366" s="116"/>
      <c r="O366" s="117">
        <f t="shared" si="29"/>
        <v>46783</v>
      </c>
      <c r="P366" s="118">
        <f t="shared" si="30"/>
        <v>4</v>
      </c>
      <c r="Q366" s="119">
        <f t="shared" si="31"/>
        <v>583.731722222222</v>
      </c>
      <c r="R366" s="119">
        <f t="shared" si="32"/>
        <v>0.00172222222226992</v>
      </c>
      <c r="S366" s="120" t="s">
        <v>106</v>
      </c>
      <c r="U366" s="67"/>
      <c r="V366" s="121"/>
      <c r="W366" s="122"/>
      <c r="X366" s="63"/>
      <c r="Y366" s="63"/>
      <c r="Z366" s="63"/>
      <c r="AA366" s="63"/>
    </row>
    <row r="367" s="59" customFormat="1" ht="16.5" outlineLevel="7" spans="1:27">
      <c r="A367" s="79"/>
      <c r="B367" s="123" t="s">
        <v>195</v>
      </c>
      <c r="C367" s="124">
        <v>100677</v>
      </c>
      <c r="D367" s="125" t="s">
        <v>592</v>
      </c>
      <c r="E367" s="126">
        <v>45853</v>
      </c>
      <c r="F367" s="111">
        <v>36</v>
      </c>
      <c r="G367" s="127">
        <v>0.05</v>
      </c>
      <c r="H367" s="128">
        <v>16106.19</v>
      </c>
      <c r="I367" s="113">
        <v>3825.21</v>
      </c>
      <c r="J367" s="113">
        <v>0</v>
      </c>
      <c r="K367" s="114">
        <f t="shared" si="28"/>
        <v>12280.98</v>
      </c>
      <c r="L367" s="128">
        <v>1700.1</v>
      </c>
      <c r="M367" s="115"/>
      <c r="N367" s="116"/>
      <c r="O367" s="117">
        <f t="shared" si="29"/>
        <v>46965</v>
      </c>
      <c r="P367" s="118">
        <f t="shared" si="30"/>
        <v>4</v>
      </c>
      <c r="Q367" s="119">
        <f t="shared" si="31"/>
        <v>1700.09783333333</v>
      </c>
      <c r="R367" s="119">
        <f t="shared" si="32"/>
        <v>-0.00216666666665333</v>
      </c>
      <c r="S367" s="120" t="s">
        <v>106</v>
      </c>
      <c r="U367" s="67"/>
      <c r="V367" s="121"/>
      <c r="W367" s="122"/>
      <c r="X367" s="63"/>
      <c r="Y367" s="63"/>
      <c r="Z367" s="63"/>
      <c r="AA367" s="63"/>
    </row>
    <row r="368" s="59" customFormat="1" ht="16.5" outlineLevel="7" spans="1:27">
      <c r="A368" s="79"/>
      <c r="B368" s="107" t="s">
        <v>195</v>
      </c>
      <c r="C368" s="108">
        <v>100678</v>
      </c>
      <c r="D368" s="109" t="s">
        <v>594</v>
      </c>
      <c r="E368" s="110">
        <v>45870</v>
      </c>
      <c r="F368" s="111">
        <v>36</v>
      </c>
      <c r="G368" s="112">
        <v>0.05</v>
      </c>
      <c r="H368" s="113">
        <v>2388.5</v>
      </c>
      <c r="I368" s="113">
        <v>504.24</v>
      </c>
      <c r="J368" s="113">
        <v>0</v>
      </c>
      <c r="K368" s="114">
        <f t="shared" si="28"/>
        <v>1884.26</v>
      </c>
      <c r="L368" s="113">
        <v>252.12</v>
      </c>
      <c r="M368" s="115"/>
      <c r="N368" s="116"/>
      <c r="O368" s="117">
        <f t="shared" si="29"/>
        <v>46996</v>
      </c>
      <c r="P368" s="118">
        <f t="shared" si="30"/>
        <v>4</v>
      </c>
      <c r="Q368" s="119">
        <f t="shared" si="31"/>
        <v>252.119444444444</v>
      </c>
      <c r="R368" s="119">
        <f t="shared" si="32"/>
        <v>-0.000555555555592946</v>
      </c>
      <c r="S368" s="120" t="s">
        <v>106</v>
      </c>
      <c r="U368" s="67"/>
      <c r="V368" s="121"/>
      <c r="W368" s="122"/>
      <c r="X368" s="63"/>
      <c r="Y368" s="63"/>
      <c r="Z368" s="63"/>
      <c r="AA368" s="63"/>
    </row>
    <row r="369" s="59" customFormat="1" ht="16.5" outlineLevel="7" spans="1:27">
      <c r="A369" s="79"/>
      <c r="B369" s="107" t="s">
        <v>195</v>
      </c>
      <c r="C369" s="108">
        <v>100679</v>
      </c>
      <c r="D369" s="109" t="s">
        <v>594</v>
      </c>
      <c r="E369" s="110">
        <v>45870</v>
      </c>
      <c r="F369" s="111">
        <v>36</v>
      </c>
      <c r="G369" s="112">
        <v>0.05</v>
      </c>
      <c r="H369" s="113">
        <v>2388.49</v>
      </c>
      <c r="I369" s="113">
        <v>504.24</v>
      </c>
      <c r="J369" s="113">
        <v>0</v>
      </c>
      <c r="K369" s="114">
        <f t="shared" si="28"/>
        <v>1884.25</v>
      </c>
      <c r="L369" s="113">
        <v>252.12</v>
      </c>
      <c r="M369" s="115"/>
      <c r="N369" s="116"/>
      <c r="O369" s="117">
        <f t="shared" si="29"/>
        <v>46996</v>
      </c>
      <c r="P369" s="118">
        <f t="shared" si="30"/>
        <v>4</v>
      </c>
      <c r="Q369" s="119">
        <f t="shared" si="31"/>
        <v>252.118388888889</v>
      </c>
      <c r="R369" s="119">
        <f t="shared" si="32"/>
        <v>-0.00161111111114565</v>
      </c>
      <c r="S369" s="120" t="s">
        <v>106</v>
      </c>
      <c r="U369" s="67"/>
      <c r="V369" s="121"/>
      <c r="W369" s="122"/>
      <c r="X369" s="63"/>
      <c r="Y369" s="63"/>
      <c r="Z369" s="63"/>
      <c r="AA369" s="63"/>
    </row>
    <row r="370" s="59" customFormat="1" ht="16.5" outlineLevel="7" spans="1:27">
      <c r="A370" s="79"/>
      <c r="B370" s="123" t="s">
        <v>195</v>
      </c>
      <c r="C370" s="124">
        <v>100680</v>
      </c>
      <c r="D370" s="125" t="s">
        <v>545</v>
      </c>
      <c r="E370" s="126">
        <v>45870</v>
      </c>
      <c r="F370" s="111">
        <v>36</v>
      </c>
      <c r="G370" s="127">
        <v>0.05</v>
      </c>
      <c r="H370" s="128">
        <v>5220.35</v>
      </c>
      <c r="I370" s="113">
        <v>1102.08</v>
      </c>
      <c r="J370" s="113">
        <v>0</v>
      </c>
      <c r="K370" s="114">
        <f t="shared" si="28"/>
        <v>4118.27</v>
      </c>
      <c r="L370" s="128">
        <v>551.04</v>
      </c>
      <c r="M370" s="115"/>
      <c r="N370" s="116"/>
      <c r="O370" s="117">
        <f t="shared" si="29"/>
        <v>46996</v>
      </c>
      <c r="P370" s="118">
        <f t="shared" si="30"/>
        <v>4</v>
      </c>
      <c r="Q370" s="119">
        <f t="shared" si="31"/>
        <v>551.036944444445</v>
      </c>
      <c r="R370" s="119">
        <f t="shared" si="32"/>
        <v>-0.00305555555542014</v>
      </c>
      <c r="S370" s="120" t="s">
        <v>106</v>
      </c>
      <c r="U370" s="67"/>
      <c r="V370" s="121"/>
      <c r="W370" s="122"/>
      <c r="X370" s="63"/>
      <c r="Y370" s="63"/>
      <c r="Z370" s="63"/>
      <c r="AA370" s="63"/>
    </row>
    <row r="371" s="59" customFormat="1" ht="16.5" outlineLevel="7" spans="1:27">
      <c r="A371" s="79"/>
      <c r="B371" s="123" t="s">
        <v>195</v>
      </c>
      <c r="C371" s="124">
        <v>100681</v>
      </c>
      <c r="D371" s="125" t="s">
        <v>559</v>
      </c>
      <c r="E371" s="126">
        <v>45870</v>
      </c>
      <c r="F371" s="111">
        <v>36</v>
      </c>
      <c r="G371" s="127">
        <v>0.05</v>
      </c>
      <c r="H371" s="128">
        <v>821.24</v>
      </c>
      <c r="I371" s="113">
        <v>173.36</v>
      </c>
      <c r="J371" s="113">
        <v>0</v>
      </c>
      <c r="K371" s="114">
        <f t="shared" si="28"/>
        <v>647.88</v>
      </c>
      <c r="L371" s="128">
        <v>86.68</v>
      </c>
      <c r="M371" s="115"/>
      <c r="N371" s="116"/>
      <c r="O371" s="117">
        <f t="shared" si="29"/>
        <v>46996</v>
      </c>
      <c r="P371" s="118">
        <f t="shared" si="30"/>
        <v>4</v>
      </c>
      <c r="Q371" s="119">
        <f t="shared" si="31"/>
        <v>86.6864444444444</v>
      </c>
      <c r="R371" s="119">
        <f t="shared" si="32"/>
        <v>0.00644444444444048</v>
      </c>
      <c r="S371" s="120" t="s">
        <v>106</v>
      </c>
      <c r="U371" s="67"/>
      <c r="V371" s="121"/>
      <c r="W371" s="122"/>
      <c r="X371" s="63"/>
      <c r="Y371" s="63"/>
      <c r="Z371" s="63"/>
      <c r="AA371" s="63"/>
    </row>
    <row r="372" s="59" customFormat="1" ht="16.5" outlineLevel="7" spans="1:27">
      <c r="A372" s="79"/>
      <c r="B372" s="123" t="s">
        <v>195</v>
      </c>
      <c r="C372" s="124">
        <v>100682</v>
      </c>
      <c r="D372" s="125" t="s">
        <v>545</v>
      </c>
      <c r="E372" s="126">
        <v>45870</v>
      </c>
      <c r="F372" s="111">
        <v>36</v>
      </c>
      <c r="G372" s="127">
        <v>0.05</v>
      </c>
      <c r="H372" s="128">
        <v>5123.01</v>
      </c>
      <c r="I372" s="113">
        <v>1081.52</v>
      </c>
      <c r="J372" s="113">
        <v>0</v>
      </c>
      <c r="K372" s="114">
        <f t="shared" si="28"/>
        <v>4041.49</v>
      </c>
      <c r="L372" s="128">
        <v>540.76</v>
      </c>
      <c r="M372" s="115"/>
      <c r="N372" s="116"/>
      <c r="O372" s="117">
        <f t="shared" si="29"/>
        <v>46996</v>
      </c>
      <c r="P372" s="118">
        <f t="shared" si="30"/>
        <v>4</v>
      </c>
      <c r="Q372" s="119">
        <f t="shared" si="31"/>
        <v>540.762166666667</v>
      </c>
      <c r="R372" s="119">
        <f t="shared" si="32"/>
        <v>0.00216666666665333</v>
      </c>
      <c r="S372" s="120" t="s">
        <v>106</v>
      </c>
      <c r="U372" s="67"/>
      <c r="V372" s="121"/>
      <c r="W372" s="122"/>
      <c r="X372" s="63"/>
      <c r="Y372" s="63"/>
      <c r="Z372" s="63"/>
      <c r="AA372" s="63"/>
    </row>
    <row r="373" s="59" customFormat="1" ht="16.5" outlineLevel="7" spans="1:27">
      <c r="A373" s="79"/>
      <c r="B373" s="123" t="s">
        <v>195</v>
      </c>
      <c r="C373" s="124">
        <v>100683</v>
      </c>
      <c r="D373" s="125" t="s">
        <v>559</v>
      </c>
      <c r="E373" s="126">
        <v>45870</v>
      </c>
      <c r="F373" s="111">
        <v>36</v>
      </c>
      <c r="G373" s="127">
        <v>0.05</v>
      </c>
      <c r="H373" s="128">
        <v>821.24</v>
      </c>
      <c r="I373" s="113">
        <v>173.36</v>
      </c>
      <c r="J373" s="113">
        <v>0</v>
      </c>
      <c r="K373" s="114">
        <f t="shared" si="28"/>
        <v>647.88</v>
      </c>
      <c r="L373" s="128">
        <v>86.68</v>
      </c>
      <c r="M373" s="115"/>
      <c r="N373" s="116"/>
      <c r="O373" s="117">
        <f t="shared" si="29"/>
        <v>46996</v>
      </c>
      <c r="P373" s="118">
        <f t="shared" si="30"/>
        <v>4</v>
      </c>
      <c r="Q373" s="119">
        <f t="shared" si="31"/>
        <v>86.6864444444444</v>
      </c>
      <c r="R373" s="119">
        <f t="shared" si="32"/>
        <v>0.00644444444444048</v>
      </c>
      <c r="S373" s="120" t="s">
        <v>106</v>
      </c>
      <c r="U373" s="67"/>
      <c r="V373" s="121"/>
      <c r="W373" s="122"/>
      <c r="X373" s="63"/>
      <c r="Y373" s="63"/>
      <c r="Z373" s="63"/>
      <c r="AA373" s="63"/>
    </row>
    <row r="374" s="59" customFormat="1" ht="16.5" outlineLevel="7" spans="1:27">
      <c r="A374" s="79"/>
      <c r="B374" s="123" t="s">
        <v>195</v>
      </c>
      <c r="C374" s="124">
        <v>100684</v>
      </c>
      <c r="D374" s="125" t="s">
        <v>598</v>
      </c>
      <c r="E374" s="126">
        <v>45853</v>
      </c>
      <c r="F374" s="111">
        <v>36</v>
      </c>
      <c r="G374" s="127">
        <v>0.05</v>
      </c>
      <c r="H374" s="128">
        <v>7684.96</v>
      </c>
      <c r="I374" s="113">
        <v>1825.2</v>
      </c>
      <c r="J374" s="113">
        <v>0</v>
      </c>
      <c r="K374" s="114">
        <f t="shared" si="28"/>
        <v>5859.76</v>
      </c>
      <c r="L374" s="128">
        <v>811.2</v>
      </c>
      <c r="M374" s="115"/>
      <c r="N374" s="116"/>
      <c r="O374" s="117">
        <f t="shared" si="29"/>
        <v>46965</v>
      </c>
      <c r="P374" s="118">
        <f t="shared" si="30"/>
        <v>4</v>
      </c>
      <c r="Q374" s="119">
        <f t="shared" si="31"/>
        <v>811.190222222222</v>
      </c>
      <c r="R374" s="119">
        <f t="shared" si="32"/>
        <v>-0.00977777777791289</v>
      </c>
      <c r="S374" s="120" t="s">
        <v>106</v>
      </c>
      <c r="U374" s="67"/>
      <c r="V374" s="121"/>
      <c r="W374" s="122"/>
      <c r="X374" s="63"/>
      <c r="Y374" s="63"/>
      <c r="Z374" s="63"/>
      <c r="AA374" s="63"/>
    </row>
    <row r="375" s="59" customFormat="1" ht="16.5" outlineLevel="7" spans="1:27">
      <c r="A375" s="79"/>
      <c r="B375" s="107" t="s">
        <v>195</v>
      </c>
      <c r="C375" s="108">
        <v>100685</v>
      </c>
      <c r="D375" s="109" t="s">
        <v>545</v>
      </c>
      <c r="E375" s="110">
        <v>45891</v>
      </c>
      <c r="F375" s="111">
        <v>36</v>
      </c>
      <c r="G375" s="112">
        <v>0.05</v>
      </c>
      <c r="H375" s="113">
        <v>4246.9</v>
      </c>
      <c r="I375" s="113">
        <v>896.56</v>
      </c>
      <c r="J375" s="113">
        <v>0</v>
      </c>
      <c r="K375" s="114">
        <f t="shared" si="28"/>
        <v>3350.34</v>
      </c>
      <c r="L375" s="113">
        <v>448.28</v>
      </c>
      <c r="M375" s="115"/>
      <c r="N375" s="116"/>
      <c r="O375" s="117">
        <f t="shared" si="29"/>
        <v>46996</v>
      </c>
      <c r="P375" s="118">
        <f t="shared" si="30"/>
        <v>4</v>
      </c>
      <c r="Q375" s="119">
        <f t="shared" si="31"/>
        <v>448.283888888889</v>
      </c>
      <c r="R375" s="119">
        <f t="shared" si="32"/>
        <v>0.0038888888888664</v>
      </c>
      <c r="S375" s="120" t="s">
        <v>106</v>
      </c>
      <c r="U375" s="67"/>
      <c r="V375" s="121"/>
      <c r="W375" s="122"/>
      <c r="X375" s="63"/>
      <c r="Y375" s="63"/>
      <c r="Z375" s="63"/>
      <c r="AA375" s="63"/>
    </row>
    <row r="376" s="59" customFormat="1" ht="16.5" outlineLevel="7" spans="1:27">
      <c r="A376" s="79"/>
      <c r="B376" s="107" t="s">
        <v>195</v>
      </c>
      <c r="C376" s="108">
        <v>100686</v>
      </c>
      <c r="D376" s="109" t="s">
        <v>545</v>
      </c>
      <c r="E376" s="110">
        <v>45891</v>
      </c>
      <c r="F376" s="111">
        <v>36</v>
      </c>
      <c r="G376" s="112">
        <v>0.05</v>
      </c>
      <c r="H376" s="113">
        <v>4246.9</v>
      </c>
      <c r="I376" s="113">
        <v>896.56</v>
      </c>
      <c r="J376" s="113">
        <v>0</v>
      </c>
      <c r="K376" s="114">
        <f t="shared" si="28"/>
        <v>3350.34</v>
      </c>
      <c r="L376" s="113">
        <v>448.28</v>
      </c>
      <c r="M376" s="115"/>
      <c r="N376" s="116"/>
      <c r="O376" s="117">
        <f t="shared" si="29"/>
        <v>46996</v>
      </c>
      <c r="P376" s="118">
        <f t="shared" si="30"/>
        <v>4</v>
      </c>
      <c r="Q376" s="119">
        <f t="shared" si="31"/>
        <v>448.283888888889</v>
      </c>
      <c r="R376" s="119">
        <f t="shared" si="32"/>
        <v>0.0038888888888664</v>
      </c>
      <c r="S376" s="120" t="s">
        <v>106</v>
      </c>
      <c r="U376" s="67"/>
      <c r="V376" s="121"/>
      <c r="W376" s="122"/>
      <c r="X376" s="63"/>
      <c r="Y376" s="63"/>
      <c r="Z376" s="63"/>
      <c r="AA376" s="63"/>
    </row>
    <row r="377" s="59" customFormat="1" ht="16.5" outlineLevel="7" spans="1:27">
      <c r="A377" s="79"/>
      <c r="B377" s="123" t="s">
        <v>195</v>
      </c>
      <c r="C377" s="124">
        <v>100687</v>
      </c>
      <c r="D377" s="125" t="s">
        <v>545</v>
      </c>
      <c r="E377" s="126">
        <v>45891</v>
      </c>
      <c r="F377" s="111">
        <v>36</v>
      </c>
      <c r="G377" s="127">
        <v>0.05</v>
      </c>
      <c r="H377" s="128">
        <v>4246.9</v>
      </c>
      <c r="I377" s="113">
        <v>896.56</v>
      </c>
      <c r="J377" s="113">
        <v>0</v>
      </c>
      <c r="K377" s="114">
        <f t="shared" si="28"/>
        <v>3350.34</v>
      </c>
      <c r="L377" s="128">
        <v>448.28</v>
      </c>
      <c r="M377" s="115"/>
      <c r="N377" s="116"/>
      <c r="O377" s="117">
        <f t="shared" si="29"/>
        <v>46996</v>
      </c>
      <c r="P377" s="118">
        <f t="shared" si="30"/>
        <v>4</v>
      </c>
      <c r="Q377" s="119">
        <f t="shared" si="31"/>
        <v>448.283888888889</v>
      </c>
      <c r="R377" s="119">
        <f t="shared" si="32"/>
        <v>0.0038888888888664</v>
      </c>
      <c r="S377" s="120" t="s">
        <v>106</v>
      </c>
      <c r="U377" s="67"/>
      <c r="V377" s="121"/>
      <c r="W377" s="122"/>
      <c r="X377" s="63"/>
      <c r="Y377" s="63"/>
      <c r="Z377" s="63"/>
      <c r="AA377" s="63"/>
    </row>
    <row r="378" s="59" customFormat="1" ht="16.5" outlineLevel="7" spans="1:27">
      <c r="A378" s="79"/>
      <c r="B378" s="123" t="s">
        <v>195</v>
      </c>
      <c r="C378" s="124">
        <v>100688</v>
      </c>
      <c r="D378" s="125" t="s">
        <v>545</v>
      </c>
      <c r="E378" s="126">
        <v>45891</v>
      </c>
      <c r="F378" s="111">
        <v>36</v>
      </c>
      <c r="G378" s="127">
        <v>0.05</v>
      </c>
      <c r="H378" s="128">
        <v>4246.91</v>
      </c>
      <c r="I378" s="113">
        <v>896.56</v>
      </c>
      <c r="J378" s="113">
        <v>0</v>
      </c>
      <c r="K378" s="114">
        <f t="shared" si="28"/>
        <v>3350.35</v>
      </c>
      <c r="L378" s="128">
        <v>448.28</v>
      </c>
      <c r="M378" s="115"/>
      <c r="N378" s="116"/>
      <c r="O378" s="117">
        <f t="shared" si="29"/>
        <v>46996</v>
      </c>
      <c r="P378" s="118">
        <f t="shared" si="30"/>
        <v>4</v>
      </c>
      <c r="Q378" s="119">
        <f t="shared" si="31"/>
        <v>448.284944444444</v>
      </c>
      <c r="R378" s="119">
        <f t="shared" si="32"/>
        <v>0.00494444444439068</v>
      </c>
      <c r="S378" s="120" t="s">
        <v>106</v>
      </c>
      <c r="U378" s="67"/>
      <c r="V378" s="121"/>
      <c r="W378" s="122"/>
      <c r="X378" s="63"/>
      <c r="Y378" s="63"/>
      <c r="Z378" s="63"/>
      <c r="AA378" s="63"/>
    </row>
    <row r="379" s="59" customFormat="1" ht="16.5" outlineLevel="7" spans="1:27">
      <c r="A379" s="79"/>
      <c r="B379" s="123" t="s">
        <v>195</v>
      </c>
      <c r="C379" s="124">
        <v>100689</v>
      </c>
      <c r="D379" s="125" t="s">
        <v>545</v>
      </c>
      <c r="E379" s="126">
        <v>45891</v>
      </c>
      <c r="F379" s="111">
        <v>36</v>
      </c>
      <c r="G379" s="127">
        <v>0.05</v>
      </c>
      <c r="H379" s="128">
        <v>4246.9</v>
      </c>
      <c r="I379" s="113">
        <v>896.56</v>
      </c>
      <c r="J379" s="113">
        <v>0</v>
      </c>
      <c r="K379" s="114">
        <f t="shared" si="28"/>
        <v>3350.34</v>
      </c>
      <c r="L379" s="128">
        <v>448.28</v>
      </c>
      <c r="M379" s="115"/>
      <c r="N379" s="116"/>
      <c r="O379" s="117">
        <f t="shared" si="29"/>
        <v>46996</v>
      </c>
      <c r="P379" s="118">
        <f t="shared" si="30"/>
        <v>4</v>
      </c>
      <c r="Q379" s="119">
        <f t="shared" si="31"/>
        <v>448.283888888889</v>
      </c>
      <c r="R379" s="119">
        <f t="shared" si="32"/>
        <v>0.0038888888888664</v>
      </c>
      <c r="S379" s="120" t="s">
        <v>106</v>
      </c>
      <c r="U379" s="67"/>
      <c r="V379" s="121"/>
      <c r="W379" s="122"/>
      <c r="X379" s="63"/>
      <c r="Y379" s="63"/>
      <c r="Z379" s="63"/>
      <c r="AA379" s="63"/>
    </row>
    <row r="380" s="59" customFormat="1" ht="16.5" outlineLevel="7" spans="1:27">
      <c r="A380" s="79"/>
      <c r="B380" s="123" t="s">
        <v>195</v>
      </c>
      <c r="C380" s="124">
        <v>100690</v>
      </c>
      <c r="D380" s="125" t="s">
        <v>559</v>
      </c>
      <c r="E380" s="126">
        <v>45891</v>
      </c>
      <c r="F380" s="111">
        <v>36</v>
      </c>
      <c r="G380" s="127">
        <v>0.05</v>
      </c>
      <c r="H380" s="128">
        <v>821.24</v>
      </c>
      <c r="I380" s="113">
        <v>173.36</v>
      </c>
      <c r="J380" s="113">
        <v>0</v>
      </c>
      <c r="K380" s="114">
        <f t="shared" si="28"/>
        <v>647.88</v>
      </c>
      <c r="L380" s="128">
        <v>86.68</v>
      </c>
      <c r="M380" s="115"/>
      <c r="N380" s="116"/>
      <c r="O380" s="117">
        <f t="shared" si="29"/>
        <v>46996</v>
      </c>
      <c r="P380" s="118">
        <f t="shared" si="30"/>
        <v>4</v>
      </c>
      <c r="Q380" s="119">
        <f t="shared" si="31"/>
        <v>86.6864444444444</v>
      </c>
      <c r="R380" s="119">
        <f t="shared" si="32"/>
        <v>0.00644444444444048</v>
      </c>
      <c r="S380" s="120" t="s">
        <v>106</v>
      </c>
      <c r="U380" s="67"/>
      <c r="V380" s="121"/>
      <c r="W380" s="122"/>
      <c r="X380" s="63"/>
      <c r="Y380" s="63"/>
      <c r="Z380" s="63"/>
      <c r="AA380" s="63"/>
    </row>
    <row r="381" s="59" customFormat="1" ht="16.5" outlineLevel="7" spans="1:27">
      <c r="A381" s="79"/>
      <c r="B381" s="123" t="s">
        <v>195</v>
      </c>
      <c r="C381" s="124">
        <v>100691</v>
      </c>
      <c r="D381" s="125" t="s">
        <v>582</v>
      </c>
      <c r="E381" s="126">
        <v>45896</v>
      </c>
      <c r="F381" s="111">
        <v>36</v>
      </c>
      <c r="G381" s="127">
        <v>0.05</v>
      </c>
      <c r="H381" s="128">
        <v>4822.12</v>
      </c>
      <c r="I381" s="113">
        <v>1018</v>
      </c>
      <c r="J381" s="113">
        <v>0</v>
      </c>
      <c r="K381" s="114">
        <f t="shared" si="28"/>
        <v>3804.12</v>
      </c>
      <c r="L381" s="128">
        <v>509</v>
      </c>
      <c r="M381" s="115"/>
      <c r="N381" s="116"/>
      <c r="O381" s="117">
        <f t="shared" si="29"/>
        <v>46996</v>
      </c>
      <c r="P381" s="118">
        <f t="shared" si="30"/>
        <v>4</v>
      </c>
      <c r="Q381" s="119">
        <f t="shared" si="31"/>
        <v>509.001555555556</v>
      </c>
      <c r="R381" s="119">
        <f t="shared" si="32"/>
        <v>0.0015555555555693</v>
      </c>
      <c r="S381" s="120" t="s">
        <v>106</v>
      </c>
      <c r="U381" s="67"/>
      <c r="V381" s="121"/>
      <c r="W381" s="122"/>
      <c r="X381" s="63"/>
      <c r="Y381" s="63"/>
      <c r="Z381" s="63"/>
      <c r="AA381" s="63"/>
    </row>
    <row r="382" s="59" customFormat="1" ht="16.5" outlineLevel="7" spans="1:27">
      <c r="A382" s="79"/>
      <c r="B382" s="107" t="s">
        <v>195</v>
      </c>
      <c r="C382" s="108">
        <v>100692</v>
      </c>
      <c r="D382" s="109" t="s">
        <v>545</v>
      </c>
      <c r="E382" s="110">
        <v>45882</v>
      </c>
      <c r="F382" s="111">
        <v>36</v>
      </c>
      <c r="G382" s="112">
        <v>0.05</v>
      </c>
      <c r="H382" s="113">
        <v>4415.04</v>
      </c>
      <c r="I382" s="113">
        <v>932.08</v>
      </c>
      <c r="J382" s="113">
        <v>0</v>
      </c>
      <c r="K382" s="114">
        <f t="shared" si="28"/>
        <v>3482.96</v>
      </c>
      <c r="L382" s="113">
        <v>466.04</v>
      </c>
      <c r="M382" s="115"/>
      <c r="N382" s="116"/>
      <c r="O382" s="117">
        <f t="shared" si="29"/>
        <v>46996</v>
      </c>
      <c r="P382" s="118">
        <f t="shared" si="30"/>
        <v>4</v>
      </c>
      <c r="Q382" s="119">
        <f t="shared" si="31"/>
        <v>466.032</v>
      </c>
      <c r="R382" s="119">
        <f t="shared" si="32"/>
        <v>-0.00800000000009504</v>
      </c>
      <c r="S382" s="120" t="s">
        <v>106</v>
      </c>
      <c r="U382" s="67"/>
      <c r="V382" s="121"/>
      <c r="W382" s="122"/>
      <c r="X382" s="63"/>
      <c r="Y382" s="63"/>
      <c r="Z382" s="63"/>
      <c r="AA382" s="63"/>
    </row>
    <row r="383" s="59" customFormat="1" ht="16.5" outlineLevel="7" spans="1:27">
      <c r="A383" s="79"/>
      <c r="B383" s="107" t="s">
        <v>195</v>
      </c>
      <c r="C383" s="108">
        <v>100693</v>
      </c>
      <c r="D383" s="109" t="s">
        <v>605</v>
      </c>
      <c r="E383" s="110">
        <v>45870</v>
      </c>
      <c r="F383" s="111">
        <v>36</v>
      </c>
      <c r="G383" s="112">
        <v>0.05</v>
      </c>
      <c r="H383" s="113">
        <v>4814.17</v>
      </c>
      <c r="I383" s="113">
        <v>1016.32</v>
      </c>
      <c r="J383" s="113">
        <v>0</v>
      </c>
      <c r="K383" s="114">
        <f t="shared" si="28"/>
        <v>3797.85</v>
      </c>
      <c r="L383" s="113">
        <v>508.16</v>
      </c>
      <c r="M383" s="115"/>
      <c r="N383" s="116"/>
      <c r="O383" s="117">
        <f t="shared" si="29"/>
        <v>46996</v>
      </c>
      <c r="P383" s="118">
        <f t="shared" si="30"/>
        <v>4</v>
      </c>
      <c r="Q383" s="119">
        <f t="shared" si="31"/>
        <v>508.162388888889</v>
      </c>
      <c r="R383" s="119">
        <f t="shared" si="32"/>
        <v>0.00238888888878819</v>
      </c>
      <c r="S383" s="120" t="s">
        <v>106</v>
      </c>
      <c r="U383" s="67"/>
      <c r="V383" s="121"/>
      <c r="W383" s="122"/>
      <c r="X383" s="63"/>
      <c r="Y383" s="63"/>
      <c r="Z383" s="63"/>
      <c r="AA383" s="63"/>
    </row>
    <row r="384" s="59" customFormat="1" ht="16.5" outlineLevel="7" spans="1:27">
      <c r="A384" s="79"/>
      <c r="B384" s="123" t="s">
        <v>195</v>
      </c>
      <c r="C384" s="124">
        <v>100694</v>
      </c>
      <c r="D384" s="125" t="s">
        <v>607</v>
      </c>
      <c r="E384" s="126">
        <v>45889</v>
      </c>
      <c r="F384" s="111">
        <v>36</v>
      </c>
      <c r="G384" s="127">
        <v>0.05</v>
      </c>
      <c r="H384" s="128">
        <v>5839.82</v>
      </c>
      <c r="I384" s="113">
        <v>1232.88</v>
      </c>
      <c r="J384" s="113">
        <v>0</v>
      </c>
      <c r="K384" s="114">
        <f t="shared" si="28"/>
        <v>4606.94</v>
      </c>
      <c r="L384" s="128">
        <v>616.44</v>
      </c>
      <c r="M384" s="115"/>
      <c r="N384" s="116"/>
      <c r="O384" s="117">
        <f t="shared" si="29"/>
        <v>46996</v>
      </c>
      <c r="P384" s="118">
        <f t="shared" si="30"/>
        <v>4</v>
      </c>
      <c r="Q384" s="119">
        <f t="shared" si="31"/>
        <v>616.425444444444</v>
      </c>
      <c r="R384" s="119">
        <f t="shared" si="32"/>
        <v>-0.014555555555603</v>
      </c>
      <c r="S384" s="120" t="s">
        <v>106</v>
      </c>
      <c r="U384" s="67"/>
      <c r="V384" s="121"/>
      <c r="W384" s="122"/>
      <c r="X384" s="63"/>
      <c r="Y384" s="63"/>
      <c r="Z384" s="63"/>
      <c r="AA384" s="63"/>
    </row>
    <row r="385" s="59" customFormat="1" ht="16.5" outlineLevel="7" spans="1:27">
      <c r="A385" s="79"/>
      <c r="B385" s="123" t="s">
        <v>195</v>
      </c>
      <c r="C385" s="124">
        <v>100695</v>
      </c>
      <c r="D385" s="125" t="s">
        <v>607</v>
      </c>
      <c r="E385" s="126">
        <v>45889</v>
      </c>
      <c r="F385" s="111">
        <v>36</v>
      </c>
      <c r="G385" s="127">
        <v>0.05</v>
      </c>
      <c r="H385" s="128">
        <v>5839.83</v>
      </c>
      <c r="I385" s="113">
        <v>1232.88</v>
      </c>
      <c r="J385" s="113">
        <v>0</v>
      </c>
      <c r="K385" s="114">
        <f t="shared" si="28"/>
        <v>4606.95</v>
      </c>
      <c r="L385" s="128">
        <v>616.44</v>
      </c>
      <c r="M385" s="115"/>
      <c r="N385" s="116"/>
      <c r="O385" s="117">
        <f t="shared" si="29"/>
        <v>46996</v>
      </c>
      <c r="P385" s="118">
        <f t="shared" si="30"/>
        <v>4</v>
      </c>
      <c r="Q385" s="119">
        <f t="shared" si="31"/>
        <v>616.4265</v>
      </c>
      <c r="R385" s="119">
        <f t="shared" si="32"/>
        <v>-0.0135000000000218</v>
      </c>
      <c r="S385" s="120" t="s">
        <v>106</v>
      </c>
      <c r="U385" s="67"/>
      <c r="V385" s="121"/>
      <c r="W385" s="122"/>
      <c r="X385" s="63"/>
      <c r="Y385" s="63"/>
      <c r="Z385" s="63"/>
      <c r="AA385" s="63"/>
    </row>
    <row r="386" s="59" customFormat="1" ht="16.5" outlineLevel="7" spans="1:27">
      <c r="A386" s="79"/>
      <c r="B386" s="123" t="s">
        <v>195</v>
      </c>
      <c r="C386" s="124">
        <v>100696</v>
      </c>
      <c r="D386" s="125" t="s">
        <v>605</v>
      </c>
      <c r="E386" s="126">
        <v>45870</v>
      </c>
      <c r="F386" s="111">
        <v>36</v>
      </c>
      <c r="G386" s="127">
        <v>0.05</v>
      </c>
      <c r="H386" s="128">
        <v>2734.51</v>
      </c>
      <c r="I386" s="113">
        <v>577.28</v>
      </c>
      <c r="J386" s="113">
        <v>0</v>
      </c>
      <c r="K386" s="114">
        <f t="shared" si="28"/>
        <v>2157.23</v>
      </c>
      <c r="L386" s="128">
        <v>288.64</v>
      </c>
      <c r="M386" s="115"/>
      <c r="N386" s="116"/>
      <c r="O386" s="117">
        <f t="shared" si="29"/>
        <v>46996</v>
      </c>
      <c r="P386" s="118">
        <f t="shared" si="30"/>
        <v>4</v>
      </c>
      <c r="Q386" s="119">
        <f t="shared" si="31"/>
        <v>288.642722222222</v>
      </c>
      <c r="R386" s="119">
        <f t="shared" si="32"/>
        <v>0.00272222222224627</v>
      </c>
      <c r="S386" s="120" t="s">
        <v>106</v>
      </c>
      <c r="U386" s="67"/>
      <c r="V386" s="121"/>
      <c r="W386" s="122"/>
      <c r="X386" s="63"/>
      <c r="Y386" s="63"/>
      <c r="Z386" s="63"/>
      <c r="AA386" s="63"/>
    </row>
    <row r="387" s="59" customFormat="1" ht="16.5" outlineLevel="7" spans="1:27">
      <c r="A387" s="79"/>
      <c r="B387" s="123" t="s">
        <v>195</v>
      </c>
      <c r="C387" s="124">
        <v>100697</v>
      </c>
      <c r="D387" s="125" t="s">
        <v>610</v>
      </c>
      <c r="E387" s="126">
        <v>45896</v>
      </c>
      <c r="F387" s="111">
        <v>36</v>
      </c>
      <c r="G387" s="127">
        <v>0.05</v>
      </c>
      <c r="H387" s="128">
        <v>1991.15</v>
      </c>
      <c r="I387" s="113">
        <v>420.33</v>
      </c>
      <c r="J387" s="113">
        <v>0</v>
      </c>
      <c r="K387" s="114">
        <f t="shared" si="28"/>
        <v>1570.82</v>
      </c>
      <c r="L387" s="128">
        <v>210.17</v>
      </c>
      <c r="M387" s="115"/>
      <c r="N387" s="116"/>
      <c r="O387" s="117">
        <f t="shared" si="29"/>
        <v>46996</v>
      </c>
      <c r="P387" s="118">
        <f t="shared" si="30"/>
        <v>4</v>
      </c>
      <c r="Q387" s="119">
        <f t="shared" si="31"/>
        <v>210.176944444444</v>
      </c>
      <c r="R387" s="119">
        <f t="shared" si="32"/>
        <v>0.00694444444445708</v>
      </c>
      <c r="S387" s="120" t="s">
        <v>106</v>
      </c>
      <c r="U387" s="67"/>
      <c r="V387" s="121"/>
      <c r="W387" s="122"/>
      <c r="X387" s="63"/>
      <c r="Y387" s="63"/>
      <c r="Z387" s="63"/>
      <c r="AA387" s="63"/>
    </row>
    <row r="388" s="59" customFormat="1" ht="16.5" outlineLevel="7" spans="1:27">
      <c r="A388" s="79"/>
      <c r="B388" s="123" t="s">
        <v>195</v>
      </c>
      <c r="C388" s="124">
        <v>100698</v>
      </c>
      <c r="D388" s="125" t="s">
        <v>612</v>
      </c>
      <c r="E388" s="126">
        <v>45952</v>
      </c>
      <c r="F388" s="111">
        <v>36</v>
      </c>
      <c r="G388" s="127">
        <v>0.05</v>
      </c>
      <c r="H388" s="128">
        <v>1879.2</v>
      </c>
      <c r="I388" s="113">
        <v>297.54</v>
      </c>
      <c r="J388" s="113">
        <v>0</v>
      </c>
      <c r="K388" s="114">
        <f t="shared" si="28"/>
        <v>1581.66</v>
      </c>
      <c r="L388" s="128">
        <v>198.36</v>
      </c>
      <c r="M388" s="115"/>
      <c r="N388" s="116"/>
      <c r="O388" s="117">
        <f t="shared" si="29"/>
        <v>47057</v>
      </c>
      <c r="P388" s="118">
        <f t="shared" si="30"/>
        <v>4</v>
      </c>
      <c r="Q388" s="119">
        <f t="shared" si="31"/>
        <v>198.36</v>
      </c>
      <c r="R388" s="119">
        <f t="shared" si="32"/>
        <v>0</v>
      </c>
      <c r="S388" s="120" t="s">
        <v>106</v>
      </c>
      <c r="U388" s="67"/>
      <c r="V388" s="121"/>
      <c r="W388" s="122"/>
      <c r="X388" s="63"/>
      <c r="Y388" s="63"/>
      <c r="Z388" s="63"/>
      <c r="AA388" s="63"/>
    </row>
    <row r="389" s="59" customFormat="1" ht="16.5" outlineLevel="7" spans="1:27">
      <c r="A389" s="79"/>
      <c r="B389" s="107" t="s">
        <v>195</v>
      </c>
      <c r="C389" s="108">
        <v>100699</v>
      </c>
      <c r="D389" s="109" t="s">
        <v>612</v>
      </c>
      <c r="E389" s="110">
        <v>45952</v>
      </c>
      <c r="F389" s="111">
        <v>36</v>
      </c>
      <c r="G389" s="112">
        <v>0.05</v>
      </c>
      <c r="H389" s="113">
        <v>1879.2</v>
      </c>
      <c r="I389" s="113">
        <v>297.54</v>
      </c>
      <c r="J389" s="113">
        <v>0</v>
      </c>
      <c r="K389" s="114">
        <f t="shared" si="28"/>
        <v>1581.66</v>
      </c>
      <c r="L389" s="113">
        <v>198.36</v>
      </c>
      <c r="M389" s="115"/>
      <c r="N389" s="116"/>
      <c r="O389" s="117">
        <f t="shared" si="29"/>
        <v>47057</v>
      </c>
      <c r="P389" s="118">
        <f t="shared" si="30"/>
        <v>4</v>
      </c>
      <c r="Q389" s="119">
        <f t="shared" si="31"/>
        <v>198.36</v>
      </c>
      <c r="R389" s="119">
        <f t="shared" si="32"/>
        <v>0</v>
      </c>
      <c r="S389" s="120" t="s">
        <v>106</v>
      </c>
      <c r="U389" s="67"/>
      <c r="V389" s="121"/>
      <c r="W389" s="122"/>
      <c r="X389" s="63"/>
      <c r="Y389" s="63"/>
      <c r="Z389" s="63"/>
      <c r="AA389" s="63"/>
    </row>
    <row r="390" s="59" customFormat="1" ht="16.5" outlineLevel="7" spans="1:27">
      <c r="A390" s="79"/>
      <c r="B390" s="107" t="s">
        <v>195</v>
      </c>
      <c r="C390" s="108">
        <v>100700</v>
      </c>
      <c r="D390" s="109" t="s">
        <v>614</v>
      </c>
      <c r="E390" s="110">
        <v>45952</v>
      </c>
      <c r="F390" s="111">
        <v>36</v>
      </c>
      <c r="G390" s="112">
        <v>0.05</v>
      </c>
      <c r="H390" s="113">
        <v>5752.21</v>
      </c>
      <c r="I390" s="113">
        <v>910.75</v>
      </c>
      <c r="J390" s="113">
        <v>0</v>
      </c>
      <c r="K390" s="114">
        <f t="shared" si="28"/>
        <v>4841.46</v>
      </c>
      <c r="L390" s="113">
        <v>607.17</v>
      </c>
      <c r="M390" s="115"/>
      <c r="N390" s="116"/>
      <c r="O390" s="117">
        <f t="shared" si="29"/>
        <v>47057</v>
      </c>
      <c r="P390" s="118">
        <f t="shared" si="30"/>
        <v>4</v>
      </c>
      <c r="Q390" s="119">
        <f t="shared" si="31"/>
        <v>607.177722222222</v>
      </c>
      <c r="R390" s="119">
        <f t="shared" si="32"/>
        <v>0.00772222222224173</v>
      </c>
      <c r="S390" s="120" t="s">
        <v>106</v>
      </c>
      <c r="U390" s="67"/>
      <c r="V390" s="121"/>
      <c r="W390" s="122"/>
      <c r="X390" s="63"/>
      <c r="Y390" s="63"/>
      <c r="Z390" s="63"/>
      <c r="AA390" s="63"/>
    </row>
    <row r="391" s="59" customFormat="1" ht="16.5" outlineLevel="7" spans="1:27">
      <c r="A391" s="79"/>
      <c r="B391" s="123" t="s">
        <v>195</v>
      </c>
      <c r="C391" s="124">
        <v>100701</v>
      </c>
      <c r="D391" s="125" t="s">
        <v>616</v>
      </c>
      <c r="E391" s="126">
        <v>45956</v>
      </c>
      <c r="F391" s="111">
        <v>36</v>
      </c>
      <c r="G391" s="127">
        <v>0.05</v>
      </c>
      <c r="H391" s="128">
        <v>867.26</v>
      </c>
      <c r="I391" s="113">
        <v>137.34</v>
      </c>
      <c r="J391" s="113">
        <v>0</v>
      </c>
      <c r="K391" s="114">
        <f t="shared" si="28"/>
        <v>729.92</v>
      </c>
      <c r="L391" s="128">
        <v>91.56</v>
      </c>
      <c r="M391" s="115"/>
      <c r="N391" s="116"/>
      <c r="O391" s="117">
        <f t="shared" si="29"/>
        <v>47057</v>
      </c>
      <c r="P391" s="118">
        <f t="shared" si="30"/>
        <v>4</v>
      </c>
      <c r="Q391" s="119">
        <f t="shared" si="31"/>
        <v>91.5441111111111</v>
      </c>
      <c r="R391" s="119">
        <f t="shared" si="32"/>
        <v>-0.0158888888888953</v>
      </c>
      <c r="S391" s="120" t="s">
        <v>106</v>
      </c>
      <c r="U391" s="67"/>
      <c r="V391" s="121"/>
      <c r="W391" s="122"/>
      <c r="X391" s="63"/>
      <c r="Y391" s="63"/>
      <c r="Z391" s="63"/>
      <c r="AA391" s="63"/>
    </row>
    <row r="392" s="59" customFormat="1" ht="16.5" outlineLevel="7" spans="1:27">
      <c r="A392" s="79"/>
      <c r="B392" s="123" t="s">
        <v>195</v>
      </c>
      <c r="C392" s="124">
        <v>100702</v>
      </c>
      <c r="D392" s="125" t="s">
        <v>616</v>
      </c>
      <c r="E392" s="126">
        <v>45956</v>
      </c>
      <c r="F392" s="111">
        <v>36</v>
      </c>
      <c r="G392" s="127">
        <v>0.05</v>
      </c>
      <c r="H392" s="128">
        <v>867.26</v>
      </c>
      <c r="I392" s="113">
        <v>137.34</v>
      </c>
      <c r="J392" s="113">
        <v>0</v>
      </c>
      <c r="K392" s="114">
        <f t="shared" si="28"/>
        <v>729.92</v>
      </c>
      <c r="L392" s="128">
        <v>91.56</v>
      </c>
      <c r="M392" s="115"/>
      <c r="N392" s="116"/>
      <c r="O392" s="117">
        <f t="shared" si="29"/>
        <v>47057</v>
      </c>
      <c r="P392" s="118">
        <f t="shared" si="30"/>
        <v>4</v>
      </c>
      <c r="Q392" s="119">
        <f t="shared" si="31"/>
        <v>91.5441111111111</v>
      </c>
      <c r="R392" s="119">
        <f t="shared" si="32"/>
        <v>-0.0158888888888953</v>
      </c>
      <c r="S392" s="120" t="s">
        <v>106</v>
      </c>
      <c r="U392" s="67"/>
      <c r="V392" s="121"/>
      <c r="W392" s="122"/>
      <c r="X392" s="63"/>
      <c r="Y392" s="63"/>
      <c r="Z392" s="63"/>
      <c r="AA392" s="63"/>
    </row>
    <row r="393" s="59" customFormat="1" ht="16.5" outlineLevel="7" spans="1:27">
      <c r="A393" s="79"/>
      <c r="B393" s="123" t="s">
        <v>195</v>
      </c>
      <c r="C393" s="124">
        <v>100703</v>
      </c>
      <c r="D393" s="125" t="s">
        <v>616</v>
      </c>
      <c r="E393" s="126">
        <v>45956</v>
      </c>
      <c r="F393" s="111">
        <v>36</v>
      </c>
      <c r="G393" s="127">
        <v>0.05</v>
      </c>
      <c r="H393" s="128">
        <v>867.25</v>
      </c>
      <c r="I393" s="113">
        <v>137.34</v>
      </c>
      <c r="J393" s="113">
        <v>0</v>
      </c>
      <c r="K393" s="114">
        <f t="shared" ref="K393:K456" si="33">H393-I393-J393</f>
        <v>729.91</v>
      </c>
      <c r="L393" s="128">
        <v>91.56</v>
      </c>
      <c r="M393" s="115"/>
      <c r="N393" s="116"/>
      <c r="O393" s="117">
        <f t="shared" ref="O393:O456" si="34">IFERROR(EOMONTH(E393,F393),"")</f>
        <v>47057</v>
      </c>
      <c r="P393" s="118">
        <f t="shared" ref="P393:P456" si="35">IFERROR(IF(OR(AND(M393&lt;&gt;"",YEAR(M393)&lt;YEAR($L$6)),AND(O393&lt;&gt;"",YEAR(O393)&lt;YEAR($L$6))),0,IF(YEAR(E393)&gt;YEAR($L$6),0,IF(OR((IF(YEAR(E393)&lt;YEAR($L$6),1,IF(MONTH(E393)=12,99,MONTH(E393)+1))&gt;12),(IF(YEAR(E393)&lt;YEAR($L$6),1,IF(MONTH(E393)=12,99,MONTH(E393)+1))&gt;MIN(MONTH($L$6),IF(AND(M393&lt;&gt;"",YEAR(M393)=YEAR($L$6)),MONTH(M393),99),IF(AND(O393&lt;&gt;"",YEAR(O393)=YEAR($L$6)),MONTH(O393),99)))),0,MIN(MONTH($L$6),IF(AND(M393&lt;&gt;"",YEAR(M393)=YEAR($L$6)),MONTH(M393),99),IF(AND(O393&lt;&gt;"",YEAR(O393)=YEAR($L$6)),MONTH(O393),99))-IF(YEAR(E393)&lt;YEAR($L$6),1,IF(MONTH(E393)=12,99,MONTH(E393)+1))+1))),0)</f>
        <v>4</v>
      </c>
      <c r="Q393" s="119">
        <f t="shared" si="31"/>
        <v>91.5430555555556</v>
      </c>
      <c r="R393" s="119">
        <f t="shared" si="32"/>
        <v>-0.016944444444448</v>
      </c>
      <c r="S393" s="120" t="s">
        <v>106</v>
      </c>
      <c r="U393" s="67"/>
      <c r="V393" s="121"/>
      <c r="W393" s="122"/>
      <c r="X393" s="63"/>
      <c r="Y393" s="63"/>
      <c r="Z393" s="63"/>
      <c r="AA393" s="63"/>
    </row>
    <row r="394" s="59" customFormat="1" ht="16.5" outlineLevel="7" spans="1:27">
      <c r="A394" s="79"/>
      <c r="B394" s="123" t="s">
        <v>195</v>
      </c>
      <c r="C394" s="124">
        <v>100704</v>
      </c>
      <c r="D394" s="125" t="s">
        <v>617</v>
      </c>
      <c r="E394" s="126">
        <v>45957</v>
      </c>
      <c r="F394" s="111">
        <v>36</v>
      </c>
      <c r="G394" s="127">
        <v>0.05</v>
      </c>
      <c r="H394" s="128">
        <v>4866.37</v>
      </c>
      <c r="I394" s="113">
        <v>770.52</v>
      </c>
      <c r="J394" s="113">
        <v>0</v>
      </c>
      <c r="K394" s="114">
        <f t="shared" si="33"/>
        <v>4095.85</v>
      </c>
      <c r="L394" s="128">
        <v>513.68</v>
      </c>
      <c r="M394" s="115"/>
      <c r="N394" s="116"/>
      <c r="O394" s="117">
        <f t="shared" si="34"/>
        <v>47057</v>
      </c>
      <c r="P394" s="118">
        <f t="shared" si="35"/>
        <v>4</v>
      </c>
      <c r="Q394" s="119">
        <f t="shared" si="31"/>
        <v>513.672388888889</v>
      </c>
      <c r="R394" s="119">
        <f t="shared" si="32"/>
        <v>-0.00761111111114587</v>
      </c>
      <c r="S394" s="120" t="s">
        <v>106</v>
      </c>
      <c r="U394" s="67"/>
      <c r="V394" s="121"/>
      <c r="W394" s="122"/>
      <c r="X394" s="63"/>
      <c r="Y394" s="63"/>
      <c r="Z394" s="63"/>
      <c r="AA394" s="63"/>
    </row>
    <row r="395" s="59" customFormat="1" ht="16.5" outlineLevel="7" spans="1:27">
      <c r="A395" s="79"/>
      <c r="B395" s="123" t="s">
        <v>195</v>
      </c>
      <c r="C395" s="124">
        <v>100591</v>
      </c>
      <c r="D395" s="125" t="s">
        <v>545</v>
      </c>
      <c r="E395" s="126">
        <v>45663</v>
      </c>
      <c r="F395" s="111">
        <v>36</v>
      </c>
      <c r="G395" s="127">
        <v>0.05</v>
      </c>
      <c r="H395" s="128">
        <v>5309.73</v>
      </c>
      <c r="I395" s="113">
        <v>2101.8</v>
      </c>
      <c r="J395" s="113">
        <v>0</v>
      </c>
      <c r="K395" s="114">
        <f t="shared" si="33"/>
        <v>3207.93</v>
      </c>
      <c r="L395" s="128">
        <v>560.48</v>
      </c>
      <c r="M395" s="115"/>
      <c r="N395" s="116"/>
      <c r="O395" s="117">
        <f t="shared" si="34"/>
        <v>46783</v>
      </c>
      <c r="P395" s="118">
        <f t="shared" si="35"/>
        <v>4</v>
      </c>
      <c r="Q395" s="119">
        <f t="shared" si="31"/>
        <v>560.4715</v>
      </c>
      <c r="R395" s="119">
        <f t="shared" si="32"/>
        <v>-0.00850000000002638</v>
      </c>
      <c r="S395" s="120" t="s">
        <v>106</v>
      </c>
      <c r="U395" s="67"/>
      <c r="V395" s="121"/>
      <c r="W395" s="122"/>
      <c r="X395" s="63"/>
      <c r="Y395" s="63"/>
      <c r="Z395" s="63"/>
      <c r="AA395" s="63"/>
    </row>
    <row r="396" s="59" customFormat="1" ht="16.5" outlineLevel="7" spans="1:27">
      <c r="A396" s="79"/>
      <c r="B396" s="107" t="s">
        <v>195</v>
      </c>
      <c r="C396" s="108">
        <v>100592</v>
      </c>
      <c r="D396" s="109" t="s">
        <v>545</v>
      </c>
      <c r="E396" s="110">
        <v>45663</v>
      </c>
      <c r="F396" s="111">
        <v>36</v>
      </c>
      <c r="G396" s="112">
        <v>0.05</v>
      </c>
      <c r="H396" s="113">
        <v>5309.74</v>
      </c>
      <c r="I396" s="113">
        <v>2101.8</v>
      </c>
      <c r="J396" s="113">
        <v>0</v>
      </c>
      <c r="K396" s="114">
        <f t="shared" si="33"/>
        <v>3207.94</v>
      </c>
      <c r="L396" s="113">
        <v>560.48</v>
      </c>
      <c r="M396" s="115"/>
      <c r="N396" s="116"/>
      <c r="O396" s="117">
        <f t="shared" si="34"/>
        <v>46783</v>
      </c>
      <c r="P396" s="118">
        <f t="shared" si="35"/>
        <v>4</v>
      </c>
      <c r="Q396" s="119">
        <f t="shared" si="31"/>
        <v>560.472555555556</v>
      </c>
      <c r="R396" s="119">
        <f t="shared" si="32"/>
        <v>-0.00744444444444525</v>
      </c>
      <c r="S396" s="120" t="s">
        <v>106</v>
      </c>
      <c r="U396" s="67"/>
      <c r="V396" s="121"/>
      <c r="W396" s="122"/>
      <c r="X396" s="63"/>
      <c r="Y396" s="63"/>
      <c r="Z396" s="63"/>
      <c r="AA396" s="63"/>
    </row>
    <row r="397" s="59" customFormat="1" ht="16.5" outlineLevel="7" spans="1:27">
      <c r="A397" s="79"/>
      <c r="B397" s="107" t="s">
        <v>195</v>
      </c>
      <c r="C397" s="108">
        <v>100593</v>
      </c>
      <c r="D397" s="109" t="s">
        <v>545</v>
      </c>
      <c r="E397" s="110">
        <v>45705</v>
      </c>
      <c r="F397" s="111">
        <v>36</v>
      </c>
      <c r="G397" s="112">
        <v>0.05</v>
      </c>
      <c r="H397" s="113">
        <v>5556.64</v>
      </c>
      <c r="I397" s="113">
        <v>2052.84</v>
      </c>
      <c r="J397" s="113">
        <v>0</v>
      </c>
      <c r="K397" s="114">
        <f t="shared" si="33"/>
        <v>3503.8</v>
      </c>
      <c r="L397" s="113">
        <v>586.54</v>
      </c>
      <c r="M397" s="115"/>
      <c r="N397" s="116"/>
      <c r="O397" s="117">
        <f t="shared" si="34"/>
        <v>46812</v>
      </c>
      <c r="P397" s="118">
        <f t="shared" si="35"/>
        <v>4</v>
      </c>
      <c r="Q397" s="119">
        <f t="shared" si="31"/>
        <v>586.534222222222</v>
      </c>
      <c r="R397" s="119">
        <f t="shared" si="32"/>
        <v>-0.0057777777777801</v>
      </c>
      <c r="S397" s="120" t="s">
        <v>106</v>
      </c>
      <c r="U397" s="67"/>
      <c r="V397" s="121"/>
      <c r="W397" s="122"/>
      <c r="X397" s="63"/>
      <c r="Y397" s="63"/>
      <c r="Z397" s="63"/>
      <c r="AA397" s="63"/>
    </row>
    <row r="398" s="59" customFormat="1" ht="16.5" outlineLevel="7" spans="1:27">
      <c r="A398" s="79"/>
      <c r="B398" s="123" t="s">
        <v>195</v>
      </c>
      <c r="C398" s="124">
        <v>100594</v>
      </c>
      <c r="D398" s="125" t="s">
        <v>545</v>
      </c>
      <c r="E398" s="126">
        <v>45723</v>
      </c>
      <c r="F398" s="111">
        <v>36</v>
      </c>
      <c r="G398" s="127">
        <v>0.05</v>
      </c>
      <c r="H398" s="128">
        <v>5485.84</v>
      </c>
      <c r="I398" s="113">
        <v>1881.96</v>
      </c>
      <c r="J398" s="113">
        <v>0</v>
      </c>
      <c r="K398" s="114">
        <f t="shared" si="33"/>
        <v>3603.88</v>
      </c>
      <c r="L398" s="128">
        <v>579.06</v>
      </c>
      <c r="M398" s="115"/>
      <c r="N398" s="116"/>
      <c r="O398" s="117">
        <f t="shared" si="34"/>
        <v>46843</v>
      </c>
      <c r="P398" s="118">
        <f t="shared" si="35"/>
        <v>4</v>
      </c>
      <c r="Q398" s="119">
        <f t="shared" si="31"/>
        <v>579.060888888889</v>
      </c>
      <c r="R398" s="119">
        <f t="shared" si="32"/>
        <v>0.000888888888880501</v>
      </c>
      <c r="S398" s="120" t="s">
        <v>106</v>
      </c>
      <c r="U398" s="67"/>
      <c r="V398" s="121"/>
      <c r="W398" s="122"/>
      <c r="X398" s="63"/>
      <c r="Y398" s="63"/>
      <c r="Z398" s="63"/>
      <c r="AA398" s="63"/>
    </row>
    <row r="399" s="59" customFormat="1" ht="16.5" outlineLevel="7" spans="1:27">
      <c r="A399" s="79"/>
      <c r="B399" s="123" t="s">
        <v>195</v>
      </c>
      <c r="C399" s="124">
        <v>100595</v>
      </c>
      <c r="D399" s="125" t="s">
        <v>545</v>
      </c>
      <c r="E399" s="126">
        <v>45723</v>
      </c>
      <c r="F399" s="111">
        <v>36</v>
      </c>
      <c r="G399" s="127">
        <v>0.05</v>
      </c>
      <c r="H399" s="128">
        <v>5485.84</v>
      </c>
      <c r="I399" s="113">
        <v>1881.96</v>
      </c>
      <c r="J399" s="113">
        <v>0</v>
      </c>
      <c r="K399" s="114">
        <f t="shared" si="33"/>
        <v>3603.88</v>
      </c>
      <c r="L399" s="128">
        <v>579.06</v>
      </c>
      <c r="M399" s="115"/>
      <c r="N399" s="116"/>
      <c r="O399" s="117">
        <f t="shared" si="34"/>
        <v>46843</v>
      </c>
      <c r="P399" s="118">
        <f t="shared" si="35"/>
        <v>4</v>
      </c>
      <c r="Q399" s="119">
        <f t="shared" si="31"/>
        <v>579.060888888889</v>
      </c>
      <c r="R399" s="119">
        <f t="shared" si="32"/>
        <v>0.000888888888880501</v>
      </c>
      <c r="S399" s="120" t="s">
        <v>106</v>
      </c>
      <c r="U399" s="67"/>
      <c r="V399" s="121"/>
      <c r="W399" s="122"/>
      <c r="X399" s="63"/>
      <c r="Y399" s="63"/>
      <c r="Z399" s="63"/>
      <c r="AA399" s="63"/>
    </row>
    <row r="400" s="59" customFormat="1" ht="16.5" outlineLevel="7" spans="1:27">
      <c r="A400" s="79"/>
      <c r="B400" s="123" t="s">
        <v>195</v>
      </c>
      <c r="C400" s="124">
        <v>100596</v>
      </c>
      <c r="D400" s="125" t="s">
        <v>545</v>
      </c>
      <c r="E400" s="126">
        <v>45723</v>
      </c>
      <c r="F400" s="111">
        <v>36</v>
      </c>
      <c r="G400" s="127">
        <v>0.05</v>
      </c>
      <c r="H400" s="128">
        <v>5485.84</v>
      </c>
      <c r="I400" s="113">
        <v>1881.96</v>
      </c>
      <c r="J400" s="113">
        <v>0</v>
      </c>
      <c r="K400" s="114">
        <f t="shared" si="33"/>
        <v>3603.88</v>
      </c>
      <c r="L400" s="128">
        <v>579.06</v>
      </c>
      <c r="M400" s="115"/>
      <c r="N400" s="116"/>
      <c r="O400" s="117">
        <f t="shared" si="34"/>
        <v>46843</v>
      </c>
      <c r="P400" s="118">
        <f t="shared" si="35"/>
        <v>4</v>
      </c>
      <c r="Q400" s="119">
        <f t="shared" si="31"/>
        <v>579.060888888889</v>
      </c>
      <c r="R400" s="119">
        <f t="shared" si="32"/>
        <v>0.000888888888880501</v>
      </c>
      <c r="S400" s="120" t="s">
        <v>106</v>
      </c>
      <c r="U400" s="67"/>
      <c r="V400" s="121"/>
      <c r="W400" s="122"/>
      <c r="X400" s="63"/>
      <c r="Y400" s="63"/>
      <c r="Z400" s="63"/>
      <c r="AA400" s="63"/>
    </row>
    <row r="401" s="59" customFormat="1" ht="16.5" outlineLevel="7" spans="1:27">
      <c r="A401" s="79"/>
      <c r="B401" s="123" t="s">
        <v>195</v>
      </c>
      <c r="C401" s="124">
        <v>100597</v>
      </c>
      <c r="D401" s="125" t="s">
        <v>545</v>
      </c>
      <c r="E401" s="126">
        <v>45730</v>
      </c>
      <c r="F401" s="111">
        <v>36</v>
      </c>
      <c r="G401" s="127">
        <v>0.05</v>
      </c>
      <c r="H401" s="128">
        <v>6299</v>
      </c>
      <c r="I401" s="113">
        <v>2160.88</v>
      </c>
      <c r="J401" s="113">
        <v>0</v>
      </c>
      <c r="K401" s="114">
        <f t="shared" si="33"/>
        <v>4138.12</v>
      </c>
      <c r="L401" s="128">
        <v>664.9</v>
      </c>
      <c r="M401" s="115"/>
      <c r="N401" s="116"/>
      <c r="O401" s="117">
        <f t="shared" si="34"/>
        <v>46843</v>
      </c>
      <c r="P401" s="118">
        <f t="shared" si="35"/>
        <v>4</v>
      </c>
      <c r="Q401" s="119">
        <f t="shared" si="31"/>
        <v>664.894444444444</v>
      </c>
      <c r="R401" s="119">
        <f t="shared" si="32"/>
        <v>-0.0055555555555884</v>
      </c>
      <c r="S401" s="120" t="s">
        <v>106</v>
      </c>
      <c r="U401" s="67"/>
      <c r="V401" s="121"/>
      <c r="W401" s="122"/>
      <c r="X401" s="63"/>
      <c r="Y401" s="63"/>
      <c r="Z401" s="63"/>
      <c r="AA401" s="63"/>
    </row>
    <row r="402" s="59" customFormat="1" ht="16.5" outlineLevel="7" spans="1:27">
      <c r="A402" s="79"/>
      <c r="B402" s="123" t="s">
        <v>195</v>
      </c>
      <c r="C402" s="124">
        <v>100598</v>
      </c>
      <c r="D402" s="125" t="s">
        <v>545</v>
      </c>
      <c r="E402" s="126">
        <v>45730</v>
      </c>
      <c r="F402" s="111">
        <v>36</v>
      </c>
      <c r="G402" s="127">
        <v>0.05</v>
      </c>
      <c r="H402" s="128">
        <v>4989</v>
      </c>
      <c r="I402" s="113">
        <v>1711.49</v>
      </c>
      <c r="J402" s="113">
        <v>0</v>
      </c>
      <c r="K402" s="114">
        <f t="shared" si="33"/>
        <v>3277.51</v>
      </c>
      <c r="L402" s="128">
        <v>526.62</v>
      </c>
      <c r="M402" s="115"/>
      <c r="N402" s="116"/>
      <c r="O402" s="117">
        <f t="shared" si="34"/>
        <v>46843</v>
      </c>
      <c r="P402" s="118">
        <f t="shared" si="35"/>
        <v>4</v>
      </c>
      <c r="Q402" s="119">
        <f t="shared" si="31"/>
        <v>526.616666666667</v>
      </c>
      <c r="R402" s="119">
        <f t="shared" si="32"/>
        <v>-0.0033333333333303</v>
      </c>
      <c r="S402" s="120" t="s">
        <v>106</v>
      </c>
      <c r="U402" s="67"/>
      <c r="V402" s="121"/>
      <c r="W402" s="122"/>
      <c r="X402" s="63"/>
      <c r="Y402" s="63"/>
      <c r="Z402" s="63"/>
      <c r="AA402" s="63"/>
    </row>
    <row r="403" s="59" customFormat="1" ht="16.5" outlineLevel="7" spans="1:27">
      <c r="A403" s="79"/>
      <c r="B403" s="107" t="s">
        <v>195</v>
      </c>
      <c r="C403" s="108">
        <v>100599</v>
      </c>
      <c r="D403" s="109" t="s">
        <v>545</v>
      </c>
      <c r="E403" s="110">
        <v>45730</v>
      </c>
      <c r="F403" s="111">
        <v>36</v>
      </c>
      <c r="G403" s="112">
        <v>0.05</v>
      </c>
      <c r="H403" s="113">
        <v>4989</v>
      </c>
      <c r="I403" s="113">
        <v>1711.49</v>
      </c>
      <c r="J403" s="113">
        <v>0</v>
      </c>
      <c r="K403" s="114">
        <f t="shared" si="33"/>
        <v>3277.51</v>
      </c>
      <c r="L403" s="113">
        <v>526.62</v>
      </c>
      <c r="M403" s="115"/>
      <c r="N403" s="116"/>
      <c r="O403" s="117">
        <f t="shared" si="34"/>
        <v>46843</v>
      </c>
      <c r="P403" s="118">
        <f t="shared" si="35"/>
        <v>4</v>
      </c>
      <c r="Q403" s="119">
        <f t="shared" si="31"/>
        <v>526.616666666667</v>
      </c>
      <c r="R403" s="119">
        <f t="shared" si="32"/>
        <v>-0.0033333333333303</v>
      </c>
      <c r="S403" s="120" t="s">
        <v>106</v>
      </c>
      <c r="U403" s="67"/>
      <c r="V403" s="121"/>
      <c r="W403" s="122"/>
      <c r="X403" s="63"/>
      <c r="Y403" s="63"/>
      <c r="Z403" s="63"/>
      <c r="AA403" s="63"/>
    </row>
    <row r="404" s="59" customFormat="1" ht="16.5" outlineLevel="7" spans="1:27">
      <c r="A404" s="79"/>
      <c r="B404" s="107" t="s">
        <v>195</v>
      </c>
      <c r="C404" s="108">
        <v>100600</v>
      </c>
      <c r="D404" s="109" t="s">
        <v>559</v>
      </c>
      <c r="E404" s="110">
        <v>45728</v>
      </c>
      <c r="F404" s="111">
        <v>36</v>
      </c>
      <c r="G404" s="112">
        <v>0.05</v>
      </c>
      <c r="H404" s="113">
        <v>547.79</v>
      </c>
      <c r="I404" s="113">
        <v>187.94</v>
      </c>
      <c r="J404" s="113">
        <v>0</v>
      </c>
      <c r="K404" s="114">
        <f t="shared" si="33"/>
        <v>359.85</v>
      </c>
      <c r="L404" s="113">
        <v>57.82</v>
      </c>
      <c r="M404" s="115"/>
      <c r="N404" s="116"/>
      <c r="O404" s="117">
        <f t="shared" si="34"/>
        <v>46843</v>
      </c>
      <c r="P404" s="118">
        <f t="shared" si="35"/>
        <v>4</v>
      </c>
      <c r="Q404" s="119">
        <f t="shared" si="31"/>
        <v>57.8222777777778</v>
      </c>
      <c r="R404" s="119">
        <f t="shared" si="32"/>
        <v>0.0022777777777705</v>
      </c>
      <c r="S404" s="120" t="s">
        <v>106</v>
      </c>
      <c r="U404" s="67"/>
      <c r="V404" s="121"/>
      <c r="W404" s="122"/>
      <c r="X404" s="63"/>
      <c r="Y404" s="63"/>
      <c r="Z404" s="63"/>
      <c r="AA404" s="63"/>
    </row>
    <row r="405" s="59" customFormat="1" ht="16.5" outlineLevel="7" spans="1:27">
      <c r="A405" s="79"/>
      <c r="B405" s="123" t="s">
        <v>195</v>
      </c>
      <c r="C405" s="124">
        <v>100601</v>
      </c>
      <c r="D405" s="125" t="s">
        <v>559</v>
      </c>
      <c r="E405" s="126">
        <v>45737</v>
      </c>
      <c r="F405" s="111">
        <v>36</v>
      </c>
      <c r="G405" s="127">
        <v>0.05</v>
      </c>
      <c r="H405" s="128">
        <v>884.07</v>
      </c>
      <c r="I405" s="113">
        <v>303.29</v>
      </c>
      <c r="J405" s="113">
        <v>0</v>
      </c>
      <c r="K405" s="114">
        <f t="shared" si="33"/>
        <v>580.78</v>
      </c>
      <c r="L405" s="128">
        <v>93.32</v>
      </c>
      <c r="M405" s="115"/>
      <c r="N405" s="116"/>
      <c r="O405" s="117">
        <f t="shared" si="34"/>
        <v>46843</v>
      </c>
      <c r="P405" s="118">
        <f t="shared" si="35"/>
        <v>4</v>
      </c>
      <c r="Q405" s="119">
        <f t="shared" si="31"/>
        <v>93.3185</v>
      </c>
      <c r="R405" s="119">
        <f t="shared" si="32"/>
        <v>-0.00149999999999295</v>
      </c>
      <c r="S405" s="120" t="s">
        <v>106</v>
      </c>
      <c r="U405" s="67"/>
      <c r="V405" s="121"/>
      <c r="W405" s="122"/>
      <c r="X405" s="63"/>
      <c r="Y405" s="63"/>
      <c r="Z405" s="63"/>
      <c r="AA405" s="63"/>
    </row>
    <row r="406" s="59" customFormat="1" ht="16.5" outlineLevel="7" spans="1:27">
      <c r="A406" s="79"/>
      <c r="B406" s="123" t="s">
        <v>195</v>
      </c>
      <c r="C406" s="124">
        <v>100602</v>
      </c>
      <c r="D406" s="125" t="s">
        <v>559</v>
      </c>
      <c r="E406" s="126">
        <v>45737</v>
      </c>
      <c r="F406" s="111">
        <v>36</v>
      </c>
      <c r="G406" s="127">
        <v>0.05</v>
      </c>
      <c r="H406" s="128">
        <v>884.07</v>
      </c>
      <c r="I406" s="113">
        <v>303.29</v>
      </c>
      <c r="J406" s="113">
        <v>0</v>
      </c>
      <c r="K406" s="114">
        <f t="shared" si="33"/>
        <v>580.78</v>
      </c>
      <c r="L406" s="128">
        <v>93.32</v>
      </c>
      <c r="M406" s="115"/>
      <c r="N406" s="116"/>
      <c r="O406" s="117">
        <f t="shared" si="34"/>
        <v>46843</v>
      </c>
      <c r="P406" s="118">
        <f t="shared" si="35"/>
        <v>4</v>
      </c>
      <c r="Q406" s="119">
        <f t="shared" si="31"/>
        <v>93.3185</v>
      </c>
      <c r="R406" s="119">
        <f t="shared" si="32"/>
        <v>-0.00149999999999295</v>
      </c>
      <c r="S406" s="120" t="s">
        <v>106</v>
      </c>
      <c r="U406" s="67"/>
      <c r="V406" s="121"/>
      <c r="W406" s="122"/>
      <c r="X406" s="63"/>
      <c r="Y406" s="63"/>
      <c r="Z406" s="63"/>
      <c r="AA406" s="63"/>
    </row>
    <row r="407" s="59" customFormat="1" ht="16.5" outlineLevel="7" spans="1:27">
      <c r="A407" s="79"/>
      <c r="B407" s="123" t="s">
        <v>195</v>
      </c>
      <c r="C407" s="124">
        <v>100603</v>
      </c>
      <c r="D407" s="125" t="s">
        <v>559</v>
      </c>
      <c r="E407" s="126">
        <v>45737</v>
      </c>
      <c r="F407" s="111">
        <v>36</v>
      </c>
      <c r="G407" s="127">
        <v>0.05</v>
      </c>
      <c r="H407" s="128">
        <v>884.07</v>
      </c>
      <c r="I407" s="113">
        <v>303.29</v>
      </c>
      <c r="J407" s="113">
        <v>0</v>
      </c>
      <c r="K407" s="114">
        <f t="shared" si="33"/>
        <v>580.78</v>
      </c>
      <c r="L407" s="128">
        <v>93.32</v>
      </c>
      <c r="M407" s="115"/>
      <c r="N407" s="116"/>
      <c r="O407" s="117">
        <f t="shared" si="34"/>
        <v>46843</v>
      </c>
      <c r="P407" s="118">
        <f t="shared" si="35"/>
        <v>4</v>
      </c>
      <c r="Q407" s="119">
        <f t="shared" ref="Q407:Q470" si="36">IFERROR(IF(N407=0,(H407*(1-G407))/F407*P407,(N407*(1-G407))/F407*P407),0)</f>
        <v>93.3185</v>
      </c>
      <c r="R407" s="119">
        <f t="shared" ref="R407:R470" si="37">Q407-L407</f>
        <v>-0.00149999999999295</v>
      </c>
      <c r="S407" s="120" t="s">
        <v>106</v>
      </c>
      <c r="U407" s="67"/>
      <c r="V407" s="121"/>
      <c r="W407" s="122"/>
      <c r="X407" s="63"/>
      <c r="Y407" s="63"/>
      <c r="Z407" s="63"/>
      <c r="AA407" s="63"/>
    </row>
    <row r="408" s="59" customFormat="1" ht="16.5" outlineLevel="7" spans="1:27">
      <c r="A408" s="79"/>
      <c r="B408" s="123" t="s">
        <v>195</v>
      </c>
      <c r="C408" s="124">
        <v>100604</v>
      </c>
      <c r="D408" s="125" t="s">
        <v>559</v>
      </c>
      <c r="E408" s="126">
        <v>45737</v>
      </c>
      <c r="F408" s="111">
        <v>36</v>
      </c>
      <c r="G408" s="127">
        <v>0.05</v>
      </c>
      <c r="H408" s="128">
        <v>884.07</v>
      </c>
      <c r="I408" s="113">
        <v>303.29</v>
      </c>
      <c r="J408" s="113">
        <v>0</v>
      </c>
      <c r="K408" s="114">
        <f t="shared" si="33"/>
        <v>580.78</v>
      </c>
      <c r="L408" s="128">
        <v>93.32</v>
      </c>
      <c r="M408" s="115"/>
      <c r="N408" s="116"/>
      <c r="O408" s="117">
        <f t="shared" si="34"/>
        <v>46843</v>
      </c>
      <c r="P408" s="118">
        <f t="shared" si="35"/>
        <v>4</v>
      </c>
      <c r="Q408" s="119">
        <f t="shared" si="36"/>
        <v>93.3185</v>
      </c>
      <c r="R408" s="119">
        <f t="shared" si="37"/>
        <v>-0.00149999999999295</v>
      </c>
      <c r="S408" s="120" t="s">
        <v>106</v>
      </c>
      <c r="U408" s="67"/>
      <c r="V408" s="121"/>
      <c r="W408" s="122"/>
      <c r="X408" s="63"/>
      <c r="Y408" s="63"/>
      <c r="Z408" s="63"/>
      <c r="AA408" s="63"/>
    </row>
    <row r="409" s="59" customFormat="1" ht="16.5" outlineLevel="7" spans="1:27">
      <c r="A409" s="79"/>
      <c r="B409" s="123" t="s">
        <v>195</v>
      </c>
      <c r="C409" s="124">
        <v>100605</v>
      </c>
      <c r="D409" s="125" t="s">
        <v>559</v>
      </c>
      <c r="E409" s="126">
        <v>45737</v>
      </c>
      <c r="F409" s="111">
        <v>36</v>
      </c>
      <c r="G409" s="127">
        <v>0.05</v>
      </c>
      <c r="H409" s="128">
        <v>884.07</v>
      </c>
      <c r="I409" s="113">
        <v>303.29</v>
      </c>
      <c r="J409" s="113">
        <v>0</v>
      </c>
      <c r="K409" s="114">
        <f t="shared" si="33"/>
        <v>580.78</v>
      </c>
      <c r="L409" s="128">
        <v>93.32</v>
      </c>
      <c r="M409" s="115"/>
      <c r="N409" s="116"/>
      <c r="O409" s="117">
        <f t="shared" si="34"/>
        <v>46843</v>
      </c>
      <c r="P409" s="118">
        <f t="shared" si="35"/>
        <v>4</v>
      </c>
      <c r="Q409" s="119">
        <f t="shared" si="36"/>
        <v>93.3185</v>
      </c>
      <c r="R409" s="119">
        <f t="shared" si="37"/>
        <v>-0.00149999999999295</v>
      </c>
      <c r="S409" s="120" t="s">
        <v>106</v>
      </c>
      <c r="U409" s="67"/>
      <c r="V409" s="121"/>
      <c r="W409" s="122"/>
      <c r="X409" s="63"/>
      <c r="Y409" s="63"/>
      <c r="Z409" s="63"/>
      <c r="AA409" s="63"/>
    </row>
    <row r="410" s="59" customFormat="1" ht="16.5" outlineLevel="7" spans="1:27">
      <c r="A410" s="79"/>
      <c r="B410" s="107" t="s">
        <v>195</v>
      </c>
      <c r="C410" s="108">
        <v>100606</v>
      </c>
      <c r="D410" s="109" t="s">
        <v>559</v>
      </c>
      <c r="E410" s="110">
        <v>45737</v>
      </c>
      <c r="F410" s="111">
        <v>36</v>
      </c>
      <c r="G410" s="112">
        <v>0.05</v>
      </c>
      <c r="H410" s="113">
        <v>884.07</v>
      </c>
      <c r="I410" s="113">
        <v>303.29</v>
      </c>
      <c r="J410" s="113">
        <v>0</v>
      </c>
      <c r="K410" s="114">
        <f t="shared" si="33"/>
        <v>580.78</v>
      </c>
      <c r="L410" s="113">
        <v>93.32</v>
      </c>
      <c r="M410" s="115"/>
      <c r="N410" s="116"/>
      <c r="O410" s="117">
        <f t="shared" si="34"/>
        <v>46843</v>
      </c>
      <c r="P410" s="118">
        <f t="shared" si="35"/>
        <v>4</v>
      </c>
      <c r="Q410" s="119">
        <f t="shared" si="36"/>
        <v>93.3185</v>
      </c>
      <c r="R410" s="119">
        <f t="shared" si="37"/>
        <v>-0.00149999999999295</v>
      </c>
      <c r="S410" s="120" t="s">
        <v>106</v>
      </c>
      <c r="U410" s="67"/>
      <c r="V410" s="121"/>
      <c r="W410" s="122"/>
      <c r="X410" s="63"/>
      <c r="Y410" s="63"/>
      <c r="Z410" s="63"/>
      <c r="AA410" s="63"/>
    </row>
    <row r="411" s="59" customFormat="1" ht="16.5" outlineLevel="7" spans="1:27">
      <c r="A411" s="79"/>
      <c r="B411" s="107" t="s">
        <v>195</v>
      </c>
      <c r="C411" s="108">
        <v>100607</v>
      </c>
      <c r="D411" s="109" t="s">
        <v>559</v>
      </c>
      <c r="E411" s="110">
        <v>45737</v>
      </c>
      <c r="F411" s="111">
        <v>36</v>
      </c>
      <c r="G411" s="112">
        <v>0.05</v>
      </c>
      <c r="H411" s="113">
        <v>884.07</v>
      </c>
      <c r="I411" s="113">
        <v>303.29</v>
      </c>
      <c r="J411" s="113">
        <v>0</v>
      </c>
      <c r="K411" s="114">
        <f t="shared" si="33"/>
        <v>580.78</v>
      </c>
      <c r="L411" s="113">
        <v>93.32</v>
      </c>
      <c r="M411" s="115"/>
      <c r="N411" s="116"/>
      <c r="O411" s="117">
        <f t="shared" si="34"/>
        <v>46843</v>
      </c>
      <c r="P411" s="118">
        <f t="shared" si="35"/>
        <v>4</v>
      </c>
      <c r="Q411" s="119">
        <f t="shared" si="36"/>
        <v>93.3185</v>
      </c>
      <c r="R411" s="119">
        <f t="shared" si="37"/>
        <v>-0.00149999999999295</v>
      </c>
      <c r="S411" s="120" t="s">
        <v>106</v>
      </c>
      <c r="U411" s="67"/>
      <c r="V411" s="121"/>
      <c r="W411" s="122"/>
      <c r="X411" s="63"/>
      <c r="Y411" s="63"/>
      <c r="Z411" s="63"/>
      <c r="AA411" s="63"/>
    </row>
    <row r="412" s="59" customFormat="1" ht="16.5" outlineLevel="7" spans="1:27">
      <c r="A412" s="79"/>
      <c r="B412" s="123" t="s">
        <v>195</v>
      </c>
      <c r="C412" s="124">
        <v>100589</v>
      </c>
      <c r="D412" s="125" t="s">
        <v>625</v>
      </c>
      <c r="E412" s="126">
        <v>45663</v>
      </c>
      <c r="F412" s="111">
        <v>36</v>
      </c>
      <c r="G412" s="127">
        <v>0.05</v>
      </c>
      <c r="H412" s="128">
        <v>3407.08</v>
      </c>
      <c r="I412" s="113">
        <v>1348.65</v>
      </c>
      <c r="J412" s="113">
        <v>0</v>
      </c>
      <c r="K412" s="114">
        <f t="shared" si="33"/>
        <v>2058.43</v>
      </c>
      <c r="L412" s="128">
        <v>359.64</v>
      </c>
      <c r="M412" s="115"/>
      <c r="N412" s="116"/>
      <c r="O412" s="117">
        <f t="shared" si="34"/>
        <v>46783</v>
      </c>
      <c r="P412" s="118">
        <f t="shared" si="35"/>
        <v>4</v>
      </c>
      <c r="Q412" s="119">
        <f t="shared" si="36"/>
        <v>359.636222222222</v>
      </c>
      <c r="R412" s="119">
        <f t="shared" si="37"/>
        <v>-0.0037777777778274</v>
      </c>
      <c r="S412" s="120" t="s">
        <v>106</v>
      </c>
      <c r="U412" s="67"/>
      <c r="V412" s="121"/>
      <c r="W412" s="122"/>
      <c r="X412" s="63"/>
      <c r="Y412" s="63"/>
      <c r="Z412" s="63"/>
      <c r="AA412" s="63"/>
    </row>
    <row r="413" s="59" customFormat="1" ht="16.5" outlineLevel="7" spans="1:27">
      <c r="A413" s="79"/>
      <c r="B413" s="123" t="s">
        <v>195</v>
      </c>
      <c r="C413" s="124">
        <v>100590</v>
      </c>
      <c r="D413" s="125" t="s">
        <v>625</v>
      </c>
      <c r="E413" s="126">
        <v>45663</v>
      </c>
      <c r="F413" s="111">
        <v>36</v>
      </c>
      <c r="G413" s="127">
        <v>0.05</v>
      </c>
      <c r="H413" s="128">
        <v>3407.08</v>
      </c>
      <c r="I413" s="113">
        <v>1348.65</v>
      </c>
      <c r="J413" s="113">
        <v>0</v>
      </c>
      <c r="K413" s="114">
        <f t="shared" si="33"/>
        <v>2058.43</v>
      </c>
      <c r="L413" s="128">
        <v>359.64</v>
      </c>
      <c r="M413" s="115"/>
      <c r="N413" s="116"/>
      <c r="O413" s="117">
        <f t="shared" si="34"/>
        <v>46783</v>
      </c>
      <c r="P413" s="118">
        <f t="shared" si="35"/>
        <v>4</v>
      </c>
      <c r="Q413" s="119">
        <f t="shared" si="36"/>
        <v>359.636222222222</v>
      </c>
      <c r="R413" s="119">
        <f t="shared" si="37"/>
        <v>-0.0037777777778274</v>
      </c>
      <c r="S413" s="120" t="s">
        <v>106</v>
      </c>
      <c r="U413" s="67"/>
      <c r="V413" s="121"/>
      <c r="W413" s="122"/>
      <c r="X413" s="63"/>
      <c r="Y413" s="63"/>
      <c r="Z413" s="63"/>
      <c r="AA413" s="63"/>
    </row>
    <row r="414" s="59" customFormat="1" ht="16.5" outlineLevel="7" spans="1:27">
      <c r="A414" s="79"/>
      <c r="B414" s="123" t="s">
        <v>195</v>
      </c>
      <c r="C414" s="124">
        <v>100608</v>
      </c>
      <c r="D414" s="125" t="s">
        <v>559</v>
      </c>
      <c r="E414" s="126">
        <v>45737</v>
      </c>
      <c r="F414" s="111">
        <v>36</v>
      </c>
      <c r="G414" s="127">
        <v>0.05</v>
      </c>
      <c r="H414" s="128">
        <v>884.08</v>
      </c>
      <c r="I414" s="113">
        <v>303.29</v>
      </c>
      <c r="J414" s="113">
        <v>0</v>
      </c>
      <c r="K414" s="114">
        <f t="shared" si="33"/>
        <v>580.79</v>
      </c>
      <c r="L414" s="128">
        <v>93.32</v>
      </c>
      <c r="M414" s="115"/>
      <c r="N414" s="116"/>
      <c r="O414" s="117">
        <f t="shared" si="34"/>
        <v>46843</v>
      </c>
      <c r="P414" s="118">
        <f t="shared" si="35"/>
        <v>4</v>
      </c>
      <c r="Q414" s="119">
        <f t="shared" si="36"/>
        <v>93.3195555555556</v>
      </c>
      <c r="R414" s="119">
        <f t="shared" si="37"/>
        <v>-0.000444444444440251</v>
      </c>
      <c r="S414" s="120" t="s">
        <v>106</v>
      </c>
      <c r="U414" s="67"/>
      <c r="V414" s="121"/>
      <c r="W414" s="122"/>
      <c r="X414" s="63"/>
      <c r="Y414" s="63"/>
      <c r="Z414" s="63"/>
      <c r="AA414" s="63"/>
    </row>
    <row r="415" s="59" customFormat="1" ht="16.5" outlineLevel="7" spans="1:27">
      <c r="A415" s="79"/>
      <c r="B415" s="123" t="s">
        <v>195</v>
      </c>
      <c r="C415" s="124">
        <v>100609</v>
      </c>
      <c r="D415" s="125" t="s">
        <v>559</v>
      </c>
      <c r="E415" s="126">
        <v>45737</v>
      </c>
      <c r="F415" s="111">
        <v>36</v>
      </c>
      <c r="G415" s="127">
        <v>0.05</v>
      </c>
      <c r="H415" s="128">
        <v>1220.35</v>
      </c>
      <c r="I415" s="113">
        <v>418.62</v>
      </c>
      <c r="J415" s="113">
        <v>0</v>
      </c>
      <c r="K415" s="114">
        <f t="shared" si="33"/>
        <v>801.73</v>
      </c>
      <c r="L415" s="128">
        <v>128.82</v>
      </c>
      <c r="M415" s="115"/>
      <c r="N415" s="116"/>
      <c r="O415" s="117">
        <f t="shared" si="34"/>
        <v>46843</v>
      </c>
      <c r="P415" s="118">
        <f t="shared" si="35"/>
        <v>4</v>
      </c>
      <c r="Q415" s="119">
        <f t="shared" si="36"/>
        <v>128.814722222222</v>
      </c>
      <c r="R415" s="119">
        <f t="shared" si="37"/>
        <v>-0.00527777777779193</v>
      </c>
      <c r="S415" s="120" t="s">
        <v>106</v>
      </c>
      <c r="U415" s="67"/>
      <c r="V415" s="121"/>
      <c r="W415" s="122"/>
      <c r="X415" s="63"/>
      <c r="Y415" s="63"/>
      <c r="Z415" s="63"/>
      <c r="AA415" s="63"/>
    </row>
    <row r="416" s="59" customFormat="1" ht="16.5" outlineLevel="7" spans="1:27">
      <c r="A416" s="79"/>
      <c r="B416" s="123" t="s">
        <v>195</v>
      </c>
      <c r="C416" s="124">
        <v>100610</v>
      </c>
      <c r="D416" s="125" t="s">
        <v>560</v>
      </c>
      <c r="E416" s="126">
        <v>45743</v>
      </c>
      <c r="F416" s="111">
        <v>36</v>
      </c>
      <c r="G416" s="127">
        <v>0.05</v>
      </c>
      <c r="H416" s="128">
        <v>821.24</v>
      </c>
      <c r="I416" s="113">
        <v>281.71</v>
      </c>
      <c r="J416" s="113">
        <v>0</v>
      </c>
      <c r="K416" s="114">
        <f t="shared" si="33"/>
        <v>539.53</v>
      </c>
      <c r="L416" s="128">
        <v>86.68</v>
      </c>
      <c r="M416" s="115"/>
      <c r="N416" s="116"/>
      <c r="O416" s="117">
        <f t="shared" si="34"/>
        <v>46843</v>
      </c>
      <c r="P416" s="118">
        <f t="shared" si="35"/>
        <v>4</v>
      </c>
      <c r="Q416" s="119">
        <f t="shared" si="36"/>
        <v>86.6864444444444</v>
      </c>
      <c r="R416" s="119">
        <f t="shared" si="37"/>
        <v>0.00644444444444048</v>
      </c>
      <c r="S416" s="120" t="s">
        <v>106</v>
      </c>
      <c r="U416" s="67"/>
      <c r="V416" s="121"/>
      <c r="W416" s="122"/>
      <c r="X416" s="63"/>
      <c r="Y416" s="63"/>
      <c r="Z416" s="63"/>
      <c r="AA416" s="63"/>
    </row>
    <row r="417" s="59" customFormat="1" ht="16.5" outlineLevel="7" spans="1:27">
      <c r="A417" s="79"/>
      <c r="B417" s="107" t="s">
        <v>195</v>
      </c>
      <c r="C417" s="108">
        <v>100611</v>
      </c>
      <c r="D417" s="109" t="s">
        <v>560</v>
      </c>
      <c r="E417" s="110">
        <v>45743</v>
      </c>
      <c r="F417" s="111">
        <v>36</v>
      </c>
      <c r="G417" s="112">
        <v>0.05</v>
      </c>
      <c r="H417" s="113">
        <v>821.24</v>
      </c>
      <c r="I417" s="113">
        <v>281.71</v>
      </c>
      <c r="J417" s="113">
        <v>0</v>
      </c>
      <c r="K417" s="114">
        <f t="shared" si="33"/>
        <v>539.53</v>
      </c>
      <c r="L417" s="113">
        <v>86.68</v>
      </c>
      <c r="M417" s="115"/>
      <c r="N417" s="116"/>
      <c r="O417" s="117">
        <f t="shared" si="34"/>
        <v>46843</v>
      </c>
      <c r="P417" s="118">
        <f t="shared" si="35"/>
        <v>4</v>
      </c>
      <c r="Q417" s="119">
        <f t="shared" si="36"/>
        <v>86.6864444444444</v>
      </c>
      <c r="R417" s="119">
        <f t="shared" si="37"/>
        <v>0.00644444444444048</v>
      </c>
      <c r="S417" s="120" t="s">
        <v>106</v>
      </c>
      <c r="U417" s="67"/>
      <c r="V417" s="121"/>
      <c r="W417" s="122"/>
      <c r="X417" s="63"/>
      <c r="Y417" s="63"/>
      <c r="Z417" s="63"/>
      <c r="AA417" s="63"/>
    </row>
    <row r="418" s="59" customFormat="1" ht="16.5" outlineLevel="7" spans="1:27">
      <c r="A418" s="79"/>
      <c r="B418" s="107" t="s">
        <v>195</v>
      </c>
      <c r="C418" s="108">
        <v>100612</v>
      </c>
      <c r="D418" s="109" t="s">
        <v>560</v>
      </c>
      <c r="E418" s="110">
        <v>45743</v>
      </c>
      <c r="F418" s="111">
        <v>36</v>
      </c>
      <c r="G418" s="112">
        <v>0.05</v>
      </c>
      <c r="H418" s="113">
        <v>821.24</v>
      </c>
      <c r="I418" s="113">
        <v>281.71</v>
      </c>
      <c r="J418" s="113">
        <v>0</v>
      </c>
      <c r="K418" s="114">
        <f t="shared" si="33"/>
        <v>539.53</v>
      </c>
      <c r="L418" s="113">
        <v>86.68</v>
      </c>
      <c r="M418" s="115"/>
      <c r="N418" s="116"/>
      <c r="O418" s="117">
        <f t="shared" si="34"/>
        <v>46843</v>
      </c>
      <c r="P418" s="118">
        <f t="shared" si="35"/>
        <v>4</v>
      </c>
      <c r="Q418" s="119">
        <f t="shared" si="36"/>
        <v>86.6864444444444</v>
      </c>
      <c r="R418" s="119">
        <f t="shared" si="37"/>
        <v>0.00644444444444048</v>
      </c>
      <c r="S418" s="120" t="s">
        <v>106</v>
      </c>
      <c r="U418" s="67"/>
      <c r="V418" s="121"/>
      <c r="W418" s="122"/>
      <c r="X418" s="63"/>
      <c r="Y418" s="63"/>
      <c r="Z418" s="63"/>
      <c r="AA418" s="63"/>
    </row>
    <row r="419" s="59" customFormat="1" ht="16.5" outlineLevel="7" spans="1:27">
      <c r="A419" s="79"/>
      <c r="B419" s="123" t="s">
        <v>195</v>
      </c>
      <c r="C419" s="124">
        <v>100613</v>
      </c>
      <c r="D419" s="125" t="s">
        <v>560</v>
      </c>
      <c r="E419" s="126">
        <v>45742</v>
      </c>
      <c r="F419" s="111">
        <v>36</v>
      </c>
      <c r="G419" s="127">
        <v>0.05</v>
      </c>
      <c r="H419" s="128">
        <v>821.24</v>
      </c>
      <c r="I419" s="113">
        <v>281.71</v>
      </c>
      <c r="J419" s="113">
        <v>0</v>
      </c>
      <c r="K419" s="114">
        <f t="shared" si="33"/>
        <v>539.53</v>
      </c>
      <c r="L419" s="128">
        <v>86.68</v>
      </c>
      <c r="M419" s="115"/>
      <c r="N419" s="116"/>
      <c r="O419" s="117">
        <f t="shared" si="34"/>
        <v>46843</v>
      </c>
      <c r="P419" s="118">
        <f t="shared" si="35"/>
        <v>4</v>
      </c>
      <c r="Q419" s="119">
        <f t="shared" si="36"/>
        <v>86.6864444444444</v>
      </c>
      <c r="R419" s="119">
        <f t="shared" si="37"/>
        <v>0.00644444444444048</v>
      </c>
      <c r="S419" s="120" t="s">
        <v>106</v>
      </c>
      <c r="U419" s="67"/>
      <c r="V419" s="121"/>
      <c r="W419" s="122"/>
      <c r="X419" s="63"/>
      <c r="Y419" s="63"/>
      <c r="Z419" s="63"/>
      <c r="AA419" s="63"/>
    </row>
    <row r="420" s="59" customFormat="1" ht="16.5" outlineLevel="7" spans="1:27">
      <c r="A420" s="79"/>
      <c r="B420" s="123" t="s">
        <v>195</v>
      </c>
      <c r="C420" s="124">
        <v>100614</v>
      </c>
      <c r="D420" s="125" t="s">
        <v>629</v>
      </c>
      <c r="E420" s="126">
        <v>45726</v>
      </c>
      <c r="F420" s="111">
        <v>36</v>
      </c>
      <c r="G420" s="127">
        <v>0.05</v>
      </c>
      <c r="H420" s="128">
        <v>2876.1</v>
      </c>
      <c r="I420" s="113">
        <v>986.7</v>
      </c>
      <c r="J420" s="113">
        <v>0</v>
      </c>
      <c r="K420" s="114">
        <f t="shared" si="33"/>
        <v>1889.4</v>
      </c>
      <c r="L420" s="128">
        <v>303.6</v>
      </c>
      <c r="M420" s="115"/>
      <c r="N420" s="116"/>
      <c r="O420" s="117">
        <f t="shared" si="34"/>
        <v>46843</v>
      </c>
      <c r="P420" s="118">
        <f t="shared" si="35"/>
        <v>4</v>
      </c>
      <c r="Q420" s="119">
        <f t="shared" si="36"/>
        <v>303.588333333333</v>
      </c>
      <c r="R420" s="119">
        <f t="shared" si="37"/>
        <v>-0.0116666666667129</v>
      </c>
      <c r="S420" s="120" t="s">
        <v>106</v>
      </c>
      <c r="U420" s="67"/>
      <c r="V420" s="121"/>
      <c r="W420" s="122"/>
      <c r="X420" s="63"/>
      <c r="Y420" s="63"/>
      <c r="Z420" s="63"/>
      <c r="AA420" s="63"/>
    </row>
    <row r="421" s="59" customFormat="1" ht="16.5" outlineLevel="7" spans="1:27">
      <c r="A421" s="79"/>
      <c r="B421" s="123" t="s">
        <v>195</v>
      </c>
      <c r="C421" s="124">
        <v>100615</v>
      </c>
      <c r="D421" s="125" t="s">
        <v>629</v>
      </c>
      <c r="E421" s="126">
        <v>45726</v>
      </c>
      <c r="F421" s="111">
        <v>36</v>
      </c>
      <c r="G421" s="127">
        <v>0.05</v>
      </c>
      <c r="H421" s="128">
        <v>2876.11</v>
      </c>
      <c r="I421" s="113">
        <v>986.7</v>
      </c>
      <c r="J421" s="113">
        <v>0</v>
      </c>
      <c r="K421" s="114">
        <f t="shared" si="33"/>
        <v>1889.41</v>
      </c>
      <c r="L421" s="128">
        <v>303.6</v>
      </c>
      <c r="M421" s="115"/>
      <c r="N421" s="116"/>
      <c r="O421" s="117">
        <f t="shared" si="34"/>
        <v>46843</v>
      </c>
      <c r="P421" s="118">
        <f t="shared" si="35"/>
        <v>4</v>
      </c>
      <c r="Q421" s="119">
        <f t="shared" si="36"/>
        <v>303.589388888889</v>
      </c>
      <c r="R421" s="119">
        <f t="shared" si="37"/>
        <v>-0.0106111111111318</v>
      </c>
      <c r="S421" s="120" t="s">
        <v>106</v>
      </c>
      <c r="U421" s="67"/>
      <c r="V421" s="121"/>
      <c r="W421" s="122"/>
      <c r="X421" s="63"/>
      <c r="Y421" s="63"/>
      <c r="Z421" s="63"/>
      <c r="AA421" s="63"/>
    </row>
    <row r="422" s="59" customFormat="1" ht="16.5" outlineLevel="7" spans="1:27">
      <c r="A422" s="79"/>
      <c r="B422" s="123" t="s">
        <v>195</v>
      </c>
      <c r="C422" s="124">
        <v>100616</v>
      </c>
      <c r="D422" s="125" t="s">
        <v>545</v>
      </c>
      <c r="E422" s="126">
        <v>45750</v>
      </c>
      <c r="F422" s="111">
        <v>36</v>
      </c>
      <c r="G422" s="127">
        <v>0.05</v>
      </c>
      <c r="H422" s="128">
        <v>5308.85</v>
      </c>
      <c r="I422" s="113">
        <v>1681.13</v>
      </c>
      <c r="J422" s="113">
        <v>0</v>
      </c>
      <c r="K422" s="114">
        <f t="shared" si="33"/>
        <v>3627.72</v>
      </c>
      <c r="L422" s="128">
        <v>560.38</v>
      </c>
      <c r="M422" s="115"/>
      <c r="N422" s="116"/>
      <c r="O422" s="117">
        <f t="shared" si="34"/>
        <v>46873</v>
      </c>
      <c r="P422" s="118">
        <f t="shared" si="35"/>
        <v>4</v>
      </c>
      <c r="Q422" s="119">
        <f t="shared" si="36"/>
        <v>560.378611111111</v>
      </c>
      <c r="R422" s="119">
        <f t="shared" si="37"/>
        <v>-0.00138888888886868</v>
      </c>
      <c r="S422" s="120" t="s">
        <v>106</v>
      </c>
      <c r="U422" s="67"/>
      <c r="V422" s="121"/>
      <c r="W422" s="122"/>
      <c r="X422" s="63"/>
      <c r="Y422" s="63"/>
      <c r="Z422" s="63"/>
      <c r="AA422" s="63"/>
    </row>
    <row r="423" s="59" customFormat="1" ht="16.5" outlineLevel="7" spans="1:27">
      <c r="A423" s="79"/>
      <c r="B423" s="123" t="s">
        <v>195</v>
      </c>
      <c r="C423" s="124">
        <v>100617</v>
      </c>
      <c r="D423" s="125" t="s">
        <v>559</v>
      </c>
      <c r="E423" s="126">
        <v>45750</v>
      </c>
      <c r="F423" s="111">
        <v>36</v>
      </c>
      <c r="G423" s="127">
        <v>0.05</v>
      </c>
      <c r="H423" s="128">
        <v>821.24</v>
      </c>
      <c r="I423" s="113">
        <v>260.04</v>
      </c>
      <c r="J423" s="113">
        <v>0</v>
      </c>
      <c r="K423" s="114">
        <f t="shared" si="33"/>
        <v>561.2</v>
      </c>
      <c r="L423" s="128">
        <v>86.68</v>
      </c>
      <c r="M423" s="115"/>
      <c r="N423" s="116"/>
      <c r="O423" s="117">
        <f t="shared" si="34"/>
        <v>46873</v>
      </c>
      <c r="P423" s="118">
        <f t="shared" si="35"/>
        <v>4</v>
      </c>
      <c r="Q423" s="119">
        <f t="shared" si="36"/>
        <v>86.6864444444444</v>
      </c>
      <c r="R423" s="119">
        <f t="shared" si="37"/>
        <v>0.00644444444444048</v>
      </c>
      <c r="S423" s="120" t="s">
        <v>106</v>
      </c>
      <c r="U423" s="67"/>
      <c r="V423" s="121"/>
      <c r="W423" s="122"/>
      <c r="X423" s="63"/>
      <c r="Y423" s="63"/>
      <c r="Z423" s="63"/>
      <c r="AA423" s="63"/>
    </row>
    <row r="424" s="59" customFormat="1" ht="16.5" outlineLevel="7" spans="1:27">
      <c r="A424" s="79"/>
      <c r="B424" s="107" t="s">
        <v>195</v>
      </c>
      <c r="C424" s="108">
        <v>100618</v>
      </c>
      <c r="D424" s="109" t="s">
        <v>632</v>
      </c>
      <c r="E424" s="110">
        <v>45750</v>
      </c>
      <c r="F424" s="111">
        <v>36</v>
      </c>
      <c r="G424" s="112">
        <v>0.05</v>
      </c>
      <c r="H424" s="113">
        <v>1220.36</v>
      </c>
      <c r="I424" s="113">
        <v>386.42</v>
      </c>
      <c r="J424" s="113">
        <v>0</v>
      </c>
      <c r="K424" s="114">
        <f t="shared" si="33"/>
        <v>833.94</v>
      </c>
      <c r="L424" s="113">
        <v>128.82</v>
      </c>
      <c r="M424" s="115"/>
      <c r="N424" s="116"/>
      <c r="O424" s="117">
        <f t="shared" si="34"/>
        <v>46873</v>
      </c>
      <c r="P424" s="118">
        <f t="shared" si="35"/>
        <v>4</v>
      </c>
      <c r="Q424" s="119">
        <f t="shared" si="36"/>
        <v>128.815777777778</v>
      </c>
      <c r="R424" s="119">
        <f t="shared" si="37"/>
        <v>-0.00422222222223922</v>
      </c>
      <c r="S424" s="120" t="s">
        <v>106</v>
      </c>
      <c r="U424" s="67"/>
      <c r="V424" s="121"/>
      <c r="W424" s="122"/>
      <c r="X424" s="63"/>
      <c r="Y424" s="63"/>
      <c r="Z424" s="63"/>
      <c r="AA424" s="63"/>
    </row>
    <row r="425" s="59" customFormat="1" ht="16.5" outlineLevel="7" spans="1:27">
      <c r="A425" s="79"/>
      <c r="B425" s="107" t="s">
        <v>195</v>
      </c>
      <c r="C425" s="108">
        <v>100619</v>
      </c>
      <c r="D425" s="109" t="s">
        <v>632</v>
      </c>
      <c r="E425" s="110">
        <v>45750</v>
      </c>
      <c r="F425" s="111">
        <v>36</v>
      </c>
      <c r="G425" s="112">
        <v>0.05</v>
      </c>
      <c r="H425" s="113">
        <v>1220.36</v>
      </c>
      <c r="I425" s="113">
        <v>386.42</v>
      </c>
      <c r="J425" s="113">
        <v>0</v>
      </c>
      <c r="K425" s="114">
        <f t="shared" si="33"/>
        <v>833.94</v>
      </c>
      <c r="L425" s="113">
        <v>128.82</v>
      </c>
      <c r="M425" s="115"/>
      <c r="N425" s="116"/>
      <c r="O425" s="117">
        <f t="shared" si="34"/>
        <v>46873</v>
      </c>
      <c r="P425" s="118">
        <f t="shared" si="35"/>
        <v>4</v>
      </c>
      <c r="Q425" s="119">
        <f t="shared" si="36"/>
        <v>128.815777777778</v>
      </c>
      <c r="R425" s="119">
        <f t="shared" si="37"/>
        <v>-0.00422222222223922</v>
      </c>
      <c r="S425" s="120" t="s">
        <v>106</v>
      </c>
      <c r="U425" s="67"/>
      <c r="V425" s="121"/>
      <c r="W425" s="122"/>
      <c r="X425" s="63"/>
      <c r="Y425" s="63"/>
      <c r="Z425" s="63"/>
      <c r="AA425" s="63"/>
    </row>
    <row r="426" s="59" customFormat="1" ht="16.5" outlineLevel="7" spans="1:27">
      <c r="A426" s="79"/>
      <c r="B426" s="123" t="s">
        <v>195</v>
      </c>
      <c r="C426" s="124">
        <v>100620</v>
      </c>
      <c r="D426" s="125" t="s">
        <v>632</v>
      </c>
      <c r="E426" s="126">
        <v>45750</v>
      </c>
      <c r="F426" s="111">
        <v>36</v>
      </c>
      <c r="G426" s="127">
        <v>0.05</v>
      </c>
      <c r="H426" s="128">
        <v>1220.35</v>
      </c>
      <c r="I426" s="113">
        <v>386.41</v>
      </c>
      <c r="J426" s="113">
        <v>0</v>
      </c>
      <c r="K426" s="114">
        <f t="shared" si="33"/>
        <v>833.94</v>
      </c>
      <c r="L426" s="128">
        <v>128.81</v>
      </c>
      <c r="M426" s="115"/>
      <c r="N426" s="116"/>
      <c r="O426" s="117">
        <f t="shared" si="34"/>
        <v>46873</v>
      </c>
      <c r="P426" s="118">
        <f t="shared" si="35"/>
        <v>4</v>
      </c>
      <c r="Q426" s="119">
        <f t="shared" si="36"/>
        <v>128.814722222222</v>
      </c>
      <c r="R426" s="119">
        <f t="shared" si="37"/>
        <v>0.00472222222219898</v>
      </c>
      <c r="S426" s="120" t="s">
        <v>106</v>
      </c>
      <c r="U426" s="67"/>
      <c r="V426" s="121"/>
      <c r="W426" s="122"/>
      <c r="X426" s="63"/>
      <c r="Y426" s="63"/>
      <c r="Z426" s="63"/>
      <c r="AA426" s="63"/>
    </row>
    <row r="427" s="59" customFormat="1" ht="16.5" outlineLevel="7" spans="1:27">
      <c r="A427" s="79"/>
      <c r="B427" s="123" t="s">
        <v>195</v>
      </c>
      <c r="C427" s="124">
        <v>100621</v>
      </c>
      <c r="D427" s="125" t="s">
        <v>632</v>
      </c>
      <c r="E427" s="126">
        <v>45750</v>
      </c>
      <c r="F427" s="111">
        <v>36</v>
      </c>
      <c r="G427" s="127">
        <v>0.05</v>
      </c>
      <c r="H427" s="128">
        <v>1220.35</v>
      </c>
      <c r="I427" s="113">
        <v>386.41</v>
      </c>
      <c r="J427" s="113">
        <v>0</v>
      </c>
      <c r="K427" s="114">
        <f t="shared" si="33"/>
        <v>833.94</v>
      </c>
      <c r="L427" s="128">
        <v>128.81</v>
      </c>
      <c r="M427" s="115"/>
      <c r="N427" s="116"/>
      <c r="O427" s="117">
        <f t="shared" si="34"/>
        <v>46873</v>
      </c>
      <c r="P427" s="118">
        <f t="shared" si="35"/>
        <v>4</v>
      </c>
      <c r="Q427" s="119">
        <f t="shared" si="36"/>
        <v>128.814722222222</v>
      </c>
      <c r="R427" s="119">
        <f t="shared" si="37"/>
        <v>0.00472222222219898</v>
      </c>
      <c r="S427" s="120" t="s">
        <v>106</v>
      </c>
      <c r="U427" s="67"/>
      <c r="V427" s="121"/>
      <c r="W427" s="122"/>
      <c r="X427" s="63"/>
      <c r="Y427" s="63"/>
      <c r="Z427" s="63"/>
      <c r="AA427" s="63"/>
    </row>
    <row r="428" s="59" customFormat="1" ht="16.5" outlineLevel="7" spans="1:27">
      <c r="A428" s="79"/>
      <c r="B428" s="123" t="s">
        <v>195</v>
      </c>
      <c r="C428" s="124">
        <v>100622</v>
      </c>
      <c r="D428" s="125" t="s">
        <v>545</v>
      </c>
      <c r="E428" s="126">
        <v>45770</v>
      </c>
      <c r="F428" s="111">
        <v>36</v>
      </c>
      <c r="G428" s="127">
        <v>0.05</v>
      </c>
      <c r="H428" s="128">
        <v>5308.85</v>
      </c>
      <c r="I428" s="113">
        <v>1681.13</v>
      </c>
      <c r="J428" s="113">
        <v>0</v>
      </c>
      <c r="K428" s="114">
        <f t="shared" si="33"/>
        <v>3627.72</v>
      </c>
      <c r="L428" s="128">
        <v>560.38</v>
      </c>
      <c r="M428" s="115"/>
      <c r="N428" s="116"/>
      <c r="O428" s="117">
        <f t="shared" si="34"/>
        <v>46873</v>
      </c>
      <c r="P428" s="118">
        <f t="shared" si="35"/>
        <v>4</v>
      </c>
      <c r="Q428" s="119">
        <f t="shared" si="36"/>
        <v>560.378611111111</v>
      </c>
      <c r="R428" s="119">
        <f t="shared" si="37"/>
        <v>-0.00138888888886868</v>
      </c>
      <c r="S428" s="120" t="s">
        <v>106</v>
      </c>
      <c r="U428" s="67"/>
      <c r="V428" s="121"/>
      <c r="W428" s="122"/>
      <c r="X428" s="63"/>
      <c r="Y428" s="63"/>
      <c r="Z428" s="63"/>
      <c r="AA428" s="63"/>
    </row>
    <row r="429" s="59" customFormat="1" ht="16.5" outlineLevel="7" spans="1:27">
      <c r="A429" s="79"/>
      <c r="B429" s="123" t="s">
        <v>195</v>
      </c>
      <c r="C429" s="124">
        <v>100623</v>
      </c>
      <c r="D429" s="125" t="s">
        <v>634</v>
      </c>
      <c r="E429" s="126">
        <v>45765</v>
      </c>
      <c r="F429" s="111">
        <v>36</v>
      </c>
      <c r="G429" s="127">
        <v>0.05</v>
      </c>
      <c r="H429" s="128">
        <v>3087.61</v>
      </c>
      <c r="I429" s="113">
        <v>977.76</v>
      </c>
      <c r="J429" s="113">
        <v>0</v>
      </c>
      <c r="K429" s="114">
        <f t="shared" si="33"/>
        <v>2109.85</v>
      </c>
      <c r="L429" s="128">
        <v>325.92</v>
      </c>
      <c r="M429" s="115"/>
      <c r="N429" s="116"/>
      <c r="O429" s="117">
        <f t="shared" si="34"/>
        <v>46873</v>
      </c>
      <c r="P429" s="118">
        <f t="shared" si="35"/>
        <v>4</v>
      </c>
      <c r="Q429" s="119">
        <f t="shared" si="36"/>
        <v>325.914388888889</v>
      </c>
      <c r="R429" s="119">
        <f t="shared" si="37"/>
        <v>-0.00561111111113632</v>
      </c>
      <c r="S429" s="120" t="s">
        <v>106</v>
      </c>
      <c r="U429" s="67"/>
      <c r="V429" s="121"/>
      <c r="W429" s="122"/>
      <c r="X429" s="63"/>
      <c r="Y429" s="63"/>
      <c r="Z429" s="63"/>
      <c r="AA429" s="63"/>
    </row>
    <row r="430" s="59" customFormat="1" ht="16.5" outlineLevel="7" spans="1:27">
      <c r="A430" s="79"/>
      <c r="B430" s="123" t="s">
        <v>195</v>
      </c>
      <c r="C430" s="124">
        <v>100624</v>
      </c>
      <c r="D430" s="125" t="s">
        <v>636</v>
      </c>
      <c r="E430" s="126">
        <v>45765</v>
      </c>
      <c r="F430" s="111">
        <v>36</v>
      </c>
      <c r="G430" s="127">
        <v>0.05</v>
      </c>
      <c r="H430" s="128">
        <v>884.07</v>
      </c>
      <c r="I430" s="113">
        <v>279.96</v>
      </c>
      <c r="J430" s="113">
        <v>0</v>
      </c>
      <c r="K430" s="114">
        <f t="shared" si="33"/>
        <v>604.11</v>
      </c>
      <c r="L430" s="128">
        <v>93.32</v>
      </c>
      <c r="M430" s="115"/>
      <c r="N430" s="116"/>
      <c r="O430" s="117">
        <f t="shared" si="34"/>
        <v>46873</v>
      </c>
      <c r="P430" s="118">
        <f t="shared" si="35"/>
        <v>4</v>
      </c>
      <c r="Q430" s="119">
        <f t="shared" si="36"/>
        <v>93.3185</v>
      </c>
      <c r="R430" s="119">
        <f t="shared" si="37"/>
        <v>-0.00149999999999295</v>
      </c>
      <c r="S430" s="120" t="s">
        <v>106</v>
      </c>
      <c r="U430" s="67"/>
      <c r="V430" s="121"/>
      <c r="W430" s="122"/>
      <c r="X430" s="63"/>
      <c r="Y430" s="63"/>
      <c r="Z430" s="63"/>
      <c r="AA430" s="63"/>
    </row>
    <row r="431" s="59" customFormat="1" ht="16.5" outlineLevel="7" spans="1:27">
      <c r="A431" s="79"/>
      <c r="B431" s="107" t="s">
        <v>195</v>
      </c>
      <c r="C431" s="108">
        <v>100625</v>
      </c>
      <c r="D431" s="109" t="s">
        <v>545</v>
      </c>
      <c r="E431" s="110">
        <v>45793</v>
      </c>
      <c r="F431" s="111">
        <v>36</v>
      </c>
      <c r="G431" s="112">
        <v>0.05</v>
      </c>
      <c r="H431" s="113">
        <v>4415.05</v>
      </c>
      <c r="I431" s="113">
        <v>1281.61</v>
      </c>
      <c r="J431" s="113">
        <v>0</v>
      </c>
      <c r="K431" s="114">
        <f t="shared" si="33"/>
        <v>3133.44</v>
      </c>
      <c r="L431" s="113">
        <v>466.04</v>
      </c>
      <c r="M431" s="115"/>
      <c r="N431" s="116"/>
      <c r="O431" s="117">
        <f t="shared" si="34"/>
        <v>46904</v>
      </c>
      <c r="P431" s="118">
        <f t="shared" si="35"/>
        <v>4</v>
      </c>
      <c r="Q431" s="119">
        <f t="shared" si="36"/>
        <v>466.033055555556</v>
      </c>
      <c r="R431" s="119">
        <f t="shared" si="37"/>
        <v>-0.00694444444451392</v>
      </c>
      <c r="S431" s="120" t="s">
        <v>106</v>
      </c>
      <c r="U431" s="67"/>
      <c r="V431" s="121"/>
      <c r="W431" s="122"/>
      <c r="X431" s="63"/>
      <c r="Y431" s="63"/>
      <c r="Z431" s="63"/>
      <c r="AA431" s="63"/>
    </row>
    <row r="432" s="59" customFormat="1" ht="16.5" outlineLevel="7" spans="1:27">
      <c r="A432" s="79"/>
      <c r="B432" s="107" t="s">
        <v>195</v>
      </c>
      <c r="C432" s="108">
        <v>100626</v>
      </c>
      <c r="D432" s="109" t="s">
        <v>545</v>
      </c>
      <c r="E432" s="110">
        <v>45793</v>
      </c>
      <c r="F432" s="111">
        <v>36</v>
      </c>
      <c r="G432" s="112">
        <v>0.05</v>
      </c>
      <c r="H432" s="113">
        <v>4415.04</v>
      </c>
      <c r="I432" s="113">
        <v>1281.61</v>
      </c>
      <c r="J432" s="113">
        <v>0</v>
      </c>
      <c r="K432" s="114">
        <f t="shared" si="33"/>
        <v>3133.43</v>
      </c>
      <c r="L432" s="113">
        <v>466.04</v>
      </c>
      <c r="M432" s="115"/>
      <c r="N432" s="116"/>
      <c r="O432" s="117">
        <f t="shared" si="34"/>
        <v>46904</v>
      </c>
      <c r="P432" s="118">
        <f t="shared" si="35"/>
        <v>4</v>
      </c>
      <c r="Q432" s="119">
        <f t="shared" si="36"/>
        <v>466.032</v>
      </c>
      <c r="R432" s="119">
        <f t="shared" si="37"/>
        <v>-0.00800000000009504</v>
      </c>
      <c r="S432" s="120" t="s">
        <v>106</v>
      </c>
      <c r="U432" s="67"/>
      <c r="V432" s="121"/>
      <c r="W432" s="122"/>
      <c r="X432" s="63"/>
      <c r="Y432" s="63"/>
      <c r="Z432" s="63"/>
      <c r="AA432" s="63"/>
    </row>
    <row r="433" s="59" customFormat="1" ht="16.5" outlineLevel="7" spans="1:27">
      <c r="A433" s="79"/>
      <c r="B433" s="123" t="s">
        <v>195</v>
      </c>
      <c r="C433" s="124">
        <v>100627</v>
      </c>
      <c r="D433" s="125" t="s">
        <v>545</v>
      </c>
      <c r="E433" s="126">
        <v>45793</v>
      </c>
      <c r="F433" s="111">
        <v>36</v>
      </c>
      <c r="G433" s="127">
        <v>0.05</v>
      </c>
      <c r="H433" s="128">
        <v>4415.04</v>
      </c>
      <c r="I433" s="113">
        <v>1281.61</v>
      </c>
      <c r="J433" s="113">
        <v>0</v>
      </c>
      <c r="K433" s="114">
        <f t="shared" si="33"/>
        <v>3133.43</v>
      </c>
      <c r="L433" s="128">
        <v>466.04</v>
      </c>
      <c r="M433" s="115"/>
      <c r="N433" s="116"/>
      <c r="O433" s="117">
        <f t="shared" si="34"/>
        <v>46904</v>
      </c>
      <c r="P433" s="118">
        <f t="shared" si="35"/>
        <v>4</v>
      </c>
      <c r="Q433" s="119">
        <f t="shared" si="36"/>
        <v>466.032</v>
      </c>
      <c r="R433" s="119">
        <f t="shared" si="37"/>
        <v>-0.00800000000009504</v>
      </c>
      <c r="S433" s="120" t="s">
        <v>106</v>
      </c>
      <c r="U433" s="67"/>
      <c r="V433" s="121"/>
      <c r="W433" s="122"/>
      <c r="X433" s="63"/>
      <c r="Y433" s="63"/>
      <c r="Z433" s="63"/>
      <c r="AA433" s="63"/>
    </row>
    <row r="434" s="59" customFormat="1" ht="16.5" outlineLevel="7" spans="1:27">
      <c r="A434" s="79"/>
      <c r="B434" s="123" t="s">
        <v>195</v>
      </c>
      <c r="C434" s="124">
        <v>100628</v>
      </c>
      <c r="D434" s="125" t="s">
        <v>545</v>
      </c>
      <c r="E434" s="126">
        <v>45793</v>
      </c>
      <c r="F434" s="111">
        <v>36</v>
      </c>
      <c r="G434" s="127">
        <v>0.05</v>
      </c>
      <c r="H434" s="128">
        <v>4415.04</v>
      </c>
      <c r="I434" s="113">
        <v>1281.61</v>
      </c>
      <c r="J434" s="113">
        <v>0</v>
      </c>
      <c r="K434" s="114">
        <f t="shared" si="33"/>
        <v>3133.43</v>
      </c>
      <c r="L434" s="128">
        <v>466.04</v>
      </c>
      <c r="M434" s="115"/>
      <c r="N434" s="116"/>
      <c r="O434" s="117">
        <f t="shared" si="34"/>
        <v>46904</v>
      </c>
      <c r="P434" s="118">
        <f t="shared" si="35"/>
        <v>4</v>
      </c>
      <c r="Q434" s="119">
        <f t="shared" si="36"/>
        <v>466.032</v>
      </c>
      <c r="R434" s="119">
        <f t="shared" si="37"/>
        <v>-0.00800000000009504</v>
      </c>
      <c r="S434" s="120" t="s">
        <v>106</v>
      </c>
      <c r="U434" s="67"/>
      <c r="V434" s="121"/>
      <c r="W434" s="122"/>
      <c r="X434" s="63"/>
      <c r="Y434" s="63"/>
      <c r="Z434" s="63"/>
      <c r="AA434" s="63"/>
    </row>
    <row r="435" s="59" customFormat="1" ht="16.5" outlineLevel="7" spans="1:27">
      <c r="A435" s="79"/>
      <c r="B435" s="123" t="s">
        <v>195</v>
      </c>
      <c r="C435" s="124">
        <v>100629</v>
      </c>
      <c r="D435" s="125" t="s">
        <v>565</v>
      </c>
      <c r="E435" s="126">
        <v>45799</v>
      </c>
      <c r="F435" s="111">
        <v>36</v>
      </c>
      <c r="G435" s="127">
        <v>0.05</v>
      </c>
      <c r="H435" s="128">
        <v>1725.66</v>
      </c>
      <c r="I435" s="113">
        <v>500.94</v>
      </c>
      <c r="J435" s="113">
        <v>0</v>
      </c>
      <c r="K435" s="114">
        <f t="shared" si="33"/>
        <v>1224.72</v>
      </c>
      <c r="L435" s="128">
        <v>182.16</v>
      </c>
      <c r="M435" s="115"/>
      <c r="N435" s="116"/>
      <c r="O435" s="117">
        <f t="shared" si="34"/>
        <v>46904</v>
      </c>
      <c r="P435" s="118">
        <f t="shared" si="35"/>
        <v>4</v>
      </c>
      <c r="Q435" s="119">
        <f t="shared" si="36"/>
        <v>182.153</v>
      </c>
      <c r="R435" s="119">
        <f t="shared" si="37"/>
        <v>-0.007000000000005</v>
      </c>
      <c r="S435" s="120" t="s">
        <v>106</v>
      </c>
      <c r="U435" s="67"/>
      <c r="V435" s="121"/>
      <c r="W435" s="122"/>
      <c r="X435" s="63"/>
      <c r="Y435" s="63"/>
      <c r="Z435" s="63"/>
      <c r="AA435" s="63"/>
    </row>
    <row r="436" s="59" customFormat="1" ht="16.5" outlineLevel="7" spans="1:27">
      <c r="A436" s="79"/>
      <c r="B436" s="123" t="s">
        <v>195</v>
      </c>
      <c r="C436" s="124">
        <v>100630</v>
      </c>
      <c r="D436" s="125" t="s">
        <v>555</v>
      </c>
      <c r="E436" s="126">
        <v>45800</v>
      </c>
      <c r="F436" s="111">
        <v>36</v>
      </c>
      <c r="G436" s="127">
        <v>0.05</v>
      </c>
      <c r="H436" s="128">
        <v>2653.98</v>
      </c>
      <c r="I436" s="113">
        <v>770.41</v>
      </c>
      <c r="J436" s="113">
        <v>0</v>
      </c>
      <c r="K436" s="114">
        <f t="shared" si="33"/>
        <v>1883.57</v>
      </c>
      <c r="L436" s="128">
        <v>280.14</v>
      </c>
      <c r="M436" s="115"/>
      <c r="N436" s="116"/>
      <c r="O436" s="117">
        <f t="shared" si="34"/>
        <v>46904</v>
      </c>
      <c r="P436" s="118">
        <f t="shared" si="35"/>
        <v>4</v>
      </c>
      <c r="Q436" s="119">
        <f t="shared" si="36"/>
        <v>280.142333333333</v>
      </c>
      <c r="R436" s="119">
        <f t="shared" si="37"/>
        <v>0.00233333333335395</v>
      </c>
      <c r="S436" s="120" t="s">
        <v>106</v>
      </c>
      <c r="U436" s="67"/>
      <c r="V436" s="121"/>
      <c r="W436" s="122"/>
      <c r="X436" s="63"/>
      <c r="Y436" s="63"/>
      <c r="Z436" s="63"/>
      <c r="AA436" s="63"/>
    </row>
    <row r="437" s="59" customFormat="1" ht="16.5" outlineLevel="7" spans="1:27">
      <c r="A437" s="79"/>
      <c r="B437" s="123" t="s">
        <v>195</v>
      </c>
      <c r="C437" s="124">
        <v>100631</v>
      </c>
      <c r="D437" s="125" t="s">
        <v>545</v>
      </c>
      <c r="E437" s="126">
        <v>45799</v>
      </c>
      <c r="F437" s="111">
        <v>36</v>
      </c>
      <c r="G437" s="127">
        <v>0.05</v>
      </c>
      <c r="H437" s="128">
        <v>4423.89</v>
      </c>
      <c r="I437" s="113">
        <v>1284.14</v>
      </c>
      <c r="J437" s="113">
        <v>0</v>
      </c>
      <c r="K437" s="114">
        <f t="shared" si="33"/>
        <v>3139.75</v>
      </c>
      <c r="L437" s="128">
        <v>466.96</v>
      </c>
      <c r="M437" s="115"/>
      <c r="N437" s="116"/>
      <c r="O437" s="117">
        <f t="shared" si="34"/>
        <v>46904</v>
      </c>
      <c r="P437" s="118">
        <f t="shared" si="35"/>
        <v>4</v>
      </c>
      <c r="Q437" s="119">
        <f t="shared" si="36"/>
        <v>466.966166666667</v>
      </c>
      <c r="R437" s="119">
        <f t="shared" si="37"/>
        <v>0.00616666666667243</v>
      </c>
      <c r="S437" s="120" t="s">
        <v>106</v>
      </c>
      <c r="U437" s="67"/>
      <c r="V437" s="121"/>
      <c r="W437" s="122"/>
      <c r="X437" s="63"/>
      <c r="Y437" s="63"/>
      <c r="Z437" s="63"/>
      <c r="AA437" s="63"/>
    </row>
    <row r="438" s="59" customFormat="1" ht="16.5" outlineLevel="7" spans="1:27">
      <c r="A438" s="79"/>
      <c r="B438" s="107" t="s">
        <v>195</v>
      </c>
      <c r="C438" s="108">
        <v>100632</v>
      </c>
      <c r="D438" s="109" t="s">
        <v>560</v>
      </c>
      <c r="E438" s="110">
        <v>45798</v>
      </c>
      <c r="F438" s="111">
        <v>36</v>
      </c>
      <c r="G438" s="112">
        <v>0.05</v>
      </c>
      <c r="H438" s="113">
        <v>795.58</v>
      </c>
      <c r="I438" s="113">
        <v>230.93</v>
      </c>
      <c r="J438" s="113">
        <v>0</v>
      </c>
      <c r="K438" s="114">
        <f t="shared" si="33"/>
        <v>564.65</v>
      </c>
      <c r="L438" s="113">
        <v>83.98</v>
      </c>
      <c r="M438" s="115"/>
      <c r="N438" s="116"/>
      <c r="O438" s="117">
        <f t="shared" si="34"/>
        <v>46904</v>
      </c>
      <c r="P438" s="118">
        <f t="shared" si="35"/>
        <v>4</v>
      </c>
      <c r="Q438" s="119">
        <f t="shared" si="36"/>
        <v>83.9778888888889</v>
      </c>
      <c r="R438" s="119">
        <f t="shared" si="37"/>
        <v>-0.0021111111111054</v>
      </c>
      <c r="S438" s="120" t="s">
        <v>106</v>
      </c>
      <c r="U438" s="67"/>
      <c r="V438" s="121"/>
      <c r="W438" s="122"/>
      <c r="X438" s="63"/>
      <c r="Y438" s="63"/>
      <c r="Z438" s="63"/>
      <c r="AA438" s="63"/>
    </row>
    <row r="439" s="59" customFormat="1" ht="16.5" outlineLevel="7" spans="1:27">
      <c r="A439" s="79"/>
      <c r="B439" s="107" t="s">
        <v>195</v>
      </c>
      <c r="C439" s="108">
        <v>100633</v>
      </c>
      <c r="D439" s="109" t="s">
        <v>560</v>
      </c>
      <c r="E439" s="110">
        <v>45807</v>
      </c>
      <c r="F439" s="111">
        <v>36</v>
      </c>
      <c r="G439" s="112">
        <v>0.05</v>
      </c>
      <c r="H439" s="113">
        <v>791.16</v>
      </c>
      <c r="I439" s="113">
        <v>229.68</v>
      </c>
      <c r="J439" s="113">
        <v>0</v>
      </c>
      <c r="K439" s="114">
        <f t="shared" si="33"/>
        <v>561.48</v>
      </c>
      <c r="L439" s="113">
        <v>83.52</v>
      </c>
      <c r="M439" s="115"/>
      <c r="N439" s="116"/>
      <c r="O439" s="117">
        <f t="shared" si="34"/>
        <v>46904</v>
      </c>
      <c r="P439" s="118">
        <f t="shared" si="35"/>
        <v>4</v>
      </c>
      <c r="Q439" s="119">
        <f t="shared" si="36"/>
        <v>83.5113333333333</v>
      </c>
      <c r="R439" s="119">
        <f t="shared" si="37"/>
        <v>-0.00866666666667015</v>
      </c>
      <c r="S439" s="120" t="s">
        <v>106</v>
      </c>
      <c r="U439" s="67"/>
      <c r="V439" s="121"/>
      <c r="W439" s="122"/>
      <c r="X439" s="63"/>
      <c r="Y439" s="63"/>
      <c r="Z439" s="63"/>
      <c r="AA439" s="63"/>
    </row>
    <row r="440" s="59" customFormat="1" ht="16.5" outlineLevel="7" spans="1:27">
      <c r="A440" s="79"/>
      <c r="B440" s="123" t="s">
        <v>195</v>
      </c>
      <c r="C440" s="124">
        <v>100634</v>
      </c>
      <c r="D440" s="125" t="s">
        <v>545</v>
      </c>
      <c r="E440" s="126">
        <v>45814</v>
      </c>
      <c r="F440" s="111">
        <v>36</v>
      </c>
      <c r="G440" s="127">
        <v>0.05</v>
      </c>
      <c r="H440" s="128">
        <v>6707.08</v>
      </c>
      <c r="I440" s="113">
        <v>1769.9</v>
      </c>
      <c r="J440" s="113">
        <v>0</v>
      </c>
      <c r="K440" s="114">
        <f t="shared" si="33"/>
        <v>4937.18</v>
      </c>
      <c r="L440" s="128">
        <v>707.96</v>
      </c>
      <c r="M440" s="115"/>
      <c r="N440" s="116"/>
      <c r="O440" s="117">
        <f t="shared" si="34"/>
        <v>46934</v>
      </c>
      <c r="P440" s="118">
        <f t="shared" si="35"/>
        <v>4</v>
      </c>
      <c r="Q440" s="119">
        <f t="shared" si="36"/>
        <v>707.969555555556</v>
      </c>
      <c r="R440" s="119">
        <f t="shared" si="37"/>
        <v>0.00955555555549381</v>
      </c>
      <c r="S440" s="120" t="s">
        <v>106</v>
      </c>
      <c r="U440" s="67"/>
      <c r="V440" s="121"/>
      <c r="W440" s="122"/>
      <c r="X440" s="63"/>
      <c r="Y440" s="63"/>
      <c r="Z440" s="63"/>
      <c r="AA440" s="63"/>
    </row>
    <row r="441" s="59" customFormat="1" ht="16.5" outlineLevel="7" spans="1:27">
      <c r="A441" s="79"/>
      <c r="B441" s="123" t="s">
        <v>195</v>
      </c>
      <c r="C441" s="124">
        <v>100635</v>
      </c>
      <c r="D441" s="125" t="s">
        <v>565</v>
      </c>
      <c r="E441" s="126">
        <v>45812</v>
      </c>
      <c r="F441" s="111">
        <v>36</v>
      </c>
      <c r="G441" s="127">
        <v>0.05</v>
      </c>
      <c r="H441" s="128">
        <v>2468.14</v>
      </c>
      <c r="I441" s="113">
        <v>651.3</v>
      </c>
      <c r="J441" s="113">
        <v>0</v>
      </c>
      <c r="K441" s="114">
        <f t="shared" si="33"/>
        <v>1816.84</v>
      </c>
      <c r="L441" s="128">
        <v>260.52</v>
      </c>
      <c r="M441" s="115"/>
      <c r="N441" s="116"/>
      <c r="O441" s="117">
        <f t="shared" si="34"/>
        <v>46934</v>
      </c>
      <c r="P441" s="118">
        <f t="shared" si="35"/>
        <v>4</v>
      </c>
      <c r="Q441" s="119">
        <f t="shared" si="36"/>
        <v>260.525888888889</v>
      </c>
      <c r="R441" s="119">
        <f t="shared" si="37"/>
        <v>0.00588888888887595</v>
      </c>
      <c r="S441" s="120" t="s">
        <v>106</v>
      </c>
      <c r="U441" s="67"/>
      <c r="V441" s="121"/>
      <c r="W441" s="122"/>
      <c r="X441" s="63"/>
      <c r="Y441" s="63"/>
      <c r="Z441" s="63"/>
      <c r="AA441" s="63"/>
    </row>
    <row r="442" s="59" customFormat="1" ht="16.5" outlineLevel="7" spans="1:27">
      <c r="A442" s="79"/>
      <c r="B442" s="123" t="s">
        <v>195</v>
      </c>
      <c r="C442" s="124">
        <v>100636</v>
      </c>
      <c r="D442" s="125" t="s">
        <v>643</v>
      </c>
      <c r="E442" s="126">
        <v>45818</v>
      </c>
      <c r="F442" s="111">
        <v>36</v>
      </c>
      <c r="G442" s="127">
        <v>0.05</v>
      </c>
      <c r="H442" s="128">
        <v>3982.3</v>
      </c>
      <c r="I442" s="113">
        <v>1050.9</v>
      </c>
      <c r="J442" s="113">
        <v>0</v>
      </c>
      <c r="K442" s="114">
        <f t="shared" si="33"/>
        <v>2931.4</v>
      </c>
      <c r="L442" s="128">
        <v>420.36</v>
      </c>
      <c r="M442" s="115"/>
      <c r="N442" s="116"/>
      <c r="O442" s="117">
        <f t="shared" si="34"/>
        <v>46934</v>
      </c>
      <c r="P442" s="118">
        <f t="shared" si="35"/>
        <v>4</v>
      </c>
      <c r="Q442" s="119">
        <f t="shared" si="36"/>
        <v>420.353888888889</v>
      </c>
      <c r="R442" s="119">
        <f t="shared" si="37"/>
        <v>-0.0061111111111245</v>
      </c>
      <c r="S442" s="120" t="s">
        <v>106</v>
      </c>
      <c r="U442" s="67"/>
      <c r="V442" s="121"/>
      <c r="W442" s="122"/>
      <c r="X442" s="63"/>
      <c r="Y442" s="63"/>
      <c r="Z442" s="63"/>
      <c r="AA442" s="63"/>
    </row>
    <row r="443" s="59" customFormat="1" ht="16.5" outlineLevel="7" spans="1:27">
      <c r="A443" s="79"/>
      <c r="B443" s="123" t="s">
        <v>195</v>
      </c>
      <c r="C443" s="124">
        <v>100637</v>
      </c>
      <c r="D443" s="125" t="s">
        <v>559</v>
      </c>
      <c r="E443" s="126">
        <v>45822</v>
      </c>
      <c r="F443" s="111">
        <v>36</v>
      </c>
      <c r="G443" s="127">
        <v>0.05</v>
      </c>
      <c r="H443" s="128">
        <v>1220.36</v>
      </c>
      <c r="I443" s="113">
        <v>322.01</v>
      </c>
      <c r="J443" s="113">
        <v>0</v>
      </c>
      <c r="K443" s="114">
        <f t="shared" si="33"/>
        <v>898.35</v>
      </c>
      <c r="L443" s="128">
        <v>128.81</v>
      </c>
      <c r="M443" s="115"/>
      <c r="N443" s="116"/>
      <c r="O443" s="117">
        <f t="shared" si="34"/>
        <v>46934</v>
      </c>
      <c r="P443" s="118">
        <f t="shared" si="35"/>
        <v>4</v>
      </c>
      <c r="Q443" s="119">
        <f t="shared" si="36"/>
        <v>128.815777777778</v>
      </c>
      <c r="R443" s="119">
        <f t="shared" si="37"/>
        <v>0.00577777777775168</v>
      </c>
      <c r="S443" s="120" t="s">
        <v>106</v>
      </c>
      <c r="U443" s="67"/>
      <c r="V443" s="121"/>
      <c r="W443" s="122"/>
      <c r="X443" s="63"/>
      <c r="Y443" s="63"/>
      <c r="Z443" s="63"/>
      <c r="AA443" s="63"/>
    </row>
    <row r="444" s="59" customFormat="1" ht="16.5" outlineLevel="7" spans="1:27">
      <c r="A444" s="79"/>
      <c r="B444" s="123" t="s">
        <v>195</v>
      </c>
      <c r="C444" s="124">
        <v>100638</v>
      </c>
      <c r="D444" s="125" t="s">
        <v>559</v>
      </c>
      <c r="E444" s="126">
        <v>45822</v>
      </c>
      <c r="F444" s="111">
        <v>36</v>
      </c>
      <c r="G444" s="127">
        <v>0.05</v>
      </c>
      <c r="H444" s="128">
        <v>1220.36</v>
      </c>
      <c r="I444" s="113">
        <v>322.01</v>
      </c>
      <c r="J444" s="113">
        <v>0</v>
      </c>
      <c r="K444" s="114">
        <f t="shared" si="33"/>
        <v>898.35</v>
      </c>
      <c r="L444" s="128">
        <v>128.81</v>
      </c>
      <c r="M444" s="115"/>
      <c r="N444" s="116"/>
      <c r="O444" s="117">
        <f t="shared" si="34"/>
        <v>46934</v>
      </c>
      <c r="P444" s="118">
        <f t="shared" si="35"/>
        <v>4</v>
      </c>
      <c r="Q444" s="119">
        <f t="shared" si="36"/>
        <v>128.815777777778</v>
      </c>
      <c r="R444" s="119">
        <f t="shared" si="37"/>
        <v>0.00577777777775168</v>
      </c>
      <c r="S444" s="120" t="s">
        <v>106</v>
      </c>
      <c r="U444" s="67"/>
      <c r="V444" s="121"/>
      <c r="W444" s="122"/>
      <c r="X444" s="63"/>
      <c r="Y444" s="63"/>
      <c r="Z444" s="63"/>
      <c r="AA444" s="63"/>
    </row>
    <row r="445" s="59" customFormat="1" ht="16.5" outlineLevel="7" spans="1:27">
      <c r="A445" s="79"/>
      <c r="B445" s="107" t="s">
        <v>195</v>
      </c>
      <c r="C445" s="108">
        <v>100639</v>
      </c>
      <c r="D445" s="109" t="s">
        <v>559</v>
      </c>
      <c r="E445" s="110">
        <v>45822</v>
      </c>
      <c r="F445" s="111">
        <v>36</v>
      </c>
      <c r="G445" s="112">
        <v>0.05</v>
      </c>
      <c r="H445" s="113">
        <v>1220.35</v>
      </c>
      <c r="I445" s="113">
        <v>322</v>
      </c>
      <c r="J445" s="113">
        <v>0</v>
      </c>
      <c r="K445" s="114">
        <f t="shared" si="33"/>
        <v>898.35</v>
      </c>
      <c r="L445" s="113">
        <v>128.8</v>
      </c>
      <c r="M445" s="115"/>
      <c r="N445" s="116"/>
      <c r="O445" s="117">
        <f t="shared" si="34"/>
        <v>46934</v>
      </c>
      <c r="P445" s="118">
        <f t="shared" si="35"/>
        <v>4</v>
      </c>
      <c r="Q445" s="119">
        <f t="shared" si="36"/>
        <v>128.814722222222</v>
      </c>
      <c r="R445" s="119">
        <f t="shared" si="37"/>
        <v>0.0147222222221899</v>
      </c>
      <c r="S445" s="120" t="s">
        <v>106</v>
      </c>
      <c r="U445" s="67"/>
      <c r="V445" s="121"/>
      <c r="W445" s="122"/>
      <c r="X445" s="63"/>
      <c r="Y445" s="63"/>
      <c r="Z445" s="63"/>
      <c r="AA445" s="63"/>
    </row>
    <row r="446" s="59" customFormat="1" ht="16.5" outlineLevel="7" spans="1:27">
      <c r="A446" s="79"/>
      <c r="B446" s="123" t="s">
        <v>195</v>
      </c>
      <c r="C446" s="124">
        <v>100640</v>
      </c>
      <c r="D446" s="125" t="s">
        <v>559</v>
      </c>
      <c r="E446" s="126">
        <v>45822</v>
      </c>
      <c r="F446" s="111">
        <v>36</v>
      </c>
      <c r="G446" s="127">
        <v>0.05</v>
      </c>
      <c r="H446" s="128">
        <v>1220.35</v>
      </c>
      <c r="I446" s="113">
        <v>322</v>
      </c>
      <c r="J446" s="113">
        <v>0</v>
      </c>
      <c r="K446" s="114">
        <f t="shared" si="33"/>
        <v>898.35</v>
      </c>
      <c r="L446" s="128">
        <v>128.8</v>
      </c>
      <c r="M446" s="115"/>
      <c r="N446" s="116"/>
      <c r="O446" s="117">
        <f t="shared" si="34"/>
        <v>46934</v>
      </c>
      <c r="P446" s="118">
        <f t="shared" si="35"/>
        <v>4</v>
      </c>
      <c r="Q446" s="119">
        <f t="shared" si="36"/>
        <v>128.814722222222</v>
      </c>
      <c r="R446" s="119">
        <f t="shared" si="37"/>
        <v>0.0147222222221899</v>
      </c>
      <c r="S446" s="120" t="s">
        <v>106</v>
      </c>
      <c r="U446" s="67"/>
      <c r="V446" s="121"/>
      <c r="W446" s="122"/>
      <c r="X446" s="63"/>
      <c r="Y446" s="63"/>
      <c r="Z446" s="63"/>
      <c r="AA446" s="63"/>
    </row>
    <row r="447" s="59" customFormat="1" ht="16.5" outlineLevel="7" spans="1:27">
      <c r="A447" s="79"/>
      <c r="B447" s="123" t="s">
        <v>195</v>
      </c>
      <c r="C447" s="124">
        <v>100641</v>
      </c>
      <c r="D447" s="125" t="s">
        <v>559</v>
      </c>
      <c r="E447" s="126">
        <v>45820</v>
      </c>
      <c r="F447" s="111">
        <v>36</v>
      </c>
      <c r="G447" s="127">
        <v>0.05</v>
      </c>
      <c r="H447" s="128">
        <v>795.58</v>
      </c>
      <c r="I447" s="113">
        <v>209.93</v>
      </c>
      <c r="J447" s="113">
        <v>0</v>
      </c>
      <c r="K447" s="114">
        <f t="shared" si="33"/>
        <v>585.65</v>
      </c>
      <c r="L447" s="128">
        <v>83.98</v>
      </c>
      <c r="M447" s="115"/>
      <c r="N447" s="116"/>
      <c r="O447" s="117">
        <f t="shared" si="34"/>
        <v>46934</v>
      </c>
      <c r="P447" s="118">
        <f t="shared" si="35"/>
        <v>4</v>
      </c>
      <c r="Q447" s="119">
        <f t="shared" si="36"/>
        <v>83.9778888888889</v>
      </c>
      <c r="R447" s="119">
        <f t="shared" si="37"/>
        <v>-0.0021111111111054</v>
      </c>
      <c r="S447" s="120" t="s">
        <v>106</v>
      </c>
      <c r="U447" s="67"/>
      <c r="V447" s="121"/>
      <c r="W447" s="122"/>
      <c r="X447" s="63"/>
      <c r="Y447" s="63"/>
      <c r="Z447" s="63"/>
      <c r="AA447" s="63"/>
    </row>
    <row r="448" s="59" customFormat="1" ht="16.5" outlineLevel="7" spans="1:27">
      <c r="A448" s="79"/>
      <c r="B448" s="123" t="s">
        <v>195</v>
      </c>
      <c r="C448" s="124">
        <v>100642</v>
      </c>
      <c r="D448" s="125" t="s">
        <v>559</v>
      </c>
      <c r="E448" s="126">
        <v>45820</v>
      </c>
      <c r="F448" s="111">
        <v>36</v>
      </c>
      <c r="G448" s="127">
        <v>0.05</v>
      </c>
      <c r="H448" s="128">
        <v>795.58</v>
      </c>
      <c r="I448" s="113">
        <v>209.93</v>
      </c>
      <c r="J448" s="113">
        <v>0</v>
      </c>
      <c r="K448" s="114">
        <f t="shared" si="33"/>
        <v>585.65</v>
      </c>
      <c r="L448" s="128">
        <v>83.98</v>
      </c>
      <c r="M448" s="115"/>
      <c r="N448" s="116"/>
      <c r="O448" s="117">
        <f t="shared" si="34"/>
        <v>46934</v>
      </c>
      <c r="P448" s="118">
        <f t="shared" si="35"/>
        <v>4</v>
      </c>
      <c r="Q448" s="119">
        <f t="shared" si="36"/>
        <v>83.9778888888889</v>
      </c>
      <c r="R448" s="119">
        <f t="shared" si="37"/>
        <v>-0.0021111111111054</v>
      </c>
      <c r="S448" s="120" t="s">
        <v>106</v>
      </c>
      <c r="U448" s="67"/>
      <c r="V448" s="121"/>
      <c r="W448" s="122"/>
      <c r="X448" s="63"/>
      <c r="Y448" s="63"/>
      <c r="Z448" s="63"/>
      <c r="AA448" s="63"/>
    </row>
    <row r="449" s="59" customFormat="1" ht="16.5" outlineLevel="7" spans="1:27">
      <c r="A449" s="79"/>
      <c r="B449" s="123" t="s">
        <v>195</v>
      </c>
      <c r="C449" s="124">
        <v>100643</v>
      </c>
      <c r="D449" s="125" t="s">
        <v>559</v>
      </c>
      <c r="E449" s="126">
        <v>45820</v>
      </c>
      <c r="F449" s="111">
        <v>36</v>
      </c>
      <c r="G449" s="127">
        <v>0.05</v>
      </c>
      <c r="H449" s="128">
        <v>795.58</v>
      </c>
      <c r="I449" s="113">
        <v>209.93</v>
      </c>
      <c r="J449" s="113">
        <v>0</v>
      </c>
      <c r="K449" s="114">
        <f t="shared" si="33"/>
        <v>585.65</v>
      </c>
      <c r="L449" s="128">
        <v>83.98</v>
      </c>
      <c r="M449" s="115"/>
      <c r="N449" s="116"/>
      <c r="O449" s="117">
        <f t="shared" si="34"/>
        <v>46934</v>
      </c>
      <c r="P449" s="118">
        <f t="shared" si="35"/>
        <v>4</v>
      </c>
      <c r="Q449" s="119">
        <f t="shared" si="36"/>
        <v>83.9778888888889</v>
      </c>
      <c r="R449" s="119">
        <f t="shared" si="37"/>
        <v>-0.0021111111111054</v>
      </c>
      <c r="S449" s="120" t="s">
        <v>106</v>
      </c>
      <c r="U449" s="67"/>
      <c r="V449" s="121"/>
      <c r="W449" s="122"/>
      <c r="X449" s="63"/>
      <c r="Y449" s="63"/>
      <c r="Z449" s="63"/>
      <c r="AA449" s="63"/>
    </row>
    <row r="450" s="59" customFormat="1" ht="16.5" outlineLevel="7" spans="1:27">
      <c r="A450" s="79"/>
      <c r="B450" s="123" t="s">
        <v>195</v>
      </c>
      <c r="C450" s="124">
        <v>100644</v>
      </c>
      <c r="D450" s="125" t="s">
        <v>559</v>
      </c>
      <c r="E450" s="126">
        <v>45820</v>
      </c>
      <c r="F450" s="111">
        <v>36</v>
      </c>
      <c r="G450" s="127">
        <v>0.05</v>
      </c>
      <c r="H450" s="128">
        <v>795.57</v>
      </c>
      <c r="I450" s="113">
        <v>209.92</v>
      </c>
      <c r="J450" s="113">
        <v>0</v>
      </c>
      <c r="K450" s="114">
        <f t="shared" si="33"/>
        <v>585.65</v>
      </c>
      <c r="L450" s="128">
        <v>83.98</v>
      </c>
      <c r="M450" s="115"/>
      <c r="N450" s="116"/>
      <c r="O450" s="117">
        <f t="shared" si="34"/>
        <v>46934</v>
      </c>
      <c r="P450" s="118">
        <f t="shared" si="35"/>
        <v>4</v>
      </c>
      <c r="Q450" s="119">
        <f t="shared" si="36"/>
        <v>83.9768333333333</v>
      </c>
      <c r="R450" s="119">
        <f t="shared" si="37"/>
        <v>-0.00316666666667231</v>
      </c>
      <c r="S450" s="120" t="s">
        <v>106</v>
      </c>
      <c r="U450" s="67"/>
      <c r="V450" s="121"/>
      <c r="W450" s="122"/>
      <c r="X450" s="63"/>
      <c r="Y450" s="63"/>
      <c r="Z450" s="63"/>
      <c r="AA450" s="63"/>
    </row>
    <row r="451" s="59" customFormat="1" ht="16.5" outlineLevel="7" spans="1:27">
      <c r="A451" s="79"/>
      <c r="B451" s="107" t="s">
        <v>195</v>
      </c>
      <c r="C451" s="108">
        <v>100645</v>
      </c>
      <c r="D451" s="109" t="s">
        <v>559</v>
      </c>
      <c r="E451" s="110">
        <v>45820</v>
      </c>
      <c r="F451" s="111">
        <v>36</v>
      </c>
      <c r="G451" s="112">
        <v>0.05</v>
      </c>
      <c r="H451" s="113">
        <v>795.57</v>
      </c>
      <c r="I451" s="113">
        <v>209.92</v>
      </c>
      <c r="J451" s="113">
        <v>0</v>
      </c>
      <c r="K451" s="114">
        <f t="shared" si="33"/>
        <v>585.65</v>
      </c>
      <c r="L451" s="113">
        <v>83.98</v>
      </c>
      <c r="M451" s="115"/>
      <c r="N451" s="116"/>
      <c r="O451" s="117">
        <f t="shared" si="34"/>
        <v>46934</v>
      </c>
      <c r="P451" s="118">
        <f t="shared" si="35"/>
        <v>4</v>
      </c>
      <c r="Q451" s="119">
        <f t="shared" si="36"/>
        <v>83.9768333333333</v>
      </c>
      <c r="R451" s="119">
        <f t="shared" si="37"/>
        <v>-0.00316666666667231</v>
      </c>
      <c r="S451" s="120" t="s">
        <v>106</v>
      </c>
      <c r="U451" s="67"/>
      <c r="V451" s="121"/>
      <c r="W451" s="122"/>
      <c r="X451" s="63"/>
      <c r="Y451" s="63"/>
      <c r="Z451" s="63"/>
      <c r="AA451" s="63"/>
    </row>
    <row r="452" s="59" customFormat="1" ht="16.5" outlineLevel="7" spans="1:27">
      <c r="A452" s="79"/>
      <c r="B452" s="107" t="s">
        <v>195</v>
      </c>
      <c r="C452" s="108">
        <v>100646</v>
      </c>
      <c r="D452" s="109" t="s">
        <v>559</v>
      </c>
      <c r="E452" s="110">
        <v>45820</v>
      </c>
      <c r="F452" s="111">
        <v>36</v>
      </c>
      <c r="G452" s="112">
        <v>0.05</v>
      </c>
      <c r="H452" s="113">
        <v>795.57</v>
      </c>
      <c r="I452" s="113">
        <v>209.92</v>
      </c>
      <c r="J452" s="113">
        <v>0</v>
      </c>
      <c r="K452" s="114">
        <f t="shared" si="33"/>
        <v>585.65</v>
      </c>
      <c r="L452" s="113">
        <v>83.98</v>
      </c>
      <c r="M452" s="115"/>
      <c r="N452" s="116"/>
      <c r="O452" s="117">
        <f t="shared" si="34"/>
        <v>46934</v>
      </c>
      <c r="P452" s="118">
        <f t="shared" si="35"/>
        <v>4</v>
      </c>
      <c r="Q452" s="119">
        <f t="shared" si="36"/>
        <v>83.9768333333333</v>
      </c>
      <c r="R452" s="119">
        <f t="shared" si="37"/>
        <v>-0.00316666666667231</v>
      </c>
      <c r="S452" s="120" t="s">
        <v>106</v>
      </c>
      <c r="U452" s="67"/>
      <c r="V452" s="121"/>
      <c r="W452" s="122"/>
      <c r="X452" s="63"/>
      <c r="Y452" s="63"/>
      <c r="Z452" s="63"/>
      <c r="AA452" s="63"/>
    </row>
    <row r="453" s="59" customFormat="1" ht="16.5" outlineLevel="7" spans="1:27">
      <c r="A453" s="79"/>
      <c r="B453" s="123" t="s">
        <v>195</v>
      </c>
      <c r="C453" s="124">
        <v>100647</v>
      </c>
      <c r="D453" s="125" t="s">
        <v>646</v>
      </c>
      <c r="E453" s="126">
        <v>45812</v>
      </c>
      <c r="F453" s="111">
        <v>36</v>
      </c>
      <c r="G453" s="127">
        <v>0.05</v>
      </c>
      <c r="H453" s="128">
        <v>2524.78</v>
      </c>
      <c r="I453" s="113">
        <v>666.29</v>
      </c>
      <c r="J453" s="113">
        <v>0</v>
      </c>
      <c r="K453" s="114">
        <f t="shared" si="33"/>
        <v>1858.49</v>
      </c>
      <c r="L453" s="128">
        <v>266.51</v>
      </c>
      <c r="M453" s="115"/>
      <c r="N453" s="116"/>
      <c r="O453" s="117">
        <f t="shared" si="34"/>
        <v>46934</v>
      </c>
      <c r="P453" s="118">
        <f t="shared" si="35"/>
        <v>4</v>
      </c>
      <c r="Q453" s="119">
        <f t="shared" si="36"/>
        <v>266.504555555556</v>
      </c>
      <c r="R453" s="119">
        <f t="shared" si="37"/>
        <v>-0.0054444444444357</v>
      </c>
      <c r="S453" s="120" t="s">
        <v>106</v>
      </c>
      <c r="U453" s="67"/>
      <c r="V453" s="121"/>
      <c r="W453" s="122"/>
      <c r="X453" s="63"/>
      <c r="Y453" s="63"/>
      <c r="Z453" s="63"/>
      <c r="AA453" s="63"/>
    </row>
    <row r="454" s="59" customFormat="1" ht="16.5" outlineLevel="7" spans="1:27">
      <c r="A454" s="79"/>
      <c r="B454" s="123" t="s">
        <v>195</v>
      </c>
      <c r="C454" s="124">
        <v>100648</v>
      </c>
      <c r="D454" s="125" t="s">
        <v>646</v>
      </c>
      <c r="E454" s="126">
        <v>45812</v>
      </c>
      <c r="F454" s="111">
        <v>36</v>
      </c>
      <c r="G454" s="127">
        <v>0.05</v>
      </c>
      <c r="H454" s="128">
        <v>2264.6</v>
      </c>
      <c r="I454" s="113">
        <v>597.6</v>
      </c>
      <c r="J454" s="113">
        <v>0</v>
      </c>
      <c r="K454" s="114">
        <f t="shared" si="33"/>
        <v>1667</v>
      </c>
      <c r="L454" s="128">
        <v>239.04</v>
      </c>
      <c r="M454" s="115"/>
      <c r="N454" s="116"/>
      <c r="O454" s="117">
        <f t="shared" si="34"/>
        <v>46934</v>
      </c>
      <c r="P454" s="118">
        <f t="shared" si="35"/>
        <v>4</v>
      </c>
      <c r="Q454" s="119">
        <f t="shared" si="36"/>
        <v>239.041111111111</v>
      </c>
      <c r="R454" s="119">
        <f t="shared" si="37"/>
        <v>0.00111111111110063</v>
      </c>
      <c r="S454" s="120" t="s">
        <v>106</v>
      </c>
      <c r="U454" s="67"/>
      <c r="V454" s="121"/>
      <c r="W454" s="122"/>
      <c r="X454" s="63"/>
      <c r="Y454" s="63"/>
      <c r="Z454" s="63"/>
      <c r="AA454" s="63"/>
    </row>
    <row r="455" s="59" customFormat="1" ht="16.5" outlineLevel="7" spans="1:27">
      <c r="A455" s="79"/>
      <c r="B455" s="123" t="s">
        <v>195</v>
      </c>
      <c r="C455" s="124">
        <v>100649</v>
      </c>
      <c r="D455" s="125" t="s">
        <v>559</v>
      </c>
      <c r="E455" s="126">
        <v>45828</v>
      </c>
      <c r="F455" s="111">
        <v>36</v>
      </c>
      <c r="G455" s="127">
        <v>0.05</v>
      </c>
      <c r="H455" s="128">
        <v>857.52</v>
      </c>
      <c r="I455" s="113">
        <v>226.3</v>
      </c>
      <c r="J455" s="113">
        <v>0</v>
      </c>
      <c r="K455" s="114">
        <f t="shared" si="33"/>
        <v>631.22</v>
      </c>
      <c r="L455" s="128">
        <v>90.52</v>
      </c>
      <c r="M455" s="115"/>
      <c r="N455" s="116"/>
      <c r="O455" s="117">
        <f t="shared" si="34"/>
        <v>46934</v>
      </c>
      <c r="P455" s="118">
        <f t="shared" si="35"/>
        <v>4</v>
      </c>
      <c r="Q455" s="119">
        <f t="shared" si="36"/>
        <v>90.516</v>
      </c>
      <c r="R455" s="119">
        <f t="shared" si="37"/>
        <v>-0.00400000000000489</v>
      </c>
      <c r="S455" s="120" t="s">
        <v>106</v>
      </c>
      <c r="U455" s="67"/>
      <c r="V455" s="121"/>
      <c r="W455" s="122"/>
      <c r="X455" s="63"/>
      <c r="Y455" s="63"/>
      <c r="Z455" s="63"/>
      <c r="AA455" s="63"/>
    </row>
    <row r="456" s="59" customFormat="1" ht="16.5" outlineLevel="7" spans="1:27">
      <c r="A456" s="79"/>
      <c r="B456" s="123" t="s">
        <v>195</v>
      </c>
      <c r="C456" s="124">
        <v>100650</v>
      </c>
      <c r="D456" s="125" t="s">
        <v>559</v>
      </c>
      <c r="E456" s="126">
        <v>45828</v>
      </c>
      <c r="F456" s="111">
        <v>36</v>
      </c>
      <c r="G456" s="127">
        <v>0.05</v>
      </c>
      <c r="H456" s="128">
        <v>857.52</v>
      </c>
      <c r="I456" s="113">
        <v>226.3</v>
      </c>
      <c r="J456" s="113">
        <v>0</v>
      </c>
      <c r="K456" s="114">
        <f t="shared" si="33"/>
        <v>631.22</v>
      </c>
      <c r="L456" s="128">
        <v>90.52</v>
      </c>
      <c r="M456" s="115"/>
      <c r="N456" s="116"/>
      <c r="O456" s="117">
        <f t="shared" si="34"/>
        <v>46934</v>
      </c>
      <c r="P456" s="118">
        <f t="shared" si="35"/>
        <v>4</v>
      </c>
      <c r="Q456" s="119">
        <f t="shared" si="36"/>
        <v>90.516</v>
      </c>
      <c r="R456" s="119">
        <f t="shared" si="37"/>
        <v>-0.00400000000000489</v>
      </c>
      <c r="S456" s="120" t="s">
        <v>106</v>
      </c>
      <c r="U456" s="67"/>
      <c r="V456" s="121"/>
      <c r="W456" s="122"/>
      <c r="X456" s="63"/>
      <c r="Y456" s="63"/>
      <c r="Z456" s="63"/>
      <c r="AA456" s="63"/>
    </row>
    <row r="457" s="59" customFormat="1" ht="16.5" outlineLevel="7" spans="1:27">
      <c r="A457" s="79"/>
      <c r="B457" s="123" t="s">
        <v>195</v>
      </c>
      <c r="C457" s="124">
        <v>100651</v>
      </c>
      <c r="D457" s="125" t="s">
        <v>559</v>
      </c>
      <c r="E457" s="126">
        <v>45828</v>
      </c>
      <c r="F457" s="111">
        <v>36</v>
      </c>
      <c r="G457" s="127">
        <v>0.05</v>
      </c>
      <c r="H457" s="128">
        <v>857.52</v>
      </c>
      <c r="I457" s="113">
        <v>226.3</v>
      </c>
      <c r="J457" s="113">
        <v>0</v>
      </c>
      <c r="K457" s="114">
        <f t="shared" ref="K457:K520" si="38">H457-I457-J457</f>
        <v>631.22</v>
      </c>
      <c r="L457" s="128">
        <v>90.52</v>
      </c>
      <c r="M457" s="115"/>
      <c r="N457" s="116"/>
      <c r="O457" s="117">
        <f t="shared" ref="O457:O520" si="39">IFERROR(EOMONTH(E457,F457),"")</f>
        <v>46934</v>
      </c>
      <c r="P457" s="118">
        <f t="shared" ref="P457:P520" si="40">IFERROR(IF(OR(AND(M457&lt;&gt;"",YEAR(M457)&lt;YEAR($L$6)),AND(O457&lt;&gt;"",YEAR(O457)&lt;YEAR($L$6))),0,IF(YEAR(E457)&gt;YEAR($L$6),0,IF(OR((IF(YEAR(E457)&lt;YEAR($L$6),1,IF(MONTH(E457)=12,99,MONTH(E457)+1))&gt;12),(IF(YEAR(E457)&lt;YEAR($L$6),1,IF(MONTH(E457)=12,99,MONTH(E457)+1))&gt;MIN(MONTH($L$6),IF(AND(M457&lt;&gt;"",YEAR(M457)=YEAR($L$6)),MONTH(M457),99),IF(AND(O457&lt;&gt;"",YEAR(O457)=YEAR($L$6)),MONTH(O457),99)))),0,MIN(MONTH($L$6),IF(AND(M457&lt;&gt;"",YEAR(M457)=YEAR($L$6)),MONTH(M457),99),IF(AND(O457&lt;&gt;"",YEAR(O457)=YEAR($L$6)),MONTH(O457),99))-IF(YEAR(E457)&lt;YEAR($L$6),1,IF(MONTH(E457)=12,99,MONTH(E457)+1))+1))),0)</f>
        <v>4</v>
      </c>
      <c r="Q457" s="119">
        <f t="shared" si="36"/>
        <v>90.516</v>
      </c>
      <c r="R457" s="119">
        <f t="shared" si="37"/>
        <v>-0.00400000000000489</v>
      </c>
      <c r="S457" s="120" t="s">
        <v>106</v>
      </c>
      <c r="U457" s="67"/>
      <c r="V457" s="121"/>
      <c r="W457" s="122"/>
      <c r="X457" s="63"/>
      <c r="Y457" s="63"/>
      <c r="Z457" s="63"/>
      <c r="AA457" s="63"/>
    </row>
    <row r="458" s="59" customFormat="1" ht="16.5" outlineLevel="7" spans="1:27">
      <c r="A458" s="79"/>
      <c r="B458" s="107" t="s">
        <v>195</v>
      </c>
      <c r="C458" s="108">
        <v>100652</v>
      </c>
      <c r="D458" s="109" t="s">
        <v>559</v>
      </c>
      <c r="E458" s="110">
        <v>45828</v>
      </c>
      <c r="F458" s="111">
        <v>36</v>
      </c>
      <c r="G458" s="112">
        <v>0.05</v>
      </c>
      <c r="H458" s="113">
        <v>857.52</v>
      </c>
      <c r="I458" s="113">
        <v>226.3</v>
      </c>
      <c r="J458" s="113">
        <v>0</v>
      </c>
      <c r="K458" s="114">
        <f t="shared" si="38"/>
        <v>631.22</v>
      </c>
      <c r="L458" s="113">
        <v>90.52</v>
      </c>
      <c r="M458" s="115"/>
      <c r="N458" s="116"/>
      <c r="O458" s="117">
        <f t="shared" si="39"/>
        <v>46934</v>
      </c>
      <c r="P458" s="118">
        <f t="shared" si="40"/>
        <v>4</v>
      </c>
      <c r="Q458" s="119">
        <f t="shared" si="36"/>
        <v>90.516</v>
      </c>
      <c r="R458" s="119">
        <f t="shared" si="37"/>
        <v>-0.00400000000000489</v>
      </c>
      <c r="S458" s="120" t="s">
        <v>106</v>
      </c>
      <c r="U458" s="67"/>
      <c r="V458" s="121"/>
      <c r="W458" s="122"/>
      <c r="X458" s="63"/>
      <c r="Y458" s="63"/>
      <c r="Z458" s="63"/>
      <c r="AA458" s="63"/>
    </row>
    <row r="459" s="59" customFormat="1" ht="16.5" outlineLevel="7" spans="1:27">
      <c r="A459" s="79"/>
      <c r="B459" s="107" t="s">
        <v>195</v>
      </c>
      <c r="C459" s="108">
        <v>100653</v>
      </c>
      <c r="D459" s="109" t="s">
        <v>559</v>
      </c>
      <c r="E459" s="110">
        <v>45828</v>
      </c>
      <c r="F459" s="111">
        <v>36</v>
      </c>
      <c r="G459" s="112">
        <v>0.05</v>
      </c>
      <c r="H459" s="113">
        <v>857.52</v>
      </c>
      <c r="I459" s="113">
        <v>226.3</v>
      </c>
      <c r="J459" s="113">
        <v>0</v>
      </c>
      <c r="K459" s="114">
        <f t="shared" si="38"/>
        <v>631.22</v>
      </c>
      <c r="L459" s="113">
        <v>90.52</v>
      </c>
      <c r="M459" s="115"/>
      <c r="N459" s="116"/>
      <c r="O459" s="117">
        <f t="shared" si="39"/>
        <v>46934</v>
      </c>
      <c r="P459" s="118">
        <f t="shared" si="40"/>
        <v>4</v>
      </c>
      <c r="Q459" s="119">
        <f t="shared" si="36"/>
        <v>90.516</v>
      </c>
      <c r="R459" s="119">
        <f t="shared" si="37"/>
        <v>-0.00400000000000489</v>
      </c>
      <c r="S459" s="120" t="s">
        <v>106</v>
      </c>
      <c r="U459" s="67"/>
      <c r="V459" s="121"/>
      <c r="W459" s="122"/>
      <c r="X459" s="63"/>
      <c r="Y459" s="63"/>
      <c r="Z459" s="63"/>
      <c r="AA459" s="63"/>
    </row>
    <row r="460" s="59" customFormat="1" ht="16.5" outlineLevel="7" spans="1:27">
      <c r="A460" s="79"/>
      <c r="B460" s="123" t="s">
        <v>195</v>
      </c>
      <c r="C460" s="124">
        <v>100654</v>
      </c>
      <c r="D460" s="125" t="s">
        <v>559</v>
      </c>
      <c r="E460" s="126">
        <v>45828</v>
      </c>
      <c r="F460" s="111">
        <v>36</v>
      </c>
      <c r="G460" s="127">
        <v>0.05</v>
      </c>
      <c r="H460" s="128">
        <v>857.52</v>
      </c>
      <c r="I460" s="113">
        <v>226.3</v>
      </c>
      <c r="J460" s="113">
        <v>0</v>
      </c>
      <c r="K460" s="114">
        <f t="shared" si="38"/>
        <v>631.22</v>
      </c>
      <c r="L460" s="128">
        <v>90.52</v>
      </c>
      <c r="M460" s="115"/>
      <c r="N460" s="116"/>
      <c r="O460" s="117">
        <f t="shared" si="39"/>
        <v>46934</v>
      </c>
      <c r="P460" s="118">
        <f t="shared" si="40"/>
        <v>4</v>
      </c>
      <c r="Q460" s="119">
        <f t="shared" si="36"/>
        <v>90.516</v>
      </c>
      <c r="R460" s="119">
        <f t="shared" si="37"/>
        <v>-0.00400000000000489</v>
      </c>
      <c r="S460" s="120" t="s">
        <v>106</v>
      </c>
      <c r="U460" s="67"/>
      <c r="V460" s="121"/>
      <c r="W460" s="122"/>
      <c r="X460" s="63"/>
      <c r="Y460" s="63"/>
      <c r="Z460" s="63"/>
      <c r="AA460" s="63"/>
    </row>
    <row r="461" s="59" customFormat="1" ht="16.5" outlineLevel="7" spans="1:27">
      <c r="A461" s="79"/>
      <c r="B461" s="123" t="s">
        <v>195</v>
      </c>
      <c r="C461" s="124">
        <v>100655</v>
      </c>
      <c r="D461" s="125" t="s">
        <v>559</v>
      </c>
      <c r="E461" s="126">
        <v>45828</v>
      </c>
      <c r="F461" s="111">
        <v>36</v>
      </c>
      <c r="G461" s="127">
        <v>0.05</v>
      </c>
      <c r="H461" s="128">
        <v>857.52</v>
      </c>
      <c r="I461" s="113">
        <v>226.3</v>
      </c>
      <c r="J461" s="113">
        <v>0</v>
      </c>
      <c r="K461" s="114">
        <f t="shared" si="38"/>
        <v>631.22</v>
      </c>
      <c r="L461" s="128">
        <v>90.52</v>
      </c>
      <c r="M461" s="115"/>
      <c r="N461" s="116"/>
      <c r="O461" s="117">
        <f t="shared" si="39"/>
        <v>46934</v>
      </c>
      <c r="P461" s="118">
        <f t="shared" si="40"/>
        <v>4</v>
      </c>
      <c r="Q461" s="119">
        <f t="shared" si="36"/>
        <v>90.516</v>
      </c>
      <c r="R461" s="119">
        <f t="shared" si="37"/>
        <v>-0.00400000000000489</v>
      </c>
      <c r="S461" s="120" t="s">
        <v>106</v>
      </c>
      <c r="U461" s="67"/>
      <c r="V461" s="121"/>
      <c r="W461" s="122"/>
      <c r="X461" s="63"/>
      <c r="Y461" s="63"/>
      <c r="Z461" s="63"/>
      <c r="AA461" s="63"/>
    </row>
    <row r="462" s="59" customFormat="1" ht="16.5" outlineLevel="7" spans="1:27">
      <c r="A462" s="79"/>
      <c r="B462" s="123" t="s">
        <v>195</v>
      </c>
      <c r="C462" s="124">
        <v>100656</v>
      </c>
      <c r="D462" s="125" t="s">
        <v>559</v>
      </c>
      <c r="E462" s="126">
        <v>45828</v>
      </c>
      <c r="F462" s="111">
        <v>36</v>
      </c>
      <c r="G462" s="127">
        <v>0.05</v>
      </c>
      <c r="H462" s="128">
        <v>857.52</v>
      </c>
      <c r="I462" s="113">
        <v>226.3</v>
      </c>
      <c r="J462" s="113">
        <v>0</v>
      </c>
      <c r="K462" s="114">
        <f t="shared" si="38"/>
        <v>631.22</v>
      </c>
      <c r="L462" s="128">
        <v>90.52</v>
      </c>
      <c r="M462" s="115"/>
      <c r="N462" s="116"/>
      <c r="O462" s="117">
        <f t="shared" si="39"/>
        <v>46934</v>
      </c>
      <c r="P462" s="118">
        <f t="shared" si="40"/>
        <v>4</v>
      </c>
      <c r="Q462" s="119">
        <f t="shared" si="36"/>
        <v>90.516</v>
      </c>
      <c r="R462" s="119">
        <f t="shared" si="37"/>
        <v>-0.00400000000000489</v>
      </c>
      <c r="S462" s="120" t="s">
        <v>106</v>
      </c>
      <c r="U462" s="67"/>
      <c r="V462" s="121"/>
      <c r="W462" s="122"/>
      <c r="X462" s="63"/>
      <c r="Y462" s="63"/>
      <c r="Z462" s="63"/>
      <c r="AA462" s="63"/>
    </row>
    <row r="463" s="59" customFormat="1" ht="16.5" outlineLevel="7" spans="1:27">
      <c r="A463" s="79"/>
      <c r="B463" s="123" t="s">
        <v>195</v>
      </c>
      <c r="C463" s="124">
        <v>100657</v>
      </c>
      <c r="D463" s="125" t="s">
        <v>559</v>
      </c>
      <c r="E463" s="126">
        <v>45828</v>
      </c>
      <c r="F463" s="111">
        <v>36</v>
      </c>
      <c r="G463" s="127">
        <v>0.05</v>
      </c>
      <c r="H463" s="128">
        <v>857.52</v>
      </c>
      <c r="I463" s="113">
        <v>226.3</v>
      </c>
      <c r="J463" s="113">
        <v>0</v>
      </c>
      <c r="K463" s="114">
        <f t="shared" si="38"/>
        <v>631.22</v>
      </c>
      <c r="L463" s="128">
        <v>90.52</v>
      </c>
      <c r="M463" s="115"/>
      <c r="N463" s="116"/>
      <c r="O463" s="117">
        <f t="shared" si="39"/>
        <v>46934</v>
      </c>
      <c r="P463" s="118">
        <f t="shared" si="40"/>
        <v>4</v>
      </c>
      <c r="Q463" s="119">
        <f t="shared" si="36"/>
        <v>90.516</v>
      </c>
      <c r="R463" s="119">
        <f t="shared" si="37"/>
        <v>-0.00400000000000489</v>
      </c>
      <c r="S463" s="120" t="s">
        <v>106</v>
      </c>
      <c r="U463" s="67"/>
      <c r="V463" s="121"/>
      <c r="W463" s="122"/>
      <c r="X463" s="63"/>
      <c r="Y463" s="63"/>
      <c r="Z463" s="63"/>
      <c r="AA463" s="63"/>
    </row>
    <row r="464" s="59" customFormat="1" ht="16.5" outlineLevel="7" spans="1:27">
      <c r="A464" s="79"/>
      <c r="B464" s="123" t="s">
        <v>195</v>
      </c>
      <c r="C464" s="124">
        <v>100658</v>
      </c>
      <c r="D464" s="125" t="s">
        <v>559</v>
      </c>
      <c r="E464" s="126">
        <v>45828</v>
      </c>
      <c r="F464" s="111">
        <v>36</v>
      </c>
      <c r="G464" s="127">
        <v>0.05</v>
      </c>
      <c r="H464" s="128">
        <v>857.53</v>
      </c>
      <c r="I464" s="113">
        <v>226.3</v>
      </c>
      <c r="J464" s="113">
        <v>0</v>
      </c>
      <c r="K464" s="114">
        <f t="shared" si="38"/>
        <v>631.23</v>
      </c>
      <c r="L464" s="128">
        <v>90.52</v>
      </c>
      <c r="M464" s="115"/>
      <c r="N464" s="116"/>
      <c r="O464" s="117">
        <f t="shared" si="39"/>
        <v>46934</v>
      </c>
      <c r="P464" s="118">
        <f t="shared" si="40"/>
        <v>4</v>
      </c>
      <c r="Q464" s="119">
        <f t="shared" si="36"/>
        <v>90.5170555555555</v>
      </c>
      <c r="R464" s="119">
        <f t="shared" si="37"/>
        <v>-0.00294444444445219</v>
      </c>
      <c r="S464" s="120" t="s">
        <v>106</v>
      </c>
      <c r="U464" s="67"/>
      <c r="V464" s="121"/>
      <c r="W464" s="122"/>
      <c r="X464" s="63"/>
      <c r="Y464" s="63"/>
      <c r="Z464" s="63"/>
      <c r="AA464" s="63"/>
    </row>
    <row r="465" s="59" customFormat="1" ht="16.5" outlineLevel="7" spans="1:27">
      <c r="A465" s="79"/>
      <c r="B465" s="107" t="s">
        <v>195</v>
      </c>
      <c r="C465" s="108">
        <v>100659</v>
      </c>
      <c r="D465" s="109" t="s">
        <v>559</v>
      </c>
      <c r="E465" s="110">
        <v>45828</v>
      </c>
      <c r="F465" s="111">
        <v>36</v>
      </c>
      <c r="G465" s="112">
        <v>0.05</v>
      </c>
      <c r="H465" s="113">
        <v>857.53</v>
      </c>
      <c r="I465" s="113">
        <v>226.3</v>
      </c>
      <c r="J465" s="113">
        <v>0</v>
      </c>
      <c r="K465" s="114">
        <f t="shared" si="38"/>
        <v>631.23</v>
      </c>
      <c r="L465" s="113">
        <v>90.52</v>
      </c>
      <c r="M465" s="115"/>
      <c r="N465" s="116"/>
      <c r="O465" s="117">
        <f t="shared" si="39"/>
        <v>46934</v>
      </c>
      <c r="P465" s="118">
        <f t="shared" si="40"/>
        <v>4</v>
      </c>
      <c r="Q465" s="119">
        <f t="shared" si="36"/>
        <v>90.5170555555555</v>
      </c>
      <c r="R465" s="119">
        <f t="shared" si="37"/>
        <v>-0.00294444444445219</v>
      </c>
      <c r="S465" s="120" t="s">
        <v>106</v>
      </c>
      <c r="U465" s="67"/>
      <c r="V465" s="121"/>
      <c r="W465" s="122"/>
      <c r="X465" s="63"/>
      <c r="Y465" s="63"/>
      <c r="Z465" s="63"/>
      <c r="AA465" s="63"/>
    </row>
    <row r="466" s="59" customFormat="1" ht="16.5" outlineLevel="7" spans="1:27">
      <c r="A466" s="79"/>
      <c r="B466" s="107" t="s">
        <v>195</v>
      </c>
      <c r="C466" s="108">
        <v>100660</v>
      </c>
      <c r="D466" s="109" t="s">
        <v>559</v>
      </c>
      <c r="E466" s="110">
        <v>45828</v>
      </c>
      <c r="F466" s="111">
        <v>36</v>
      </c>
      <c r="G466" s="112">
        <v>0.05</v>
      </c>
      <c r="H466" s="113">
        <v>857.53</v>
      </c>
      <c r="I466" s="113">
        <v>226.3</v>
      </c>
      <c r="J466" s="113">
        <v>0</v>
      </c>
      <c r="K466" s="114">
        <f t="shared" si="38"/>
        <v>631.23</v>
      </c>
      <c r="L466" s="113">
        <v>90.52</v>
      </c>
      <c r="M466" s="115"/>
      <c r="N466" s="116"/>
      <c r="O466" s="117">
        <f t="shared" si="39"/>
        <v>46934</v>
      </c>
      <c r="P466" s="118">
        <f t="shared" si="40"/>
        <v>4</v>
      </c>
      <c r="Q466" s="119">
        <f t="shared" si="36"/>
        <v>90.5170555555555</v>
      </c>
      <c r="R466" s="119">
        <f t="shared" si="37"/>
        <v>-0.00294444444445219</v>
      </c>
      <c r="S466" s="120" t="s">
        <v>106</v>
      </c>
      <c r="U466" s="67"/>
      <c r="V466" s="121"/>
      <c r="W466" s="122"/>
      <c r="X466" s="63"/>
      <c r="Y466" s="63"/>
      <c r="Z466" s="63"/>
      <c r="AA466" s="63"/>
    </row>
    <row r="467" s="59" customFormat="1" ht="16.5" outlineLevel="7" spans="1:27">
      <c r="A467" s="79"/>
      <c r="B467" s="123" t="s">
        <v>195</v>
      </c>
      <c r="C467" s="124">
        <v>100661</v>
      </c>
      <c r="D467" s="125" t="s">
        <v>565</v>
      </c>
      <c r="E467" s="126">
        <v>45828</v>
      </c>
      <c r="F467" s="111">
        <v>36</v>
      </c>
      <c r="G467" s="127">
        <v>0.05</v>
      </c>
      <c r="H467" s="128">
        <v>2468.14</v>
      </c>
      <c r="I467" s="113">
        <v>651.3</v>
      </c>
      <c r="J467" s="113">
        <v>0</v>
      </c>
      <c r="K467" s="114">
        <f t="shared" si="38"/>
        <v>1816.84</v>
      </c>
      <c r="L467" s="128">
        <v>260.52</v>
      </c>
      <c r="M467" s="115"/>
      <c r="N467" s="116"/>
      <c r="O467" s="117">
        <f t="shared" si="39"/>
        <v>46934</v>
      </c>
      <c r="P467" s="118">
        <f t="shared" si="40"/>
        <v>4</v>
      </c>
      <c r="Q467" s="119">
        <f t="shared" si="36"/>
        <v>260.525888888889</v>
      </c>
      <c r="R467" s="119">
        <f t="shared" si="37"/>
        <v>0.00588888888887595</v>
      </c>
      <c r="S467" s="120" t="s">
        <v>106</v>
      </c>
      <c r="U467" s="67"/>
      <c r="V467" s="121"/>
      <c r="W467" s="122"/>
      <c r="X467" s="63"/>
      <c r="Y467" s="63"/>
      <c r="Z467" s="63"/>
      <c r="AA467" s="63"/>
    </row>
    <row r="468" s="59" customFormat="1" ht="16.5" outlineLevel="7" spans="1:27">
      <c r="A468" s="79"/>
      <c r="B468" s="123" t="s">
        <v>195</v>
      </c>
      <c r="C468" s="124">
        <v>100662</v>
      </c>
      <c r="D468" s="125" t="s">
        <v>565</v>
      </c>
      <c r="E468" s="126">
        <v>45828</v>
      </c>
      <c r="F468" s="111">
        <v>36</v>
      </c>
      <c r="G468" s="127">
        <v>0.05</v>
      </c>
      <c r="H468" s="128">
        <v>2468.14</v>
      </c>
      <c r="I468" s="113">
        <v>651.3</v>
      </c>
      <c r="J468" s="113">
        <v>0</v>
      </c>
      <c r="K468" s="114">
        <f t="shared" si="38"/>
        <v>1816.84</v>
      </c>
      <c r="L468" s="128">
        <v>260.52</v>
      </c>
      <c r="M468" s="115"/>
      <c r="N468" s="116"/>
      <c r="O468" s="117">
        <f t="shared" si="39"/>
        <v>46934</v>
      </c>
      <c r="P468" s="118">
        <f t="shared" si="40"/>
        <v>4</v>
      </c>
      <c r="Q468" s="119">
        <f t="shared" si="36"/>
        <v>260.525888888889</v>
      </c>
      <c r="R468" s="119">
        <f t="shared" si="37"/>
        <v>0.00588888888887595</v>
      </c>
      <c r="S468" s="120" t="s">
        <v>106</v>
      </c>
      <c r="U468" s="67"/>
      <c r="V468" s="121"/>
      <c r="W468" s="122"/>
      <c r="X468" s="63"/>
      <c r="Y468" s="63"/>
      <c r="Z468" s="63"/>
      <c r="AA468" s="63"/>
    </row>
    <row r="469" s="59" customFormat="1" ht="16.5" outlineLevel="7" spans="1:27">
      <c r="A469" s="79"/>
      <c r="B469" s="123" t="s">
        <v>195</v>
      </c>
      <c r="C469" s="124">
        <v>100663</v>
      </c>
      <c r="D469" s="125" t="s">
        <v>565</v>
      </c>
      <c r="E469" s="126">
        <v>45828</v>
      </c>
      <c r="F469" s="111">
        <v>36</v>
      </c>
      <c r="G469" s="127">
        <v>0.05</v>
      </c>
      <c r="H469" s="128">
        <v>2468.14</v>
      </c>
      <c r="I469" s="113">
        <v>651.3</v>
      </c>
      <c r="J469" s="113">
        <v>0</v>
      </c>
      <c r="K469" s="114">
        <f t="shared" si="38"/>
        <v>1816.84</v>
      </c>
      <c r="L469" s="128">
        <v>260.52</v>
      </c>
      <c r="M469" s="115"/>
      <c r="N469" s="116"/>
      <c r="O469" s="117">
        <f t="shared" si="39"/>
        <v>46934</v>
      </c>
      <c r="P469" s="118">
        <f t="shared" si="40"/>
        <v>4</v>
      </c>
      <c r="Q469" s="119">
        <f t="shared" si="36"/>
        <v>260.525888888889</v>
      </c>
      <c r="R469" s="119">
        <f t="shared" si="37"/>
        <v>0.00588888888887595</v>
      </c>
      <c r="S469" s="120" t="s">
        <v>106</v>
      </c>
      <c r="U469" s="67"/>
      <c r="V469" s="121"/>
      <c r="W469" s="122"/>
      <c r="X469" s="63"/>
      <c r="Y469" s="63"/>
      <c r="Z469" s="63"/>
      <c r="AA469" s="63"/>
    </row>
    <row r="470" s="59" customFormat="1" ht="16.5" outlineLevel="7" spans="1:27">
      <c r="A470" s="79"/>
      <c r="B470" s="123" t="s">
        <v>195</v>
      </c>
      <c r="C470" s="124">
        <v>100664</v>
      </c>
      <c r="D470" s="125" t="s">
        <v>565</v>
      </c>
      <c r="E470" s="126">
        <v>45828</v>
      </c>
      <c r="F470" s="111">
        <v>36</v>
      </c>
      <c r="G470" s="127">
        <v>0.05</v>
      </c>
      <c r="H470" s="128">
        <v>2468.15</v>
      </c>
      <c r="I470" s="113">
        <v>651.3</v>
      </c>
      <c r="J470" s="113">
        <v>0</v>
      </c>
      <c r="K470" s="114">
        <f t="shared" si="38"/>
        <v>1816.85</v>
      </c>
      <c r="L470" s="128">
        <v>260.52</v>
      </c>
      <c r="M470" s="115"/>
      <c r="N470" s="116"/>
      <c r="O470" s="117">
        <f t="shared" si="39"/>
        <v>46934</v>
      </c>
      <c r="P470" s="118">
        <f t="shared" si="40"/>
        <v>4</v>
      </c>
      <c r="Q470" s="119">
        <f t="shared" si="36"/>
        <v>260.526944444444</v>
      </c>
      <c r="R470" s="119">
        <f t="shared" si="37"/>
        <v>0.00694444444445708</v>
      </c>
      <c r="S470" s="120" t="s">
        <v>106</v>
      </c>
      <c r="U470" s="67"/>
      <c r="V470" s="121"/>
      <c r="W470" s="122"/>
      <c r="X470" s="63"/>
      <c r="Y470" s="63"/>
      <c r="Z470" s="63"/>
      <c r="AA470" s="63"/>
    </row>
    <row r="471" s="59" customFormat="1" ht="16.5" outlineLevel="7" spans="1:27">
      <c r="A471" s="79"/>
      <c r="B471" s="123" t="s">
        <v>195</v>
      </c>
      <c r="C471" s="124">
        <v>100665</v>
      </c>
      <c r="D471" s="125" t="s">
        <v>560</v>
      </c>
      <c r="E471" s="126">
        <v>45834</v>
      </c>
      <c r="F471" s="111">
        <v>36</v>
      </c>
      <c r="G471" s="127">
        <v>0.05</v>
      </c>
      <c r="H471" s="128">
        <v>795.58</v>
      </c>
      <c r="I471" s="113">
        <v>209.93</v>
      </c>
      <c r="J471" s="113">
        <v>0</v>
      </c>
      <c r="K471" s="114">
        <f t="shared" si="38"/>
        <v>585.65</v>
      </c>
      <c r="L471" s="128">
        <v>83.98</v>
      </c>
      <c r="M471" s="115"/>
      <c r="N471" s="116"/>
      <c r="O471" s="117">
        <f t="shared" si="39"/>
        <v>46934</v>
      </c>
      <c r="P471" s="118">
        <f t="shared" si="40"/>
        <v>4</v>
      </c>
      <c r="Q471" s="119">
        <f t="shared" ref="Q471:Q534" si="41">IFERROR(IF(N471=0,(H471*(1-G471))/F471*P471,(N471*(1-G471))/F471*P471),0)</f>
        <v>83.9778888888889</v>
      </c>
      <c r="R471" s="119">
        <f t="shared" ref="R471:R534" si="42">Q471-L471</f>
        <v>-0.0021111111111054</v>
      </c>
      <c r="S471" s="120" t="s">
        <v>106</v>
      </c>
      <c r="U471" s="67"/>
      <c r="V471" s="121"/>
      <c r="W471" s="122"/>
      <c r="X471" s="63"/>
      <c r="Y471" s="63"/>
      <c r="Z471" s="63"/>
      <c r="AA471" s="63"/>
    </row>
    <row r="472" s="59" customFormat="1" ht="16.5" outlineLevel="7" spans="1:27">
      <c r="A472" s="79"/>
      <c r="B472" s="107" t="s">
        <v>195</v>
      </c>
      <c r="C472" s="108">
        <v>100666</v>
      </c>
      <c r="D472" s="109" t="s">
        <v>545</v>
      </c>
      <c r="E472" s="110">
        <v>45834</v>
      </c>
      <c r="F472" s="111">
        <v>36</v>
      </c>
      <c r="G472" s="112">
        <v>0.05</v>
      </c>
      <c r="H472" s="113">
        <v>5308.85</v>
      </c>
      <c r="I472" s="113">
        <v>1400.94</v>
      </c>
      <c r="J472" s="113">
        <v>0</v>
      </c>
      <c r="K472" s="114">
        <f t="shared" si="38"/>
        <v>3907.91</v>
      </c>
      <c r="L472" s="113">
        <v>560.38</v>
      </c>
      <c r="M472" s="115"/>
      <c r="N472" s="116"/>
      <c r="O472" s="117">
        <f t="shared" si="39"/>
        <v>46934</v>
      </c>
      <c r="P472" s="118">
        <f t="shared" si="40"/>
        <v>4</v>
      </c>
      <c r="Q472" s="119">
        <f t="shared" si="41"/>
        <v>560.378611111111</v>
      </c>
      <c r="R472" s="119">
        <f t="shared" si="42"/>
        <v>-0.00138888888886868</v>
      </c>
      <c r="S472" s="120" t="s">
        <v>106</v>
      </c>
      <c r="U472" s="67"/>
      <c r="V472" s="121"/>
      <c r="W472" s="122"/>
      <c r="X472" s="63"/>
      <c r="Y472" s="63"/>
      <c r="Z472" s="63"/>
      <c r="AA472" s="63"/>
    </row>
    <row r="473" s="59" customFormat="1" ht="16.5" outlineLevel="7" spans="1:27">
      <c r="A473" s="79"/>
      <c r="B473" s="107" t="s">
        <v>195</v>
      </c>
      <c r="C473" s="108">
        <v>100667</v>
      </c>
      <c r="D473" s="109" t="s">
        <v>545</v>
      </c>
      <c r="E473" s="110">
        <v>45834</v>
      </c>
      <c r="F473" s="111">
        <v>36</v>
      </c>
      <c r="G473" s="112">
        <v>0.05</v>
      </c>
      <c r="H473" s="113">
        <v>5308.85</v>
      </c>
      <c r="I473" s="113">
        <v>1400.94</v>
      </c>
      <c r="J473" s="113">
        <v>0</v>
      </c>
      <c r="K473" s="114">
        <f t="shared" si="38"/>
        <v>3907.91</v>
      </c>
      <c r="L473" s="113">
        <v>560.38</v>
      </c>
      <c r="M473" s="115"/>
      <c r="N473" s="116"/>
      <c r="O473" s="117">
        <f t="shared" si="39"/>
        <v>46934</v>
      </c>
      <c r="P473" s="118">
        <f t="shared" si="40"/>
        <v>4</v>
      </c>
      <c r="Q473" s="119">
        <f t="shared" si="41"/>
        <v>560.378611111111</v>
      </c>
      <c r="R473" s="119">
        <f t="shared" si="42"/>
        <v>-0.00138888888886868</v>
      </c>
      <c r="S473" s="120" t="s">
        <v>106</v>
      </c>
      <c r="U473" s="67"/>
      <c r="V473" s="121"/>
      <c r="W473" s="122"/>
      <c r="X473" s="63"/>
      <c r="Y473" s="63"/>
      <c r="Z473" s="63"/>
      <c r="AA473" s="63"/>
    </row>
    <row r="474" s="59" customFormat="1" ht="16.5" outlineLevel="7" spans="1:27">
      <c r="A474" s="79"/>
      <c r="B474" s="123" t="s">
        <v>195</v>
      </c>
      <c r="C474" s="124">
        <v>100668</v>
      </c>
      <c r="D474" s="125" t="s">
        <v>545</v>
      </c>
      <c r="E474" s="126">
        <v>45834</v>
      </c>
      <c r="F474" s="111">
        <v>36</v>
      </c>
      <c r="G474" s="127">
        <v>0.05</v>
      </c>
      <c r="H474" s="128">
        <v>5308.85</v>
      </c>
      <c r="I474" s="113">
        <v>1400.94</v>
      </c>
      <c r="J474" s="113">
        <v>0</v>
      </c>
      <c r="K474" s="114">
        <f t="shared" si="38"/>
        <v>3907.91</v>
      </c>
      <c r="L474" s="128">
        <v>560.38</v>
      </c>
      <c r="M474" s="115"/>
      <c r="N474" s="116"/>
      <c r="O474" s="117">
        <f t="shared" si="39"/>
        <v>46934</v>
      </c>
      <c r="P474" s="118">
        <f t="shared" si="40"/>
        <v>4</v>
      </c>
      <c r="Q474" s="119">
        <f t="shared" si="41"/>
        <v>560.378611111111</v>
      </c>
      <c r="R474" s="119">
        <f t="shared" si="42"/>
        <v>-0.00138888888886868</v>
      </c>
      <c r="S474" s="120" t="s">
        <v>106</v>
      </c>
      <c r="U474" s="67"/>
      <c r="V474" s="121"/>
      <c r="W474" s="122"/>
      <c r="X474" s="63"/>
      <c r="Y474" s="63"/>
      <c r="Z474" s="63"/>
      <c r="AA474" s="63"/>
    </row>
    <row r="475" s="59" customFormat="1" ht="16.5" outlineLevel="7" spans="1:27">
      <c r="A475" s="79"/>
      <c r="B475" s="123" t="s">
        <v>195</v>
      </c>
      <c r="C475" s="124">
        <v>100669</v>
      </c>
      <c r="D475" s="125" t="s">
        <v>545</v>
      </c>
      <c r="E475" s="126">
        <v>45834</v>
      </c>
      <c r="F475" s="111">
        <v>36</v>
      </c>
      <c r="G475" s="127">
        <v>0.05</v>
      </c>
      <c r="H475" s="128">
        <v>5308.85</v>
      </c>
      <c r="I475" s="113">
        <v>1400.94</v>
      </c>
      <c r="J475" s="113">
        <v>0</v>
      </c>
      <c r="K475" s="114">
        <f t="shared" si="38"/>
        <v>3907.91</v>
      </c>
      <c r="L475" s="128">
        <v>560.38</v>
      </c>
      <c r="M475" s="115"/>
      <c r="N475" s="116"/>
      <c r="O475" s="117">
        <f t="shared" si="39"/>
        <v>46934</v>
      </c>
      <c r="P475" s="118">
        <f t="shared" si="40"/>
        <v>4</v>
      </c>
      <c r="Q475" s="119">
        <f t="shared" si="41"/>
        <v>560.378611111111</v>
      </c>
      <c r="R475" s="119">
        <f t="shared" si="42"/>
        <v>-0.00138888888886868</v>
      </c>
      <c r="S475" s="120" t="s">
        <v>106</v>
      </c>
      <c r="U475" s="67"/>
      <c r="V475" s="121"/>
      <c r="W475" s="122"/>
      <c r="X475" s="63"/>
      <c r="Y475" s="63"/>
      <c r="Z475" s="63"/>
      <c r="AA475" s="63"/>
    </row>
    <row r="476" s="59" customFormat="1" ht="16.5" outlineLevel="7" spans="1:27">
      <c r="A476" s="79"/>
      <c r="B476" s="123" t="s">
        <v>195</v>
      </c>
      <c r="C476" s="124">
        <v>100670</v>
      </c>
      <c r="D476" s="125" t="s">
        <v>545</v>
      </c>
      <c r="E476" s="126">
        <v>45834</v>
      </c>
      <c r="F476" s="111">
        <v>36</v>
      </c>
      <c r="G476" s="127">
        <v>0.05</v>
      </c>
      <c r="H476" s="128">
        <v>5308.85</v>
      </c>
      <c r="I476" s="113">
        <v>1400.94</v>
      </c>
      <c r="J476" s="113">
        <v>0</v>
      </c>
      <c r="K476" s="114">
        <f t="shared" si="38"/>
        <v>3907.91</v>
      </c>
      <c r="L476" s="128">
        <v>560.38</v>
      </c>
      <c r="M476" s="115"/>
      <c r="N476" s="116"/>
      <c r="O476" s="117">
        <f t="shared" si="39"/>
        <v>46934</v>
      </c>
      <c r="P476" s="118">
        <f t="shared" si="40"/>
        <v>4</v>
      </c>
      <c r="Q476" s="119">
        <f t="shared" si="41"/>
        <v>560.378611111111</v>
      </c>
      <c r="R476" s="119">
        <f t="shared" si="42"/>
        <v>-0.00138888888886868</v>
      </c>
      <c r="S476" s="120" t="s">
        <v>106</v>
      </c>
      <c r="U476" s="67"/>
      <c r="V476" s="121"/>
      <c r="W476" s="122"/>
      <c r="X476" s="63"/>
      <c r="Y476" s="63"/>
      <c r="Z476" s="63"/>
      <c r="AA476" s="63"/>
    </row>
    <row r="477" s="59" customFormat="1" ht="16.5" outlineLevel="7" spans="1:27">
      <c r="A477" s="79"/>
      <c r="B477" s="123" t="s">
        <v>195</v>
      </c>
      <c r="C477" s="124">
        <v>100671</v>
      </c>
      <c r="D477" s="125" t="s">
        <v>560</v>
      </c>
      <c r="E477" s="126">
        <v>45834</v>
      </c>
      <c r="F477" s="111">
        <v>36</v>
      </c>
      <c r="G477" s="127">
        <v>0.05</v>
      </c>
      <c r="H477" s="128">
        <v>795.58</v>
      </c>
      <c r="I477" s="113">
        <v>209.93</v>
      </c>
      <c r="J477" s="113">
        <v>0</v>
      </c>
      <c r="K477" s="114">
        <f t="shared" si="38"/>
        <v>585.65</v>
      </c>
      <c r="L477" s="128">
        <v>83.98</v>
      </c>
      <c r="M477" s="115"/>
      <c r="N477" s="116"/>
      <c r="O477" s="117">
        <f t="shared" si="39"/>
        <v>46934</v>
      </c>
      <c r="P477" s="118">
        <f t="shared" si="40"/>
        <v>4</v>
      </c>
      <c r="Q477" s="119">
        <f t="shared" si="41"/>
        <v>83.9778888888889</v>
      </c>
      <c r="R477" s="119">
        <f t="shared" si="42"/>
        <v>-0.0021111111111054</v>
      </c>
      <c r="S477" s="120" t="s">
        <v>106</v>
      </c>
      <c r="U477" s="67"/>
      <c r="V477" s="121"/>
      <c r="W477" s="122"/>
      <c r="X477" s="63"/>
      <c r="Y477" s="63"/>
      <c r="Z477" s="63"/>
      <c r="AA477" s="63"/>
    </row>
    <row r="478" s="59" customFormat="1" ht="16.5" outlineLevel="7" spans="1:27">
      <c r="A478" s="79"/>
      <c r="B478" s="123" t="s">
        <v>195</v>
      </c>
      <c r="C478" s="124">
        <v>100672</v>
      </c>
      <c r="D478" s="125" t="s">
        <v>560</v>
      </c>
      <c r="E478" s="126">
        <v>45834</v>
      </c>
      <c r="F478" s="111">
        <v>36</v>
      </c>
      <c r="G478" s="127">
        <v>0.05</v>
      </c>
      <c r="H478" s="128">
        <v>795.58</v>
      </c>
      <c r="I478" s="113">
        <v>209.93</v>
      </c>
      <c r="J478" s="113">
        <v>0</v>
      </c>
      <c r="K478" s="114">
        <f t="shared" si="38"/>
        <v>585.65</v>
      </c>
      <c r="L478" s="128">
        <v>83.98</v>
      </c>
      <c r="M478" s="115"/>
      <c r="N478" s="116"/>
      <c r="O478" s="117">
        <f t="shared" si="39"/>
        <v>46934</v>
      </c>
      <c r="P478" s="118">
        <f t="shared" si="40"/>
        <v>4</v>
      </c>
      <c r="Q478" s="119">
        <f t="shared" si="41"/>
        <v>83.9778888888889</v>
      </c>
      <c r="R478" s="119">
        <f t="shared" si="42"/>
        <v>-0.0021111111111054</v>
      </c>
      <c r="S478" s="120" t="s">
        <v>106</v>
      </c>
      <c r="U478" s="67"/>
      <c r="V478" s="121"/>
      <c r="W478" s="122"/>
      <c r="X478" s="63"/>
      <c r="Y478" s="63"/>
      <c r="Z478" s="63"/>
      <c r="AA478" s="63"/>
    </row>
    <row r="479" s="59" customFormat="1" ht="16.5" outlineLevel="7" spans="1:27">
      <c r="A479" s="79"/>
      <c r="B479" s="107" t="s">
        <v>195</v>
      </c>
      <c r="C479" s="108">
        <v>100673</v>
      </c>
      <c r="D479" s="109" t="s">
        <v>560</v>
      </c>
      <c r="E479" s="110">
        <v>45834</v>
      </c>
      <c r="F479" s="111">
        <v>36</v>
      </c>
      <c r="G479" s="112">
        <v>0.05</v>
      </c>
      <c r="H479" s="113">
        <v>795.58</v>
      </c>
      <c r="I479" s="113">
        <v>209.93</v>
      </c>
      <c r="J479" s="113">
        <v>0</v>
      </c>
      <c r="K479" s="114">
        <f t="shared" si="38"/>
        <v>585.65</v>
      </c>
      <c r="L479" s="113">
        <v>83.98</v>
      </c>
      <c r="M479" s="115"/>
      <c r="N479" s="116"/>
      <c r="O479" s="117">
        <f t="shared" si="39"/>
        <v>46934</v>
      </c>
      <c r="P479" s="118">
        <f t="shared" si="40"/>
        <v>4</v>
      </c>
      <c r="Q479" s="119">
        <f t="shared" si="41"/>
        <v>83.9778888888889</v>
      </c>
      <c r="R479" s="119">
        <f t="shared" si="42"/>
        <v>-0.0021111111111054</v>
      </c>
      <c r="S479" s="120" t="s">
        <v>106</v>
      </c>
      <c r="U479" s="67"/>
      <c r="V479" s="121"/>
      <c r="W479" s="122"/>
      <c r="X479" s="63"/>
      <c r="Y479" s="63"/>
      <c r="Z479" s="63"/>
      <c r="AA479" s="63"/>
    </row>
    <row r="480" s="59" customFormat="1" ht="16.5" outlineLevel="7" spans="1:27">
      <c r="A480" s="79"/>
      <c r="B480" s="107" t="s">
        <v>195</v>
      </c>
      <c r="C480" s="108">
        <v>100674</v>
      </c>
      <c r="D480" s="109" t="s">
        <v>560</v>
      </c>
      <c r="E480" s="110">
        <v>45834</v>
      </c>
      <c r="F480" s="111">
        <v>36</v>
      </c>
      <c r="G480" s="112">
        <v>0.05</v>
      </c>
      <c r="H480" s="113">
        <v>795.58</v>
      </c>
      <c r="I480" s="113">
        <v>209.93</v>
      </c>
      <c r="J480" s="113">
        <v>0</v>
      </c>
      <c r="K480" s="114">
        <f t="shared" si="38"/>
        <v>585.65</v>
      </c>
      <c r="L480" s="113">
        <v>83.98</v>
      </c>
      <c r="M480" s="115"/>
      <c r="N480" s="116"/>
      <c r="O480" s="117">
        <f t="shared" si="39"/>
        <v>46934</v>
      </c>
      <c r="P480" s="118">
        <f t="shared" si="40"/>
        <v>4</v>
      </c>
      <c r="Q480" s="119">
        <f t="shared" si="41"/>
        <v>83.9778888888889</v>
      </c>
      <c r="R480" s="119">
        <f t="shared" si="42"/>
        <v>-0.0021111111111054</v>
      </c>
      <c r="S480" s="120" t="s">
        <v>106</v>
      </c>
      <c r="U480" s="67"/>
      <c r="V480" s="121"/>
      <c r="W480" s="122"/>
      <c r="X480" s="63"/>
      <c r="Y480" s="63"/>
      <c r="Z480" s="63"/>
      <c r="AA480" s="63"/>
    </row>
    <row r="481" s="59" customFormat="1" ht="16.5" outlineLevel="7" spans="1:27">
      <c r="A481" s="79"/>
      <c r="B481" s="123" t="s">
        <v>195</v>
      </c>
      <c r="C481" s="124">
        <v>100675</v>
      </c>
      <c r="D481" s="125" t="s">
        <v>560</v>
      </c>
      <c r="E481" s="126">
        <v>45834</v>
      </c>
      <c r="F481" s="111">
        <v>36</v>
      </c>
      <c r="G481" s="127">
        <v>0.05</v>
      </c>
      <c r="H481" s="128">
        <v>795.56</v>
      </c>
      <c r="I481" s="113">
        <v>209.91</v>
      </c>
      <c r="J481" s="113">
        <v>0</v>
      </c>
      <c r="K481" s="114">
        <f t="shared" si="38"/>
        <v>585.65</v>
      </c>
      <c r="L481" s="128">
        <v>83.97</v>
      </c>
      <c r="M481" s="115"/>
      <c r="N481" s="116"/>
      <c r="O481" s="117">
        <f t="shared" si="39"/>
        <v>46934</v>
      </c>
      <c r="P481" s="118">
        <f t="shared" si="40"/>
        <v>4</v>
      </c>
      <c r="Q481" s="119">
        <f t="shared" si="41"/>
        <v>83.9757777777778</v>
      </c>
      <c r="R481" s="119">
        <f t="shared" si="42"/>
        <v>0.00577777777776589</v>
      </c>
      <c r="S481" s="120" t="s">
        <v>106</v>
      </c>
      <c r="U481" s="67"/>
      <c r="V481" s="121"/>
      <c r="W481" s="122"/>
      <c r="X481" s="63"/>
      <c r="Y481" s="63"/>
      <c r="Z481" s="63"/>
      <c r="AA481" s="63"/>
    </row>
    <row r="482" s="59" customFormat="1" ht="16.5" outlineLevel="7" spans="1:27">
      <c r="A482" s="79"/>
      <c r="B482" s="123" t="s">
        <v>195</v>
      </c>
      <c r="C482" s="124">
        <v>100676</v>
      </c>
      <c r="D482" s="125" t="s">
        <v>559</v>
      </c>
      <c r="E482" s="126">
        <v>45852</v>
      </c>
      <c r="F482" s="111">
        <v>36</v>
      </c>
      <c r="G482" s="127">
        <v>0.05</v>
      </c>
      <c r="H482" s="128">
        <v>821.24</v>
      </c>
      <c r="I482" s="113">
        <v>195.03</v>
      </c>
      <c r="J482" s="113">
        <v>0</v>
      </c>
      <c r="K482" s="114">
        <f t="shared" si="38"/>
        <v>626.21</v>
      </c>
      <c r="L482" s="128">
        <v>86.68</v>
      </c>
      <c r="M482" s="115"/>
      <c r="N482" s="116"/>
      <c r="O482" s="117">
        <f t="shared" si="39"/>
        <v>46965</v>
      </c>
      <c r="P482" s="118">
        <f t="shared" si="40"/>
        <v>4</v>
      </c>
      <c r="Q482" s="119">
        <f t="shared" si="41"/>
        <v>86.6864444444444</v>
      </c>
      <c r="R482" s="119">
        <f t="shared" si="42"/>
        <v>0.00644444444444048</v>
      </c>
      <c r="S482" s="120" t="s">
        <v>106</v>
      </c>
      <c r="U482" s="67"/>
      <c r="V482" s="121"/>
      <c r="W482" s="122"/>
      <c r="X482" s="63"/>
      <c r="Y482" s="63"/>
      <c r="Z482" s="63"/>
      <c r="AA482" s="63"/>
    </row>
    <row r="483" s="59" customFormat="1" ht="16.5" outlineLevel="7" spans="1:27">
      <c r="A483" s="79"/>
      <c r="B483" s="123" t="s">
        <v>195</v>
      </c>
      <c r="C483" s="124">
        <v>100268</v>
      </c>
      <c r="D483" s="125" t="s">
        <v>651</v>
      </c>
      <c r="E483" s="126">
        <v>45069</v>
      </c>
      <c r="F483" s="111">
        <v>36</v>
      </c>
      <c r="G483" s="127">
        <v>0.05</v>
      </c>
      <c r="H483" s="128">
        <v>2458.67</v>
      </c>
      <c r="I483" s="113">
        <v>2270.86</v>
      </c>
      <c r="J483" s="113">
        <v>0</v>
      </c>
      <c r="K483" s="114">
        <f t="shared" si="38"/>
        <v>187.81</v>
      </c>
      <c r="L483" s="128">
        <v>259.54</v>
      </c>
      <c r="M483" s="115"/>
      <c r="N483" s="116"/>
      <c r="O483" s="117">
        <f t="shared" si="39"/>
        <v>46173</v>
      </c>
      <c r="P483" s="118">
        <f t="shared" si="40"/>
        <v>4</v>
      </c>
      <c r="Q483" s="119">
        <f t="shared" si="41"/>
        <v>259.526277777778</v>
      </c>
      <c r="R483" s="119">
        <f t="shared" si="42"/>
        <v>-0.0137222222222704</v>
      </c>
      <c r="S483" s="120" t="s">
        <v>106</v>
      </c>
      <c r="U483" s="67"/>
      <c r="V483" s="121"/>
      <c r="W483" s="122"/>
      <c r="X483" s="63"/>
      <c r="Y483" s="63"/>
      <c r="Z483" s="63"/>
      <c r="AA483" s="63"/>
    </row>
    <row r="484" s="59" customFormat="1" ht="16.5" outlineLevel="7" spans="1:27">
      <c r="A484" s="79"/>
      <c r="B484" s="123" t="s">
        <v>195</v>
      </c>
      <c r="C484" s="124">
        <v>100269</v>
      </c>
      <c r="D484" s="125" t="s">
        <v>545</v>
      </c>
      <c r="E484" s="126">
        <v>45063</v>
      </c>
      <c r="F484" s="111">
        <v>36</v>
      </c>
      <c r="G484" s="127">
        <v>0.05</v>
      </c>
      <c r="H484" s="128">
        <v>4689.38</v>
      </c>
      <c r="I484" s="113">
        <v>4331.17</v>
      </c>
      <c r="J484" s="113">
        <v>0</v>
      </c>
      <c r="K484" s="114">
        <f t="shared" si="38"/>
        <v>358.21</v>
      </c>
      <c r="L484" s="128">
        <v>494.98</v>
      </c>
      <c r="M484" s="115"/>
      <c r="N484" s="116"/>
      <c r="O484" s="117">
        <f t="shared" si="39"/>
        <v>46173</v>
      </c>
      <c r="P484" s="118">
        <f t="shared" si="40"/>
        <v>4</v>
      </c>
      <c r="Q484" s="119">
        <f t="shared" si="41"/>
        <v>494.990111111111</v>
      </c>
      <c r="R484" s="119">
        <f t="shared" si="42"/>
        <v>0.0101111111110868</v>
      </c>
      <c r="S484" s="120" t="s">
        <v>106</v>
      </c>
      <c r="U484" s="67"/>
      <c r="V484" s="121"/>
      <c r="W484" s="122"/>
      <c r="X484" s="63"/>
      <c r="Y484" s="63"/>
      <c r="Z484" s="63"/>
      <c r="AA484" s="63"/>
    </row>
    <row r="485" s="59" customFormat="1" ht="16.5" outlineLevel="7" spans="1:27">
      <c r="A485" s="79"/>
      <c r="B485" s="123" t="s">
        <v>195</v>
      </c>
      <c r="C485" s="124">
        <v>100270</v>
      </c>
      <c r="D485" s="125" t="s">
        <v>545</v>
      </c>
      <c r="E485" s="126">
        <v>45063</v>
      </c>
      <c r="F485" s="111">
        <v>36</v>
      </c>
      <c r="G485" s="127">
        <v>0.05</v>
      </c>
      <c r="H485" s="128">
        <v>4689.38</v>
      </c>
      <c r="I485" s="113">
        <v>4331.17</v>
      </c>
      <c r="J485" s="113">
        <v>0</v>
      </c>
      <c r="K485" s="114">
        <f t="shared" si="38"/>
        <v>358.21</v>
      </c>
      <c r="L485" s="128">
        <v>494.98</v>
      </c>
      <c r="M485" s="115"/>
      <c r="N485" s="116"/>
      <c r="O485" s="117">
        <f t="shared" si="39"/>
        <v>46173</v>
      </c>
      <c r="P485" s="118">
        <f t="shared" si="40"/>
        <v>4</v>
      </c>
      <c r="Q485" s="119">
        <f t="shared" si="41"/>
        <v>494.990111111111</v>
      </c>
      <c r="R485" s="119">
        <f t="shared" si="42"/>
        <v>0.0101111111110868</v>
      </c>
      <c r="S485" s="120" t="s">
        <v>106</v>
      </c>
      <c r="U485" s="67"/>
      <c r="V485" s="121"/>
      <c r="W485" s="122"/>
      <c r="X485" s="63"/>
      <c r="Y485" s="63"/>
      <c r="Z485" s="63"/>
      <c r="AA485" s="63"/>
    </row>
    <row r="486" s="59" customFormat="1" ht="16.5" outlineLevel="7" spans="1:27">
      <c r="A486" s="79"/>
      <c r="B486" s="107" t="s">
        <v>195</v>
      </c>
      <c r="C486" s="108">
        <v>100271</v>
      </c>
      <c r="D486" s="109" t="s">
        <v>545</v>
      </c>
      <c r="E486" s="110">
        <v>45063</v>
      </c>
      <c r="F486" s="111">
        <v>36</v>
      </c>
      <c r="G486" s="112">
        <v>0.05</v>
      </c>
      <c r="H486" s="113">
        <v>4689.38</v>
      </c>
      <c r="I486" s="113">
        <v>4331.17</v>
      </c>
      <c r="J486" s="113">
        <v>0</v>
      </c>
      <c r="K486" s="114">
        <f t="shared" si="38"/>
        <v>358.21</v>
      </c>
      <c r="L486" s="113">
        <v>494.98</v>
      </c>
      <c r="M486" s="115"/>
      <c r="N486" s="116"/>
      <c r="O486" s="117">
        <f t="shared" si="39"/>
        <v>46173</v>
      </c>
      <c r="P486" s="118">
        <f t="shared" si="40"/>
        <v>4</v>
      </c>
      <c r="Q486" s="119">
        <f t="shared" si="41"/>
        <v>494.990111111111</v>
      </c>
      <c r="R486" s="119">
        <f t="shared" si="42"/>
        <v>0.0101111111110868</v>
      </c>
      <c r="S486" s="120" t="s">
        <v>106</v>
      </c>
      <c r="U486" s="67"/>
      <c r="V486" s="121"/>
      <c r="W486" s="122"/>
      <c r="X486" s="63"/>
      <c r="Y486" s="63"/>
      <c r="Z486" s="63"/>
      <c r="AA486" s="63"/>
    </row>
    <row r="487" s="59" customFormat="1" ht="16.5" outlineLevel="7" spans="1:27">
      <c r="A487" s="79"/>
      <c r="B487" s="107" t="s">
        <v>195</v>
      </c>
      <c r="C487" s="108">
        <v>100272</v>
      </c>
      <c r="D487" s="109" t="s">
        <v>559</v>
      </c>
      <c r="E487" s="110">
        <v>45063</v>
      </c>
      <c r="F487" s="111">
        <v>36</v>
      </c>
      <c r="G487" s="112">
        <v>0.05</v>
      </c>
      <c r="H487" s="113">
        <v>1238.06</v>
      </c>
      <c r="I487" s="113">
        <v>1143.49</v>
      </c>
      <c r="J487" s="113">
        <v>0</v>
      </c>
      <c r="K487" s="114">
        <f t="shared" si="38"/>
        <v>94.5699999999999</v>
      </c>
      <c r="L487" s="113">
        <v>130.7</v>
      </c>
      <c r="M487" s="115"/>
      <c r="N487" s="116"/>
      <c r="O487" s="117">
        <f t="shared" si="39"/>
        <v>46173</v>
      </c>
      <c r="P487" s="118">
        <f t="shared" si="40"/>
        <v>4</v>
      </c>
      <c r="Q487" s="119">
        <f t="shared" si="41"/>
        <v>130.684111111111</v>
      </c>
      <c r="R487" s="119">
        <f t="shared" si="42"/>
        <v>-0.0158888888888953</v>
      </c>
      <c r="S487" s="120" t="s">
        <v>106</v>
      </c>
      <c r="U487" s="67"/>
      <c r="V487" s="121"/>
      <c r="W487" s="122"/>
      <c r="X487" s="63"/>
      <c r="Y487" s="63"/>
      <c r="Z487" s="63"/>
      <c r="AA487" s="63"/>
    </row>
    <row r="488" s="59" customFormat="1" ht="16.5" outlineLevel="7" spans="1:27">
      <c r="A488" s="79"/>
      <c r="B488" s="123" t="s">
        <v>195</v>
      </c>
      <c r="C488" s="124">
        <v>100273</v>
      </c>
      <c r="D488" s="125" t="s">
        <v>559</v>
      </c>
      <c r="E488" s="126">
        <v>45063</v>
      </c>
      <c r="F488" s="111">
        <v>36</v>
      </c>
      <c r="G488" s="127">
        <v>0.05</v>
      </c>
      <c r="H488" s="128">
        <v>1238.05</v>
      </c>
      <c r="I488" s="113">
        <v>1143.48</v>
      </c>
      <c r="J488" s="113">
        <v>0</v>
      </c>
      <c r="K488" s="114">
        <f t="shared" si="38"/>
        <v>94.5699999999999</v>
      </c>
      <c r="L488" s="128">
        <v>130.7</v>
      </c>
      <c r="M488" s="115"/>
      <c r="N488" s="116"/>
      <c r="O488" s="117">
        <f t="shared" si="39"/>
        <v>46173</v>
      </c>
      <c r="P488" s="118">
        <f t="shared" si="40"/>
        <v>4</v>
      </c>
      <c r="Q488" s="119">
        <f t="shared" si="41"/>
        <v>130.683055555556</v>
      </c>
      <c r="R488" s="119">
        <f t="shared" si="42"/>
        <v>-0.016944444444448</v>
      </c>
      <c r="S488" s="120" t="s">
        <v>106</v>
      </c>
      <c r="U488" s="67"/>
      <c r="V488" s="121"/>
      <c r="W488" s="122"/>
      <c r="X488" s="63"/>
      <c r="Y488" s="63"/>
      <c r="Z488" s="63"/>
      <c r="AA488" s="63"/>
    </row>
    <row r="489" s="59" customFormat="1" ht="16.5" outlineLevel="7" spans="1:27">
      <c r="A489" s="79"/>
      <c r="B489" s="123" t="s">
        <v>195</v>
      </c>
      <c r="C489" s="124">
        <v>100274</v>
      </c>
      <c r="D489" s="125" t="s">
        <v>559</v>
      </c>
      <c r="E489" s="126">
        <v>45064</v>
      </c>
      <c r="F489" s="111">
        <v>36</v>
      </c>
      <c r="G489" s="127">
        <v>0.05</v>
      </c>
      <c r="H489" s="128">
        <v>1370.8</v>
      </c>
      <c r="I489" s="113">
        <v>1266.09</v>
      </c>
      <c r="J489" s="113">
        <v>0</v>
      </c>
      <c r="K489" s="114">
        <f t="shared" si="38"/>
        <v>104.71</v>
      </c>
      <c r="L489" s="128">
        <v>144.7</v>
      </c>
      <c r="M489" s="115"/>
      <c r="N489" s="116"/>
      <c r="O489" s="117">
        <f t="shared" si="39"/>
        <v>46173</v>
      </c>
      <c r="P489" s="118">
        <f t="shared" si="40"/>
        <v>4</v>
      </c>
      <c r="Q489" s="119">
        <f t="shared" si="41"/>
        <v>144.695555555556</v>
      </c>
      <c r="R489" s="119">
        <f t="shared" si="42"/>
        <v>-0.00444444444443093</v>
      </c>
      <c r="S489" s="120" t="s">
        <v>106</v>
      </c>
      <c r="U489" s="67"/>
      <c r="V489" s="121"/>
      <c r="W489" s="122"/>
      <c r="X489" s="63"/>
      <c r="Y489" s="63"/>
      <c r="Z489" s="63"/>
      <c r="AA489" s="63"/>
    </row>
    <row r="490" s="59" customFormat="1" ht="16.5" outlineLevel="7" spans="1:27">
      <c r="A490" s="79"/>
      <c r="B490" s="123" t="s">
        <v>195</v>
      </c>
      <c r="C490" s="124">
        <v>100275</v>
      </c>
      <c r="D490" s="125" t="s">
        <v>559</v>
      </c>
      <c r="E490" s="126">
        <v>45064</v>
      </c>
      <c r="F490" s="111">
        <v>36</v>
      </c>
      <c r="G490" s="127">
        <v>0.05</v>
      </c>
      <c r="H490" s="128">
        <v>1370.79</v>
      </c>
      <c r="I490" s="113">
        <v>1266.08</v>
      </c>
      <c r="J490" s="113">
        <v>0</v>
      </c>
      <c r="K490" s="114">
        <f t="shared" si="38"/>
        <v>104.71</v>
      </c>
      <c r="L490" s="128">
        <v>144.7</v>
      </c>
      <c r="M490" s="115"/>
      <c r="N490" s="116"/>
      <c r="O490" s="117">
        <f t="shared" si="39"/>
        <v>46173</v>
      </c>
      <c r="P490" s="118">
        <f t="shared" si="40"/>
        <v>4</v>
      </c>
      <c r="Q490" s="119">
        <f t="shared" si="41"/>
        <v>144.6945</v>
      </c>
      <c r="R490" s="119">
        <f t="shared" si="42"/>
        <v>-0.00550000000001205</v>
      </c>
      <c r="S490" s="120" t="s">
        <v>106</v>
      </c>
      <c r="U490" s="67"/>
      <c r="V490" s="121"/>
      <c r="W490" s="122"/>
      <c r="X490" s="63"/>
      <c r="Y490" s="63"/>
      <c r="Z490" s="63"/>
      <c r="AA490" s="63"/>
    </row>
    <row r="491" s="59" customFormat="1" ht="16.5" outlineLevel="7" spans="1:27">
      <c r="A491" s="79"/>
      <c r="B491" s="123" t="s">
        <v>195</v>
      </c>
      <c r="C491" s="124">
        <v>100276</v>
      </c>
      <c r="D491" s="125" t="s">
        <v>652</v>
      </c>
      <c r="E491" s="126">
        <v>45103</v>
      </c>
      <c r="F491" s="111">
        <v>36</v>
      </c>
      <c r="G491" s="127">
        <v>0.05</v>
      </c>
      <c r="H491" s="128">
        <v>1105</v>
      </c>
      <c r="I491" s="113">
        <v>991.44</v>
      </c>
      <c r="J491" s="113">
        <v>0</v>
      </c>
      <c r="K491" s="114">
        <f t="shared" si="38"/>
        <v>113.56</v>
      </c>
      <c r="L491" s="128">
        <v>116.64</v>
      </c>
      <c r="M491" s="115"/>
      <c r="N491" s="116"/>
      <c r="O491" s="117">
        <f t="shared" si="39"/>
        <v>46203</v>
      </c>
      <c r="P491" s="118">
        <f t="shared" si="40"/>
        <v>4</v>
      </c>
      <c r="Q491" s="119">
        <f t="shared" si="41"/>
        <v>116.638888888889</v>
      </c>
      <c r="R491" s="119">
        <f t="shared" si="42"/>
        <v>-0.00111111111111484</v>
      </c>
      <c r="S491" s="120" t="s">
        <v>106</v>
      </c>
      <c r="U491" s="67"/>
      <c r="V491" s="121"/>
      <c r="W491" s="122"/>
      <c r="X491" s="63"/>
      <c r="Y491" s="63"/>
      <c r="Z491" s="63"/>
      <c r="AA491" s="63"/>
    </row>
    <row r="492" s="59" customFormat="1" ht="16.5" outlineLevel="7" spans="1:27">
      <c r="A492" s="79"/>
      <c r="B492" s="123" t="s">
        <v>195</v>
      </c>
      <c r="C492" s="124">
        <v>100277</v>
      </c>
      <c r="D492" s="125" t="s">
        <v>653</v>
      </c>
      <c r="E492" s="126">
        <v>45086</v>
      </c>
      <c r="F492" s="111">
        <v>36</v>
      </c>
      <c r="G492" s="127">
        <v>0.05</v>
      </c>
      <c r="H492" s="128">
        <v>1650.45</v>
      </c>
      <c r="I492" s="113">
        <v>1480.82</v>
      </c>
      <c r="J492" s="113">
        <v>0</v>
      </c>
      <c r="K492" s="114">
        <f t="shared" si="38"/>
        <v>169.63</v>
      </c>
      <c r="L492" s="128">
        <v>174.22</v>
      </c>
      <c r="M492" s="115"/>
      <c r="N492" s="116"/>
      <c r="O492" s="117">
        <f t="shared" si="39"/>
        <v>46203</v>
      </c>
      <c r="P492" s="118">
        <f t="shared" si="40"/>
        <v>4</v>
      </c>
      <c r="Q492" s="119">
        <f t="shared" si="41"/>
        <v>174.214166666667</v>
      </c>
      <c r="R492" s="119">
        <f t="shared" si="42"/>
        <v>-0.00583333333332803</v>
      </c>
      <c r="S492" s="120" t="s">
        <v>106</v>
      </c>
      <c r="U492" s="67"/>
      <c r="V492" s="121"/>
      <c r="W492" s="122"/>
      <c r="X492" s="63"/>
      <c r="Y492" s="63"/>
      <c r="Z492" s="63"/>
      <c r="AA492" s="63"/>
    </row>
    <row r="493" s="59" customFormat="1" ht="16.5" outlineLevel="7" spans="1:27">
      <c r="A493" s="79"/>
      <c r="B493" s="107" t="s">
        <v>195</v>
      </c>
      <c r="C493" s="108">
        <v>100278</v>
      </c>
      <c r="D493" s="109" t="s">
        <v>653</v>
      </c>
      <c r="E493" s="110">
        <v>45086</v>
      </c>
      <c r="F493" s="111">
        <v>36</v>
      </c>
      <c r="G493" s="112">
        <v>0.05</v>
      </c>
      <c r="H493" s="113">
        <v>1650.44</v>
      </c>
      <c r="I493" s="113">
        <v>1480.81</v>
      </c>
      <c r="J493" s="113">
        <v>0</v>
      </c>
      <c r="K493" s="114">
        <f t="shared" si="38"/>
        <v>169.63</v>
      </c>
      <c r="L493" s="113">
        <v>174.22</v>
      </c>
      <c r="M493" s="115"/>
      <c r="N493" s="116"/>
      <c r="O493" s="117">
        <f t="shared" si="39"/>
        <v>46203</v>
      </c>
      <c r="P493" s="118">
        <f t="shared" si="40"/>
        <v>4</v>
      </c>
      <c r="Q493" s="119">
        <f t="shared" si="41"/>
        <v>174.213111111111</v>
      </c>
      <c r="R493" s="119">
        <f t="shared" si="42"/>
        <v>-0.00688888888890915</v>
      </c>
      <c r="S493" s="120" t="s">
        <v>106</v>
      </c>
      <c r="U493" s="67"/>
      <c r="V493" s="121"/>
      <c r="W493" s="122"/>
      <c r="X493" s="63"/>
      <c r="Y493" s="63"/>
      <c r="Z493" s="63"/>
      <c r="AA493" s="63"/>
    </row>
    <row r="494" s="59" customFormat="1" ht="16.5" outlineLevel="7" spans="1:27">
      <c r="A494" s="79"/>
      <c r="B494" s="107" t="s">
        <v>195</v>
      </c>
      <c r="C494" s="108">
        <v>100279</v>
      </c>
      <c r="D494" s="109" t="s">
        <v>559</v>
      </c>
      <c r="E494" s="110">
        <v>45107</v>
      </c>
      <c r="F494" s="111">
        <v>36</v>
      </c>
      <c r="G494" s="112">
        <v>0.05</v>
      </c>
      <c r="H494" s="113">
        <v>485.84</v>
      </c>
      <c r="I494" s="113">
        <v>435.9</v>
      </c>
      <c r="J494" s="113">
        <v>0</v>
      </c>
      <c r="K494" s="114">
        <f t="shared" si="38"/>
        <v>49.94</v>
      </c>
      <c r="L494" s="113">
        <v>51.3</v>
      </c>
      <c r="M494" s="115"/>
      <c r="N494" s="116"/>
      <c r="O494" s="117">
        <f t="shared" si="39"/>
        <v>46203</v>
      </c>
      <c r="P494" s="118">
        <f t="shared" si="40"/>
        <v>4</v>
      </c>
      <c r="Q494" s="119">
        <f t="shared" si="41"/>
        <v>51.2831111111111</v>
      </c>
      <c r="R494" s="119">
        <f t="shared" si="42"/>
        <v>-0.016888888888893</v>
      </c>
      <c r="S494" s="120" t="s">
        <v>106</v>
      </c>
      <c r="U494" s="67"/>
      <c r="V494" s="121"/>
      <c r="W494" s="122"/>
      <c r="X494" s="63"/>
      <c r="Y494" s="63"/>
      <c r="Z494" s="63"/>
      <c r="AA494" s="63"/>
    </row>
    <row r="495" s="59" customFormat="1" ht="16.5" outlineLevel="7" spans="1:27">
      <c r="A495" s="79"/>
      <c r="B495" s="123" t="s">
        <v>195</v>
      </c>
      <c r="C495" s="124">
        <v>100280</v>
      </c>
      <c r="D495" s="125" t="s">
        <v>559</v>
      </c>
      <c r="E495" s="126">
        <v>45107</v>
      </c>
      <c r="F495" s="111">
        <v>36</v>
      </c>
      <c r="G495" s="127">
        <v>0.05</v>
      </c>
      <c r="H495" s="128">
        <v>485.84</v>
      </c>
      <c r="I495" s="113">
        <v>435.9</v>
      </c>
      <c r="J495" s="113">
        <v>0</v>
      </c>
      <c r="K495" s="114">
        <f t="shared" si="38"/>
        <v>49.94</v>
      </c>
      <c r="L495" s="128">
        <v>51.3</v>
      </c>
      <c r="M495" s="115"/>
      <c r="N495" s="116"/>
      <c r="O495" s="117">
        <f t="shared" si="39"/>
        <v>46203</v>
      </c>
      <c r="P495" s="118">
        <f t="shared" si="40"/>
        <v>4</v>
      </c>
      <c r="Q495" s="119">
        <f t="shared" si="41"/>
        <v>51.2831111111111</v>
      </c>
      <c r="R495" s="119">
        <f t="shared" si="42"/>
        <v>-0.016888888888893</v>
      </c>
      <c r="S495" s="120" t="s">
        <v>106</v>
      </c>
      <c r="U495" s="67"/>
      <c r="V495" s="121"/>
      <c r="W495" s="122"/>
      <c r="X495" s="63"/>
      <c r="Y495" s="63"/>
      <c r="Z495" s="63"/>
      <c r="AA495" s="63"/>
    </row>
    <row r="496" s="59" customFormat="1" ht="16.5" outlineLevel="7" spans="1:27">
      <c r="A496" s="79"/>
      <c r="B496" s="123" t="s">
        <v>195</v>
      </c>
      <c r="C496" s="124">
        <v>100281</v>
      </c>
      <c r="D496" s="125" t="s">
        <v>654</v>
      </c>
      <c r="E496" s="126">
        <v>45100</v>
      </c>
      <c r="F496" s="111">
        <v>36</v>
      </c>
      <c r="G496" s="127">
        <v>0.05</v>
      </c>
      <c r="H496" s="128">
        <v>441.59</v>
      </c>
      <c r="I496" s="113">
        <v>396.2</v>
      </c>
      <c r="J496" s="113">
        <v>0</v>
      </c>
      <c r="K496" s="114">
        <f t="shared" si="38"/>
        <v>45.39</v>
      </c>
      <c r="L496" s="128">
        <v>46.62</v>
      </c>
      <c r="M496" s="115"/>
      <c r="N496" s="116"/>
      <c r="O496" s="117">
        <f t="shared" si="39"/>
        <v>46203</v>
      </c>
      <c r="P496" s="118">
        <f t="shared" si="40"/>
        <v>4</v>
      </c>
      <c r="Q496" s="119">
        <f t="shared" si="41"/>
        <v>46.6122777777778</v>
      </c>
      <c r="R496" s="119">
        <f t="shared" si="42"/>
        <v>-0.00772222222222041</v>
      </c>
      <c r="S496" s="120" t="s">
        <v>106</v>
      </c>
      <c r="U496" s="67"/>
      <c r="V496" s="121"/>
      <c r="W496" s="122"/>
      <c r="X496" s="63"/>
      <c r="Y496" s="63"/>
      <c r="Z496" s="63"/>
      <c r="AA496" s="63"/>
    </row>
    <row r="497" s="59" customFormat="1" ht="16.5" outlineLevel="7" spans="1:27">
      <c r="A497" s="79"/>
      <c r="B497" s="123" t="s">
        <v>195</v>
      </c>
      <c r="C497" s="124">
        <v>100282</v>
      </c>
      <c r="D497" s="125" t="s">
        <v>655</v>
      </c>
      <c r="E497" s="126">
        <v>45055</v>
      </c>
      <c r="F497" s="111">
        <v>36</v>
      </c>
      <c r="G497" s="127">
        <v>0.05</v>
      </c>
      <c r="H497" s="128">
        <v>2477.88</v>
      </c>
      <c r="I497" s="113">
        <v>2288.61</v>
      </c>
      <c r="J497" s="113">
        <v>0</v>
      </c>
      <c r="K497" s="114">
        <f t="shared" si="38"/>
        <v>189.27</v>
      </c>
      <c r="L497" s="128">
        <v>261.54</v>
      </c>
      <c r="M497" s="115"/>
      <c r="N497" s="116"/>
      <c r="O497" s="117">
        <f t="shared" si="39"/>
        <v>46173</v>
      </c>
      <c r="P497" s="118">
        <f t="shared" si="40"/>
        <v>4</v>
      </c>
      <c r="Q497" s="119">
        <f t="shared" si="41"/>
        <v>261.554</v>
      </c>
      <c r="R497" s="119">
        <f t="shared" si="42"/>
        <v>0.0139999999999532</v>
      </c>
      <c r="S497" s="120" t="s">
        <v>106</v>
      </c>
      <c r="U497" s="67"/>
      <c r="V497" s="121"/>
      <c r="W497" s="122"/>
      <c r="X497" s="63"/>
      <c r="Y497" s="63"/>
      <c r="Z497" s="63"/>
      <c r="AA497" s="63"/>
    </row>
    <row r="498" s="59" customFormat="1" ht="16.5" outlineLevel="7" spans="1:27">
      <c r="A498" s="79"/>
      <c r="B498" s="123" t="s">
        <v>195</v>
      </c>
      <c r="C498" s="124">
        <v>100485</v>
      </c>
      <c r="D498" s="125" t="s">
        <v>656</v>
      </c>
      <c r="E498" s="126">
        <v>45055</v>
      </c>
      <c r="F498" s="111">
        <v>36</v>
      </c>
      <c r="G498" s="127">
        <v>0.05</v>
      </c>
      <c r="H498" s="128">
        <v>2212.39</v>
      </c>
      <c r="I498" s="113">
        <v>2043.39</v>
      </c>
      <c r="J498" s="113">
        <v>0</v>
      </c>
      <c r="K498" s="114">
        <f t="shared" si="38"/>
        <v>169</v>
      </c>
      <c r="L498" s="128">
        <v>233.54</v>
      </c>
      <c r="M498" s="115"/>
      <c r="N498" s="116"/>
      <c r="O498" s="117">
        <f t="shared" si="39"/>
        <v>46173</v>
      </c>
      <c r="P498" s="118">
        <f t="shared" si="40"/>
        <v>4</v>
      </c>
      <c r="Q498" s="119">
        <f t="shared" si="41"/>
        <v>233.530055555556</v>
      </c>
      <c r="R498" s="119">
        <f t="shared" si="42"/>
        <v>-0.0099444444444714</v>
      </c>
      <c r="S498" s="120" t="s">
        <v>106</v>
      </c>
      <c r="U498" s="67"/>
      <c r="V498" s="121"/>
      <c r="W498" s="122"/>
      <c r="X498" s="63"/>
      <c r="Y498" s="63"/>
      <c r="Z498" s="63"/>
      <c r="AA498" s="63"/>
    </row>
    <row r="499" s="59" customFormat="1" ht="16.5" outlineLevel="7" spans="1:27">
      <c r="A499" s="79"/>
      <c r="B499" s="123" t="s">
        <v>195</v>
      </c>
      <c r="C499" s="124">
        <v>100486</v>
      </c>
      <c r="D499" s="125" t="s">
        <v>657</v>
      </c>
      <c r="E499" s="126">
        <v>45055</v>
      </c>
      <c r="F499" s="111">
        <v>36</v>
      </c>
      <c r="G499" s="127">
        <v>0.05</v>
      </c>
      <c r="H499" s="128">
        <v>2477.88</v>
      </c>
      <c r="I499" s="113">
        <v>2288.61</v>
      </c>
      <c r="J499" s="113">
        <v>0</v>
      </c>
      <c r="K499" s="114">
        <f t="shared" si="38"/>
        <v>189.27</v>
      </c>
      <c r="L499" s="128">
        <v>261.54</v>
      </c>
      <c r="M499" s="115"/>
      <c r="N499" s="116"/>
      <c r="O499" s="117">
        <f t="shared" si="39"/>
        <v>46173</v>
      </c>
      <c r="P499" s="118">
        <f t="shared" si="40"/>
        <v>4</v>
      </c>
      <c r="Q499" s="119">
        <f t="shared" si="41"/>
        <v>261.554</v>
      </c>
      <c r="R499" s="119">
        <f t="shared" si="42"/>
        <v>0.0139999999999532</v>
      </c>
      <c r="S499" s="120" t="s">
        <v>106</v>
      </c>
      <c r="U499" s="67"/>
      <c r="V499" s="121"/>
      <c r="W499" s="122"/>
      <c r="X499" s="63"/>
      <c r="Y499" s="63"/>
      <c r="Z499" s="63"/>
      <c r="AA499" s="63"/>
    </row>
    <row r="500" s="59" customFormat="1" ht="16.5" outlineLevel="7" spans="1:27">
      <c r="A500" s="79"/>
      <c r="B500" s="107" t="s">
        <v>195</v>
      </c>
      <c r="C500" s="108">
        <v>100487</v>
      </c>
      <c r="D500" s="109" t="s">
        <v>658</v>
      </c>
      <c r="E500" s="110">
        <v>45055</v>
      </c>
      <c r="F500" s="111">
        <v>36</v>
      </c>
      <c r="G500" s="112">
        <v>0.05</v>
      </c>
      <c r="H500" s="113">
        <v>2212.39</v>
      </c>
      <c r="I500" s="113">
        <v>2043.39</v>
      </c>
      <c r="J500" s="113">
        <v>0</v>
      </c>
      <c r="K500" s="114">
        <f t="shared" si="38"/>
        <v>169</v>
      </c>
      <c r="L500" s="113">
        <v>233.54</v>
      </c>
      <c r="M500" s="115"/>
      <c r="N500" s="116"/>
      <c r="O500" s="117">
        <f t="shared" si="39"/>
        <v>46173</v>
      </c>
      <c r="P500" s="118">
        <f t="shared" si="40"/>
        <v>4</v>
      </c>
      <c r="Q500" s="119">
        <f t="shared" si="41"/>
        <v>233.530055555556</v>
      </c>
      <c r="R500" s="119">
        <f t="shared" si="42"/>
        <v>-0.0099444444444714</v>
      </c>
      <c r="S500" s="120" t="s">
        <v>106</v>
      </c>
      <c r="U500" s="67"/>
      <c r="V500" s="121"/>
      <c r="W500" s="122"/>
      <c r="X500" s="63"/>
      <c r="Y500" s="63"/>
      <c r="Z500" s="63"/>
      <c r="AA500" s="63"/>
    </row>
    <row r="501" s="59" customFormat="1" ht="16.5" outlineLevel="7" spans="1:27">
      <c r="A501" s="79"/>
      <c r="B501" s="107" t="s">
        <v>195</v>
      </c>
      <c r="C501" s="108">
        <v>100488</v>
      </c>
      <c r="D501" s="109" t="s">
        <v>559</v>
      </c>
      <c r="E501" s="110">
        <v>45138</v>
      </c>
      <c r="F501" s="111">
        <v>36</v>
      </c>
      <c r="G501" s="112">
        <v>0.05</v>
      </c>
      <c r="H501" s="113">
        <v>1326.55</v>
      </c>
      <c r="I501" s="113">
        <v>1155.21</v>
      </c>
      <c r="J501" s="113">
        <v>0</v>
      </c>
      <c r="K501" s="114">
        <f t="shared" si="38"/>
        <v>171.34</v>
      </c>
      <c r="L501" s="113">
        <v>140.02</v>
      </c>
      <c r="M501" s="115"/>
      <c r="N501" s="116"/>
      <c r="O501" s="117">
        <f t="shared" si="39"/>
        <v>46234</v>
      </c>
      <c r="P501" s="118">
        <f t="shared" si="40"/>
        <v>4</v>
      </c>
      <c r="Q501" s="119">
        <f t="shared" si="41"/>
        <v>140.024722222222</v>
      </c>
      <c r="R501" s="119">
        <f t="shared" si="42"/>
        <v>0.00472222222219898</v>
      </c>
      <c r="S501" s="120" t="s">
        <v>106</v>
      </c>
      <c r="U501" s="67"/>
      <c r="V501" s="121"/>
      <c r="W501" s="122"/>
      <c r="X501" s="63"/>
      <c r="Y501" s="63"/>
      <c r="Z501" s="63"/>
      <c r="AA501" s="63"/>
    </row>
    <row r="502" s="59" customFormat="1" ht="16.5" outlineLevel="7" spans="1:27">
      <c r="A502" s="79"/>
      <c r="B502" s="123" t="s">
        <v>195</v>
      </c>
      <c r="C502" s="124">
        <v>100489</v>
      </c>
      <c r="D502" s="125" t="s">
        <v>559</v>
      </c>
      <c r="E502" s="126">
        <v>45138</v>
      </c>
      <c r="F502" s="111">
        <v>36</v>
      </c>
      <c r="G502" s="127">
        <v>0.05</v>
      </c>
      <c r="H502" s="128">
        <v>1326.55</v>
      </c>
      <c r="I502" s="113">
        <v>1155.21</v>
      </c>
      <c r="J502" s="113">
        <v>0</v>
      </c>
      <c r="K502" s="114">
        <f t="shared" si="38"/>
        <v>171.34</v>
      </c>
      <c r="L502" s="128">
        <v>140.02</v>
      </c>
      <c r="M502" s="115"/>
      <c r="N502" s="116"/>
      <c r="O502" s="117">
        <f t="shared" si="39"/>
        <v>46234</v>
      </c>
      <c r="P502" s="118">
        <f t="shared" si="40"/>
        <v>4</v>
      </c>
      <c r="Q502" s="119">
        <f t="shared" si="41"/>
        <v>140.024722222222</v>
      </c>
      <c r="R502" s="119">
        <f t="shared" si="42"/>
        <v>0.00472222222219898</v>
      </c>
      <c r="S502" s="120" t="s">
        <v>106</v>
      </c>
      <c r="U502" s="67"/>
      <c r="V502" s="121"/>
      <c r="W502" s="122"/>
      <c r="X502" s="63"/>
      <c r="Y502" s="63"/>
      <c r="Z502" s="63"/>
      <c r="AA502" s="63"/>
    </row>
    <row r="503" s="59" customFormat="1" ht="16.5" outlineLevel="7" spans="1:27">
      <c r="A503" s="79"/>
      <c r="B503" s="123" t="s">
        <v>195</v>
      </c>
      <c r="C503" s="124">
        <v>100490</v>
      </c>
      <c r="D503" s="125" t="s">
        <v>559</v>
      </c>
      <c r="E503" s="126">
        <v>45138</v>
      </c>
      <c r="F503" s="111">
        <v>36</v>
      </c>
      <c r="G503" s="127">
        <v>0.05</v>
      </c>
      <c r="H503" s="128">
        <v>1326.55</v>
      </c>
      <c r="I503" s="113">
        <v>1155.21</v>
      </c>
      <c r="J503" s="113">
        <v>0</v>
      </c>
      <c r="K503" s="114">
        <f t="shared" si="38"/>
        <v>171.34</v>
      </c>
      <c r="L503" s="128">
        <v>140.02</v>
      </c>
      <c r="M503" s="115"/>
      <c r="N503" s="116"/>
      <c r="O503" s="117">
        <f t="shared" si="39"/>
        <v>46234</v>
      </c>
      <c r="P503" s="118">
        <f t="shared" si="40"/>
        <v>4</v>
      </c>
      <c r="Q503" s="119">
        <f t="shared" si="41"/>
        <v>140.024722222222</v>
      </c>
      <c r="R503" s="119">
        <f t="shared" si="42"/>
        <v>0.00472222222219898</v>
      </c>
      <c r="S503" s="120" t="s">
        <v>106</v>
      </c>
      <c r="U503" s="67"/>
      <c r="V503" s="121"/>
      <c r="W503" s="122"/>
      <c r="X503" s="63"/>
      <c r="Y503" s="63"/>
      <c r="Z503" s="63"/>
      <c r="AA503" s="63"/>
    </row>
    <row r="504" s="59" customFormat="1" ht="16.5" outlineLevel="7" spans="1:27">
      <c r="A504" s="79"/>
      <c r="B504" s="123" t="s">
        <v>195</v>
      </c>
      <c r="C504" s="124">
        <v>100491</v>
      </c>
      <c r="D504" s="125" t="s">
        <v>559</v>
      </c>
      <c r="E504" s="126">
        <v>45138</v>
      </c>
      <c r="F504" s="111">
        <v>36</v>
      </c>
      <c r="G504" s="127">
        <v>0.05</v>
      </c>
      <c r="H504" s="128">
        <v>1326.55</v>
      </c>
      <c r="I504" s="113">
        <v>1155.21</v>
      </c>
      <c r="J504" s="113">
        <v>0</v>
      </c>
      <c r="K504" s="114">
        <f t="shared" si="38"/>
        <v>171.34</v>
      </c>
      <c r="L504" s="128">
        <v>140.02</v>
      </c>
      <c r="M504" s="115"/>
      <c r="N504" s="116"/>
      <c r="O504" s="117">
        <f t="shared" si="39"/>
        <v>46234</v>
      </c>
      <c r="P504" s="118">
        <f t="shared" si="40"/>
        <v>4</v>
      </c>
      <c r="Q504" s="119">
        <f t="shared" si="41"/>
        <v>140.024722222222</v>
      </c>
      <c r="R504" s="119">
        <f t="shared" si="42"/>
        <v>0.00472222222219898</v>
      </c>
      <c r="S504" s="120" t="s">
        <v>106</v>
      </c>
      <c r="U504" s="67"/>
      <c r="V504" s="121"/>
      <c r="W504" s="122"/>
      <c r="X504" s="63"/>
      <c r="Y504" s="63"/>
      <c r="Z504" s="63"/>
      <c r="AA504" s="63"/>
    </row>
    <row r="505" s="59" customFormat="1" ht="16.5" outlineLevel="7" spans="1:27">
      <c r="A505" s="79"/>
      <c r="B505" s="123" t="s">
        <v>195</v>
      </c>
      <c r="C505" s="124">
        <v>100492</v>
      </c>
      <c r="D505" s="125" t="s">
        <v>559</v>
      </c>
      <c r="E505" s="126">
        <v>45138</v>
      </c>
      <c r="F505" s="111">
        <v>36</v>
      </c>
      <c r="G505" s="127">
        <v>0.05</v>
      </c>
      <c r="H505" s="128">
        <v>1326.54</v>
      </c>
      <c r="I505" s="113">
        <v>1155.2</v>
      </c>
      <c r="J505" s="113">
        <v>0</v>
      </c>
      <c r="K505" s="114">
        <f t="shared" si="38"/>
        <v>171.34</v>
      </c>
      <c r="L505" s="128">
        <v>140.02</v>
      </c>
      <c r="M505" s="115"/>
      <c r="N505" s="116"/>
      <c r="O505" s="117">
        <f t="shared" si="39"/>
        <v>46234</v>
      </c>
      <c r="P505" s="118">
        <f t="shared" si="40"/>
        <v>4</v>
      </c>
      <c r="Q505" s="119">
        <f t="shared" si="41"/>
        <v>140.023666666667</v>
      </c>
      <c r="R505" s="119">
        <f t="shared" si="42"/>
        <v>0.00366666666664628</v>
      </c>
      <c r="S505" s="120" t="s">
        <v>106</v>
      </c>
      <c r="U505" s="67"/>
      <c r="V505" s="121"/>
      <c r="W505" s="122"/>
      <c r="X505" s="63"/>
      <c r="Y505" s="63"/>
      <c r="Z505" s="63"/>
      <c r="AA505" s="63"/>
    </row>
    <row r="506" s="59" customFormat="1" ht="16.5" outlineLevel="7" spans="1:27">
      <c r="A506" s="79"/>
      <c r="B506" s="123" t="s">
        <v>195</v>
      </c>
      <c r="C506" s="124">
        <v>100493</v>
      </c>
      <c r="D506" s="125" t="s">
        <v>559</v>
      </c>
      <c r="E506" s="126">
        <v>45138</v>
      </c>
      <c r="F506" s="111">
        <v>36</v>
      </c>
      <c r="G506" s="127">
        <v>0.05</v>
      </c>
      <c r="H506" s="128">
        <v>1326.55</v>
      </c>
      <c r="I506" s="113">
        <v>1155.21</v>
      </c>
      <c r="J506" s="113">
        <v>0</v>
      </c>
      <c r="K506" s="114">
        <f t="shared" si="38"/>
        <v>171.34</v>
      </c>
      <c r="L506" s="128">
        <v>140.02</v>
      </c>
      <c r="M506" s="115"/>
      <c r="N506" s="116"/>
      <c r="O506" s="117">
        <f t="shared" si="39"/>
        <v>46234</v>
      </c>
      <c r="P506" s="118">
        <f t="shared" si="40"/>
        <v>4</v>
      </c>
      <c r="Q506" s="119">
        <f t="shared" si="41"/>
        <v>140.024722222222</v>
      </c>
      <c r="R506" s="119">
        <f t="shared" si="42"/>
        <v>0.00472222222219898</v>
      </c>
      <c r="S506" s="120" t="s">
        <v>106</v>
      </c>
      <c r="U506" s="67"/>
      <c r="V506" s="121"/>
      <c r="W506" s="122"/>
      <c r="X506" s="63"/>
      <c r="Y506" s="63"/>
      <c r="Z506" s="63"/>
      <c r="AA506" s="63"/>
    </row>
    <row r="507" s="59" customFormat="1" ht="16.5" outlineLevel="7" spans="1:27">
      <c r="A507" s="79"/>
      <c r="B507" s="107" t="s">
        <v>195</v>
      </c>
      <c r="C507" s="108">
        <v>100494</v>
      </c>
      <c r="D507" s="109" t="s">
        <v>559</v>
      </c>
      <c r="E507" s="110">
        <v>45138</v>
      </c>
      <c r="F507" s="111">
        <v>36</v>
      </c>
      <c r="G507" s="112">
        <v>0.05</v>
      </c>
      <c r="H507" s="113">
        <v>1326.55</v>
      </c>
      <c r="I507" s="113">
        <v>1155.21</v>
      </c>
      <c r="J507" s="113">
        <v>0</v>
      </c>
      <c r="K507" s="114">
        <f t="shared" si="38"/>
        <v>171.34</v>
      </c>
      <c r="L507" s="113">
        <v>140.02</v>
      </c>
      <c r="M507" s="115"/>
      <c r="N507" s="116"/>
      <c r="O507" s="117">
        <f t="shared" si="39"/>
        <v>46234</v>
      </c>
      <c r="P507" s="118">
        <f t="shared" si="40"/>
        <v>4</v>
      </c>
      <c r="Q507" s="119">
        <f t="shared" si="41"/>
        <v>140.024722222222</v>
      </c>
      <c r="R507" s="119">
        <f t="shared" si="42"/>
        <v>0.00472222222219898</v>
      </c>
      <c r="S507" s="120" t="s">
        <v>106</v>
      </c>
      <c r="U507" s="67"/>
      <c r="V507" s="121"/>
      <c r="W507" s="122"/>
      <c r="X507" s="63"/>
      <c r="Y507" s="63"/>
      <c r="Z507" s="63"/>
      <c r="AA507" s="63"/>
    </row>
    <row r="508" s="59" customFormat="1" ht="16.5" outlineLevel="7" spans="1:27">
      <c r="A508" s="79"/>
      <c r="B508" s="107" t="s">
        <v>195</v>
      </c>
      <c r="C508" s="108">
        <v>100495</v>
      </c>
      <c r="D508" s="109" t="s">
        <v>659</v>
      </c>
      <c r="E508" s="110">
        <v>45138</v>
      </c>
      <c r="F508" s="111">
        <v>36</v>
      </c>
      <c r="G508" s="112">
        <v>0.05</v>
      </c>
      <c r="H508" s="113">
        <v>699</v>
      </c>
      <c r="I508" s="113">
        <v>608.72</v>
      </c>
      <c r="J508" s="113">
        <v>0</v>
      </c>
      <c r="K508" s="114">
        <f t="shared" si="38"/>
        <v>90.28</v>
      </c>
      <c r="L508" s="113">
        <v>73.78</v>
      </c>
      <c r="M508" s="115"/>
      <c r="N508" s="116"/>
      <c r="O508" s="117">
        <f t="shared" si="39"/>
        <v>46234</v>
      </c>
      <c r="P508" s="118">
        <f t="shared" si="40"/>
        <v>4</v>
      </c>
      <c r="Q508" s="119">
        <f t="shared" si="41"/>
        <v>73.7833333333333</v>
      </c>
      <c r="R508" s="119">
        <f t="shared" si="42"/>
        <v>0.0033333333333303</v>
      </c>
      <c r="S508" s="120" t="s">
        <v>106</v>
      </c>
      <c r="U508" s="67"/>
      <c r="V508" s="121"/>
      <c r="W508" s="122"/>
      <c r="X508" s="63"/>
      <c r="Y508" s="63"/>
      <c r="Z508" s="63"/>
      <c r="AA508" s="63"/>
    </row>
    <row r="509" s="59" customFormat="1" ht="16.5" outlineLevel="7" spans="1:27">
      <c r="A509" s="79"/>
      <c r="B509" s="123" t="s">
        <v>195</v>
      </c>
      <c r="C509" s="124">
        <v>100496</v>
      </c>
      <c r="D509" s="125" t="s">
        <v>661</v>
      </c>
      <c r="E509" s="126">
        <v>45138</v>
      </c>
      <c r="F509" s="111">
        <v>36</v>
      </c>
      <c r="G509" s="127">
        <v>0.05</v>
      </c>
      <c r="H509" s="128">
        <v>4926.54</v>
      </c>
      <c r="I509" s="113">
        <v>4290.2</v>
      </c>
      <c r="J509" s="113">
        <v>0</v>
      </c>
      <c r="K509" s="114">
        <f t="shared" si="38"/>
        <v>636.34</v>
      </c>
      <c r="L509" s="128">
        <v>520.02</v>
      </c>
      <c r="M509" s="115"/>
      <c r="N509" s="116"/>
      <c r="O509" s="117">
        <f t="shared" si="39"/>
        <v>46234</v>
      </c>
      <c r="P509" s="118">
        <f t="shared" si="40"/>
        <v>4</v>
      </c>
      <c r="Q509" s="119">
        <f t="shared" si="41"/>
        <v>520.023666666667</v>
      </c>
      <c r="R509" s="119">
        <f t="shared" si="42"/>
        <v>0.00366666666661786</v>
      </c>
      <c r="S509" s="120" t="s">
        <v>106</v>
      </c>
      <c r="U509" s="67"/>
      <c r="V509" s="121"/>
      <c r="W509" s="122"/>
      <c r="X509" s="63"/>
      <c r="Y509" s="63"/>
      <c r="Z509" s="63"/>
      <c r="AA509" s="63"/>
    </row>
    <row r="510" s="59" customFormat="1" ht="16.5" outlineLevel="7" spans="1:27">
      <c r="A510" s="79"/>
      <c r="B510" s="123" t="s">
        <v>195</v>
      </c>
      <c r="C510" s="124">
        <v>100497</v>
      </c>
      <c r="D510" s="125" t="s">
        <v>663</v>
      </c>
      <c r="E510" s="126">
        <v>45114</v>
      </c>
      <c r="F510" s="111">
        <v>36</v>
      </c>
      <c r="G510" s="127">
        <v>0.05</v>
      </c>
      <c r="H510" s="128">
        <v>1768.14</v>
      </c>
      <c r="I510" s="113">
        <v>1539.77</v>
      </c>
      <c r="J510" s="113">
        <v>0</v>
      </c>
      <c r="K510" s="114">
        <f t="shared" si="38"/>
        <v>228.37</v>
      </c>
      <c r="L510" s="128">
        <v>186.63</v>
      </c>
      <c r="M510" s="115"/>
      <c r="N510" s="116"/>
      <c r="O510" s="117">
        <f t="shared" si="39"/>
        <v>46234</v>
      </c>
      <c r="P510" s="118">
        <f t="shared" si="40"/>
        <v>4</v>
      </c>
      <c r="Q510" s="119">
        <f t="shared" si="41"/>
        <v>186.637</v>
      </c>
      <c r="R510" s="119">
        <f t="shared" si="42"/>
        <v>0.007000000000005</v>
      </c>
      <c r="S510" s="120" t="s">
        <v>106</v>
      </c>
      <c r="U510" s="67"/>
      <c r="V510" s="121"/>
      <c r="W510" s="122"/>
      <c r="X510" s="63"/>
      <c r="Y510" s="63"/>
      <c r="Z510" s="63"/>
      <c r="AA510" s="63"/>
    </row>
    <row r="511" s="59" customFormat="1" ht="16.5" outlineLevel="7" spans="1:27">
      <c r="A511" s="79"/>
      <c r="B511" s="123" t="s">
        <v>195</v>
      </c>
      <c r="C511" s="124">
        <v>100498</v>
      </c>
      <c r="D511" s="125" t="s">
        <v>665</v>
      </c>
      <c r="E511" s="126">
        <v>45168</v>
      </c>
      <c r="F511" s="111">
        <v>36</v>
      </c>
      <c r="G511" s="127">
        <v>0.05</v>
      </c>
      <c r="H511" s="128">
        <v>27433.63</v>
      </c>
      <c r="I511" s="113">
        <v>23166.17</v>
      </c>
      <c r="J511" s="113">
        <v>0</v>
      </c>
      <c r="K511" s="114">
        <f t="shared" si="38"/>
        <v>4267.46</v>
      </c>
      <c r="L511" s="128">
        <v>2895.78</v>
      </c>
      <c r="M511" s="115"/>
      <c r="N511" s="116"/>
      <c r="O511" s="117">
        <f t="shared" si="39"/>
        <v>46265</v>
      </c>
      <c r="P511" s="118">
        <f t="shared" si="40"/>
        <v>4</v>
      </c>
      <c r="Q511" s="119">
        <f t="shared" si="41"/>
        <v>2895.77205555556</v>
      </c>
      <c r="R511" s="119">
        <f t="shared" si="42"/>
        <v>-0.00794444444500186</v>
      </c>
      <c r="S511" s="120" t="s">
        <v>106</v>
      </c>
      <c r="U511" s="67"/>
      <c r="V511" s="121"/>
      <c r="W511" s="122"/>
      <c r="X511" s="63"/>
      <c r="Y511" s="63"/>
      <c r="Z511" s="63"/>
      <c r="AA511" s="63"/>
    </row>
    <row r="512" s="59" customFormat="1" ht="16.5" outlineLevel="7" spans="1:27">
      <c r="A512" s="79"/>
      <c r="B512" s="123" t="s">
        <v>195</v>
      </c>
      <c r="C512" s="124">
        <v>100499</v>
      </c>
      <c r="D512" s="125" t="s">
        <v>545</v>
      </c>
      <c r="E512" s="126">
        <v>45175</v>
      </c>
      <c r="F512" s="111">
        <v>36</v>
      </c>
      <c r="G512" s="127">
        <v>0.05</v>
      </c>
      <c r="H512" s="128">
        <v>4512.39</v>
      </c>
      <c r="I512" s="113">
        <v>3691.4</v>
      </c>
      <c r="J512" s="113">
        <v>0</v>
      </c>
      <c r="K512" s="114">
        <f t="shared" si="38"/>
        <v>820.99</v>
      </c>
      <c r="L512" s="128">
        <v>476.3</v>
      </c>
      <c r="M512" s="115"/>
      <c r="N512" s="116"/>
      <c r="O512" s="117">
        <f t="shared" si="39"/>
        <v>46295</v>
      </c>
      <c r="P512" s="118">
        <f t="shared" si="40"/>
        <v>4</v>
      </c>
      <c r="Q512" s="119">
        <f t="shared" si="41"/>
        <v>476.307833333333</v>
      </c>
      <c r="R512" s="119">
        <f t="shared" si="42"/>
        <v>0.00783333333339442</v>
      </c>
      <c r="S512" s="120" t="s">
        <v>106</v>
      </c>
      <c r="U512" s="67"/>
      <c r="V512" s="121"/>
      <c r="W512" s="122"/>
      <c r="X512" s="63"/>
      <c r="Y512" s="63"/>
      <c r="Z512" s="63"/>
      <c r="AA512" s="63"/>
    </row>
    <row r="513" s="59" customFormat="1" ht="16.5" outlineLevel="7" spans="1:27">
      <c r="A513" s="79"/>
      <c r="B513" s="123" t="s">
        <v>195</v>
      </c>
      <c r="C513" s="124">
        <v>100500</v>
      </c>
      <c r="D513" s="125" t="s">
        <v>545</v>
      </c>
      <c r="E513" s="126">
        <v>45191</v>
      </c>
      <c r="F513" s="111">
        <v>36</v>
      </c>
      <c r="G513" s="127">
        <v>0.05</v>
      </c>
      <c r="H513" s="128">
        <v>4689.38</v>
      </c>
      <c r="I513" s="113">
        <v>3836.19</v>
      </c>
      <c r="J513" s="113">
        <v>0</v>
      </c>
      <c r="K513" s="114">
        <f t="shared" si="38"/>
        <v>853.19</v>
      </c>
      <c r="L513" s="128">
        <v>494.98</v>
      </c>
      <c r="M513" s="115"/>
      <c r="N513" s="116"/>
      <c r="O513" s="117">
        <f t="shared" si="39"/>
        <v>46295</v>
      </c>
      <c r="P513" s="118">
        <f t="shared" si="40"/>
        <v>4</v>
      </c>
      <c r="Q513" s="119">
        <f t="shared" si="41"/>
        <v>494.990111111111</v>
      </c>
      <c r="R513" s="119">
        <f t="shared" si="42"/>
        <v>0.0101111111110868</v>
      </c>
      <c r="S513" s="120" t="s">
        <v>106</v>
      </c>
      <c r="U513" s="67"/>
      <c r="V513" s="121"/>
      <c r="W513" s="122"/>
      <c r="X513" s="63"/>
      <c r="Y513" s="63"/>
      <c r="Z513" s="63"/>
      <c r="AA513" s="63"/>
    </row>
    <row r="514" s="59" customFormat="1" ht="16.5" outlineLevel="7" spans="1:27">
      <c r="A514" s="79"/>
      <c r="B514" s="107" t="s">
        <v>195</v>
      </c>
      <c r="C514" s="108">
        <v>100501</v>
      </c>
      <c r="D514" s="109" t="s">
        <v>559</v>
      </c>
      <c r="E514" s="110">
        <v>45184</v>
      </c>
      <c r="F514" s="111">
        <v>36</v>
      </c>
      <c r="G514" s="112">
        <v>0.05</v>
      </c>
      <c r="H514" s="113">
        <v>485.84</v>
      </c>
      <c r="I514" s="113">
        <v>397.43</v>
      </c>
      <c r="J514" s="113">
        <v>0</v>
      </c>
      <c r="K514" s="114">
        <f t="shared" si="38"/>
        <v>88.41</v>
      </c>
      <c r="L514" s="113">
        <v>51.29</v>
      </c>
      <c r="M514" s="115"/>
      <c r="N514" s="116"/>
      <c r="O514" s="117">
        <f t="shared" si="39"/>
        <v>46295</v>
      </c>
      <c r="P514" s="118">
        <f t="shared" si="40"/>
        <v>4</v>
      </c>
      <c r="Q514" s="119">
        <f t="shared" si="41"/>
        <v>51.2831111111111</v>
      </c>
      <c r="R514" s="119">
        <f t="shared" si="42"/>
        <v>-0.00688888888889494</v>
      </c>
      <c r="S514" s="120" t="s">
        <v>106</v>
      </c>
      <c r="U514" s="67"/>
      <c r="V514" s="121"/>
      <c r="W514" s="122"/>
      <c r="X514" s="63"/>
      <c r="Y514" s="63"/>
      <c r="Z514" s="63"/>
      <c r="AA514" s="63"/>
    </row>
    <row r="515" s="59" customFormat="1" ht="16.5" outlineLevel="7" spans="1:27">
      <c r="A515" s="79"/>
      <c r="B515" s="107" t="s">
        <v>195</v>
      </c>
      <c r="C515" s="108">
        <v>100502</v>
      </c>
      <c r="D515" s="109" t="s">
        <v>559</v>
      </c>
      <c r="E515" s="110">
        <v>45218</v>
      </c>
      <c r="F515" s="111">
        <v>36</v>
      </c>
      <c r="G515" s="112">
        <v>0.05</v>
      </c>
      <c r="H515" s="113">
        <v>1574.33</v>
      </c>
      <c r="I515" s="113">
        <v>1246.34</v>
      </c>
      <c r="J515" s="113">
        <v>0</v>
      </c>
      <c r="K515" s="114">
        <f t="shared" si="38"/>
        <v>327.99</v>
      </c>
      <c r="L515" s="113">
        <v>166.18</v>
      </c>
      <c r="M515" s="115"/>
      <c r="N515" s="116"/>
      <c r="O515" s="117">
        <f t="shared" si="39"/>
        <v>46326</v>
      </c>
      <c r="P515" s="118">
        <f t="shared" si="40"/>
        <v>4</v>
      </c>
      <c r="Q515" s="119">
        <f t="shared" si="41"/>
        <v>166.179277777778</v>
      </c>
      <c r="R515" s="119">
        <f t="shared" si="42"/>
        <v>-0.000722222222236724</v>
      </c>
      <c r="S515" s="120" t="s">
        <v>106</v>
      </c>
      <c r="U515" s="67"/>
      <c r="V515" s="121"/>
      <c r="W515" s="122"/>
      <c r="X515" s="63"/>
      <c r="Y515" s="63"/>
      <c r="Z515" s="63"/>
      <c r="AA515" s="63"/>
    </row>
    <row r="516" s="59" customFormat="1" ht="16.5" outlineLevel="7" spans="1:27">
      <c r="A516" s="79"/>
      <c r="B516" s="123" t="s">
        <v>195</v>
      </c>
      <c r="C516" s="124">
        <v>100503</v>
      </c>
      <c r="D516" s="125" t="s">
        <v>559</v>
      </c>
      <c r="E516" s="126">
        <v>45218</v>
      </c>
      <c r="F516" s="111">
        <v>36</v>
      </c>
      <c r="G516" s="127">
        <v>0.05</v>
      </c>
      <c r="H516" s="128">
        <v>1574.34</v>
      </c>
      <c r="I516" s="113">
        <v>1246.35</v>
      </c>
      <c r="J516" s="113">
        <v>0</v>
      </c>
      <c r="K516" s="114">
        <f t="shared" si="38"/>
        <v>327.99</v>
      </c>
      <c r="L516" s="128">
        <v>166.18</v>
      </c>
      <c r="M516" s="115"/>
      <c r="N516" s="116"/>
      <c r="O516" s="117">
        <f t="shared" si="39"/>
        <v>46326</v>
      </c>
      <c r="P516" s="118">
        <f t="shared" si="40"/>
        <v>4</v>
      </c>
      <c r="Q516" s="119">
        <f t="shared" si="41"/>
        <v>166.180333333333</v>
      </c>
      <c r="R516" s="119">
        <f t="shared" si="42"/>
        <v>0.000333333333315977</v>
      </c>
      <c r="S516" s="120" t="s">
        <v>106</v>
      </c>
      <c r="U516" s="67"/>
      <c r="V516" s="121"/>
      <c r="W516" s="122"/>
      <c r="X516" s="63"/>
      <c r="Y516" s="63"/>
      <c r="Z516" s="63"/>
      <c r="AA516" s="63"/>
    </row>
    <row r="517" s="59" customFormat="1" ht="16.5" outlineLevel="7" spans="1:27">
      <c r="A517" s="79"/>
      <c r="B517" s="123" t="s">
        <v>195</v>
      </c>
      <c r="C517" s="124">
        <v>100504</v>
      </c>
      <c r="D517" s="125" t="s">
        <v>559</v>
      </c>
      <c r="E517" s="126">
        <v>45218</v>
      </c>
      <c r="F517" s="111">
        <v>36</v>
      </c>
      <c r="G517" s="127">
        <v>0.05</v>
      </c>
      <c r="H517" s="128">
        <v>1574.34</v>
      </c>
      <c r="I517" s="113">
        <v>1246.35</v>
      </c>
      <c r="J517" s="113">
        <v>0</v>
      </c>
      <c r="K517" s="114">
        <f t="shared" si="38"/>
        <v>327.99</v>
      </c>
      <c r="L517" s="128">
        <v>166.18</v>
      </c>
      <c r="M517" s="115"/>
      <c r="N517" s="116"/>
      <c r="O517" s="117">
        <f t="shared" si="39"/>
        <v>46326</v>
      </c>
      <c r="P517" s="118">
        <f t="shared" si="40"/>
        <v>4</v>
      </c>
      <c r="Q517" s="119">
        <f t="shared" si="41"/>
        <v>166.180333333333</v>
      </c>
      <c r="R517" s="119">
        <f t="shared" si="42"/>
        <v>0.000333333333315977</v>
      </c>
      <c r="S517" s="120" t="s">
        <v>106</v>
      </c>
      <c r="U517" s="67"/>
      <c r="V517" s="121"/>
      <c r="W517" s="122"/>
      <c r="X517" s="63"/>
      <c r="Y517" s="63"/>
      <c r="Z517" s="63"/>
      <c r="AA517" s="63"/>
    </row>
    <row r="518" s="59" customFormat="1" ht="16.5" outlineLevel="7" spans="1:27">
      <c r="A518" s="79"/>
      <c r="B518" s="123" t="s">
        <v>195</v>
      </c>
      <c r="C518" s="124">
        <v>100505</v>
      </c>
      <c r="D518" s="125" t="s">
        <v>670</v>
      </c>
      <c r="E518" s="126">
        <v>45211</v>
      </c>
      <c r="F518" s="111">
        <v>36</v>
      </c>
      <c r="G518" s="127">
        <v>0.05</v>
      </c>
      <c r="H518" s="128">
        <v>5780.53</v>
      </c>
      <c r="I518" s="113">
        <v>4576.23</v>
      </c>
      <c r="J518" s="113">
        <v>0</v>
      </c>
      <c r="K518" s="114">
        <f t="shared" si="38"/>
        <v>1204.3</v>
      </c>
      <c r="L518" s="128">
        <v>610.18</v>
      </c>
      <c r="M518" s="115"/>
      <c r="N518" s="116"/>
      <c r="O518" s="117">
        <f t="shared" si="39"/>
        <v>46326</v>
      </c>
      <c r="P518" s="118">
        <f t="shared" si="40"/>
        <v>4</v>
      </c>
      <c r="Q518" s="119">
        <f t="shared" si="41"/>
        <v>610.167055555556</v>
      </c>
      <c r="R518" s="119">
        <f t="shared" si="42"/>
        <v>-0.0129444444444289</v>
      </c>
      <c r="S518" s="120" t="s">
        <v>106</v>
      </c>
      <c r="U518" s="67"/>
      <c r="V518" s="121"/>
      <c r="W518" s="122"/>
      <c r="X518" s="63"/>
      <c r="Y518" s="63"/>
      <c r="Z518" s="63"/>
      <c r="AA518" s="63"/>
    </row>
    <row r="519" s="59" customFormat="1" ht="16.5" outlineLevel="7" spans="1:27">
      <c r="A519" s="79"/>
      <c r="B519" s="123" t="s">
        <v>195</v>
      </c>
      <c r="C519" s="124">
        <v>100506</v>
      </c>
      <c r="D519" s="125" t="s">
        <v>545</v>
      </c>
      <c r="E519" s="126">
        <v>45257</v>
      </c>
      <c r="F519" s="111">
        <v>36</v>
      </c>
      <c r="G519" s="127">
        <v>0.05</v>
      </c>
      <c r="H519" s="128">
        <v>4512.39</v>
      </c>
      <c r="I519" s="113">
        <v>3453.25</v>
      </c>
      <c r="J519" s="113">
        <v>0</v>
      </c>
      <c r="K519" s="114">
        <f t="shared" si="38"/>
        <v>1059.14</v>
      </c>
      <c r="L519" s="128">
        <v>476.3</v>
      </c>
      <c r="M519" s="115"/>
      <c r="N519" s="116"/>
      <c r="O519" s="117">
        <f t="shared" si="39"/>
        <v>46356</v>
      </c>
      <c r="P519" s="118">
        <f t="shared" si="40"/>
        <v>4</v>
      </c>
      <c r="Q519" s="119">
        <f t="shared" si="41"/>
        <v>476.307833333333</v>
      </c>
      <c r="R519" s="119">
        <f t="shared" si="42"/>
        <v>0.00783333333339442</v>
      </c>
      <c r="S519" s="120" t="s">
        <v>106</v>
      </c>
      <c r="U519" s="67"/>
      <c r="V519" s="121"/>
      <c r="W519" s="122"/>
      <c r="X519" s="63"/>
      <c r="Y519" s="63"/>
      <c r="Z519" s="63"/>
      <c r="AA519" s="63"/>
    </row>
    <row r="520" s="59" customFormat="1" ht="16.5" outlineLevel="7" spans="1:27">
      <c r="A520" s="79"/>
      <c r="B520" s="123" t="s">
        <v>195</v>
      </c>
      <c r="C520" s="124">
        <v>100507</v>
      </c>
      <c r="D520" s="125" t="s">
        <v>545</v>
      </c>
      <c r="E520" s="126">
        <v>45257</v>
      </c>
      <c r="F520" s="111">
        <v>36</v>
      </c>
      <c r="G520" s="127">
        <v>0.05</v>
      </c>
      <c r="H520" s="128">
        <v>4512.39</v>
      </c>
      <c r="I520" s="113">
        <v>3453.25</v>
      </c>
      <c r="J520" s="113">
        <v>0</v>
      </c>
      <c r="K520" s="114">
        <f t="shared" si="38"/>
        <v>1059.14</v>
      </c>
      <c r="L520" s="128">
        <v>476.3</v>
      </c>
      <c r="M520" s="115"/>
      <c r="N520" s="116"/>
      <c r="O520" s="117">
        <f t="shared" si="39"/>
        <v>46356</v>
      </c>
      <c r="P520" s="118">
        <f t="shared" si="40"/>
        <v>4</v>
      </c>
      <c r="Q520" s="119">
        <f t="shared" si="41"/>
        <v>476.307833333333</v>
      </c>
      <c r="R520" s="119">
        <f t="shared" si="42"/>
        <v>0.00783333333339442</v>
      </c>
      <c r="S520" s="120" t="s">
        <v>106</v>
      </c>
      <c r="U520" s="67"/>
      <c r="V520" s="121"/>
      <c r="W520" s="122"/>
      <c r="X520" s="63"/>
      <c r="Y520" s="63"/>
      <c r="Z520" s="63"/>
      <c r="AA520" s="63"/>
    </row>
    <row r="521" s="59" customFormat="1" ht="16.5" outlineLevel="7" spans="1:27">
      <c r="A521" s="79"/>
      <c r="B521" s="107" t="s">
        <v>195</v>
      </c>
      <c r="C521" s="108">
        <v>100508</v>
      </c>
      <c r="D521" s="109" t="s">
        <v>545</v>
      </c>
      <c r="E521" s="110">
        <v>45257</v>
      </c>
      <c r="F521" s="111">
        <v>36</v>
      </c>
      <c r="G521" s="112">
        <v>0.05</v>
      </c>
      <c r="H521" s="113">
        <v>4512.39</v>
      </c>
      <c r="I521" s="113">
        <v>3453.25</v>
      </c>
      <c r="J521" s="113">
        <v>0</v>
      </c>
      <c r="K521" s="114">
        <f t="shared" ref="K521:K584" si="43">H521-I521-J521</f>
        <v>1059.14</v>
      </c>
      <c r="L521" s="113">
        <v>476.3</v>
      </c>
      <c r="M521" s="115"/>
      <c r="N521" s="116"/>
      <c r="O521" s="117">
        <f t="shared" ref="O521:O584" si="44">IFERROR(EOMONTH(E521,F521),"")</f>
        <v>46356</v>
      </c>
      <c r="P521" s="118">
        <f t="shared" ref="P521:P584" si="45">IFERROR(IF(OR(AND(M521&lt;&gt;"",YEAR(M521)&lt;YEAR($L$6)),AND(O521&lt;&gt;"",YEAR(O521)&lt;YEAR($L$6))),0,IF(YEAR(E521)&gt;YEAR($L$6),0,IF(OR((IF(YEAR(E521)&lt;YEAR($L$6),1,IF(MONTH(E521)=12,99,MONTH(E521)+1))&gt;12),(IF(YEAR(E521)&lt;YEAR($L$6),1,IF(MONTH(E521)=12,99,MONTH(E521)+1))&gt;MIN(MONTH($L$6),IF(AND(M521&lt;&gt;"",YEAR(M521)=YEAR($L$6)),MONTH(M521),99),IF(AND(O521&lt;&gt;"",YEAR(O521)=YEAR($L$6)),MONTH(O521),99)))),0,MIN(MONTH($L$6),IF(AND(M521&lt;&gt;"",YEAR(M521)=YEAR($L$6)),MONTH(M521),99),IF(AND(O521&lt;&gt;"",YEAR(O521)=YEAR($L$6)),MONTH(O521),99))-IF(YEAR(E521)&lt;YEAR($L$6),1,IF(MONTH(E521)=12,99,MONTH(E521)+1))+1))),0)</f>
        <v>4</v>
      </c>
      <c r="Q521" s="119">
        <f t="shared" si="41"/>
        <v>476.307833333333</v>
      </c>
      <c r="R521" s="119">
        <f t="shared" si="42"/>
        <v>0.00783333333339442</v>
      </c>
      <c r="S521" s="120" t="s">
        <v>106</v>
      </c>
      <c r="U521" s="67"/>
      <c r="V521" s="121"/>
      <c r="W521" s="122"/>
      <c r="X521" s="63"/>
      <c r="Y521" s="63"/>
      <c r="Z521" s="63"/>
      <c r="AA521" s="63"/>
    </row>
    <row r="522" s="59" customFormat="1" ht="16.5" outlineLevel="7" spans="1:27">
      <c r="A522" s="79"/>
      <c r="B522" s="107" t="s">
        <v>195</v>
      </c>
      <c r="C522" s="108">
        <v>100509</v>
      </c>
      <c r="D522" s="109" t="s">
        <v>545</v>
      </c>
      <c r="E522" s="110">
        <v>45257</v>
      </c>
      <c r="F522" s="111">
        <v>36</v>
      </c>
      <c r="G522" s="112">
        <v>0.05</v>
      </c>
      <c r="H522" s="113">
        <v>4512.39</v>
      </c>
      <c r="I522" s="113">
        <v>3453.25</v>
      </c>
      <c r="J522" s="113">
        <v>0</v>
      </c>
      <c r="K522" s="114">
        <f t="shared" si="43"/>
        <v>1059.14</v>
      </c>
      <c r="L522" s="113">
        <v>476.3</v>
      </c>
      <c r="M522" s="115"/>
      <c r="N522" s="116"/>
      <c r="O522" s="117">
        <f t="shared" si="44"/>
        <v>46356</v>
      </c>
      <c r="P522" s="118">
        <f t="shared" si="45"/>
        <v>4</v>
      </c>
      <c r="Q522" s="119">
        <f t="shared" si="41"/>
        <v>476.307833333333</v>
      </c>
      <c r="R522" s="119">
        <f t="shared" si="42"/>
        <v>0.00783333333339442</v>
      </c>
      <c r="S522" s="120" t="s">
        <v>106</v>
      </c>
      <c r="U522" s="67"/>
      <c r="V522" s="121"/>
      <c r="W522" s="122"/>
      <c r="X522" s="63"/>
      <c r="Y522" s="63"/>
      <c r="Z522" s="63"/>
      <c r="AA522" s="63"/>
    </row>
    <row r="523" s="59" customFormat="1" ht="16.5" outlineLevel="7" spans="1:27">
      <c r="A523" s="79"/>
      <c r="B523" s="123" t="s">
        <v>195</v>
      </c>
      <c r="C523" s="124">
        <v>100510</v>
      </c>
      <c r="D523" s="125" t="s">
        <v>545</v>
      </c>
      <c r="E523" s="126">
        <v>45257</v>
      </c>
      <c r="F523" s="111">
        <v>36</v>
      </c>
      <c r="G523" s="127">
        <v>0.05</v>
      </c>
      <c r="H523" s="128">
        <v>4512.39</v>
      </c>
      <c r="I523" s="113">
        <v>3453.25</v>
      </c>
      <c r="J523" s="113">
        <v>0</v>
      </c>
      <c r="K523" s="114">
        <f t="shared" si="43"/>
        <v>1059.14</v>
      </c>
      <c r="L523" s="128">
        <v>476.3</v>
      </c>
      <c r="M523" s="115"/>
      <c r="N523" s="116"/>
      <c r="O523" s="117">
        <f t="shared" si="44"/>
        <v>46356</v>
      </c>
      <c r="P523" s="118">
        <f t="shared" si="45"/>
        <v>4</v>
      </c>
      <c r="Q523" s="119">
        <f t="shared" si="41"/>
        <v>476.307833333333</v>
      </c>
      <c r="R523" s="119">
        <f t="shared" si="42"/>
        <v>0.00783333333339442</v>
      </c>
      <c r="S523" s="120" t="s">
        <v>106</v>
      </c>
      <c r="U523" s="67"/>
      <c r="V523" s="121"/>
      <c r="W523" s="122"/>
      <c r="X523" s="63"/>
      <c r="Y523" s="63"/>
      <c r="Z523" s="63"/>
      <c r="AA523" s="63"/>
    </row>
    <row r="524" s="59" customFormat="1" ht="16.5" outlineLevel="7" spans="1:27">
      <c r="A524" s="79"/>
      <c r="B524" s="123" t="s">
        <v>195</v>
      </c>
      <c r="C524" s="124">
        <v>100511</v>
      </c>
      <c r="D524" s="125" t="s">
        <v>559</v>
      </c>
      <c r="E524" s="126">
        <v>45257</v>
      </c>
      <c r="F524" s="111">
        <v>36</v>
      </c>
      <c r="G524" s="127">
        <v>0.05</v>
      </c>
      <c r="H524" s="128">
        <v>1574.34</v>
      </c>
      <c r="I524" s="113">
        <v>1204.81</v>
      </c>
      <c r="J524" s="113">
        <v>0</v>
      </c>
      <c r="K524" s="114">
        <f t="shared" si="43"/>
        <v>369.53</v>
      </c>
      <c r="L524" s="128">
        <v>166.18</v>
      </c>
      <c r="M524" s="115"/>
      <c r="N524" s="116"/>
      <c r="O524" s="117">
        <f t="shared" si="44"/>
        <v>46356</v>
      </c>
      <c r="P524" s="118">
        <f t="shared" si="45"/>
        <v>4</v>
      </c>
      <c r="Q524" s="119">
        <f t="shared" si="41"/>
        <v>166.180333333333</v>
      </c>
      <c r="R524" s="119">
        <f t="shared" si="42"/>
        <v>0.000333333333315977</v>
      </c>
      <c r="S524" s="120" t="s">
        <v>106</v>
      </c>
      <c r="U524" s="67"/>
      <c r="V524" s="121"/>
      <c r="W524" s="122"/>
      <c r="X524" s="63"/>
      <c r="Y524" s="63"/>
      <c r="Z524" s="63"/>
      <c r="AA524" s="63"/>
    </row>
    <row r="525" s="59" customFormat="1" ht="16.5" outlineLevel="7" spans="1:27">
      <c r="A525" s="79"/>
      <c r="B525" s="123" t="s">
        <v>195</v>
      </c>
      <c r="C525" s="124">
        <v>100512</v>
      </c>
      <c r="D525" s="125" t="s">
        <v>559</v>
      </c>
      <c r="E525" s="126">
        <v>45257</v>
      </c>
      <c r="F525" s="111">
        <v>36</v>
      </c>
      <c r="G525" s="127">
        <v>0.05</v>
      </c>
      <c r="H525" s="128">
        <v>1574.34</v>
      </c>
      <c r="I525" s="113">
        <v>1204.81</v>
      </c>
      <c r="J525" s="113">
        <v>0</v>
      </c>
      <c r="K525" s="114">
        <f t="shared" si="43"/>
        <v>369.53</v>
      </c>
      <c r="L525" s="128">
        <v>166.18</v>
      </c>
      <c r="M525" s="115"/>
      <c r="N525" s="116"/>
      <c r="O525" s="117">
        <f t="shared" si="44"/>
        <v>46356</v>
      </c>
      <c r="P525" s="118">
        <f t="shared" si="45"/>
        <v>4</v>
      </c>
      <c r="Q525" s="119">
        <f t="shared" si="41"/>
        <v>166.180333333333</v>
      </c>
      <c r="R525" s="119">
        <f t="shared" si="42"/>
        <v>0.000333333333315977</v>
      </c>
      <c r="S525" s="120" t="s">
        <v>106</v>
      </c>
      <c r="U525" s="67"/>
      <c r="V525" s="121"/>
      <c r="W525" s="122"/>
      <c r="X525" s="63"/>
      <c r="Y525" s="63"/>
      <c r="Z525" s="63"/>
      <c r="AA525" s="63"/>
    </row>
    <row r="526" s="59" customFormat="1" ht="16.5" outlineLevel="7" spans="1:27">
      <c r="A526" s="79"/>
      <c r="B526" s="123" t="s">
        <v>195</v>
      </c>
      <c r="C526" s="124">
        <v>100513</v>
      </c>
      <c r="D526" s="125" t="s">
        <v>559</v>
      </c>
      <c r="E526" s="126">
        <v>45257</v>
      </c>
      <c r="F526" s="111">
        <v>36</v>
      </c>
      <c r="G526" s="127">
        <v>0.05</v>
      </c>
      <c r="H526" s="128">
        <v>1574.34</v>
      </c>
      <c r="I526" s="113">
        <v>1204.81</v>
      </c>
      <c r="J526" s="113">
        <v>0</v>
      </c>
      <c r="K526" s="114">
        <f t="shared" si="43"/>
        <v>369.53</v>
      </c>
      <c r="L526" s="128">
        <v>166.18</v>
      </c>
      <c r="M526" s="115"/>
      <c r="N526" s="116"/>
      <c r="O526" s="117">
        <f t="shared" si="44"/>
        <v>46356</v>
      </c>
      <c r="P526" s="118">
        <f t="shared" si="45"/>
        <v>4</v>
      </c>
      <c r="Q526" s="119">
        <f t="shared" si="41"/>
        <v>166.180333333333</v>
      </c>
      <c r="R526" s="119">
        <f t="shared" si="42"/>
        <v>0.000333333333315977</v>
      </c>
      <c r="S526" s="120" t="s">
        <v>106</v>
      </c>
      <c r="U526" s="67"/>
      <c r="V526" s="121"/>
      <c r="W526" s="122"/>
      <c r="X526" s="63"/>
      <c r="Y526" s="63"/>
      <c r="Z526" s="63"/>
      <c r="AA526" s="63"/>
    </row>
    <row r="527" s="59" customFormat="1" ht="16.5" outlineLevel="7" spans="1:27">
      <c r="A527" s="79"/>
      <c r="B527" s="123" t="s">
        <v>195</v>
      </c>
      <c r="C527" s="124">
        <v>100514</v>
      </c>
      <c r="D527" s="125" t="s">
        <v>559</v>
      </c>
      <c r="E527" s="126">
        <v>45257</v>
      </c>
      <c r="F527" s="111">
        <v>36</v>
      </c>
      <c r="G527" s="127">
        <v>0.05</v>
      </c>
      <c r="H527" s="128">
        <v>1574.34</v>
      </c>
      <c r="I527" s="113">
        <v>1204.81</v>
      </c>
      <c r="J527" s="113">
        <v>0</v>
      </c>
      <c r="K527" s="114">
        <f t="shared" si="43"/>
        <v>369.53</v>
      </c>
      <c r="L527" s="128">
        <v>166.18</v>
      </c>
      <c r="M527" s="115"/>
      <c r="N527" s="116"/>
      <c r="O527" s="117">
        <f t="shared" si="44"/>
        <v>46356</v>
      </c>
      <c r="P527" s="118">
        <f t="shared" si="45"/>
        <v>4</v>
      </c>
      <c r="Q527" s="119">
        <f t="shared" si="41"/>
        <v>166.180333333333</v>
      </c>
      <c r="R527" s="119">
        <f t="shared" si="42"/>
        <v>0.000333333333315977</v>
      </c>
      <c r="S527" s="120" t="s">
        <v>106</v>
      </c>
      <c r="U527" s="67"/>
      <c r="V527" s="121"/>
      <c r="W527" s="122"/>
      <c r="X527" s="63"/>
      <c r="Y527" s="63"/>
      <c r="Z527" s="63"/>
      <c r="AA527" s="63"/>
    </row>
    <row r="528" s="59" customFormat="1" ht="16.5" outlineLevel="7" spans="1:27">
      <c r="A528" s="79"/>
      <c r="B528" s="107" t="s">
        <v>195</v>
      </c>
      <c r="C528" s="108">
        <v>100515</v>
      </c>
      <c r="D528" s="109" t="s">
        <v>559</v>
      </c>
      <c r="E528" s="110">
        <v>45257</v>
      </c>
      <c r="F528" s="111">
        <v>36</v>
      </c>
      <c r="G528" s="112">
        <v>0.05</v>
      </c>
      <c r="H528" s="113">
        <v>1574.33</v>
      </c>
      <c r="I528" s="113">
        <v>1204.8</v>
      </c>
      <c r="J528" s="113">
        <v>0</v>
      </c>
      <c r="K528" s="114">
        <f t="shared" si="43"/>
        <v>369.53</v>
      </c>
      <c r="L528" s="113">
        <v>166.18</v>
      </c>
      <c r="M528" s="115"/>
      <c r="N528" s="116"/>
      <c r="O528" s="117">
        <f t="shared" si="44"/>
        <v>46356</v>
      </c>
      <c r="P528" s="118">
        <f t="shared" si="45"/>
        <v>4</v>
      </c>
      <c r="Q528" s="119">
        <f t="shared" si="41"/>
        <v>166.179277777778</v>
      </c>
      <c r="R528" s="119">
        <f t="shared" si="42"/>
        <v>-0.000722222222236724</v>
      </c>
      <c r="S528" s="120" t="s">
        <v>106</v>
      </c>
      <c r="U528" s="67"/>
      <c r="V528" s="121"/>
      <c r="W528" s="122"/>
      <c r="X528" s="63"/>
      <c r="Y528" s="63"/>
      <c r="Z528" s="63"/>
      <c r="AA528" s="63"/>
    </row>
    <row r="529" s="59" customFormat="1" ht="16.5" outlineLevel="7" spans="1:27">
      <c r="A529" s="79"/>
      <c r="B529" s="107" t="s">
        <v>195</v>
      </c>
      <c r="C529" s="108">
        <v>100516</v>
      </c>
      <c r="D529" s="109" t="s">
        <v>559</v>
      </c>
      <c r="E529" s="110">
        <v>45257</v>
      </c>
      <c r="F529" s="111">
        <v>36</v>
      </c>
      <c r="G529" s="112">
        <v>0.05</v>
      </c>
      <c r="H529" s="113">
        <v>1574.33</v>
      </c>
      <c r="I529" s="113">
        <v>1204.8</v>
      </c>
      <c r="J529" s="113">
        <v>0</v>
      </c>
      <c r="K529" s="114">
        <f t="shared" si="43"/>
        <v>369.53</v>
      </c>
      <c r="L529" s="113">
        <v>166.18</v>
      </c>
      <c r="M529" s="115"/>
      <c r="N529" s="116"/>
      <c r="O529" s="117">
        <f t="shared" si="44"/>
        <v>46356</v>
      </c>
      <c r="P529" s="118">
        <f t="shared" si="45"/>
        <v>4</v>
      </c>
      <c r="Q529" s="119">
        <f t="shared" si="41"/>
        <v>166.179277777778</v>
      </c>
      <c r="R529" s="119">
        <f t="shared" si="42"/>
        <v>-0.000722222222236724</v>
      </c>
      <c r="S529" s="120" t="s">
        <v>106</v>
      </c>
      <c r="U529" s="67"/>
      <c r="V529" s="121"/>
      <c r="W529" s="122"/>
      <c r="X529" s="63"/>
      <c r="Y529" s="63"/>
      <c r="Z529" s="63"/>
      <c r="AA529" s="63"/>
    </row>
    <row r="530" s="59" customFormat="1" ht="16.5" outlineLevel="7" spans="1:27">
      <c r="A530" s="79"/>
      <c r="B530" s="123" t="s">
        <v>195</v>
      </c>
      <c r="C530" s="124">
        <v>100517</v>
      </c>
      <c r="D530" s="125" t="s">
        <v>671</v>
      </c>
      <c r="E530" s="126">
        <v>45271</v>
      </c>
      <c r="F530" s="111">
        <v>36</v>
      </c>
      <c r="G530" s="127">
        <v>0.05</v>
      </c>
      <c r="H530" s="128">
        <v>2389.38</v>
      </c>
      <c r="I530" s="113">
        <v>1765.47</v>
      </c>
      <c r="J530" s="113">
        <v>0</v>
      </c>
      <c r="K530" s="114">
        <f t="shared" si="43"/>
        <v>623.91</v>
      </c>
      <c r="L530" s="128">
        <v>252.22</v>
      </c>
      <c r="M530" s="115"/>
      <c r="N530" s="116"/>
      <c r="O530" s="117">
        <f t="shared" si="44"/>
        <v>46387</v>
      </c>
      <c r="P530" s="118">
        <f t="shared" si="45"/>
        <v>4</v>
      </c>
      <c r="Q530" s="119">
        <f t="shared" si="41"/>
        <v>252.212333333333</v>
      </c>
      <c r="R530" s="119">
        <f t="shared" si="42"/>
        <v>-0.00766666666666538</v>
      </c>
      <c r="S530" s="120" t="s">
        <v>106</v>
      </c>
      <c r="U530" s="67"/>
      <c r="V530" s="121"/>
      <c r="W530" s="122"/>
      <c r="X530" s="63"/>
      <c r="Y530" s="63"/>
      <c r="Z530" s="63"/>
      <c r="AA530" s="63"/>
    </row>
    <row r="531" s="59" customFormat="1" ht="16.5" outlineLevel="7" spans="1:27">
      <c r="A531" s="79"/>
      <c r="B531" s="123" t="s">
        <v>195</v>
      </c>
      <c r="C531" s="124">
        <v>100518</v>
      </c>
      <c r="D531" s="125" t="s">
        <v>671</v>
      </c>
      <c r="E531" s="126">
        <v>45271</v>
      </c>
      <c r="F531" s="111">
        <v>36</v>
      </c>
      <c r="G531" s="127">
        <v>0.05</v>
      </c>
      <c r="H531" s="128">
        <v>2389.38</v>
      </c>
      <c r="I531" s="113">
        <v>1765.47</v>
      </c>
      <c r="J531" s="113">
        <v>0</v>
      </c>
      <c r="K531" s="114">
        <f t="shared" si="43"/>
        <v>623.91</v>
      </c>
      <c r="L531" s="128">
        <v>252.22</v>
      </c>
      <c r="M531" s="115"/>
      <c r="N531" s="116"/>
      <c r="O531" s="117">
        <f t="shared" si="44"/>
        <v>46387</v>
      </c>
      <c r="P531" s="118">
        <f t="shared" si="45"/>
        <v>4</v>
      </c>
      <c r="Q531" s="119">
        <f t="shared" si="41"/>
        <v>252.212333333333</v>
      </c>
      <c r="R531" s="119">
        <f t="shared" si="42"/>
        <v>-0.00766666666666538</v>
      </c>
      <c r="S531" s="120" t="s">
        <v>106</v>
      </c>
      <c r="U531" s="67"/>
      <c r="V531" s="121"/>
      <c r="W531" s="122"/>
      <c r="X531" s="63"/>
      <c r="Y531" s="63"/>
      <c r="Z531" s="63"/>
      <c r="AA531" s="63"/>
    </row>
    <row r="532" s="59" customFormat="1" ht="16.5" outlineLevel="7" spans="1:27">
      <c r="A532" s="79"/>
      <c r="B532" s="123" t="s">
        <v>195</v>
      </c>
      <c r="C532" s="124">
        <v>100519</v>
      </c>
      <c r="D532" s="125" t="s">
        <v>671</v>
      </c>
      <c r="E532" s="126">
        <v>45271</v>
      </c>
      <c r="F532" s="111">
        <v>36</v>
      </c>
      <c r="G532" s="127">
        <v>0.05</v>
      </c>
      <c r="H532" s="128">
        <v>2389.38</v>
      </c>
      <c r="I532" s="113">
        <v>1765.47</v>
      </c>
      <c r="J532" s="113">
        <v>0</v>
      </c>
      <c r="K532" s="114">
        <f t="shared" si="43"/>
        <v>623.91</v>
      </c>
      <c r="L532" s="128">
        <v>252.22</v>
      </c>
      <c r="M532" s="115"/>
      <c r="N532" s="116"/>
      <c r="O532" s="117">
        <f t="shared" si="44"/>
        <v>46387</v>
      </c>
      <c r="P532" s="118">
        <f t="shared" si="45"/>
        <v>4</v>
      </c>
      <c r="Q532" s="119">
        <f t="shared" si="41"/>
        <v>252.212333333333</v>
      </c>
      <c r="R532" s="119">
        <f t="shared" si="42"/>
        <v>-0.00766666666666538</v>
      </c>
      <c r="S532" s="120" t="s">
        <v>106</v>
      </c>
      <c r="U532" s="67"/>
      <c r="V532" s="121"/>
      <c r="W532" s="122"/>
      <c r="X532" s="63"/>
      <c r="Y532" s="63"/>
      <c r="Z532" s="63"/>
      <c r="AA532" s="63"/>
    </row>
    <row r="533" s="59" customFormat="1" ht="16.5" outlineLevel="7" spans="1:27">
      <c r="A533" s="79"/>
      <c r="B533" s="123" t="s">
        <v>195</v>
      </c>
      <c r="C533" s="124">
        <v>100520</v>
      </c>
      <c r="D533" s="125" t="s">
        <v>671</v>
      </c>
      <c r="E533" s="126">
        <v>45271</v>
      </c>
      <c r="F533" s="111">
        <v>36</v>
      </c>
      <c r="G533" s="127">
        <v>0.05</v>
      </c>
      <c r="H533" s="128">
        <v>2389.38</v>
      </c>
      <c r="I533" s="113">
        <v>1765.47</v>
      </c>
      <c r="J533" s="113">
        <v>0</v>
      </c>
      <c r="K533" s="114">
        <f t="shared" si="43"/>
        <v>623.91</v>
      </c>
      <c r="L533" s="128">
        <v>252.22</v>
      </c>
      <c r="M533" s="115"/>
      <c r="N533" s="116"/>
      <c r="O533" s="117">
        <f t="shared" si="44"/>
        <v>46387</v>
      </c>
      <c r="P533" s="118">
        <f t="shared" si="45"/>
        <v>4</v>
      </c>
      <c r="Q533" s="119">
        <f t="shared" si="41"/>
        <v>252.212333333333</v>
      </c>
      <c r="R533" s="119">
        <f t="shared" si="42"/>
        <v>-0.00766666666666538</v>
      </c>
      <c r="S533" s="120" t="s">
        <v>106</v>
      </c>
      <c r="U533" s="67"/>
      <c r="V533" s="121"/>
      <c r="W533" s="122"/>
      <c r="X533" s="63"/>
      <c r="Y533" s="63"/>
      <c r="Z533" s="63"/>
      <c r="AA533" s="63"/>
    </row>
    <row r="534" s="59" customFormat="1" ht="16.5" outlineLevel="7" spans="1:27">
      <c r="A534" s="79"/>
      <c r="B534" s="123" t="s">
        <v>195</v>
      </c>
      <c r="C534" s="124">
        <v>100521</v>
      </c>
      <c r="D534" s="125" t="s">
        <v>671</v>
      </c>
      <c r="E534" s="126">
        <v>45271</v>
      </c>
      <c r="F534" s="111">
        <v>36</v>
      </c>
      <c r="G534" s="127">
        <v>0.05</v>
      </c>
      <c r="H534" s="128">
        <v>2389.38</v>
      </c>
      <c r="I534" s="113">
        <v>1765.47</v>
      </c>
      <c r="J534" s="113">
        <v>0</v>
      </c>
      <c r="K534" s="114">
        <f t="shared" si="43"/>
        <v>623.91</v>
      </c>
      <c r="L534" s="128">
        <v>252.22</v>
      </c>
      <c r="M534" s="115"/>
      <c r="N534" s="116"/>
      <c r="O534" s="117">
        <f t="shared" si="44"/>
        <v>46387</v>
      </c>
      <c r="P534" s="118">
        <f t="shared" si="45"/>
        <v>4</v>
      </c>
      <c r="Q534" s="119">
        <f t="shared" si="41"/>
        <v>252.212333333333</v>
      </c>
      <c r="R534" s="119">
        <f t="shared" si="42"/>
        <v>-0.00766666666666538</v>
      </c>
      <c r="S534" s="120" t="s">
        <v>106</v>
      </c>
      <c r="U534" s="67"/>
      <c r="V534" s="121"/>
      <c r="W534" s="122"/>
      <c r="X534" s="63"/>
      <c r="Y534" s="63"/>
      <c r="Z534" s="63"/>
      <c r="AA534" s="63"/>
    </row>
    <row r="535" s="59" customFormat="1" ht="16.5" outlineLevel="7" spans="1:27">
      <c r="A535" s="79"/>
      <c r="B535" s="107" t="s">
        <v>195</v>
      </c>
      <c r="C535" s="108">
        <v>100522</v>
      </c>
      <c r="D535" s="109" t="s">
        <v>671</v>
      </c>
      <c r="E535" s="110">
        <v>45271</v>
      </c>
      <c r="F535" s="111">
        <v>36</v>
      </c>
      <c r="G535" s="112">
        <v>0.05</v>
      </c>
      <c r="H535" s="113">
        <v>2389.38</v>
      </c>
      <c r="I535" s="113">
        <v>1765.47</v>
      </c>
      <c r="J535" s="113">
        <v>0</v>
      </c>
      <c r="K535" s="114">
        <f t="shared" si="43"/>
        <v>623.91</v>
      </c>
      <c r="L535" s="113">
        <v>252.22</v>
      </c>
      <c r="M535" s="115"/>
      <c r="N535" s="116"/>
      <c r="O535" s="117">
        <f t="shared" si="44"/>
        <v>46387</v>
      </c>
      <c r="P535" s="118">
        <f t="shared" si="45"/>
        <v>4</v>
      </c>
      <c r="Q535" s="119">
        <f t="shared" ref="Q535:Q598" si="46">IFERROR(IF(N535=0,(H535*(1-G535))/F535*P535,(N535*(1-G535))/F535*P535),0)</f>
        <v>252.212333333333</v>
      </c>
      <c r="R535" s="119">
        <f t="shared" ref="R535:R598" si="47">Q535-L535</f>
        <v>-0.00766666666666538</v>
      </c>
      <c r="S535" s="120" t="s">
        <v>106</v>
      </c>
      <c r="U535" s="67"/>
      <c r="V535" s="121"/>
      <c r="W535" s="122"/>
      <c r="X535" s="63"/>
      <c r="Y535" s="63"/>
      <c r="Z535" s="63"/>
      <c r="AA535" s="63"/>
    </row>
    <row r="536" s="59" customFormat="1" ht="16.5" outlineLevel="7" spans="1:27">
      <c r="A536" s="79"/>
      <c r="B536" s="107" t="s">
        <v>195</v>
      </c>
      <c r="C536" s="108">
        <v>100524</v>
      </c>
      <c r="D536" s="109" t="s">
        <v>673</v>
      </c>
      <c r="E536" s="110">
        <v>45287</v>
      </c>
      <c r="F536" s="111">
        <v>36</v>
      </c>
      <c r="G536" s="112">
        <v>0.05</v>
      </c>
      <c r="H536" s="113">
        <v>30000</v>
      </c>
      <c r="I536" s="113">
        <v>22166.68</v>
      </c>
      <c r="J536" s="113">
        <v>0</v>
      </c>
      <c r="K536" s="114">
        <f t="shared" si="43"/>
        <v>7833.32</v>
      </c>
      <c r="L536" s="113">
        <v>3166.66</v>
      </c>
      <c r="M536" s="115"/>
      <c r="N536" s="116"/>
      <c r="O536" s="117">
        <f t="shared" si="44"/>
        <v>46387</v>
      </c>
      <c r="P536" s="118">
        <f t="shared" si="45"/>
        <v>4</v>
      </c>
      <c r="Q536" s="119">
        <f t="shared" si="46"/>
        <v>3166.66666666667</v>
      </c>
      <c r="R536" s="119">
        <f t="shared" si="47"/>
        <v>0.0066666666666606</v>
      </c>
      <c r="S536" s="120" t="s">
        <v>106</v>
      </c>
      <c r="U536" s="67"/>
      <c r="V536" s="121"/>
      <c r="W536" s="122"/>
      <c r="X536" s="63"/>
      <c r="Y536" s="63"/>
      <c r="Z536" s="63"/>
      <c r="AA536" s="63"/>
    </row>
    <row r="537" s="59" customFormat="1" ht="16.5" outlineLevel="7" spans="1:27">
      <c r="A537" s="79"/>
      <c r="B537" s="123" t="s">
        <v>195</v>
      </c>
      <c r="C537" s="124">
        <v>100525</v>
      </c>
      <c r="D537" s="125" t="s">
        <v>545</v>
      </c>
      <c r="E537" s="126">
        <v>45288</v>
      </c>
      <c r="F537" s="111">
        <v>36</v>
      </c>
      <c r="G537" s="127">
        <v>0.05</v>
      </c>
      <c r="H537" s="128">
        <v>4512.39</v>
      </c>
      <c r="I537" s="113">
        <v>3334.17</v>
      </c>
      <c r="J537" s="113">
        <v>0</v>
      </c>
      <c r="K537" s="114">
        <f t="shared" si="43"/>
        <v>1178.22</v>
      </c>
      <c r="L537" s="128">
        <v>476.3</v>
      </c>
      <c r="M537" s="115"/>
      <c r="N537" s="116"/>
      <c r="O537" s="117">
        <f t="shared" si="44"/>
        <v>46387</v>
      </c>
      <c r="P537" s="118">
        <f t="shared" si="45"/>
        <v>4</v>
      </c>
      <c r="Q537" s="119">
        <f t="shared" si="46"/>
        <v>476.307833333333</v>
      </c>
      <c r="R537" s="119">
        <f t="shared" si="47"/>
        <v>0.00783333333339442</v>
      </c>
      <c r="S537" s="120" t="s">
        <v>106</v>
      </c>
      <c r="U537" s="67"/>
      <c r="V537" s="121"/>
      <c r="W537" s="122"/>
      <c r="X537" s="63"/>
      <c r="Y537" s="63"/>
      <c r="Z537" s="63"/>
      <c r="AA537" s="63"/>
    </row>
    <row r="538" s="59" customFormat="1" ht="16.5" outlineLevel="7" spans="1:27">
      <c r="A538" s="79"/>
      <c r="B538" s="123" t="s">
        <v>195</v>
      </c>
      <c r="C538" s="124">
        <v>100526</v>
      </c>
      <c r="D538" s="125" t="s">
        <v>545</v>
      </c>
      <c r="E538" s="126">
        <v>45288</v>
      </c>
      <c r="F538" s="111">
        <v>36</v>
      </c>
      <c r="G538" s="127">
        <v>0.05</v>
      </c>
      <c r="H538" s="128">
        <v>4512.39</v>
      </c>
      <c r="I538" s="113">
        <v>3334.17</v>
      </c>
      <c r="J538" s="113">
        <v>0</v>
      </c>
      <c r="K538" s="114">
        <f t="shared" si="43"/>
        <v>1178.22</v>
      </c>
      <c r="L538" s="128">
        <v>476.3</v>
      </c>
      <c r="M538" s="115"/>
      <c r="N538" s="116"/>
      <c r="O538" s="117">
        <f t="shared" si="44"/>
        <v>46387</v>
      </c>
      <c r="P538" s="118">
        <f t="shared" si="45"/>
        <v>4</v>
      </c>
      <c r="Q538" s="119">
        <f t="shared" si="46"/>
        <v>476.307833333333</v>
      </c>
      <c r="R538" s="119">
        <f t="shared" si="47"/>
        <v>0.00783333333339442</v>
      </c>
      <c r="S538" s="120" t="s">
        <v>106</v>
      </c>
      <c r="U538" s="67"/>
      <c r="V538" s="121"/>
      <c r="W538" s="122"/>
      <c r="X538" s="63"/>
      <c r="Y538" s="63"/>
      <c r="Z538" s="63"/>
      <c r="AA538" s="63"/>
    </row>
    <row r="539" s="59" customFormat="1" ht="16.5" outlineLevel="7" spans="1:27">
      <c r="A539" s="79"/>
      <c r="B539" s="123" t="s">
        <v>195</v>
      </c>
      <c r="C539" s="124">
        <v>100527</v>
      </c>
      <c r="D539" s="125" t="s">
        <v>545</v>
      </c>
      <c r="E539" s="126">
        <v>45288</v>
      </c>
      <c r="F539" s="111">
        <v>36</v>
      </c>
      <c r="G539" s="127">
        <v>0.05</v>
      </c>
      <c r="H539" s="128">
        <v>4512.39</v>
      </c>
      <c r="I539" s="113">
        <v>3334.17</v>
      </c>
      <c r="J539" s="113">
        <v>0</v>
      </c>
      <c r="K539" s="114">
        <f t="shared" si="43"/>
        <v>1178.22</v>
      </c>
      <c r="L539" s="128">
        <v>476.3</v>
      </c>
      <c r="M539" s="115"/>
      <c r="N539" s="116"/>
      <c r="O539" s="117">
        <f t="shared" si="44"/>
        <v>46387</v>
      </c>
      <c r="P539" s="118">
        <f t="shared" si="45"/>
        <v>4</v>
      </c>
      <c r="Q539" s="119">
        <f t="shared" si="46"/>
        <v>476.307833333333</v>
      </c>
      <c r="R539" s="119">
        <f t="shared" si="47"/>
        <v>0.00783333333339442</v>
      </c>
      <c r="S539" s="120" t="s">
        <v>106</v>
      </c>
      <c r="U539" s="67"/>
      <c r="V539" s="121"/>
      <c r="W539" s="122"/>
      <c r="X539" s="63"/>
      <c r="Y539" s="63"/>
      <c r="Z539" s="63"/>
      <c r="AA539" s="63"/>
    </row>
    <row r="540" s="59" customFormat="1" ht="16.5" outlineLevel="7" spans="1:27">
      <c r="A540" s="79"/>
      <c r="B540" s="123" t="s">
        <v>195</v>
      </c>
      <c r="C540" s="124">
        <v>100528</v>
      </c>
      <c r="D540" s="125" t="s">
        <v>675</v>
      </c>
      <c r="E540" s="126">
        <v>45306</v>
      </c>
      <c r="F540" s="111">
        <v>36</v>
      </c>
      <c r="G540" s="127">
        <v>0.05</v>
      </c>
      <c r="H540" s="128">
        <v>14867.26</v>
      </c>
      <c r="I540" s="113">
        <v>10592.91</v>
      </c>
      <c r="J540" s="113">
        <v>0</v>
      </c>
      <c r="K540" s="114">
        <f t="shared" si="43"/>
        <v>4274.35</v>
      </c>
      <c r="L540" s="128">
        <v>1569.32</v>
      </c>
      <c r="M540" s="115"/>
      <c r="N540" s="116"/>
      <c r="O540" s="117">
        <f t="shared" si="44"/>
        <v>46418</v>
      </c>
      <c r="P540" s="118">
        <f t="shared" si="45"/>
        <v>4</v>
      </c>
      <c r="Q540" s="119">
        <f t="shared" si="46"/>
        <v>1569.32188888889</v>
      </c>
      <c r="R540" s="119">
        <f t="shared" si="47"/>
        <v>0.00188888888874317</v>
      </c>
      <c r="S540" s="120" t="s">
        <v>106</v>
      </c>
      <c r="U540" s="67"/>
      <c r="V540" s="121"/>
      <c r="W540" s="122"/>
      <c r="X540" s="63"/>
      <c r="Y540" s="63"/>
      <c r="Z540" s="63"/>
      <c r="AA540" s="63"/>
    </row>
    <row r="541" s="59" customFormat="1" ht="16.5" outlineLevel="7" spans="1:27">
      <c r="A541" s="79"/>
      <c r="B541" s="123" t="s">
        <v>195</v>
      </c>
      <c r="C541" s="124">
        <v>100529</v>
      </c>
      <c r="D541" s="125" t="s">
        <v>677</v>
      </c>
      <c r="E541" s="126">
        <v>45314</v>
      </c>
      <c r="F541" s="111">
        <v>36</v>
      </c>
      <c r="G541" s="127">
        <v>0.05</v>
      </c>
      <c r="H541" s="128">
        <v>19291.15</v>
      </c>
      <c r="I541" s="113">
        <v>13744.92</v>
      </c>
      <c r="J541" s="113">
        <v>0</v>
      </c>
      <c r="K541" s="114">
        <f t="shared" si="43"/>
        <v>5546.23</v>
      </c>
      <c r="L541" s="128">
        <v>2036.3</v>
      </c>
      <c r="M541" s="115"/>
      <c r="N541" s="116"/>
      <c r="O541" s="117">
        <f t="shared" si="44"/>
        <v>46418</v>
      </c>
      <c r="P541" s="118">
        <f t="shared" si="45"/>
        <v>4</v>
      </c>
      <c r="Q541" s="119">
        <f t="shared" si="46"/>
        <v>2036.28805555556</v>
      </c>
      <c r="R541" s="119">
        <f t="shared" si="47"/>
        <v>-0.0119444444444525</v>
      </c>
      <c r="S541" s="120" t="s">
        <v>106</v>
      </c>
      <c r="U541" s="67"/>
      <c r="V541" s="121"/>
      <c r="W541" s="122"/>
      <c r="X541" s="63"/>
      <c r="Y541" s="63"/>
      <c r="Z541" s="63"/>
      <c r="AA541" s="63"/>
    </row>
    <row r="542" s="59" customFormat="1" ht="16.5" outlineLevel="7" spans="1:27">
      <c r="A542" s="79"/>
      <c r="B542" s="107" t="s">
        <v>195</v>
      </c>
      <c r="C542" s="108">
        <v>100530</v>
      </c>
      <c r="D542" s="109" t="s">
        <v>679</v>
      </c>
      <c r="E542" s="110">
        <v>45316</v>
      </c>
      <c r="F542" s="111">
        <v>36</v>
      </c>
      <c r="G542" s="112">
        <v>0.05</v>
      </c>
      <c r="H542" s="113">
        <v>795.58</v>
      </c>
      <c r="I542" s="113">
        <v>566.85</v>
      </c>
      <c r="J542" s="113">
        <v>0</v>
      </c>
      <c r="K542" s="114">
        <f t="shared" si="43"/>
        <v>228.73</v>
      </c>
      <c r="L542" s="113">
        <v>83.98</v>
      </c>
      <c r="M542" s="115"/>
      <c r="N542" s="116"/>
      <c r="O542" s="117">
        <f t="shared" si="44"/>
        <v>46418</v>
      </c>
      <c r="P542" s="118">
        <f t="shared" si="45"/>
        <v>4</v>
      </c>
      <c r="Q542" s="119">
        <f t="shared" si="46"/>
        <v>83.9778888888889</v>
      </c>
      <c r="R542" s="119">
        <f t="shared" si="47"/>
        <v>-0.0021111111111054</v>
      </c>
      <c r="S542" s="120" t="s">
        <v>106</v>
      </c>
      <c r="U542" s="67"/>
      <c r="V542" s="121"/>
      <c r="W542" s="122"/>
      <c r="X542" s="63"/>
      <c r="Y542" s="63"/>
      <c r="Z542" s="63"/>
      <c r="AA542" s="63"/>
    </row>
    <row r="543" s="59" customFormat="1" ht="16.5" outlineLevel="7" spans="1:27">
      <c r="A543" s="79"/>
      <c r="B543" s="107" t="s">
        <v>195</v>
      </c>
      <c r="C543" s="108">
        <v>100531</v>
      </c>
      <c r="D543" s="109" t="s">
        <v>681</v>
      </c>
      <c r="E543" s="110">
        <v>45321</v>
      </c>
      <c r="F543" s="111">
        <v>36</v>
      </c>
      <c r="G543" s="112">
        <v>0.05</v>
      </c>
      <c r="H543" s="113">
        <v>2919.47</v>
      </c>
      <c r="I543" s="113">
        <v>2080.1</v>
      </c>
      <c r="J543" s="113">
        <v>0</v>
      </c>
      <c r="K543" s="114">
        <f t="shared" si="43"/>
        <v>839.37</v>
      </c>
      <c r="L543" s="113">
        <v>308.18</v>
      </c>
      <c r="M543" s="115"/>
      <c r="N543" s="116"/>
      <c r="O543" s="117">
        <f t="shared" si="44"/>
        <v>46418</v>
      </c>
      <c r="P543" s="118">
        <f t="shared" si="45"/>
        <v>4</v>
      </c>
      <c r="Q543" s="119">
        <f t="shared" si="46"/>
        <v>308.166277777778</v>
      </c>
      <c r="R543" s="119">
        <f t="shared" si="47"/>
        <v>-0.0137222222222704</v>
      </c>
      <c r="S543" s="120" t="s">
        <v>106</v>
      </c>
      <c r="U543" s="67"/>
      <c r="V543" s="121"/>
      <c r="W543" s="122"/>
      <c r="X543" s="63"/>
      <c r="Y543" s="63"/>
      <c r="Z543" s="63"/>
      <c r="AA543" s="63"/>
    </row>
    <row r="544" s="59" customFormat="1" ht="16.5" outlineLevel="7" spans="1:27">
      <c r="A544" s="79"/>
      <c r="B544" s="123" t="s">
        <v>195</v>
      </c>
      <c r="C544" s="124">
        <v>100532</v>
      </c>
      <c r="D544" s="125" t="s">
        <v>545</v>
      </c>
      <c r="E544" s="126">
        <v>45316</v>
      </c>
      <c r="F544" s="111">
        <v>36</v>
      </c>
      <c r="G544" s="127">
        <v>0.05</v>
      </c>
      <c r="H544" s="128">
        <v>4468.14</v>
      </c>
      <c r="I544" s="113">
        <v>3183.57</v>
      </c>
      <c r="J544" s="113">
        <v>0</v>
      </c>
      <c r="K544" s="114">
        <f t="shared" si="43"/>
        <v>1284.57</v>
      </c>
      <c r="L544" s="128">
        <v>471.64</v>
      </c>
      <c r="M544" s="115"/>
      <c r="N544" s="116"/>
      <c r="O544" s="117">
        <f t="shared" si="44"/>
        <v>46418</v>
      </c>
      <c r="P544" s="118">
        <f t="shared" si="45"/>
        <v>4</v>
      </c>
      <c r="Q544" s="119">
        <f t="shared" si="46"/>
        <v>471.637</v>
      </c>
      <c r="R544" s="119">
        <f t="shared" si="47"/>
        <v>-0.0029999999999859</v>
      </c>
      <c r="S544" s="120" t="s">
        <v>106</v>
      </c>
      <c r="U544" s="67"/>
      <c r="V544" s="121"/>
      <c r="W544" s="122"/>
      <c r="X544" s="63"/>
      <c r="Y544" s="63"/>
      <c r="Z544" s="63"/>
      <c r="AA544" s="63"/>
    </row>
    <row r="545" s="59" customFormat="1" ht="16.5" outlineLevel="7" spans="1:27">
      <c r="A545" s="79"/>
      <c r="B545" s="123" t="s">
        <v>195</v>
      </c>
      <c r="C545" s="124">
        <v>100533</v>
      </c>
      <c r="D545" s="125" t="s">
        <v>684</v>
      </c>
      <c r="E545" s="126">
        <v>45343</v>
      </c>
      <c r="F545" s="111">
        <v>36</v>
      </c>
      <c r="G545" s="127">
        <v>0.05</v>
      </c>
      <c r="H545" s="128">
        <v>5397.35</v>
      </c>
      <c r="I545" s="113">
        <v>3703.18</v>
      </c>
      <c r="J545" s="113">
        <v>0</v>
      </c>
      <c r="K545" s="114">
        <f t="shared" si="43"/>
        <v>1694.17</v>
      </c>
      <c r="L545" s="128">
        <v>569.72</v>
      </c>
      <c r="M545" s="115"/>
      <c r="N545" s="116"/>
      <c r="O545" s="117">
        <f t="shared" si="44"/>
        <v>46446</v>
      </c>
      <c r="P545" s="118">
        <f t="shared" si="45"/>
        <v>4</v>
      </c>
      <c r="Q545" s="119">
        <f t="shared" si="46"/>
        <v>569.720277777778</v>
      </c>
      <c r="R545" s="119">
        <f t="shared" si="47"/>
        <v>0.000277777777796473</v>
      </c>
      <c r="S545" s="120" t="s">
        <v>106</v>
      </c>
      <c r="U545" s="67"/>
      <c r="V545" s="121"/>
      <c r="W545" s="122"/>
      <c r="X545" s="63"/>
      <c r="Y545" s="63"/>
      <c r="Z545" s="63"/>
      <c r="AA545" s="63"/>
    </row>
    <row r="546" s="59" customFormat="1" ht="16.5" outlineLevel="7" spans="1:27">
      <c r="A546" s="79"/>
      <c r="B546" s="123" t="s">
        <v>195</v>
      </c>
      <c r="C546" s="124">
        <v>100534</v>
      </c>
      <c r="D546" s="125" t="s">
        <v>559</v>
      </c>
      <c r="E546" s="126">
        <v>45343</v>
      </c>
      <c r="F546" s="111">
        <v>36</v>
      </c>
      <c r="G546" s="127">
        <v>0.05</v>
      </c>
      <c r="H546" s="128">
        <v>1574.34</v>
      </c>
      <c r="I546" s="113">
        <v>1080.17</v>
      </c>
      <c r="J546" s="113">
        <v>0</v>
      </c>
      <c r="K546" s="114">
        <f t="shared" si="43"/>
        <v>494.17</v>
      </c>
      <c r="L546" s="128">
        <v>166.18</v>
      </c>
      <c r="M546" s="115"/>
      <c r="N546" s="116"/>
      <c r="O546" s="117">
        <f t="shared" si="44"/>
        <v>46446</v>
      </c>
      <c r="P546" s="118">
        <f t="shared" si="45"/>
        <v>4</v>
      </c>
      <c r="Q546" s="119">
        <f t="shared" si="46"/>
        <v>166.180333333333</v>
      </c>
      <c r="R546" s="119">
        <f t="shared" si="47"/>
        <v>0.000333333333315977</v>
      </c>
      <c r="S546" s="120" t="s">
        <v>106</v>
      </c>
      <c r="U546" s="67"/>
      <c r="V546" s="121"/>
      <c r="W546" s="122"/>
      <c r="X546" s="63"/>
      <c r="Y546" s="63"/>
      <c r="Z546" s="63"/>
      <c r="AA546" s="63"/>
    </row>
    <row r="547" s="59" customFormat="1" ht="16.5" outlineLevel="7" spans="1:27">
      <c r="A547" s="79"/>
      <c r="B547" s="123" t="s">
        <v>195</v>
      </c>
      <c r="C547" s="124">
        <v>100535</v>
      </c>
      <c r="D547" s="125" t="s">
        <v>547</v>
      </c>
      <c r="E547" s="126">
        <v>45348</v>
      </c>
      <c r="F547" s="111">
        <v>36</v>
      </c>
      <c r="G547" s="127">
        <v>0.05</v>
      </c>
      <c r="H547" s="128">
        <v>4059.05</v>
      </c>
      <c r="I547" s="113">
        <v>2784.95</v>
      </c>
      <c r="J547" s="113">
        <v>0</v>
      </c>
      <c r="K547" s="114">
        <f t="shared" si="43"/>
        <v>1274.1</v>
      </c>
      <c r="L547" s="128">
        <v>428.46</v>
      </c>
      <c r="M547" s="115"/>
      <c r="N547" s="116"/>
      <c r="O547" s="117">
        <f t="shared" si="44"/>
        <v>46446</v>
      </c>
      <c r="P547" s="118">
        <f t="shared" si="45"/>
        <v>4</v>
      </c>
      <c r="Q547" s="119">
        <f t="shared" si="46"/>
        <v>428.455277777778</v>
      </c>
      <c r="R547" s="119">
        <f t="shared" si="47"/>
        <v>-0.00472222222219898</v>
      </c>
      <c r="S547" s="120" t="s">
        <v>106</v>
      </c>
      <c r="U547" s="67"/>
      <c r="V547" s="121"/>
      <c r="W547" s="122"/>
      <c r="X547" s="63"/>
      <c r="Y547" s="63"/>
      <c r="Z547" s="63"/>
      <c r="AA547" s="63"/>
    </row>
    <row r="548" s="59" customFormat="1" ht="16.5" outlineLevel="7" spans="1:27">
      <c r="A548" s="79"/>
      <c r="B548" s="123" t="s">
        <v>195</v>
      </c>
      <c r="C548" s="124">
        <v>100536</v>
      </c>
      <c r="D548" s="125" t="s">
        <v>654</v>
      </c>
      <c r="E548" s="126">
        <v>45348</v>
      </c>
      <c r="F548" s="111">
        <v>36</v>
      </c>
      <c r="G548" s="127">
        <v>0.05</v>
      </c>
      <c r="H548" s="128">
        <v>503.54</v>
      </c>
      <c r="I548" s="113">
        <v>345.51</v>
      </c>
      <c r="J548" s="113">
        <v>0</v>
      </c>
      <c r="K548" s="114">
        <f t="shared" si="43"/>
        <v>158.03</v>
      </c>
      <c r="L548" s="128">
        <v>53.14</v>
      </c>
      <c r="M548" s="115"/>
      <c r="N548" s="116"/>
      <c r="O548" s="117">
        <f t="shared" si="44"/>
        <v>46446</v>
      </c>
      <c r="P548" s="118">
        <f t="shared" si="45"/>
        <v>4</v>
      </c>
      <c r="Q548" s="119">
        <f t="shared" si="46"/>
        <v>53.1514444444444</v>
      </c>
      <c r="R548" s="119">
        <f t="shared" si="47"/>
        <v>0.011444444444443</v>
      </c>
      <c r="S548" s="120" t="s">
        <v>106</v>
      </c>
      <c r="U548" s="67"/>
      <c r="V548" s="121"/>
      <c r="W548" s="122"/>
      <c r="X548" s="63"/>
      <c r="Y548" s="63"/>
      <c r="Z548" s="63"/>
      <c r="AA548" s="63"/>
    </row>
    <row r="549" s="59" customFormat="1" ht="16.5" outlineLevel="7" spans="1:27">
      <c r="A549" s="79"/>
      <c r="B549" s="107" t="s">
        <v>195</v>
      </c>
      <c r="C549" s="108">
        <v>100537</v>
      </c>
      <c r="D549" s="109" t="s">
        <v>688</v>
      </c>
      <c r="E549" s="110">
        <v>45371</v>
      </c>
      <c r="F549" s="111">
        <v>36</v>
      </c>
      <c r="G549" s="112">
        <v>0.05</v>
      </c>
      <c r="H549" s="113">
        <v>1860.04</v>
      </c>
      <c r="I549" s="113">
        <v>1227.11</v>
      </c>
      <c r="J549" s="113">
        <v>0</v>
      </c>
      <c r="K549" s="114">
        <f t="shared" si="43"/>
        <v>632.93</v>
      </c>
      <c r="L549" s="113">
        <v>196.34</v>
      </c>
      <c r="M549" s="115"/>
      <c r="N549" s="116"/>
      <c r="O549" s="117">
        <f t="shared" si="44"/>
        <v>46477</v>
      </c>
      <c r="P549" s="118">
        <f t="shared" si="45"/>
        <v>4</v>
      </c>
      <c r="Q549" s="119">
        <f t="shared" si="46"/>
        <v>196.337555555556</v>
      </c>
      <c r="R549" s="119">
        <f t="shared" si="47"/>
        <v>-0.00244444444447822</v>
      </c>
      <c r="S549" s="120" t="s">
        <v>106</v>
      </c>
      <c r="U549" s="67"/>
      <c r="V549" s="121"/>
      <c r="W549" s="122"/>
      <c r="X549" s="63"/>
      <c r="Y549" s="63"/>
      <c r="Z549" s="63"/>
      <c r="AA549" s="63"/>
    </row>
    <row r="550" s="59" customFormat="1" ht="16.5" outlineLevel="7" spans="1:27">
      <c r="A550" s="79"/>
      <c r="B550" s="107" t="s">
        <v>195</v>
      </c>
      <c r="C550" s="108">
        <v>100538</v>
      </c>
      <c r="D550" s="109" t="s">
        <v>690</v>
      </c>
      <c r="E550" s="110">
        <v>45371</v>
      </c>
      <c r="F550" s="111">
        <v>36</v>
      </c>
      <c r="G550" s="112">
        <v>0.05</v>
      </c>
      <c r="H550" s="113">
        <v>3141.59</v>
      </c>
      <c r="I550" s="113">
        <v>2072.56</v>
      </c>
      <c r="J550" s="113">
        <v>0</v>
      </c>
      <c r="K550" s="114">
        <f t="shared" si="43"/>
        <v>1069.03</v>
      </c>
      <c r="L550" s="113">
        <v>331.62</v>
      </c>
      <c r="M550" s="115"/>
      <c r="N550" s="116"/>
      <c r="O550" s="117">
        <f t="shared" si="44"/>
        <v>46477</v>
      </c>
      <c r="P550" s="118">
        <f t="shared" si="45"/>
        <v>4</v>
      </c>
      <c r="Q550" s="119">
        <f t="shared" si="46"/>
        <v>331.612277777778</v>
      </c>
      <c r="R550" s="119">
        <f t="shared" si="47"/>
        <v>-0.00772222222224173</v>
      </c>
      <c r="S550" s="120" t="s">
        <v>106</v>
      </c>
      <c r="U550" s="67"/>
      <c r="V550" s="121"/>
      <c r="W550" s="122"/>
      <c r="X550" s="63"/>
      <c r="Y550" s="63"/>
      <c r="Z550" s="63"/>
      <c r="AA550" s="63"/>
    </row>
    <row r="551" s="59" customFormat="1" ht="16.5" outlineLevel="7" spans="1:27">
      <c r="A551" s="79"/>
      <c r="B551" s="123" t="s">
        <v>195</v>
      </c>
      <c r="C551" s="124">
        <v>100539</v>
      </c>
      <c r="D551" s="125" t="s">
        <v>545</v>
      </c>
      <c r="E551" s="126">
        <v>45372</v>
      </c>
      <c r="F551" s="111">
        <v>36</v>
      </c>
      <c r="G551" s="127">
        <v>0.05</v>
      </c>
      <c r="H551" s="128">
        <v>5308.85</v>
      </c>
      <c r="I551" s="113">
        <v>3502.37</v>
      </c>
      <c r="J551" s="113">
        <v>0</v>
      </c>
      <c r="K551" s="114">
        <f t="shared" si="43"/>
        <v>1806.48</v>
      </c>
      <c r="L551" s="128">
        <v>560.38</v>
      </c>
      <c r="M551" s="115"/>
      <c r="N551" s="116"/>
      <c r="O551" s="117">
        <f t="shared" si="44"/>
        <v>46477</v>
      </c>
      <c r="P551" s="118">
        <f t="shared" si="45"/>
        <v>4</v>
      </c>
      <c r="Q551" s="119">
        <f t="shared" si="46"/>
        <v>560.378611111111</v>
      </c>
      <c r="R551" s="119">
        <f t="shared" si="47"/>
        <v>-0.00138888888886868</v>
      </c>
      <c r="S551" s="120" t="s">
        <v>106</v>
      </c>
      <c r="U551" s="67"/>
      <c r="V551" s="121"/>
      <c r="W551" s="122"/>
      <c r="X551" s="63"/>
      <c r="Y551" s="63"/>
      <c r="Z551" s="63"/>
      <c r="AA551" s="63"/>
    </row>
    <row r="552" s="59" customFormat="1" ht="16.5" outlineLevel="7" spans="1:27">
      <c r="A552" s="79"/>
      <c r="B552" s="123" t="s">
        <v>195</v>
      </c>
      <c r="C552" s="124">
        <v>100540</v>
      </c>
      <c r="D552" s="125" t="s">
        <v>545</v>
      </c>
      <c r="E552" s="126">
        <v>45377</v>
      </c>
      <c r="F552" s="111">
        <v>36</v>
      </c>
      <c r="G552" s="127">
        <v>0.05</v>
      </c>
      <c r="H552" s="128">
        <v>8494.69</v>
      </c>
      <c r="I552" s="113">
        <v>5604.15</v>
      </c>
      <c r="J552" s="113">
        <v>0</v>
      </c>
      <c r="K552" s="114">
        <f t="shared" si="43"/>
        <v>2890.54</v>
      </c>
      <c r="L552" s="128">
        <v>896.66</v>
      </c>
      <c r="M552" s="115"/>
      <c r="N552" s="116"/>
      <c r="O552" s="117">
        <f t="shared" si="44"/>
        <v>46477</v>
      </c>
      <c r="P552" s="118">
        <f t="shared" si="45"/>
        <v>4</v>
      </c>
      <c r="Q552" s="119">
        <f t="shared" si="46"/>
        <v>896.661722222222</v>
      </c>
      <c r="R552" s="119">
        <f t="shared" si="47"/>
        <v>0.00172222222226992</v>
      </c>
      <c r="S552" s="120" t="s">
        <v>106</v>
      </c>
      <c r="U552" s="67"/>
      <c r="V552" s="121"/>
      <c r="W552" s="122"/>
      <c r="X552" s="63"/>
      <c r="Y552" s="63"/>
      <c r="Z552" s="63"/>
      <c r="AA552" s="63"/>
    </row>
    <row r="553" s="59" customFormat="1" ht="16.5" outlineLevel="7" spans="1:27">
      <c r="A553" s="79"/>
      <c r="B553" s="123" t="s">
        <v>195</v>
      </c>
      <c r="C553" s="124">
        <v>100541</v>
      </c>
      <c r="D553" s="125" t="s">
        <v>545</v>
      </c>
      <c r="E553" s="126">
        <v>45378</v>
      </c>
      <c r="F553" s="111">
        <v>36</v>
      </c>
      <c r="G553" s="127">
        <v>0.05</v>
      </c>
      <c r="H553" s="128">
        <v>5308.85</v>
      </c>
      <c r="I553" s="113">
        <v>3502.37</v>
      </c>
      <c r="J553" s="113">
        <v>0</v>
      </c>
      <c r="K553" s="114">
        <f t="shared" si="43"/>
        <v>1806.48</v>
      </c>
      <c r="L553" s="128">
        <v>560.38</v>
      </c>
      <c r="M553" s="115"/>
      <c r="N553" s="116"/>
      <c r="O553" s="117">
        <f t="shared" si="44"/>
        <v>46477</v>
      </c>
      <c r="P553" s="118">
        <f t="shared" si="45"/>
        <v>4</v>
      </c>
      <c r="Q553" s="119">
        <f t="shared" si="46"/>
        <v>560.378611111111</v>
      </c>
      <c r="R553" s="119">
        <f t="shared" si="47"/>
        <v>-0.00138888888886868</v>
      </c>
      <c r="S553" s="120" t="s">
        <v>106</v>
      </c>
      <c r="U553" s="67"/>
      <c r="V553" s="121"/>
      <c r="W553" s="122"/>
      <c r="X553" s="63"/>
      <c r="Y553" s="63"/>
      <c r="Z553" s="63"/>
      <c r="AA553" s="63"/>
    </row>
    <row r="554" s="59" customFormat="1" ht="16.5" outlineLevel="7" spans="1:27">
      <c r="A554" s="79"/>
      <c r="B554" s="123" t="s">
        <v>195</v>
      </c>
      <c r="C554" s="124">
        <v>100542</v>
      </c>
      <c r="D554" s="125" t="s">
        <v>557</v>
      </c>
      <c r="E554" s="126">
        <v>45406</v>
      </c>
      <c r="F554" s="111">
        <v>36</v>
      </c>
      <c r="G554" s="127">
        <v>0.05</v>
      </c>
      <c r="H554" s="128">
        <v>891.15</v>
      </c>
      <c r="I554" s="113">
        <v>564.41</v>
      </c>
      <c r="J554" s="113">
        <v>0</v>
      </c>
      <c r="K554" s="114">
        <f t="shared" si="43"/>
        <v>326.74</v>
      </c>
      <c r="L554" s="128">
        <v>94.06</v>
      </c>
      <c r="M554" s="115"/>
      <c r="N554" s="116"/>
      <c r="O554" s="117">
        <f t="shared" si="44"/>
        <v>46507</v>
      </c>
      <c r="P554" s="118">
        <f t="shared" si="45"/>
        <v>4</v>
      </c>
      <c r="Q554" s="119">
        <f t="shared" si="46"/>
        <v>94.0658333333333</v>
      </c>
      <c r="R554" s="119">
        <f t="shared" si="47"/>
        <v>0.00583333333332803</v>
      </c>
      <c r="S554" s="120" t="s">
        <v>106</v>
      </c>
      <c r="U554" s="67"/>
      <c r="V554" s="121"/>
      <c r="W554" s="122"/>
      <c r="X554" s="63"/>
      <c r="Y554" s="63"/>
      <c r="Z554" s="63"/>
      <c r="AA554" s="63"/>
    </row>
    <row r="555" s="59" customFormat="1" ht="16.5" outlineLevel="7" spans="1:27">
      <c r="A555" s="79"/>
      <c r="B555" s="123" t="s">
        <v>195</v>
      </c>
      <c r="C555" s="124">
        <v>100543</v>
      </c>
      <c r="D555" s="125" t="s">
        <v>693</v>
      </c>
      <c r="E555" s="126">
        <v>45408</v>
      </c>
      <c r="F555" s="111">
        <v>36</v>
      </c>
      <c r="G555" s="127">
        <v>0.05</v>
      </c>
      <c r="H555" s="128">
        <v>1139</v>
      </c>
      <c r="I555" s="113">
        <v>721.39</v>
      </c>
      <c r="J555" s="113">
        <v>0</v>
      </c>
      <c r="K555" s="114">
        <f t="shared" si="43"/>
        <v>417.61</v>
      </c>
      <c r="L555" s="128">
        <v>120.22</v>
      </c>
      <c r="M555" s="115"/>
      <c r="N555" s="116"/>
      <c r="O555" s="117">
        <f t="shared" si="44"/>
        <v>46507</v>
      </c>
      <c r="P555" s="118">
        <f t="shared" si="45"/>
        <v>4</v>
      </c>
      <c r="Q555" s="119">
        <f t="shared" si="46"/>
        <v>120.227777777778</v>
      </c>
      <c r="R555" s="119">
        <f t="shared" si="47"/>
        <v>0.00777777777777544</v>
      </c>
      <c r="S555" s="120" t="s">
        <v>106</v>
      </c>
      <c r="U555" s="67"/>
      <c r="V555" s="121"/>
      <c r="W555" s="122"/>
      <c r="X555" s="63"/>
      <c r="Y555" s="63"/>
      <c r="Z555" s="63"/>
      <c r="AA555" s="63"/>
    </row>
    <row r="556" s="59" customFormat="1" ht="16.5" outlineLevel="7" spans="1:27">
      <c r="A556" s="79"/>
      <c r="B556" s="107" t="s">
        <v>195</v>
      </c>
      <c r="C556" s="108">
        <v>100544</v>
      </c>
      <c r="D556" s="109" t="s">
        <v>545</v>
      </c>
      <c r="E556" s="110">
        <v>45419</v>
      </c>
      <c r="F556" s="111">
        <v>36</v>
      </c>
      <c r="G556" s="112">
        <v>0.05</v>
      </c>
      <c r="H556" s="113">
        <v>5308.85</v>
      </c>
      <c r="I556" s="113">
        <v>3222.18</v>
      </c>
      <c r="J556" s="113">
        <v>0</v>
      </c>
      <c r="K556" s="114">
        <f t="shared" si="43"/>
        <v>2086.67</v>
      </c>
      <c r="L556" s="113">
        <v>560.38</v>
      </c>
      <c r="M556" s="115"/>
      <c r="N556" s="116"/>
      <c r="O556" s="117">
        <f t="shared" si="44"/>
        <v>46538</v>
      </c>
      <c r="P556" s="118">
        <f t="shared" si="45"/>
        <v>4</v>
      </c>
      <c r="Q556" s="119">
        <f t="shared" si="46"/>
        <v>560.378611111111</v>
      </c>
      <c r="R556" s="119">
        <f t="shared" si="47"/>
        <v>-0.00138888888886868</v>
      </c>
      <c r="S556" s="120" t="s">
        <v>106</v>
      </c>
      <c r="U556" s="67"/>
      <c r="V556" s="121"/>
      <c r="W556" s="122"/>
      <c r="X556" s="63"/>
      <c r="Y556" s="63"/>
      <c r="Z556" s="63"/>
      <c r="AA556" s="63"/>
    </row>
    <row r="557" s="59" customFormat="1" ht="16.5" outlineLevel="7" spans="1:27">
      <c r="A557" s="79"/>
      <c r="B557" s="107" t="s">
        <v>195</v>
      </c>
      <c r="C557" s="108">
        <v>100545</v>
      </c>
      <c r="D557" s="109" t="s">
        <v>545</v>
      </c>
      <c r="E557" s="110">
        <v>45422</v>
      </c>
      <c r="F557" s="111">
        <v>36</v>
      </c>
      <c r="G557" s="112">
        <v>0.05</v>
      </c>
      <c r="H557" s="113">
        <v>5308.85</v>
      </c>
      <c r="I557" s="113">
        <v>3222.18</v>
      </c>
      <c r="J557" s="113">
        <v>0</v>
      </c>
      <c r="K557" s="114">
        <f t="shared" si="43"/>
        <v>2086.67</v>
      </c>
      <c r="L557" s="113">
        <v>560.38</v>
      </c>
      <c r="M557" s="115"/>
      <c r="N557" s="116"/>
      <c r="O557" s="117">
        <f t="shared" si="44"/>
        <v>46538</v>
      </c>
      <c r="P557" s="118">
        <f t="shared" si="45"/>
        <v>4</v>
      </c>
      <c r="Q557" s="119">
        <f t="shared" si="46"/>
        <v>560.378611111111</v>
      </c>
      <c r="R557" s="119">
        <f t="shared" si="47"/>
        <v>-0.00138888888886868</v>
      </c>
      <c r="S557" s="120" t="s">
        <v>106</v>
      </c>
      <c r="U557" s="67"/>
      <c r="V557" s="121"/>
      <c r="W557" s="122"/>
      <c r="X557" s="63"/>
      <c r="Y557" s="63"/>
      <c r="Z557" s="63"/>
      <c r="AA557" s="63"/>
    </row>
    <row r="558" s="59" customFormat="1" ht="16.5" outlineLevel="7" spans="1:27">
      <c r="A558" s="79"/>
      <c r="B558" s="123" t="s">
        <v>195</v>
      </c>
      <c r="C558" s="124">
        <v>100546</v>
      </c>
      <c r="D558" s="125" t="s">
        <v>694</v>
      </c>
      <c r="E558" s="126">
        <v>45460</v>
      </c>
      <c r="F558" s="111">
        <v>36</v>
      </c>
      <c r="G558" s="127">
        <v>0.05</v>
      </c>
      <c r="H558" s="128">
        <v>14558.02</v>
      </c>
      <c r="I558" s="113">
        <v>8451.74</v>
      </c>
      <c r="J558" s="113">
        <v>0</v>
      </c>
      <c r="K558" s="114">
        <f t="shared" si="43"/>
        <v>6106.28</v>
      </c>
      <c r="L558" s="128">
        <v>1536.68</v>
      </c>
      <c r="M558" s="115"/>
      <c r="N558" s="116"/>
      <c r="O558" s="117">
        <f t="shared" si="44"/>
        <v>46568</v>
      </c>
      <c r="P558" s="118">
        <f t="shared" si="45"/>
        <v>4</v>
      </c>
      <c r="Q558" s="119">
        <f t="shared" si="46"/>
        <v>1536.67988888889</v>
      </c>
      <c r="R558" s="119">
        <f t="shared" si="47"/>
        <v>-0.000111111111209539</v>
      </c>
      <c r="S558" s="120" t="s">
        <v>106</v>
      </c>
      <c r="U558" s="67"/>
      <c r="V558" s="121"/>
      <c r="W558" s="122"/>
      <c r="X558" s="63"/>
      <c r="Y558" s="63"/>
      <c r="Z558" s="63"/>
      <c r="AA558" s="63"/>
    </row>
    <row r="559" s="59" customFormat="1" ht="16.5" outlineLevel="7" spans="1:27">
      <c r="A559" s="79"/>
      <c r="B559" s="123" t="s">
        <v>195</v>
      </c>
      <c r="C559" s="124">
        <v>100547</v>
      </c>
      <c r="D559" s="125" t="s">
        <v>696</v>
      </c>
      <c r="E559" s="126">
        <v>45460</v>
      </c>
      <c r="F559" s="111">
        <v>36</v>
      </c>
      <c r="G559" s="127">
        <v>0.05</v>
      </c>
      <c r="H559" s="128">
        <v>5819.15</v>
      </c>
      <c r="I559" s="113">
        <v>3378.32</v>
      </c>
      <c r="J559" s="113">
        <v>0</v>
      </c>
      <c r="K559" s="114">
        <f t="shared" si="43"/>
        <v>2440.83</v>
      </c>
      <c r="L559" s="128">
        <v>614.24</v>
      </c>
      <c r="M559" s="115"/>
      <c r="N559" s="116"/>
      <c r="O559" s="117">
        <f t="shared" si="44"/>
        <v>46568</v>
      </c>
      <c r="P559" s="118">
        <f t="shared" si="45"/>
        <v>4</v>
      </c>
      <c r="Q559" s="119">
        <f t="shared" si="46"/>
        <v>614.243611111111</v>
      </c>
      <c r="R559" s="119">
        <f t="shared" si="47"/>
        <v>0.00361111111101309</v>
      </c>
      <c r="S559" s="120" t="s">
        <v>106</v>
      </c>
      <c r="U559" s="67"/>
      <c r="V559" s="121"/>
      <c r="W559" s="122"/>
      <c r="X559" s="63"/>
      <c r="Y559" s="63"/>
      <c r="Z559" s="63"/>
      <c r="AA559" s="63"/>
    </row>
    <row r="560" s="59" customFormat="1" ht="16.5" outlineLevel="7" spans="1:27">
      <c r="A560" s="79"/>
      <c r="B560" s="123" t="s">
        <v>195</v>
      </c>
      <c r="C560" s="124">
        <v>100548</v>
      </c>
      <c r="D560" s="125" t="s">
        <v>698</v>
      </c>
      <c r="E560" s="126">
        <v>45460</v>
      </c>
      <c r="F560" s="111">
        <v>36</v>
      </c>
      <c r="G560" s="127">
        <v>0.05</v>
      </c>
      <c r="H560" s="128">
        <v>924.78</v>
      </c>
      <c r="I560" s="113">
        <v>536.87</v>
      </c>
      <c r="J560" s="113">
        <v>0</v>
      </c>
      <c r="K560" s="114">
        <f t="shared" si="43"/>
        <v>387.91</v>
      </c>
      <c r="L560" s="128">
        <v>97.62</v>
      </c>
      <c r="M560" s="115"/>
      <c r="N560" s="116"/>
      <c r="O560" s="117">
        <f t="shared" si="44"/>
        <v>46568</v>
      </c>
      <c r="P560" s="118">
        <f t="shared" si="45"/>
        <v>4</v>
      </c>
      <c r="Q560" s="119">
        <f t="shared" si="46"/>
        <v>97.6156666666667</v>
      </c>
      <c r="R560" s="119">
        <f t="shared" si="47"/>
        <v>-0.00433333333334929</v>
      </c>
      <c r="S560" s="120" t="s">
        <v>106</v>
      </c>
      <c r="U560" s="67"/>
      <c r="V560" s="121"/>
      <c r="W560" s="122"/>
      <c r="X560" s="63"/>
      <c r="Y560" s="63"/>
      <c r="Z560" s="63"/>
      <c r="AA560" s="63"/>
    </row>
    <row r="561" s="59" customFormat="1" ht="16.5" outlineLevel="7" spans="1:27">
      <c r="A561" s="79"/>
      <c r="B561" s="123" t="s">
        <v>195</v>
      </c>
      <c r="C561" s="124">
        <v>100549</v>
      </c>
      <c r="D561" s="125" t="s">
        <v>700</v>
      </c>
      <c r="E561" s="126">
        <v>45462</v>
      </c>
      <c r="F561" s="111">
        <v>36</v>
      </c>
      <c r="G561" s="127">
        <v>0.05</v>
      </c>
      <c r="H561" s="128">
        <v>4431.86</v>
      </c>
      <c r="I561" s="113">
        <v>2572.9</v>
      </c>
      <c r="J561" s="113">
        <v>0</v>
      </c>
      <c r="K561" s="114">
        <f t="shared" si="43"/>
        <v>1858.96</v>
      </c>
      <c r="L561" s="128">
        <v>467.8</v>
      </c>
      <c r="M561" s="115"/>
      <c r="N561" s="116"/>
      <c r="O561" s="117">
        <f t="shared" si="44"/>
        <v>46568</v>
      </c>
      <c r="P561" s="118">
        <f t="shared" si="45"/>
        <v>4</v>
      </c>
      <c r="Q561" s="119">
        <f t="shared" si="46"/>
        <v>467.807444444444</v>
      </c>
      <c r="R561" s="119">
        <f t="shared" si="47"/>
        <v>0.00744444444438841</v>
      </c>
      <c r="S561" s="120" t="s">
        <v>106</v>
      </c>
      <c r="U561" s="67"/>
      <c r="V561" s="121"/>
      <c r="W561" s="122"/>
      <c r="X561" s="63"/>
      <c r="Y561" s="63"/>
      <c r="Z561" s="63"/>
      <c r="AA561" s="63"/>
    </row>
    <row r="562" s="59" customFormat="1" ht="16.5" outlineLevel="7" spans="1:27">
      <c r="A562" s="79"/>
      <c r="B562" s="123" t="s">
        <v>195</v>
      </c>
      <c r="C562" s="124">
        <v>100550</v>
      </c>
      <c r="D562" s="125" t="s">
        <v>702</v>
      </c>
      <c r="E562" s="126">
        <v>45461</v>
      </c>
      <c r="F562" s="111">
        <v>36</v>
      </c>
      <c r="G562" s="127">
        <v>0.05</v>
      </c>
      <c r="H562" s="128">
        <v>5088.5</v>
      </c>
      <c r="I562" s="113">
        <v>2954.16</v>
      </c>
      <c r="J562" s="113">
        <v>0</v>
      </c>
      <c r="K562" s="114">
        <f t="shared" si="43"/>
        <v>2134.34</v>
      </c>
      <c r="L562" s="128">
        <v>537.12</v>
      </c>
      <c r="M562" s="115"/>
      <c r="N562" s="116"/>
      <c r="O562" s="117">
        <f t="shared" si="44"/>
        <v>46568</v>
      </c>
      <c r="P562" s="118">
        <f t="shared" si="45"/>
        <v>4</v>
      </c>
      <c r="Q562" s="119">
        <f t="shared" si="46"/>
        <v>537.119444444444</v>
      </c>
      <c r="R562" s="119">
        <f t="shared" si="47"/>
        <v>-0.000555555555592946</v>
      </c>
      <c r="S562" s="120" t="s">
        <v>106</v>
      </c>
      <c r="U562" s="67"/>
      <c r="V562" s="121"/>
      <c r="W562" s="122"/>
      <c r="X562" s="63"/>
      <c r="Y562" s="63"/>
      <c r="Z562" s="63"/>
      <c r="AA562" s="63"/>
    </row>
    <row r="563" s="59" customFormat="1" ht="16.5" outlineLevel="7" spans="1:27">
      <c r="A563" s="79"/>
      <c r="B563" s="107" t="s">
        <v>195</v>
      </c>
      <c r="C563" s="108">
        <v>100551</v>
      </c>
      <c r="D563" s="109" t="s">
        <v>702</v>
      </c>
      <c r="E563" s="110">
        <v>45461</v>
      </c>
      <c r="F563" s="111">
        <v>36</v>
      </c>
      <c r="G563" s="112">
        <v>0.05</v>
      </c>
      <c r="H563" s="113">
        <v>5088.49</v>
      </c>
      <c r="I563" s="113">
        <v>2954.16</v>
      </c>
      <c r="J563" s="113">
        <v>0</v>
      </c>
      <c r="K563" s="114">
        <f t="shared" si="43"/>
        <v>2134.33</v>
      </c>
      <c r="L563" s="113">
        <v>537.12</v>
      </c>
      <c r="M563" s="115"/>
      <c r="N563" s="116"/>
      <c r="O563" s="117">
        <f t="shared" si="44"/>
        <v>46568</v>
      </c>
      <c r="P563" s="118">
        <f t="shared" si="45"/>
        <v>4</v>
      </c>
      <c r="Q563" s="119">
        <f t="shared" si="46"/>
        <v>537.118388888889</v>
      </c>
      <c r="R563" s="119">
        <f t="shared" si="47"/>
        <v>-0.00161111111117407</v>
      </c>
      <c r="S563" s="120" t="s">
        <v>106</v>
      </c>
      <c r="U563" s="67"/>
      <c r="V563" s="121"/>
      <c r="W563" s="122"/>
      <c r="X563" s="63"/>
      <c r="Y563" s="63"/>
      <c r="Z563" s="63"/>
      <c r="AA563" s="63"/>
    </row>
    <row r="564" s="59" customFormat="1" ht="16.5" outlineLevel="7" spans="1:27">
      <c r="A564" s="79"/>
      <c r="B564" s="107" t="s">
        <v>195</v>
      </c>
      <c r="C564" s="108">
        <v>100552</v>
      </c>
      <c r="D564" s="109" t="s">
        <v>545</v>
      </c>
      <c r="E564" s="110">
        <v>45467</v>
      </c>
      <c r="F564" s="111">
        <v>36</v>
      </c>
      <c r="G564" s="112">
        <v>0.05</v>
      </c>
      <c r="H564" s="113">
        <v>5308.85</v>
      </c>
      <c r="I564" s="113">
        <v>3082.08</v>
      </c>
      <c r="J564" s="113">
        <v>0</v>
      </c>
      <c r="K564" s="114">
        <f t="shared" si="43"/>
        <v>2226.77</v>
      </c>
      <c r="L564" s="113">
        <v>560.38</v>
      </c>
      <c r="M564" s="115"/>
      <c r="N564" s="116"/>
      <c r="O564" s="117">
        <f t="shared" si="44"/>
        <v>46568</v>
      </c>
      <c r="P564" s="118">
        <f t="shared" si="45"/>
        <v>4</v>
      </c>
      <c r="Q564" s="119">
        <f t="shared" si="46"/>
        <v>560.378611111111</v>
      </c>
      <c r="R564" s="119">
        <f t="shared" si="47"/>
        <v>-0.00138888888886868</v>
      </c>
      <c r="S564" s="120" t="s">
        <v>106</v>
      </c>
      <c r="U564" s="67"/>
      <c r="V564" s="121"/>
      <c r="W564" s="122"/>
      <c r="X564" s="63"/>
      <c r="Y564" s="63"/>
      <c r="Z564" s="63"/>
      <c r="AA564" s="63"/>
    </row>
    <row r="565" s="59" customFormat="1" ht="16.5" outlineLevel="7" spans="1:27">
      <c r="A565" s="79"/>
      <c r="B565" s="123" t="s">
        <v>195</v>
      </c>
      <c r="C565" s="124">
        <v>100553</v>
      </c>
      <c r="D565" s="125" t="s">
        <v>545</v>
      </c>
      <c r="E565" s="126">
        <v>45467</v>
      </c>
      <c r="F565" s="111">
        <v>36</v>
      </c>
      <c r="G565" s="127">
        <v>0.05</v>
      </c>
      <c r="H565" s="128">
        <v>5308.85</v>
      </c>
      <c r="I565" s="113">
        <v>3082.08</v>
      </c>
      <c r="J565" s="113">
        <v>0</v>
      </c>
      <c r="K565" s="114">
        <f t="shared" si="43"/>
        <v>2226.77</v>
      </c>
      <c r="L565" s="128">
        <v>560.38</v>
      </c>
      <c r="M565" s="115"/>
      <c r="N565" s="116"/>
      <c r="O565" s="117">
        <f t="shared" si="44"/>
        <v>46568</v>
      </c>
      <c r="P565" s="118">
        <f t="shared" si="45"/>
        <v>4</v>
      </c>
      <c r="Q565" s="119">
        <f t="shared" si="46"/>
        <v>560.378611111111</v>
      </c>
      <c r="R565" s="119">
        <f t="shared" si="47"/>
        <v>-0.00138888888886868</v>
      </c>
      <c r="S565" s="120" t="s">
        <v>106</v>
      </c>
      <c r="U565" s="67"/>
      <c r="V565" s="121"/>
      <c r="W565" s="122"/>
      <c r="X565" s="63"/>
      <c r="Y565" s="63"/>
      <c r="Z565" s="63"/>
      <c r="AA565" s="63"/>
    </row>
    <row r="566" s="59" customFormat="1" ht="16.5" outlineLevel="7" spans="1:27">
      <c r="A566" s="79"/>
      <c r="B566" s="123" t="s">
        <v>195</v>
      </c>
      <c r="C566" s="124">
        <v>100554</v>
      </c>
      <c r="D566" s="125" t="s">
        <v>545</v>
      </c>
      <c r="E566" s="126">
        <v>45467</v>
      </c>
      <c r="F566" s="111">
        <v>36</v>
      </c>
      <c r="G566" s="127">
        <v>0.05</v>
      </c>
      <c r="H566" s="128">
        <v>5308.85</v>
      </c>
      <c r="I566" s="113">
        <v>3082.08</v>
      </c>
      <c r="J566" s="113">
        <v>0</v>
      </c>
      <c r="K566" s="114">
        <f t="shared" si="43"/>
        <v>2226.77</v>
      </c>
      <c r="L566" s="128">
        <v>560.38</v>
      </c>
      <c r="M566" s="115"/>
      <c r="N566" s="116"/>
      <c r="O566" s="117">
        <f t="shared" si="44"/>
        <v>46568</v>
      </c>
      <c r="P566" s="118">
        <f t="shared" si="45"/>
        <v>4</v>
      </c>
      <c r="Q566" s="119">
        <f t="shared" si="46"/>
        <v>560.378611111111</v>
      </c>
      <c r="R566" s="119">
        <f t="shared" si="47"/>
        <v>-0.00138888888886868</v>
      </c>
      <c r="S566" s="120" t="s">
        <v>106</v>
      </c>
      <c r="U566" s="67"/>
      <c r="V566" s="121"/>
      <c r="W566" s="122"/>
      <c r="X566" s="63"/>
      <c r="Y566" s="63"/>
      <c r="Z566" s="63"/>
      <c r="AA566" s="63"/>
    </row>
    <row r="567" s="59" customFormat="1" ht="16.5" outlineLevel="7" spans="1:27">
      <c r="A567" s="79"/>
      <c r="B567" s="123" t="s">
        <v>195</v>
      </c>
      <c r="C567" s="124">
        <v>100555</v>
      </c>
      <c r="D567" s="125" t="s">
        <v>545</v>
      </c>
      <c r="E567" s="126">
        <v>45471</v>
      </c>
      <c r="F567" s="111">
        <v>36</v>
      </c>
      <c r="G567" s="127">
        <v>0.05</v>
      </c>
      <c r="H567" s="128">
        <v>5220.35</v>
      </c>
      <c r="I567" s="113">
        <v>3030.72</v>
      </c>
      <c r="J567" s="113">
        <v>0</v>
      </c>
      <c r="K567" s="114">
        <f t="shared" si="43"/>
        <v>2189.63</v>
      </c>
      <c r="L567" s="128">
        <v>551.04</v>
      </c>
      <c r="M567" s="115"/>
      <c r="N567" s="116"/>
      <c r="O567" s="117">
        <f t="shared" si="44"/>
        <v>46568</v>
      </c>
      <c r="P567" s="118">
        <f t="shared" si="45"/>
        <v>4</v>
      </c>
      <c r="Q567" s="119">
        <f t="shared" si="46"/>
        <v>551.036944444445</v>
      </c>
      <c r="R567" s="119">
        <f t="shared" si="47"/>
        <v>-0.00305555555542014</v>
      </c>
      <c r="S567" s="120" t="s">
        <v>106</v>
      </c>
      <c r="U567" s="67"/>
      <c r="V567" s="121"/>
      <c r="W567" s="122"/>
      <c r="X567" s="63"/>
      <c r="Y567" s="63"/>
      <c r="Z567" s="63"/>
      <c r="AA567" s="63"/>
    </row>
    <row r="568" s="59" customFormat="1" ht="16.5" outlineLevel="7" spans="1:27">
      <c r="A568" s="79"/>
      <c r="B568" s="123" t="s">
        <v>195</v>
      </c>
      <c r="C568" s="124">
        <v>100556</v>
      </c>
      <c r="D568" s="125" t="s">
        <v>705</v>
      </c>
      <c r="E568" s="126">
        <v>45486</v>
      </c>
      <c r="F568" s="111">
        <v>36</v>
      </c>
      <c r="G568" s="127">
        <v>0.05</v>
      </c>
      <c r="H568" s="128">
        <v>1326.55</v>
      </c>
      <c r="I568" s="113">
        <v>735.15</v>
      </c>
      <c r="J568" s="113">
        <v>0</v>
      </c>
      <c r="K568" s="114">
        <f t="shared" si="43"/>
        <v>591.4</v>
      </c>
      <c r="L568" s="128">
        <v>140.02</v>
      </c>
      <c r="M568" s="115"/>
      <c r="N568" s="116"/>
      <c r="O568" s="117">
        <f t="shared" si="44"/>
        <v>46599</v>
      </c>
      <c r="P568" s="118">
        <f t="shared" si="45"/>
        <v>4</v>
      </c>
      <c r="Q568" s="119">
        <f t="shared" si="46"/>
        <v>140.024722222222</v>
      </c>
      <c r="R568" s="119">
        <f t="shared" si="47"/>
        <v>0.00472222222219898</v>
      </c>
      <c r="S568" s="120" t="s">
        <v>106</v>
      </c>
      <c r="U568" s="67"/>
      <c r="V568" s="121"/>
      <c r="W568" s="122"/>
      <c r="X568" s="63"/>
      <c r="Y568" s="63"/>
      <c r="Z568" s="63"/>
      <c r="AA568" s="63"/>
    </row>
    <row r="569" s="59" customFormat="1" ht="16.5" outlineLevel="7" spans="1:27">
      <c r="A569" s="79"/>
      <c r="B569" s="123" t="s">
        <v>195</v>
      </c>
      <c r="C569" s="124">
        <v>100557</v>
      </c>
      <c r="D569" s="125" t="s">
        <v>559</v>
      </c>
      <c r="E569" s="126">
        <v>45482</v>
      </c>
      <c r="F569" s="111">
        <v>36</v>
      </c>
      <c r="G569" s="127">
        <v>0.05</v>
      </c>
      <c r="H569" s="128">
        <v>836.28</v>
      </c>
      <c r="I569" s="113">
        <v>463.47</v>
      </c>
      <c r="J569" s="113">
        <v>0</v>
      </c>
      <c r="K569" s="114">
        <f t="shared" si="43"/>
        <v>372.81</v>
      </c>
      <c r="L569" s="128">
        <v>88.28</v>
      </c>
      <c r="M569" s="115"/>
      <c r="N569" s="116"/>
      <c r="O569" s="117">
        <f t="shared" si="44"/>
        <v>46599</v>
      </c>
      <c r="P569" s="118">
        <f t="shared" si="45"/>
        <v>4</v>
      </c>
      <c r="Q569" s="119">
        <f t="shared" si="46"/>
        <v>88.274</v>
      </c>
      <c r="R569" s="119">
        <f t="shared" si="47"/>
        <v>-0.00600000000001444</v>
      </c>
      <c r="S569" s="120" t="s">
        <v>106</v>
      </c>
      <c r="U569" s="67"/>
      <c r="V569" s="121"/>
      <c r="W569" s="122"/>
      <c r="X569" s="63"/>
      <c r="Y569" s="63"/>
      <c r="Z569" s="63"/>
      <c r="AA569" s="63"/>
    </row>
    <row r="570" s="59" customFormat="1" ht="16.5" outlineLevel="7" spans="1:27">
      <c r="A570" s="79"/>
      <c r="B570" s="107" t="s">
        <v>195</v>
      </c>
      <c r="C570" s="108">
        <v>100558</v>
      </c>
      <c r="D570" s="109" t="s">
        <v>545</v>
      </c>
      <c r="E570" s="110">
        <v>45491</v>
      </c>
      <c r="F570" s="111">
        <v>36</v>
      </c>
      <c r="G570" s="112">
        <v>0.05</v>
      </c>
      <c r="H570" s="113">
        <v>4777.88</v>
      </c>
      <c r="I570" s="113">
        <v>2647.72</v>
      </c>
      <c r="J570" s="113">
        <v>0</v>
      </c>
      <c r="K570" s="114">
        <f t="shared" si="43"/>
        <v>2130.16</v>
      </c>
      <c r="L570" s="113">
        <v>504.34</v>
      </c>
      <c r="M570" s="115"/>
      <c r="N570" s="116"/>
      <c r="O570" s="117">
        <f t="shared" si="44"/>
        <v>46599</v>
      </c>
      <c r="P570" s="118">
        <f t="shared" si="45"/>
        <v>4</v>
      </c>
      <c r="Q570" s="119">
        <f t="shared" si="46"/>
        <v>504.331777777778</v>
      </c>
      <c r="R570" s="119">
        <f t="shared" si="47"/>
        <v>-0.0082222222222299</v>
      </c>
      <c r="S570" s="120" t="s">
        <v>106</v>
      </c>
      <c r="U570" s="67"/>
      <c r="V570" s="121"/>
      <c r="W570" s="122"/>
      <c r="X570" s="63"/>
      <c r="Y570" s="63"/>
      <c r="Z570" s="63"/>
      <c r="AA570" s="63"/>
    </row>
    <row r="571" s="59" customFormat="1" ht="16.5" outlineLevel="7" spans="1:27">
      <c r="A571" s="79"/>
      <c r="B571" s="107" t="s">
        <v>195</v>
      </c>
      <c r="C571" s="108">
        <v>100559</v>
      </c>
      <c r="D571" s="109" t="s">
        <v>556</v>
      </c>
      <c r="E571" s="110">
        <v>45495</v>
      </c>
      <c r="F571" s="111">
        <v>36</v>
      </c>
      <c r="G571" s="112">
        <v>0.05</v>
      </c>
      <c r="H571" s="113">
        <v>2969.31</v>
      </c>
      <c r="I571" s="113">
        <v>1645.52</v>
      </c>
      <c r="J571" s="113">
        <v>0</v>
      </c>
      <c r="K571" s="114">
        <f t="shared" si="43"/>
        <v>1323.79</v>
      </c>
      <c r="L571" s="113">
        <v>313.42</v>
      </c>
      <c r="M571" s="115"/>
      <c r="N571" s="116"/>
      <c r="O571" s="117">
        <f t="shared" si="44"/>
        <v>46599</v>
      </c>
      <c r="P571" s="118">
        <f t="shared" si="45"/>
        <v>4</v>
      </c>
      <c r="Q571" s="119">
        <f t="shared" si="46"/>
        <v>313.427166666667</v>
      </c>
      <c r="R571" s="119">
        <f t="shared" si="47"/>
        <v>0.00716666666659194</v>
      </c>
      <c r="S571" s="120" t="s">
        <v>106</v>
      </c>
      <c r="U571" s="67"/>
      <c r="V571" s="121"/>
      <c r="W571" s="122"/>
      <c r="X571" s="63"/>
      <c r="Y571" s="63"/>
      <c r="Z571" s="63"/>
      <c r="AA571" s="63"/>
    </row>
    <row r="572" s="59" customFormat="1" ht="16.5" outlineLevel="7" spans="1:27">
      <c r="A572" s="79"/>
      <c r="B572" s="123" t="s">
        <v>195</v>
      </c>
      <c r="C572" s="124">
        <v>100002</v>
      </c>
      <c r="D572" s="125" t="s">
        <v>582</v>
      </c>
      <c r="E572" s="126">
        <v>43986</v>
      </c>
      <c r="F572" s="111">
        <v>36</v>
      </c>
      <c r="G572" s="127">
        <v>0.05</v>
      </c>
      <c r="H572" s="128">
        <v>1399</v>
      </c>
      <c r="I572" s="113">
        <v>1329.05</v>
      </c>
      <c r="J572" s="113">
        <v>0</v>
      </c>
      <c r="K572" s="114">
        <f t="shared" si="43"/>
        <v>69.95</v>
      </c>
      <c r="L572" s="128">
        <v>0</v>
      </c>
      <c r="M572" s="115"/>
      <c r="N572" s="116"/>
      <c r="O572" s="117">
        <f t="shared" si="44"/>
        <v>45107</v>
      </c>
      <c r="P572" s="118">
        <f t="shared" si="45"/>
        <v>0</v>
      </c>
      <c r="Q572" s="119">
        <f t="shared" si="46"/>
        <v>0</v>
      </c>
      <c r="R572" s="119">
        <f t="shared" si="47"/>
        <v>0</v>
      </c>
      <c r="S572" s="120" t="s">
        <v>106</v>
      </c>
      <c r="U572" s="67"/>
      <c r="V572" s="121"/>
      <c r="W572" s="122"/>
      <c r="X572" s="63"/>
      <c r="Y572" s="63"/>
      <c r="Z572" s="63"/>
      <c r="AA572" s="63"/>
    </row>
    <row r="573" s="59" customFormat="1" ht="16.5" outlineLevel="7" spans="1:27">
      <c r="A573" s="79"/>
      <c r="B573" s="123" t="s">
        <v>195</v>
      </c>
      <c r="C573" s="124">
        <v>100003</v>
      </c>
      <c r="D573" s="125" t="s">
        <v>545</v>
      </c>
      <c r="E573" s="126">
        <v>44026</v>
      </c>
      <c r="F573" s="111">
        <v>36</v>
      </c>
      <c r="G573" s="127">
        <v>0.05</v>
      </c>
      <c r="H573" s="128">
        <v>8988</v>
      </c>
      <c r="I573" s="113">
        <v>8538.6</v>
      </c>
      <c r="J573" s="113">
        <v>0</v>
      </c>
      <c r="K573" s="114">
        <f t="shared" si="43"/>
        <v>449.4</v>
      </c>
      <c r="L573" s="128">
        <v>0</v>
      </c>
      <c r="M573" s="115"/>
      <c r="N573" s="116"/>
      <c r="O573" s="117">
        <f t="shared" si="44"/>
        <v>45138</v>
      </c>
      <c r="P573" s="118">
        <f t="shared" si="45"/>
        <v>0</v>
      </c>
      <c r="Q573" s="119">
        <f t="shared" si="46"/>
        <v>0</v>
      </c>
      <c r="R573" s="119">
        <f t="shared" si="47"/>
        <v>0</v>
      </c>
      <c r="S573" s="120" t="s">
        <v>106</v>
      </c>
      <c r="U573" s="67"/>
      <c r="V573" s="121"/>
      <c r="W573" s="122"/>
      <c r="X573" s="63"/>
      <c r="Y573" s="63"/>
      <c r="Z573" s="63"/>
      <c r="AA573" s="63"/>
    </row>
    <row r="574" s="59" customFormat="1" ht="16.5" outlineLevel="7" spans="1:27">
      <c r="A574" s="79"/>
      <c r="B574" s="123" t="s">
        <v>195</v>
      </c>
      <c r="C574" s="124">
        <v>100009</v>
      </c>
      <c r="D574" s="125" t="s">
        <v>688</v>
      </c>
      <c r="E574" s="126">
        <v>44186</v>
      </c>
      <c r="F574" s="111">
        <v>36</v>
      </c>
      <c r="G574" s="127">
        <v>0.05</v>
      </c>
      <c r="H574" s="128">
        <v>3198.98</v>
      </c>
      <c r="I574" s="113">
        <v>3039.03</v>
      </c>
      <c r="J574" s="113">
        <v>0</v>
      </c>
      <c r="K574" s="114">
        <f t="shared" si="43"/>
        <v>159.95</v>
      </c>
      <c r="L574" s="128">
        <v>0</v>
      </c>
      <c r="M574" s="115"/>
      <c r="N574" s="116"/>
      <c r="O574" s="117">
        <f t="shared" si="44"/>
        <v>45291</v>
      </c>
      <c r="P574" s="118">
        <f t="shared" si="45"/>
        <v>0</v>
      </c>
      <c r="Q574" s="119">
        <f t="shared" si="46"/>
        <v>0</v>
      </c>
      <c r="R574" s="119">
        <f t="shared" si="47"/>
        <v>0</v>
      </c>
      <c r="S574" s="120" t="s">
        <v>106</v>
      </c>
      <c r="U574" s="67"/>
      <c r="V574" s="121"/>
      <c r="W574" s="122"/>
      <c r="X574" s="63"/>
      <c r="Y574" s="63"/>
      <c r="Z574" s="63"/>
      <c r="AA574" s="63"/>
    </row>
    <row r="575" s="59" customFormat="1" ht="16.5" outlineLevel="7" spans="1:27">
      <c r="A575" s="79"/>
      <c r="B575" s="123" t="s">
        <v>195</v>
      </c>
      <c r="C575" s="124">
        <v>100010</v>
      </c>
      <c r="D575" s="125" t="s">
        <v>706</v>
      </c>
      <c r="E575" s="126">
        <v>44186</v>
      </c>
      <c r="F575" s="111">
        <v>36</v>
      </c>
      <c r="G575" s="127">
        <v>0.05</v>
      </c>
      <c r="H575" s="128">
        <v>498.98</v>
      </c>
      <c r="I575" s="113">
        <v>474.03</v>
      </c>
      <c r="J575" s="113">
        <v>0</v>
      </c>
      <c r="K575" s="114">
        <f t="shared" si="43"/>
        <v>24.95</v>
      </c>
      <c r="L575" s="128">
        <v>0</v>
      </c>
      <c r="M575" s="115"/>
      <c r="N575" s="116"/>
      <c r="O575" s="117">
        <f t="shared" si="44"/>
        <v>45291</v>
      </c>
      <c r="P575" s="118">
        <f t="shared" si="45"/>
        <v>0</v>
      </c>
      <c r="Q575" s="119">
        <f t="shared" si="46"/>
        <v>0</v>
      </c>
      <c r="R575" s="119">
        <f t="shared" si="47"/>
        <v>0</v>
      </c>
      <c r="S575" s="120" t="s">
        <v>106</v>
      </c>
      <c r="U575" s="67"/>
      <c r="V575" s="121"/>
      <c r="W575" s="122"/>
      <c r="X575" s="63"/>
      <c r="Y575" s="63"/>
      <c r="Z575" s="63"/>
      <c r="AA575" s="63"/>
    </row>
    <row r="576" s="59" customFormat="1" ht="16.5" outlineLevel="7" spans="1:27">
      <c r="A576" s="79"/>
      <c r="B576" s="123" t="s">
        <v>195</v>
      </c>
      <c r="C576" s="124">
        <v>100011</v>
      </c>
      <c r="D576" s="125" t="s">
        <v>554</v>
      </c>
      <c r="E576" s="126">
        <v>44220</v>
      </c>
      <c r="F576" s="111">
        <v>36</v>
      </c>
      <c r="G576" s="127">
        <v>0.05</v>
      </c>
      <c r="H576" s="128">
        <v>6902.65</v>
      </c>
      <c r="I576" s="113">
        <v>6557.52</v>
      </c>
      <c r="J576" s="113">
        <v>0</v>
      </c>
      <c r="K576" s="114">
        <f t="shared" si="43"/>
        <v>345.129999999999</v>
      </c>
      <c r="L576" s="128">
        <v>0</v>
      </c>
      <c r="M576" s="115"/>
      <c r="N576" s="116"/>
      <c r="O576" s="117">
        <f t="shared" si="44"/>
        <v>45322</v>
      </c>
      <c r="P576" s="118">
        <f t="shared" si="45"/>
        <v>0</v>
      </c>
      <c r="Q576" s="119">
        <f t="shared" si="46"/>
        <v>0</v>
      </c>
      <c r="R576" s="119">
        <f t="shared" si="47"/>
        <v>0</v>
      </c>
      <c r="S576" s="120" t="s">
        <v>106</v>
      </c>
      <c r="U576" s="67"/>
      <c r="V576" s="121"/>
      <c r="W576" s="122"/>
      <c r="X576" s="63"/>
      <c r="Y576" s="63"/>
      <c r="Z576" s="63"/>
      <c r="AA576" s="63"/>
    </row>
    <row r="577" s="59" customFormat="1" ht="16.5" outlineLevel="7" spans="1:27">
      <c r="A577" s="79"/>
      <c r="B577" s="107" t="s">
        <v>195</v>
      </c>
      <c r="C577" s="108">
        <v>100016</v>
      </c>
      <c r="D577" s="109" t="s">
        <v>589</v>
      </c>
      <c r="E577" s="110">
        <v>44217</v>
      </c>
      <c r="F577" s="111">
        <v>36</v>
      </c>
      <c r="G577" s="112">
        <v>0.05</v>
      </c>
      <c r="H577" s="113">
        <v>359</v>
      </c>
      <c r="I577" s="113">
        <v>341.05</v>
      </c>
      <c r="J577" s="113">
        <v>0</v>
      </c>
      <c r="K577" s="114">
        <f t="shared" si="43"/>
        <v>17.95</v>
      </c>
      <c r="L577" s="113">
        <v>0</v>
      </c>
      <c r="M577" s="115"/>
      <c r="N577" s="116"/>
      <c r="O577" s="117">
        <f t="shared" si="44"/>
        <v>45322</v>
      </c>
      <c r="P577" s="118">
        <f t="shared" si="45"/>
        <v>0</v>
      </c>
      <c r="Q577" s="119">
        <f t="shared" si="46"/>
        <v>0</v>
      </c>
      <c r="R577" s="119">
        <f t="shared" si="47"/>
        <v>0</v>
      </c>
      <c r="S577" s="120" t="s">
        <v>106</v>
      </c>
      <c r="U577" s="67"/>
      <c r="V577" s="121"/>
      <c r="W577" s="122"/>
      <c r="X577" s="63"/>
      <c r="Y577" s="63"/>
      <c r="Z577" s="63"/>
      <c r="AA577" s="63"/>
    </row>
    <row r="578" s="59" customFormat="1" ht="16.5" outlineLevel="7" spans="1:27">
      <c r="A578" s="79"/>
      <c r="B578" s="107" t="s">
        <v>195</v>
      </c>
      <c r="C578" s="108">
        <v>100017</v>
      </c>
      <c r="D578" s="109" t="s">
        <v>545</v>
      </c>
      <c r="E578" s="110">
        <v>44252</v>
      </c>
      <c r="F578" s="111">
        <v>36</v>
      </c>
      <c r="G578" s="112">
        <v>0.05</v>
      </c>
      <c r="H578" s="113">
        <v>4069.92</v>
      </c>
      <c r="I578" s="113">
        <v>3866.42</v>
      </c>
      <c r="J578" s="113">
        <v>0</v>
      </c>
      <c r="K578" s="114">
        <f t="shared" si="43"/>
        <v>203.5</v>
      </c>
      <c r="L578" s="113">
        <v>0</v>
      </c>
      <c r="M578" s="115"/>
      <c r="N578" s="116"/>
      <c r="O578" s="117">
        <f t="shared" si="44"/>
        <v>45351</v>
      </c>
      <c r="P578" s="118">
        <f t="shared" si="45"/>
        <v>0</v>
      </c>
      <c r="Q578" s="119">
        <f t="shared" si="46"/>
        <v>0</v>
      </c>
      <c r="R578" s="119">
        <f t="shared" si="47"/>
        <v>0</v>
      </c>
      <c r="S578" s="120" t="s">
        <v>106</v>
      </c>
      <c r="U578" s="67"/>
      <c r="V578" s="121"/>
      <c r="W578" s="122"/>
      <c r="X578" s="63"/>
      <c r="Y578" s="63"/>
      <c r="Z578" s="63"/>
      <c r="AA578" s="63"/>
    </row>
    <row r="579" s="59" customFormat="1" ht="16.5" outlineLevel="7" spans="1:27">
      <c r="A579" s="79"/>
      <c r="B579" s="123" t="s">
        <v>195</v>
      </c>
      <c r="C579" s="124">
        <v>100018</v>
      </c>
      <c r="D579" s="125" t="s">
        <v>654</v>
      </c>
      <c r="E579" s="126">
        <v>44251</v>
      </c>
      <c r="F579" s="111">
        <v>36</v>
      </c>
      <c r="G579" s="127">
        <v>0.05</v>
      </c>
      <c r="H579" s="128">
        <v>599</v>
      </c>
      <c r="I579" s="113">
        <v>569.05</v>
      </c>
      <c r="J579" s="113">
        <v>0</v>
      </c>
      <c r="K579" s="114">
        <f t="shared" si="43"/>
        <v>29.95</v>
      </c>
      <c r="L579" s="128">
        <v>0</v>
      </c>
      <c r="M579" s="115"/>
      <c r="N579" s="116"/>
      <c r="O579" s="117">
        <f t="shared" si="44"/>
        <v>45351</v>
      </c>
      <c r="P579" s="118">
        <f t="shared" si="45"/>
        <v>0</v>
      </c>
      <c r="Q579" s="119">
        <f t="shared" si="46"/>
        <v>0</v>
      </c>
      <c r="R579" s="119">
        <f t="shared" si="47"/>
        <v>0</v>
      </c>
      <c r="S579" s="120" t="s">
        <v>106</v>
      </c>
      <c r="U579" s="67"/>
      <c r="V579" s="121"/>
      <c r="W579" s="122"/>
      <c r="X579" s="63"/>
      <c r="Y579" s="63"/>
      <c r="Z579" s="63"/>
      <c r="AA579" s="63"/>
    </row>
    <row r="580" s="59" customFormat="1" ht="16.5" outlineLevel="7" spans="1:27">
      <c r="A580" s="79"/>
      <c r="B580" s="123" t="s">
        <v>195</v>
      </c>
      <c r="C580" s="124">
        <v>100019</v>
      </c>
      <c r="D580" s="125" t="s">
        <v>582</v>
      </c>
      <c r="E580" s="126">
        <v>44252</v>
      </c>
      <c r="F580" s="111">
        <v>36</v>
      </c>
      <c r="G580" s="127">
        <v>0.05</v>
      </c>
      <c r="H580" s="128">
        <v>3166.37</v>
      </c>
      <c r="I580" s="113">
        <v>3008.05</v>
      </c>
      <c r="J580" s="113">
        <v>0</v>
      </c>
      <c r="K580" s="114">
        <f t="shared" si="43"/>
        <v>158.32</v>
      </c>
      <c r="L580" s="128">
        <v>0</v>
      </c>
      <c r="M580" s="115"/>
      <c r="N580" s="116"/>
      <c r="O580" s="117">
        <f t="shared" si="44"/>
        <v>45351</v>
      </c>
      <c r="P580" s="118">
        <f t="shared" si="45"/>
        <v>0</v>
      </c>
      <c r="Q580" s="119">
        <f t="shared" si="46"/>
        <v>0</v>
      </c>
      <c r="R580" s="119">
        <f t="shared" si="47"/>
        <v>0</v>
      </c>
      <c r="S580" s="120" t="s">
        <v>106</v>
      </c>
      <c r="U580" s="67"/>
      <c r="V580" s="121"/>
      <c r="W580" s="122"/>
      <c r="X580" s="63"/>
      <c r="Y580" s="63"/>
      <c r="Z580" s="63"/>
      <c r="AA580" s="63"/>
    </row>
    <row r="581" s="59" customFormat="1" ht="16.5" outlineLevel="7" spans="1:27">
      <c r="A581" s="79"/>
      <c r="B581" s="123" t="s">
        <v>195</v>
      </c>
      <c r="C581" s="124">
        <v>100021</v>
      </c>
      <c r="D581" s="125" t="s">
        <v>554</v>
      </c>
      <c r="E581" s="126">
        <v>44259</v>
      </c>
      <c r="F581" s="111">
        <v>36</v>
      </c>
      <c r="G581" s="127">
        <v>0.05</v>
      </c>
      <c r="H581" s="128">
        <v>18849.56</v>
      </c>
      <c r="I581" s="113">
        <v>17907.08</v>
      </c>
      <c r="J581" s="113">
        <v>0</v>
      </c>
      <c r="K581" s="114">
        <f t="shared" si="43"/>
        <v>942.48</v>
      </c>
      <c r="L581" s="128">
        <v>0</v>
      </c>
      <c r="M581" s="115"/>
      <c r="N581" s="116"/>
      <c r="O581" s="117">
        <f t="shared" si="44"/>
        <v>45382</v>
      </c>
      <c r="P581" s="118">
        <f t="shared" si="45"/>
        <v>0</v>
      </c>
      <c r="Q581" s="119">
        <f t="shared" si="46"/>
        <v>0</v>
      </c>
      <c r="R581" s="119">
        <f t="shared" si="47"/>
        <v>0</v>
      </c>
      <c r="S581" s="120" t="s">
        <v>106</v>
      </c>
      <c r="U581" s="67"/>
      <c r="V581" s="121"/>
      <c r="W581" s="122"/>
      <c r="X581" s="63"/>
      <c r="Y581" s="63"/>
      <c r="Z581" s="63"/>
      <c r="AA581" s="63"/>
    </row>
    <row r="582" s="59" customFormat="1" ht="16.5" outlineLevel="7" spans="1:27">
      <c r="A582" s="79"/>
      <c r="B582" s="123" t="s">
        <v>195</v>
      </c>
      <c r="C582" s="124">
        <v>100026</v>
      </c>
      <c r="D582" s="125" t="s">
        <v>565</v>
      </c>
      <c r="E582" s="126">
        <v>44267</v>
      </c>
      <c r="F582" s="111">
        <v>36</v>
      </c>
      <c r="G582" s="127">
        <v>0.05</v>
      </c>
      <c r="H582" s="128">
        <v>4857.52</v>
      </c>
      <c r="I582" s="113">
        <v>4614.64</v>
      </c>
      <c r="J582" s="113">
        <v>0</v>
      </c>
      <c r="K582" s="114">
        <f t="shared" si="43"/>
        <v>242.88</v>
      </c>
      <c r="L582" s="128">
        <v>0</v>
      </c>
      <c r="M582" s="115"/>
      <c r="N582" s="116"/>
      <c r="O582" s="117">
        <f t="shared" si="44"/>
        <v>45382</v>
      </c>
      <c r="P582" s="118">
        <f t="shared" si="45"/>
        <v>0</v>
      </c>
      <c r="Q582" s="119">
        <f t="shared" si="46"/>
        <v>0</v>
      </c>
      <c r="R582" s="119">
        <f t="shared" si="47"/>
        <v>0</v>
      </c>
      <c r="S582" s="120" t="s">
        <v>106</v>
      </c>
      <c r="U582" s="67"/>
      <c r="V582" s="121"/>
      <c r="W582" s="122"/>
      <c r="X582" s="63"/>
      <c r="Y582" s="63"/>
      <c r="Z582" s="63"/>
      <c r="AA582" s="63"/>
    </row>
    <row r="583" s="59" customFormat="1" ht="16.5" outlineLevel="7" spans="1:27">
      <c r="A583" s="79"/>
      <c r="B583" s="123" t="s">
        <v>195</v>
      </c>
      <c r="C583" s="124">
        <v>100030</v>
      </c>
      <c r="D583" s="125" t="s">
        <v>545</v>
      </c>
      <c r="E583" s="126">
        <v>44230</v>
      </c>
      <c r="F583" s="111">
        <v>36</v>
      </c>
      <c r="G583" s="127">
        <v>0.05</v>
      </c>
      <c r="H583" s="128">
        <v>8599</v>
      </c>
      <c r="I583" s="113">
        <v>8169.05</v>
      </c>
      <c r="J583" s="113">
        <v>0</v>
      </c>
      <c r="K583" s="114">
        <f t="shared" si="43"/>
        <v>429.95</v>
      </c>
      <c r="L583" s="128">
        <v>0</v>
      </c>
      <c r="M583" s="115"/>
      <c r="N583" s="116"/>
      <c r="O583" s="117">
        <f t="shared" si="44"/>
        <v>45351</v>
      </c>
      <c r="P583" s="118">
        <f t="shared" si="45"/>
        <v>0</v>
      </c>
      <c r="Q583" s="119">
        <f t="shared" si="46"/>
        <v>0</v>
      </c>
      <c r="R583" s="119">
        <f t="shared" si="47"/>
        <v>0</v>
      </c>
      <c r="S583" s="120" t="s">
        <v>106</v>
      </c>
      <c r="U583" s="67"/>
      <c r="V583" s="121"/>
      <c r="W583" s="122"/>
      <c r="X583" s="63"/>
      <c r="Y583" s="63"/>
      <c r="Z583" s="63"/>
      <c r="AA583" s="63"/>
    </row>
    <row r="584" s="59" customFormat="1" ht="16.5" outlineLevel="7" spans="1:27">
      <c r="A584" s="79"/>
      <c r="B584" s="107" t="s">
        <v>195</v>
      </c>
      <c r="C584" s="108">
        <v>100034</v>
      </c>
      <c r="D584" s="109" t="s">
        <v>565</v>
      </c>
      <c r="E584" s="110">
        <v>44295</v>
      </c>
      <c r="F584" s="111">
        <v>36</v>
      </c>
      <c r="G584" s="112">
        <v>0.05</v>
      </c>
      <c r="H584" s="113">
        <v>3817.61</v>
      </c>
      <c r="I584" s="113">
        <v>3626.73</v>
      </c>
      <c r="J584" s="113">
        <v>0</v>
      </c>
      <c r="K584" s="114">
        <f t="shared" si="43"/>
        <v>190.88</v>
      </c>
      <c r="L584" s="113">
        <v>0</v>
      </c>
      <c r="M584" s="115"/>
      <c r="N584" s="116"/>
      <c r="O584" s="117">
        <f t="shared" si="44"/>
        <v>45412</v>
      </c>
      <c r="P584" s="118">
        <f t="shared" si="45"/>
        <v>0</v>
      </c>
      <c r="Q584" s="119">
        <f t="shared" si="46"/>
        <v>0</v>
      </c>
      <c r="R584" s="119">
        <f t="shared" si="47"/>
        <v>0</v>
      </c>
      <c r="S584" s="120" t="s">
        <v>106</v>
      </c>
      <c r="U584" s="67"/>
      <c r="V584" s="121"/>
      <c r="W584" s="122"/>
      <c r="X584" s="63"/>
      <c r="Y584" s="63"/>
      <c r="Z584" s="63"/>
      <c r="AA584" s="63"/>
    </row>
    <row r="585" s="59" customFormat="1" ht="16.5" outlineLevel="7" spans="1:27">
      <c r="A585" s="79"/>
      <c r="B585" s="107" t="s">
        <v>195</v>
      </c>
      <c r="C585" s="108">
        <v>100035</v>
      </c>
      <c r="D585" s="109" t="s">
        <v>681</v>
      </c>
      <c r="E585" s="110">
        <v>44301</v>
      </c>
      <c r="F585" s="111">
        <v>36</v>
      </c>
      <c r="G585" s="112">
        <v>0.05</v>
      </c>
      <c r="H585" s="113">
        <v>1134.36</v>
      </c>
      <c r="I585" s="113">
        <v>1077.64</v>
      </c>
      <c r="J585" s="113">
        <v>0</v>
      </c>
      <c r="K585" s="114">
        <f t="shared" ref="K585:K648" si="48">H585-I585-J585</f>
        <v>56.7199999999998</v>
      </c>
      <c r="L585" s="113">
        <v>0</v>
      </c>
      <c r="M585" s="115"/>
      <c r="N585" s="116"/>
      <c r="O585" s="117">
        <f t="shared" ref="O585:O648" si="49">IFERROR(EOMONTH(E585,F585),"")</f>
        <v>45412</v>
      </c>
      <c r="P585" s="118">
        <f t="shared" ref="P585:P648" si="50">IFERROR(IF(OR(AND(M585&lt;&gt;"",YEAR(M585)&lt;YEAR($L$6)),AND(O585&lt;&gt;"",YEAR(O585)&lt;YEAR($L$6))),0,IF(YEAR(E585)&gt;YEAR($L$6),0,IF(OR((IF(YEAR(E585)&lt;YEAR($L$6),1,IF(MONTH(E585)=12,99,MONTH(E585)+1))&gt;12),(IF(YEAR(E585)&lt;YEAR($L$6),1,IF(MONTH(E585)=12,99,MONTH(E585)+1))&gt;MIN(MONTH($L$6),IF(AND(M585&lt;&gt;"",YEAR(M585)=YEAR($L$6)),MONTH(M585),99),IF(AND(O585&lt;&gt;"",YEAR(O585)=YEAR($L$6)),MONTH(O585),99)))),0,MIN(MONTH($L$6),IF(AND(M585&lt;&gt;"",YEAR(M585)=YEAR($L$6)),MONTH(M585),99),IF(AND(O585&lt;&gt;"",YEAR(O585)=YEAR($L$6)),MONTH(O585),99))-IF(YEAR(E585)&lt;YEAR($L$6),1,IF(MONTH(E585)=12,99,MONTH(E585)+1))+1))),0)</f>
        <v>0</v>
      </c>
      <c r="Q585" s="119">
        <f t="shared" si="46"/>
        <v>0</v>
      </c>
      <c r="R585" s="119">
        <f t="shared" si="47"/>
        <v>0</v>
      </c>
      <c r="S585" s="120" t="s">
        <v>106</v>
      </c>
      <c r="U585" s="67"/>
      <c r="V585" s="121"/>
      <c r="W585" s="122"/>
      <c r="X585" s="63"/>
      <c r="Y585" s="63"/>
      <c r="Z585" s="63"/>
      <c r="AA585" s="63"/>
    </row>
    <row r="586" s="59" customFormat="1" ht="16.5" outlineLevel="7" spans="1:27">
      <c r="A586" s="79"/>
      <c r="B586" s="123" t="s">
        <v>195</v>
      </c>
      <c r="C586" s="124">
        <v>100036</v>
      </c>
      <c r="D586" s="125" t="s">
        <v>654</v>
      </c>
      <c r="E586" s="126">
        <v>44301</v>
      </c>
      <c r="F586" s="111">
        <v>36</v>
      </c>
      <c r="G586" s="127">
        <v>0.05</v>
      </c>
      <c r="H586" s="128">
        <v>430.09</v>
      </c>
      <c r="I586" s="113">
        <v>408.59</v>
      </c>
      <c r="J586" s="113">
        <v>0</v>
      </c>
      <c r="K586" s="114">
        <f t="shared" si="48"/>
        <v>21.5</v>
      </c>
      <c r="L586" s="128">
        <v>0</v>
      </c>
      <c r="M586" s="115"/>
      <c r="N586" s="116"/>
      <c r="O586" s="117">
        <f t="shared" si="49"/>
        <v>45412</v>
      </c>
      <c r="P586" s="118">
        <f t="shared" si="50"/>
        <v>0</v>
      </c>
      <c r="Q586" s="119">
        <f t="shared" si="46"/>
        <v>0</v>
      </c>
      <c r="R586" s="119">
        <f t="shared" si="47"/>
        <v>0</v>
      </c>
      <c r="S586" s="120" t="s">
        <v>106</v>
      </c>
      <c r="U586" s="67"/>
      <c r="V586" s="121"/>
      <c r="W586" s="122"/>
      <c r="X586" s="63"/>
      <c r="Y586" s="63"/>
      <c r="Z586" s="63"/>
      <c r="AA586" s="63"/>
    </row>
    <row r="587" s="59" customFormat="1" ht="16.5" outlineLevel="7" spans="1:27">
      <c r="A587" s="79"/>
      <c r="B587" s="123" t="s">
        <v>195</v>
      </c>
      <c r="C587" s="124">
        <v>100037</v>
      </c>
      <c r="D587" s="125" t="s">
        <v>707</v>
      </c>
      <c r="E587" s="126">
        <v>44301</v>
      </c>
      <c r="F587" s="111">
        <v>36</v>
      </c>
      <c r="G587" s="127">
        <v>0.05</v>
      </c>
      <c r="H587" s="128">
        <v>382.3</v>
      </c>
      <c r="I587" s="113">
        <v>363.18</v>
      </c>
      <c r="J587" s="113">
        <v>0</v>
      </c>
      <c r="K587" s="114">
        <f t="shared" si="48"/>
        <v>19.12</v>
      </c>
      <c r="L587" s="128">
        <v>0</v>
      </c>
      <c r="M587" s="115"/>
      <c r="N587" s="116"/>
      <c r="O587" s="117">
        <f t="shared" si="49"/>
        <v>45412</v>
      </c>
      <c r="P587" s="118">
        <f t="shared" si="50"/>
        <v>0</v>
      </c>
      <c r="Q587" s="119">
        <f t="shared" si="46"/>
        <v>0</v>
      </c>
      <c r="R587" s="119">
        <f t="shared" si="47"/>
        <v>0</v>
      </c>
      <c r="S587" s="120" t="s">
        <v>106</v>
      </c>
      <c r="U587" s="67"/>
      <c r="V587" s="121"/>
      <c r="W587" s="122"/>
      <c r="X587" s="63"/>
      <c r="Y587" s="63"/>
      <c r="Z587" s="63"/>
      <c r="AA587" s="63"/>
    </row>
    <row r="588" s="59" customFormat="1" ht="16.5" outlineLevel="7" spans="1:27">
      <c r="A588" s="79"/>
      <c r="B588" s="123" t="s">
        <v>195</v>
      </c>
      <c r="C588" s="124">
        <v>100039</v>
      </c>
      <c r="D588" s="125" t="s">
        <v>545</v>
      </c>
      <c r="E588" s="126">
        <v>44302</v>
      </c>
      <c r="F588" s="111">
        <v>36</v>
      </c>
      <c r="G588" s="127">
        <v>0.05</v>
      </c>
      <c r="H588" s="128">
        <v>4687.61</v>
      </c>
      <c r="I588" s="113">
        <v>4453.23</v>
      </c>
      <c r="J588" s="113">
        <v>0</v>
      </c>
      <c r="K588" s="114">
        <f t="shared" si="48"/>
        <v>234.38</v>
      </c>
      <c r="L588" s="128">
        <v>0</v>
      </c>
      <c r="M588" s="115"/>
      <c r="N588" s="116"/>
      <c r="O588" s="117">
        <f t="shared" si="49"/>
        <v>45412</v>
      </c>
      <c r="P588" s="118">
        <f t="shared" si="50"/>
        <v>0</v>
      </c>
      <c r="Q588" s="119">
        <f t="shared" si="46"/>
        <v>0</v>
      </c>
      <c r="R588" s="119">
        <f t="shared" si="47"/>
        <v>0</v>
      </c>
      <c r="S588" s="120" t="s">
        <v>106</v>
      </c>
      <c r="U588" s="67"/>
      <c r="V588" s="121"/>
      <c r="W588" s="122"/>
      <c r="X588" s="63"/>
      <c r="Y588" s="63"/>
      <c r="Z588" s="63"/>
      <c r="AA588" s="63"/>
    </row>
    <row r="589" s="59" customFormat="1" ht="16.5" outlineLevel="7" spans="1:27">
      <c r="A589" s="79"/>
      <c r="B589" s="123" t="s">
        <v>195</v>
      </c>
      <c r="C589" s="124">
        <v>100040</v>
      </c>
      <c r="D589" s="125" t="s">
        <v>708</v>
      </c>
      <c r="E589" s="126">
        <v>44316</v>
      </c>
      <c r="F589" s="111">
        <v>36</v>
      </c>
      <c r="G589" s="127">
        <v>0.05</v>
      </c>
      <c r="H589" s="128">
        <v>2432.74</v>
      </c>
      <c r="I589" s="113">
        <v>2311.1</v>
      </c>
      <c r="J589" s="113">
        <v>0</v>
      </c>
      <c r="K589" s="114">
        <f t="shared" si="48"/>
        <v>121.64</v>
      </c>
      <c r="L589" s="128">
        <v>0</v>
      </c>
      <c r="M589" s="115"/>
      <c r="N589" s="116"/>
      <c r="O589" s="117">
        <f t="shared" si="49"/>
        <v>45412</v>
      </c>
      <c r="P589" s="118">
        <f t="shared" si="50"/>
        <v>0</v>
      </c>
      <c r="Q589" s="119">
        <f t="shared" si="46"/>
        <v>0</v>
      </c>
      <c r="R589" s="119">
        <f t="shared" si="47"/>
        <v>0</v>
      </c>
      <c r="S589" s="120" t="s">
        <v>106</v>
      </c>
      <c r="U589" s="67"/>
      <c r="V589" s="121"/>
      <c r="W589" s="122"/>
      <c r="X589" s="63"/>
      <c r="Y589" s="63"/>
      <c r="Z589" s="63"/>
      <c r="AA589" s="63"/>
    </row>
    <row r="590" s="59" customFormat="1" ht="16.5" outlineLevel="7" spans="1:27">
      <c r="A590" s="79"/>
      <c r="B590" s="123" t="s">
        <v>195</v>
      </c>
      <c r="C590" s="124">
        <v>100041</v>
      </c>
      <c r="D590" s="125" t="s">
        <v>708</v>
      </c>
      <c r="E590" s="126">
        <v>44329</v>
      </c>
      <c r="F590" s="111">
        <v>36</v>
      </c>
      <c r="G590" s="127">
        <v>0.05</v>
      </c>
      <c r="H590" s="128">
        <v>2432.74</v>
      </c>
      <c r="I590" s="113">
        <v>2311.1</v>
      </c>
      <c r="J590" s="113">
        <v>0</v>
      </c>
      <c r="K590" s="114">
        <f t="shared" si="48"/>
        <v>121.64</v>
      </c>
      <c r="L590" s="128">
        <v>0</v>
      </c>
      <c r="M590" s="115"/>
      <c r="N590" s="116"/>
      <c r="O590" s="117">
        <f t="shared" si="49"/>
        <v>45443</v>
      </c>
      <c r="P590" s="118">
        <f t="shared" si="50"/>
        <v>0</v>
      </c>
      <c r="Q590" s="119">
        <f t="shared" si="46"/>
        <v>0</v>
      </c>
      <c r="R590" s="119">
        <f t="shared" si="47"/>
        <v>0</v>
      </c>
      <c r="S590" s="120" t="s">
        <v>106</v>
      </c>
      <c r="U590" s="67"/>
      <c r="V590" s="121"/>
      <c r="W590" s="122"/>
      <c r="X590" s="63"/>
      <c r="Y590" s="63"/>
      <c r="Z590" s="63"/>
      <c r="AA590" s="63"/>
    </row>
    <row r="591" s="59" customFormat="1" ht="16.5" outlineLevel="7" spans="1:27">
      <c r="A591" s="79"/>
      <c r="B591" s="107" t="s">
        <v>195</v>
      </c>
      <c r="C591" s="108">
        <v>100042</v>
      </c>
      <c r="D591" s="109" t="s">
        <v>559</v>
      </c>
      <c r="E591" s="110">
        <v>44330</v>
      </c>
      <c r="F591" s="111">
        <v>36</v>
      </c>
      <c r="G591" s="112">
        <v>0.05</v>
      </c>
      <c r="H591" s="113">
        <v>2644.25</v>
      </c>
      <c r="I591" s="113">
        <v>2512.04</v>
      </c>
      <c r="J591" s="113">
        <v>0</v>
      </c>
      <c r="K591" s="114">
        <f t="shared" si="48"/>
        <v>132.21</v>
      </c>
      <c r="L591" s="113">
        <v>0</v>
      </c>
      <c r="M591" s="115"/>
      <c r="N591" s="116"/>
      <c r="O591" s="117">
        <f t="shared" si="49"/>
        <v>45443</v>
      </c>
      <c r="P591" s="118">
        <f t="shared" si="50"/>
        <v>0</v>
      </c>
      <c r="Q591" s="119">
        <f t="shared" si="46"/>
        <v>0</v>
      </c>
      <c r="R591" s="119">
        <f t="shared" si="47"/>
        <v>0</v>
      </c>
      <c r="S591" s="120" t="s">
        <v>106</v>
      </c>
      <c r="U591" s="67"/>
      <c r="V591" s="121"/>
      <c r="W591" s="122"/>
      <c r="X591" s="63"/>
      <c r="Y591" s="63"/>
      <c r="Z591" s="63"/>
      <c r="AA591" s="63"/>
    </row>
    <row r="592" s="59" customFormat="1" ht="16.5" outlineLevel="7" spans="1:27">
      <c r="A592" s="79"/>
      <c r="B592" s="107" t="s">
        <v>195</v>
      </c>
      <c r="C592" s="108">
        <v>100043</v>
      </c>
      <c r="D592" s="109" t="s">
        <v>559</v>
      </c>
      <c r="E592" s="110">
        <v>44344</v>
      </c>
      <c r="F592" s="111">
        <v>36</v>
      </c>
      <c r="G592" s="112">
        <v>0.05</v>
      </c>
      <c r="H592" s="113">
        <v>11850.44</v>
      </c>
      <c r="I592" s="113">
        <v>11257.92</v>
      </c>
      <c r="J592" s="113">
        <v>0</v>
      </c>
      <c r="K592" s="114">
        <f t="shared" si="48"/>
        <v>592.52</v>
      </c>
      <c r="L592" s="113">
        <v>0</v>
      </c>
      <c r="M592" s="115"/>
      <c r="N592" s="116"/>
      <c r="O592" s="117">
        <f t="shared" si="49"/>
        <v>45443</v>
      </c>
      <c r="P592" s="118">
        <f t="shared" si="50"/>
        <v>0</v>
      </c>
      <c r="Q592" s="119">
        <f t="shared" si="46"/>
        <v>0</v>
      </c>
      <c r="R592" s="119">
        <f t="shared" si="47"/>
        <v>0</v>
      </c>
      <c r="S592" s="120" t="s">
        <v>106</v>
      </c>
      <c r="U592" s="67"/>
      <c r="V592" s="121"/>
      <c r="W592" s="122"/>
      <c r="X592" s="63"/>
      <c r="Y592" s="63"/>
      <c r="Z592" s="63"/>
      <c r="AA592" s="63"/>
    </row>
    <row r="593" s="59" customFormat="1" ht="16.5" outlineLevel="7" spans="1:27">
      <c r="A593" s="79"/>
      <c r="B593" s="123" t="s">
        <v>195</v>
      </c>
      <c r="C593" s="124">
        <v>100044</v>
      </c>
      <c r="D593" s="125" t="s">
        <v>195</v>
      </c>
      <c r="E593" s="126">
        <v>44266</v>
      </c>
      <c r="F593" s="111">
        <v>36</v>
      </c>
      <c r="G593" s="127">
        <v>0.05</v>
      </c>
      <c r="H593" s="128">
        <v>8848.67</v>
      </c>
      <c r="I593" s="113">
        <v>8406.24</v>
      </c>
      <c r="J593" s="113">
        <v>0</v>
      </c>
      <c r="K593" s="114">
        <f t="shared" si="48"/>
        <v>442.43</v>
      </c>
      <c r="L593" s="128">
        <v>0</v>
      </c>
      <c r="M593" s="115"/>
      <c r="N593" s="116"/>
      <c r="O593" s="117">
        <f t="shared" si="49"/>
        <v>45382</v>
      </c>
      <c r="P593" s="118">
        <f t="shared" si="50"/>
        <v>0</v>
      </c>
      <c r="Q593" s="119">
        <f t="shared" si="46"/>
        <v>0</v>
      </c>
      <c r="R593" s="119">
        <f t="shared" si="47"/>
        <v>0</v>
      </c>
      <c r="S593" s="120" t="s">
        <v>106</v>
      </c>
      <c r="U593" s="67"/>
      <c r="V593" s="121"/>
      <c r="W593" s="122"/>
      <c r="X593" s="63"/>
      <c r="Y593" s="63"/>
      <c r="Z593" s="63"/>
      <c r="AA593" s="63"/>
    </row>
    <row r="594" s="59" customFormat="1" ht="16.5" outlineLevel="7" spans="1:27">
      <c r="A594" s="79"/>
      <c r="B594" s="123" t="s">
        <v>195</v>
      </c>
      <c r="C594" s="124">
        <v>100045</v>
      </c>
      <c r="D594" s="125" t="s">
        <v>709</v>
      </c>
      <c r="E594" s="126">
        <v>44356</v>
      </c>
      <c r="F594" s="111">
        <v>36</v>
      </c>
      <c r="G594" s="127">
        <v>0.05</v>
      </c>
      <c r="H594" s="128">
        <v>1238.05</v>
      </c>
      <c r="I594" s="113">
        <v>1176.15</v>
      </c>
      <c r="J594" s="113">
        <v>0</v>
      </c>
      <c r="K594" s="114">
        <f t="shared" si="48"/>
        <v>61.8999999999999</v>
      </c>
      <c r="L594" s="128">
        <v>0</v>
      </c>
      <c r="M594" s="115"/>
      <c r="N594" s="116"/>
      <c r="O594" s="117">
        <f t="shared" si="49"/>
        <v>45473</v>
      </c>
      <c r="P594" s="118">
        <f t="shared" si="50"/>
        <v>0</v>
      </c>
      <c r="Q594" s="119">
        <f t="shared" si="46"/>
        <v>0</v>
      </c>
      <c r="R594" s="119">
        <f t="shared" si="47"/>
        <v>0</v>
      </c>
      <c r="S594" s="120" t="s">
        <v>106</v>
      </c>
      <c r="U594" s="67"/>
      <c r="V594" s="121"/>
      <c r="W594" s="122"/>
      <c r="X594" s="63"/>
      <c r="Y594" s="63"/>
      <c r="Z594" s="63"/>
      <c r="AA594" s="63"/>
    </row>
    <row r="595" s="59" customFormat="1" ht="16.5" outlineLevel="7" spans="1:27">
      <c r="A595" s="79"/>
      <c r="B595" s="123" t="s">
        <v>195</v>
      </c>
      <c r="C595" s="124">
        <v>100046</v>
      </c>
      <c r="D595" s="125" t="s">
        <v>559</v>
      </c>
      <c r="E595" s="126">
        <v>44357</v>
      </c>
      <c r="F595" s="111">
        <v>36</v>
      </c>
      <c r="G595" s="127">
        <v>0.05</v>
      </c>
      <c r="H595" s="128">
        <v>4023.89</v>
      </c>
      <c r="I595" s="113">
        <v>3822.7</v>
      </c>
      <c r="J595" s="113">
        <v>0</v>
      </c>
      <c r="K595" s="114">
        <f t="shared" si="48"/>
        <v>201.19</v>
      </c>
      <c r="L595" s="128">
        <v>0</v>
      </c>
      <c r="M595" s="115"/>
      <c r="N595" s="116"/>
      <c r="O595" s="117">
        <f t="shared" si="49"/>
        <v>45473</v>
      </c>
      <c r="P595" s="118">
        <f t="shared" si="50"/>
        <v>0</v>
      </c>
      <c r="Q595" s="119">
        <f t="shared" si="46"/>
        <v>0</v>
      </c>
      <c r="R595" s="119">
        <f t="shared" si="47"/>
        <v>0</v>
      </c>
      <c r="S595" s="120" t="s">
        <v>106</v>
      </c>
      <c r="U595" s="67"/>
      <c r="V595" s="121"/>
      <c r="W595" s="122"/>
      <c r="X595" s="63"/>
      <c r="Y595" s="63"/>
      <c r="Z595" s="63"/>
      <c r="AA595" s="63"/>
    </row>
    <row r="596" s="59" customFormat="1" ht="16.5" outlineLevel="7" spans="1:27">
      <c r="A596" s="79"/>
      <c r="B596" s="123" t="s">
        <v>195</v>
      </c>
      <c r="C596" s="124">
        <v>100047</v>
      </c>
      <c r="D596" s="125" t="s">
        <v>545</v>
      </c>
      <c r="E596" s="126">
        <v>44359</v>
      </c>
      <c r="F596" s="111">
        <v>36</v>
      </c>
      <c r="G596" s="127">
        <v>0.05</v>
      </c>
      <c r="H596" s="128">
        <v>6459.3</v>
      </c>
      <c r="I596" s="113">
        <v>6136.33</v>
      </c>
      <c r="J596" s="113">
        <v>0</v>
      </c>
      <c r="K596" s="114">
        <f t="shared" si="48"/>
        <v>322.97</v>
      </c>
      <c r="L596" s="128">
        <v>0</v>
      </c>
      <c r="M596" s="115"/>
      <c r="N596" s="116"/>
      <c r="O596" s="117">
        <f t="shared" si="49"/>
        <v>45473</v>
      </c>
      <c r="P596" s="118">
        <f t="shared" si="50"/>
        <v>0</v>
      </c>
      <c r="Q596" s="119">
        <f t="shared" si="46"/>
        <v>0</v>
      </c>
      <c r="R596" s="119">
        <f t="shared" si="47"/>
        <v>0</v>
      </c>
      <c r="S596" s="120" t="s">
        <v>106</v>
      </c>
      <c r="U596" s="67"/>
      <c r="V596" s="121"/>
      <c r="W596" s="122"/>
      <c r="X596" s="63"/>
      <c r="Y596" s="63"/>
      <c r="Z596" s="63"/>
      <c r="AA596" s="63"/>
    </row>
    <row r="597" s="59" customFormat="1" ht="16.5" outlineLevel="7" spans="1:27">
      <c r="A597" s="79"/>
      <c r="B597" s="123" t="s">
        <v>195</v>
      </c>
      <c r="C597" s="124">
        <v>100048</v>
      </c>
      <c r="D597" s="125" t="s">
        <v>559</v>
      </c>
      <c r="E597" s="126">
        <v>44366</v>
      </c>
      <c r="F597" s="111">
        <v>36</v>
      </c>
      <c r="G597" s="127">
        <v>0.05</v>
      </c>
      <c r="H597" s="128">
        <v>1149.56</v>
      </c>
      <c r="I597" s="113">
        <v>1092.08</v>
      </c>
      <c r="J597" s="113">
        <v>0</v>
      </c>
      <c r="K597" s="114">
        <f t="shared" si="48"/>
        <v>57.48</v>
      </c>
      <c r="L597" s="128">
        <v>0</v>
      </c>
      <c r="M597" s="115"/>
      <c r="N597" s="116"/>
      <c r="O597" s="117">
        <f t="shared" si="49"/>
        <v>45473</v>
      </c>
      <c r="P597" s="118">
        <f t="shared" si="50"/>
        <v>0</v>
      </c>
      <c r="Q597" s="119">
        <f t="shared" si="46"/>
        <v>0</v>
      </c>
      <c r="R597" s="119">
        <f t="shared" si="47"/>
        <v>0</v>
      </c>
      <c r="S597" s="120" t="s">
        <v>106</v>
      </c>
      <c r="U597" s="67"/>
      <c r="V597" s="121"/>
      <c r="W597" s="122"/>
      <c r="X597" s="63"/>
      <c r="Y597" s="63"/>
      <c r="Z597" s="63"/>
      <c r="AA597" s="63"/>
    </row>
    <row r="598" s="59" customFormat="1" ht="16.5" outlineLevel="7" spans="1:27">
      <c r="A598" s="79"/>
      <c r="B598" s="107" t="s">
        <v>195</v>
      </c>
      <c r="C598" s="108">
        <v>100052</v>
      </c>
      <c r="D598" s="109" t="s">
        <v>710</v>
      </c>
      <c r="E598" s="110">
        <v>44404</v>
      </c>
      <c r="F598" s="111">
        <v>36</v>
      </c>
      <c r="G598" s="112">
        <v>0.05</v>
      </c>
      <c r="H598" s="113">
        <v>361.94</v>
      </c>
      <c r="I598" s="113">
        <v>343.84</v>
      </c>
      <c r="J598" s="113">
        <v>0</v>
      </c>
      <c r="K598" s="114">
        <f t="shared" si="48"/>
        <v>18.1</v>
      </c>
      <c r="L598" s="113">
        <v>0</v>
      </c>
      <c r="M598" s="115"/>
      <c r="N598" s="116"/>
      <c r="O598" s="117">
        <f t="shared" si="49"/>
        <v>45504</v>
      </c>
      <c r="P598" s="118">
        <f t="shared" si="50"/>
        <v>0</v>
      </c>
      <c r="Q598" s="119">
        <f t="shared" si="46"/>
        <v>0</v>
      </c>
      <c r="R598" s="119">
        <f t="shared" si="47"/>
        <v>0</v>
      </c>
      <c r="S598" s="120" t="s">
        <v>106</v>
      </c>
      <c r="U598" s="67"/>
      <c r="V598" s="121"/>
      <c r="W598" s="122"/>
      <c r="X598" s="63"/>
      <c r="Y598" s="63"/>
      <c r="Z598" s="63"/>
      <c r="AA598" s="63"/>
    </row>
    <row r="599" s="59" customFormat="1" ht="16.5" outlineLevel="7" spans="1:27">
      <c r="A599" s="79"/>
      <c r="B599" s="107" t="s">
        <v>195</v>
      </c>
      <c r="C599" s="108">
        <v>100053</v>
      </c>
      <c r="D599" s="109" t="s">
        <v>545</v>
      </c>
      <c r="E599" s="110">
        <v>44406</v>
      </c>
      <c r="F599" s="111">
        <v>36</v>
      </c>
      <c r="G599" s="112">
        <v>0.05</v>
      </c>
      <c r="H599" s="113">
        <v>3229.2</v>
      </c>
      <c r="I599" s="113">
        <v>3067.74</v>
      </c>
      <c r="J599" s="113">
        <v>0</v>
      </c>
      <c r="K599" s="114">
        <f t="shared" si="48"/>
        <v>161.46</v>
      </c>
      <c r="L599" s="113">
        <v>0</v>
      </c>
      <c r="M599" s="115"/>
      <c r="N599" s="116"/>
      <c r="O599" s="117">
        <f t="shared" si="49"/>
        <v>45504</v>
      </c>
      <c r="P599" s="118">
        <f t="shared" si="50"/>
        <v>0</v>
      </c>
      <c r="Q599" s="119">
        <f t="shared" ref="Q599:Q662" si="51">IFERROR(IF(N599=0,(H599*(1-G599))/F599*P599,(N599*(1-G599))/F599*P599),0)</f>
        <v>0</v>
      </c>
      <c r="R599" s="119">
        <f t="shared" ref="R599:R662" si="52">Q599-L599</f>
        <v>0</v>
      </c>
      <c r="S599" s="120" t="s">
        <v>106</v>
      </c>
      <c r="U599" s="67"/>
      <c r="V599" s="121"/>
      <c r="W599" s="122"/>
      <c r="X599" s="63"/>
      <c r="Y599" s="63"/>
      <c r="Z599" s="63"/>
      <c r="AA599" s="63"/>
    </row>
    <row r="600" s="59" customFormat="1" ht="16.5" outlineLevel="7" spans="1:27">
      <c r="A600" s="79"/>
      <c r="B600" s="123" t="s">
        <v>195</v>
      </c>
      <c r="C600" s="124">
        <v>100056</v>
      </c>
      <c r="D600" s="125" t="s">
        <v>195</v>
      </c>
      <c r="E600" s="126">
        <v>44542</v>
      </c>
      <c r="F600" s="111">
        <v>36</v>
      </c>
      <c r="G600" s="127">
        <v>0.05</v>
      </c>
      <c r="H600" s="128">
        <v>4600.89</v>
      </c>
      <c r="I600" s="113">
        <v>4370.85</v>
      </c>
      <c r="J600" s="113">
        <v>0</v>
      </c>
      <c r="K600" s="114">
        <f t="shared" si="48"/>
        <v>230.04</v>
      </c>
      <c r="L600" s="128">
        <v>0</v>
      </c>
      <c r="M600" s="115"/>
      <c r="N600" s="116"/>
      <c r="O600" s="117">
        <f t="shared" si="49"/>
        <v>45657</v>
      </c>
      <c r="P600" s="118">
        <f t="shared" si="50"/>
        <v>0</v>
      </c>
      <c r="Q600" s="119">
        <f t="shared" si="51"/>
        <v>0</v>
      </c>
      <c r="R600" s="119">
        <f t="shared" si="52"/>
        <v>0</v>
      </c>
      <c r="S600" s="120" t="s">
        <v>106</v>
      </c>
      <c r="U600" s="67"/>
      <c r="V600" s="121"/>
      <c r="W600" s="122"/>
      <c r="X600" s="63"/>
      <c r="Y600" s="63"/>
      <c r="Z600" s="63"/>
      <c r="AA600" s="63"/>
    </row>
    <row r="601" s="59" customFormat="1" ht="16.5" outlineLevel="7" spans="1:27">
      <c r="A601" s="79"/>
      <c r="B601" s="123" t="s">
        <v>195</v>
      </c>
      <c r="C601" s="124">
        <v>100057</v>
      </c>
      <c r="D601" s="125" t="s">
        <v>545</v>
      </c>
      <c r="E601" s="126">
        <v>44548</v>
      </c>
      <c r="F601" s="111">
        <v>36</v>
      </c>
      <c r="G601" s="127">
        <v>0.05</v>
      </c>
      <c r="H601" s="128">
        <v>6192.92</v>
      </c>
      <c r="I601" s="113">
        <v>5883.27</v>
      </c>
      <c r="J601" s="113">
        <v>0</v>
      </c>
      <c r="K601" s="114">
        <f t="shared" si="48"/>
        <v>309.65</v>
      </c>
      <c r="L601" s="128">
        <v>0</v>
      </c>
      <c r="M601" s="115"/>
      <c r="N601" s="116"/>
      <c r="O601" s="117">
        <f t="shared" si="49"/>
        <v>45657</v>
      </c>
      <c r="P601" s="118">
        <f t="shared" si="50"/>
        <v>0</v>
      </c>
      <c r="Q601" s="119">
        <f t="shared" si="51"/>
        <v>0</v>
      </c>
      <c r="R601" s="119">
        <f t="shared" si="52"/>
        <v>0</v>
      </c>
      <c r="S601" s="120" t="s">
        <v>106</v>
      </c>
      <c r="U601" s="67"/>
      <c r="V601" s="121"/>
      <c r="W601" s="122"/>
      <c r="X601" s="63"/>
      <c r="Y601" s="63"/>
      <c r="Z601" s="63"/>
      <c r="AA601" s="63"/>
    </row>
    <row r="602" s="59" customFormat="1" ht="16.5" outlineLevel="7" spans="1:27">
      <c r="A602" s="79"/>
      <c r="B602" s="123" t="s">
        <v>195</v>
      </c>
      <c r="C602" s="124">
        <v>100058</v>
      </c>
      <c r="D602" s="125" t="s">
        <v>582</v>
      </c>
      <c r="E602" s="126">
        <v>44543</v>
      </c>
      <c r="F602" s="111">
        <v>36</v>
      </c>
      <c r="G602" s="127">
        <v>0.05</v>
      </c>
      <c r="H602" s="128">
        <v>5442.48</v>
      </c>
      <c r="I602" s="113">
        <v>5170.36</v>
      </c>
      <c r="J602" s="113">
        <v>0</v>
      </c>
      <c r="K602" s="114">
        <f t="shared" si="48"/>
        <v>272.12</v>
      </c>
      <c r="L602" s="128">
        <v>0</v>
      </c>
      <c r="M602" s="115"/>
      <c r="N602" s="116"/>
      <c r="O602" s="117">
        <f t="shared" si="49"/>
        <v>45657</v>
      </c>
      <c r="P602" s="118">
        <f t="shared" si="50"/>
        <v>0</v>
      </c>
      <c r="Q602" s="119">
        <f t="shared" si="51"/>
        <v>0</v>
      </c>
      <c r="R602" s="119">
        <f t="shared" si="52"/>
        <v>0</v>
      </c>
      <c r="S602" s="120" t="s">
        <v>106</v>
      </c>
      <c r="U602" s="67"/>
      <c r="V602" s="121"/>
      <c r="W602" s="122"/>
      <c r="X602" s="63"/>
      <c r="Y602" s="63"/>
      <c r="Z602" s="63"/>
      <c r="AA602" s="63"/>
    </row>
    <row r="603" s="59" customFormat="1" ht="16.5" outlineLevel="7" spans="1:27">
      <c r="A603" s="79"/>
      <c r="B603" s="123" t="s">
        <v>195</v>
      </c>
      <c r="C603" s="124">
        <v>100059</v>
      </c>
      <c r="D603" s="125" t="s">
        <v>711</v>
      </c>
      <c r="E603" s="126">
        <v>44558</v>
      </c>
      <c r="F603" s="111">
        <v>36</v>
      </c>
      <c r="G603" s="127">
        <v>0.05</v>
      </c>
      <c r="H603" s="128">
        <v>9114.16</v>
      </c>
      <c r="I603" s="113">
        <v>8658.45</v>
      </c>
      <c r="J603" s="113">
        <v>0</v>
      </c>
      <c r="K603" s="114">
        <f t="shared" si="48"/>
        <v>455.709999999999</v>
      </c>
      <c r="L603" s="128">
        <v>0</v>
      </c>
      <c r="M603" s="115"/>
      <c r="N603" s="116"/>
      <c r="O603" s="117">
        <f t="shared" si="49"/>
        <v>45657</v>
      </c>
      <c r="P603" s="118">
        <f t="shared" si="50"/>
        <v>0</v>
      </c>
      <c r="Q603" s="119">
        <f t="shared" si="51"/>
        <v>0</v>
      </c>
      <c r="R603" s="119">
        <f t="shared" si="52"/>
        <v>0</v>
      </c>
      <c r="S603" s="120" t="s">
        <v>106</v>
      </c>
      <c r="U603" s="67"/>
      <c r="V603" s="121"/>
      <c r="W603" s="122"/>
      <c r="X603" s="63"/>
      <c r="Y603" s="63"/>
      <c r="Z603" s="63"/>
      <c r="AA603" s="63"/>
    </row>
    <row r="604" s="59" customFormat="1" ht="16.5" outlineLevel="7" spans="1:27">
      <c r="A604" s="79"/>
      <c r="B604" s="123" t="s">
        <v>195</v>
      </c>
      <c r="C604" s="124">
        <v>100060</v>
      </c>
      <c r="D604" s="125" t="s">
        <v>545</v>
      </c>
      <c r="E604" s="126">
        <v>44269</v>
      </c>
      <c r="F604" s="111">
        <v>36</v>
      </c>
      <c r="G604" s="127">
        <v>0.05</v>
      </c>
      <c r="H604" s="128">
        <v>11968</v>
      </c>
      <c r="I604" s="113">
        <v>11369.6</v>
      </c>
      <c r="J604" s="113">
        <v>0</v>
      </c>
      <c r="K604" s="114">
        <f t="shared" si="48"/>
        <v>598.4</v>
      </c>
      <c r="L604" s="128">
        <v>0</v>
      </c>
      <c r="M604" s="115"/>
      <c r="N604" s="116"/>
      <c r="O604" s="117">
        <f t="shared" si="49"/>
        <v>45382</v>
      </c>
      <c r="P604" s="118">
        <f t="shared" si="50"/>
        <v>0</v>
      </c>
      <c r="Q604" s="119">
        <f t="shared" si="51"/>
        <v>0</v>
      </c>
      <c r="R604" s="119">
        <f t="shared" si="52"/>
        <v>0</v>
      </c>
      <c r="S604" s="120" t="s">
        <v>106</v>
      </c>
      <c r="U604" s="67"/>
      <c r="V604" s="121"/>
      <c r="W604" s="122"/>
      <c r="X604" s="63"/>
      <c r="Y604" s="63"/>
      <c r="Z604" s="63"/>
      <c r="AA604" s="63"/>
    </row>
    <row r="605" s="59" customFormat="1" ht="16.5" outlineLevel="7" spans="1:27">
      <c r="A605" s="79"/>
      <c r="B605" s="107" t="s">
        <v>195</v>
      </c>
      <c r="C605" s="108">
        <v>100061</v>
      </c>
      <c r="D605" s="109" t="s">
        <v>545</v>
      </c>
      <c r="E605" s="110">
        <v>44264</v>
      </c>
      <c r="F605" s="111">
        <v>36</v>
      </c>
      <c r="G605" s="112">
        <v>0.05</v>
      </c>
      <c r="H605" s="113">
        <v>10969</v>
      </c>
      <c r="I605" s="113">
        <v>10420.55</v>
      </c>
      <c r="J605" s="113">
        <v>0</v>
      </c>
      <c r="K605" s="114">
        <f t="shared" si="48"/>
        <v>548.450000000001</v>
      </c>
      <c r="L605" s="113">
        <v>0</v>
      </c>
      <c r="M605" s="115"/>
      <c r="N605" s="116"/>
      <c r="O605" s="117">
        <f t="shared" si="49"/>
        <v>45382</v>
      </c>
      <c r="P605" s="118">
        <f t="shared" si="50"/>
        <v>0</v>
      </c>
      <c r="Q605" s="119">
        <f t="shared" si="51"/>
        <v>0</v>
      </c>
      <c r="R605" s="119">
        <f t="shared" si="52"/>
        <v>0</v>
      </c>
      <c r="S605" s="120" t="s">
        <v>106</v>
      </c>
      <c r="U605" s="67"/>
      <c r="V605" s="121"/>
      <c r="W605" s="122"/>
      <c r="X605" s="63"/>
      <c r="Y605" s="63"/>
      <c r="Z605" s="63"/>
      <c r="AA605" s="63"/>
    </row>
    <row r="606" s="59" customFormat="1" ht="16.5" outlineLevel="7" spans="1:27">
      <c r="A606" s="79"/>
      <c r="B606" s="107" t="s">
        <v>195</v>
      </c>
      <c r="C606" s="108">
        <v>100063</v>
      </c>
      <c r="D606" s="109" t="s">
        <v>559</v>
      </c>
      <c r="E606" s="110">
        <v>44280</v>
      </c>
      <c r="F606" s="111">
        <v>36</v>
      </c>
      <c r="G606" s="112">
        <v>0.05</v>
      </c>
      <c r="H606" s="113">
        <v>1485</v>
      </c>
      <c r="I606" s="113">
        <v>1410.75</v>
      </c>
      <c r="J606" s="113">
        <v>0</v>
      </c>
      <c r="K606" s="114">
        <f t="shared" si="48"/>
        <v>74.25</v>
      </c>
      <c r="L606" s="113">
        <v>0</v>
      </c>
      <c r="M606" s="115"/>
      <c r="N606" s="116"/>
      <c r="O606" s="117">
        <f t="shared" si="49"/>
        <v>45382</v>
      </c>
      <c r="P606" s="118">
        <f t="shared" si="50"/>
        <v>0</v>
      </c>
      <c r="Q606" s="119">
        <f t="shared" si="51"/>
        <v>0</v>
      </c>
      <c r="R606" s="119">
        <f t="shared" si="52"/>
        <v>0</v>
      </c>
      <c r="S606" s="120" t="s">
        <v>106</v>
      </c>
      <c r="U606" s="67"/>
      <c r="V606" s="121"/>
      <c r="W606" s="122"/>
      <c r="X606" s="63"/>
      <c r="Y606" s="63"/>
      <c r="Z606" s="63"/>
      <c r="AA606" s="63"/>
    </row>
    <row r="607" s="59" customFormat="1" ht="16.5" outlineLevel="7" spans="1:27">
      <c r="A607" s="79"/>
      <c r="B607" s="123" t="s">
        <v>195</v>
      </c>
      <c r="C607" s="124">
        <v>100064</v>
      </c>
      <c r="D607" s="125" t="s">
        <v>535</v>
      </c>
      <c r="E607" s="126">
        <v>44584</v>
      </c>
      <c r="F607" s="111">
        <v>36</v>
      </c>
      <c r="G607" s="127">
        <v>0.05</v>
      </c>
      <c r="H607" s="128">
        <v>7609.73</v>
      </c>
      <c r="I607" s="113">
        <v>7229.24</v>
      </c>
      <c r="J607" s="113">
        <v>0</v>
      </c>
      <c r="K607" s="114">
        <f t="shared" si="48"/>
        <v>380.49</v>
      </c>
      <c r="L607" s="128">
        <v>0</v>
      </c>
      <c r="M607" s="115"/>
      <c r="N607" s="116"/>
      <c r="O607" s="117">
        <f t="shared" si="49"/>
        <v>45688</v>
      </c>
      <c r="P607" s="118">
        <f t="shared" si="50"/>
        <v>0</v>
      </c>
      <c r="Q607" s="119">
        <f t="shared" si="51"/>
        <v>0</v>
      </c>
      <c r="R607" s="119">
        <f t="shared" si="52"/>
        <v>0</v>
      </c>
      <c r="S607" s="120" t="s">
        <v>106</v>
      </c>
      <c r="U607" s="67"/>
      <c r="V607" s="121"/>
      <c r="W607" s="122"/>
      <c r="X607" s="63"/>
      <c r="Y607" s="63"/>
      <c r="Z607" s="63"/>
      <c r="AA607" s="63"/>
    </row>
    <row r="608" s="59" customFormat="1" ht="16.5" outlineLevel="7" spans="1:27">
      <c r="A608" s="79"/>
      <c r="B608" s="123" t="s">
        <v>195</v>
      </c>
      <c r="C608" s="124">
        <v>100066</v>
      </c>
      <c r="D608" s="125" t="s">
        <v>712</v>
      </c>
      <c r="E608" s="126">
        <v>44605</v>
      </c>
      <c r="F608" s="111">
        <v>36</v>
      </c>
      <c r="G608" s="127">
        <v>0.05</v>
      </c>
      <c r="H608" s="128">
        <v>1345.89</v>
      </c>
      <c r="I608" s="113">
        <v>1278.6</v>
      </c>
      <c r="J608" s="113">
        <v>0</v>
      </c>
      <c r="K608" s="114">
        <f t="shared" si="48"/>
        <v>67.2900000000002</v>
      </c>
      <c r="L608" s="128">
        <v>0</v>
      </c>
      <c r="M608" s="115"/>
      <c r="N608" s="116"/>
      <c r="O608" s="117">
        <f t="shared" si="49"/>
        <v>45716</v>
      </c>
      <c r="P608" s="118">
        <f t="shared" si="50"/>
        <v>0</v>
      </c>
      <c r="Q608" s="119">
        <f t="shared" si="51"/>
        <v>0</v>
      </c>
      <c r="R608" s="119">
        <f t="shared" si="52"/>
        <v>0</v>
      </c>
      <c r="S608" s="120" t="s">
        <v>106</v>
      </c>
      <c r="U608" s="67"/>
      <c r="V608" s="121"/>
      <c r="W608" s="122"/>
      <c r="X608" s="63"/>
      <c r="Y608" s="63"/>
      <c r="Z608" s="63"/>
      <c r="AA608" s="63"/>
    </row>
    <row r="609" s="59" customFormat="1" ht="16.5" outlineLevel="7" spans="1:27">
      <c r="A609" s="79"/>
      <c r="B609" s="123" t="s">
        <v>195</v>
      </c>
      <c r="C609" s="124">
        <v>100067</v>
      </c>
      <c r="D609" s="125" t="s">
        <v>545</v>
      </c>
      <c r="E609" s="126">
        <v>44601</v>
      </c>
      <c r="F609" s="111">
        <v>36</v>
      </c>
      <c r="G609" s="127">
        <v>0.05</v>
      </c>
      <c r="H609" s="128">
        <v>4600.89</v>
      </c>
      <c r="I609" s="113">
        <v>4370.85</v>
      </c>
      <c r="J609" s="113">
        <v>0</v>
      </c>
      <c r="K609" s="114">
        <f t="shared" si="48"/>
        <v>230.04</v>
      </c>
      <c r="L609" s="128">
        <v>0</v>
      </c>
      <c r="M609" s="115"/>
      <c r="N609" s="116"/>
      <c r="O609" s="117">
        <f t="shared" si="49"/>
        <v>45716</v>
      </c>
      <c r="P609" s="118">
        <f t="shared" si="50"/>
        <v>0</v>
      </c>
      <c r="Q609" s="119">
        <f t="shared" si="51"/>
        <v>0</v>
      </c>
      <c r="R609" s="119">
        <f t="shared" si="52"/>
        <v>0</v>
      </c>
      <c r="S609" s="120" t="s">
        <v>106</v>
      </c>
      <c r="U609" s="67"/>
      <c r="V609" s="121"/>
      <c r="W609" s="122"/>
      <c r="X609" s="63"/>
      <c r="Y609" s="63"/>
      <c r="Z609" s="63"/>
      <c r="AA609" s="63"/>
    </row>
    <row r="610" s="59" customFormat="1" ht="16.5" outlineLevel="7" spans="1:27">
      <c r="A610" s="79"/>
      <c r="B610" s="123" t="s">
        <v>195</v>
      </c>
      <c r="C610" s="124">
        <v>100068</v>
      </c>
      <c r="D610" s="125" t="s">
        <v>713</v>
      </c>
      <c r="E610" s="126">
        <v>44604</v>
      </c>
      <c r="F610" s="111">
        <v>36</v>
      </c>
      <c r="G610" s="127">
        <v>0.05</v>
      </c>
      <c r="H610" s="128">
        <v>22557.52</v>
      </c>
      <c r="I610" s="113">
        <v>21429.64</v>
      </c>
      <c r="J610" s="113">
        <v>0</v>
      </c>
      <c r="K610" s="114">
        <f t="shared" si="48"/>
        <v>1127.88</v>
      </c>
      <c r="L610" s="128">
        <v>0</v>
      </c>
      <c r="M610" s="115"/>
      <c r="N610" s="116"/>
      <c r="O610" s="117">
        <f t="shared" si="49"/>
        <v>45716</v>
      </c>
      <c r="P610" s="118">
        <f t="shared" si="50"/>
        <v>0</v>
      </c>
      <c r="Q610" s="119">
        <f t="shared" si="51"/>
        <v>0</v>
      </c>
      <c r="R610" s="119">
        <f t="shared" si="52"/>
        <v>0</v>
      </c>
      <c r="S610" s="120" t="s">
        <v>106</v>
      </c>
      <c r="U610" s="67"/>
      <c r="V610" s="121"/>
      <c r="W610" s="122"/>
      <c r="X610" s="63"/>
      <c r="Y610" s="63"/>
      <c r="Z610" s="63"/>
      <c r="AA610" s="63"/>
    </row>
    <row r="611" s="59" customFormat="1" ht="16.5" outlineLevel="7" spans="1:27">
      <c r="A611" s="79"/>
      <c r="B611" s="123" t="s">
        <v>195</v>
      </c>
      <c r="C611" s="124">
        <v>100069</v>
      </c>
      <c r="D611" s="125" t="s">
        <v>559</v>
      </c>
      <c r="E611" s="126">
        <v>44604</v>
      </c>
      <c r="F611" s="111">
        <v>36</v>
      </c>
      <c r="G611" s="127">
        <v>0.05</v>
      </c>
      <c r="H611" s="128">
        <v>13681.41</v>
      </c>
      <c r="I611" s="113">
        <v>12997.34</v>
      </c>
      <c r="J611" s="113">
        <v>0</v>
      </c>
      <c r="K611" s="114">
        <f t="shared" si="48"/>
        <v>684.07</v>
      </c>
      <c r="L611" s="128">
        <v>0</v>
      </c>
      <c r="M611" s="115"/>
      <c r="N611" s="116"/>
      <c r="O611" s="117">
        <f t="shared" si="49"/>
        <v>45716</v>
      </c>
      <c r="P611" s="118">
        <f t="shared" si="50"/>
        <v>0</v>
      </c>
      <c r="Q611" s="119">
        <f t="shared" si="51"/>
        <v>0</v>
      </c>
      <c r="R611" s="119">
        <f t="shared" si="52"/>
        <v>0</v>
      </c>
      <c r="S611" s="120" t="s">
        <v>106</v>
      </c>
      <c r="U611" s="67"/>
      <c r="V611" s="121"/>
      <c r="W611" s="122"/>
      <c r="X611" s="63"/>
      <c r="Y611" s="63"/>
      <c r="Z611" s="63"/>
      <c r="AA611" s="63"/>
    </row>
    <row r="612" s="59" customFormat="1" ht="16.5" outlineLevel="7" spans="1:27">
      <c r="A612" s="79"/>
      <c r="B612" s="107" t="s">
        <v>195</v>
      </c>
      <c r="C612" s="108">
        <v>100070</v>
      </c>
      <c r="D612" s="109" t="s">
        <v>545</v>
      </c>
      <c r="E612" s="110">
        <v>44600</v>
      </c>
      <c r="F612" s="111">
        <v>36</v>
      </c>
      <c r="G612" s="112">
        <v>0.05</v>
      </c>
      <c r="H612" s="113">
        <v>4777.88</v>
      </c>
      <c r="I612" s="113">
        <v>4538.99</v>
      </c>
      <c r="J612" s="113">
        <v>0</v>
      </c>
      <c r="K612" s="114">
        <f t="shared" si="48"/>
        <v>238.89</v>
      </c>
      <c r="L612" s="113">
        <v>0</v>
      </c>
      <c r="M612" s="115"/>
      <c r="N612" s="116"/>
      <c r="O612" s="117">
        <f t="shared" si="49"/>
        <v>45716</v>
      </c>
      <c r="P612" s="118">
        <f t="shared" si="50"/>
        <v>0</v>
      </c>
      <c r="Q612" s="119">
        <f t="shared" si="51"/>
        <v>0</v>
      </c>
      <c r="R612" s="119">
        <f t="shared" si="52"/>
        <v>0</v>
      </c>
      <c r="S612" s="120" t="s">
        <v>106</v>
      </c>
      <c r="U612" s="67"/>
      <c r="V612" s="121"/>
      <c r="W612" s="122"/>
      <c r="X612" s="63"/>
      <c r="Y612" s="63"/>
      <c r="Z612" s="63"/>
      <c r="AA612" s="63"/>
    </row>
    <row r="613" s="59" customFormat="1" ht="16.5" outlineLevel="7" spans="1:27">
      <c r="A613" s="79"/>
      <c r="B613" s="107" t="s">
        <v>195</v>
      </c>
      <c r="C613" s="108">
        <v>100071</v>
      </c>
      <c r="D613" s="109" t="s">
        <v>545</v>
      </c>
      <c r="E613" s="110">
        <v>44607</v>
      </c>
      <c r="F613" s="111">
        <v>36</v>
      </c>
      <c r="G613" s="112">
        <v>0.05</v>
      </c>
      <c r="H613" s="113">
        <v>4777.88</v>
      </c>
      <c r="I613" s="113">
        <v>4538.99</v>
      </c>
      <c r="J613" s="113">
        <v>0</v>
      </c>
      <c r="K613" s="114">
        <f t="shared" si="48"/>
        <v>238.89</v>
      </c>
      <c r="L613" s="113">
        <v>0</v>
      </c>
      <c r="M613" s="115"/>
      <c r="N613" s="116"/>
      <c r="O613" s="117">
        <f t="shared" si="49"/>
        <v>45716</v>
      </c>
      <c r="P613" s="118">
        <f t="shared" si="50"/>
        <v>0</v>
      </c>
      <c r="Q613" s="119">
        <f t="shared" si="51"/>
        <v>0</v>
      </c>
      <c r="R613" s="119">
        <f t="shared" si="52"/>
        <v>0</v>
      </c>
      <c r="S613" s="120" t="s">
        <v>106</v>
      </c>
      <c r="U613" s="67"/>
      <c r="V613" s="121"/>
      <c r="W613" s="122"/>
      <c r="X613" s="63"/>
      <c r="Y613" s="63"/>
      <c r="Z613" s="63"/>
      <c r="AA613" s="63"/>
    </row>
    <row r="614" s="59" customFormat="1" ht="16.5" outlineLevel="7" spans="1:27">
      <c r="A614" s="79"/>
      <c r="B614" s="123" t="s">
        <v>195</v>
      </c>
      <c r="C614" s="124">
        <v>100072</v>
      </c>
      <c r="D614" s="125" t="s">
        <v>545</v>
      </c>
      <c r="E614" s="126">
        <v>44607</v>
      </c>
      <c r="F614" s="111">
        <v>36</v>
      </c>
      <c r="G614" s="127">
        <v>0.05</v>
      </c>
      <c r="H614" s="128">
        <v>4777.88</v>
      </c>
      <c r="I614" s="113">
        <v>4538.99</v>
      </c>
      <c r="J614" s="113">
        <v>0</v>
      </c>
      <c r="K614" s="114">
        <f t="shared" si="48"/>
        <v>238.89</v>
      </c>
      <c r="L614" s="128">
        <v>0</v>
      </c>
      <c r="M614" s="115"/>
      <c r="N614" s="116"/>
      <c r="O614" s="117">
        <f t="shared" si="49"/>
        <v>45716</v>
      </c>
      <c r="P614" s="118">
        <f t="shared" si="50"/>
        <v>0</v>
      </c>
      <c r="Q614" s="119">
        <f t="shared" si="51"/>
        <v>0</v>
      </c>
      <c r="R614" s="119">
        <f t="shared" si="52"/>
        <v>0</v>
      </c>
      <c r="S614" s="120" t="s">
        <v>106</v>
      </c>
      <c r="U614" s="67"/>
      <c r="V614" s="121"/>
      <c r="W614" s="122"/>
      <c r="X614" s="63"/>
      <c r="Y614" s="63"/>
      <c r="Z614" s="63"/>
      <c r="AA614" s="63"/>
    </row>
    <row r="615" s="59" customFormat="1" ht="16.5" outlineLevel="7" spans="1:27">
      <c r="A615" s="79"/>
      <c r="B615" s="123" t="s">
        <v>195</v>
      </c>
      <c r="C615" s="124">
        <v>100073</v>
      </c>
      <c r="D615" s="125" t="s">
        <v>545</v>
      </c>
      <c r="E615" s="126">
        <v>44600</v>
      </c>
      <c r="F615" s="111">
        <v>36</v>
      </c>
      <c r="G615" s="127">
        <v>0.05</v>
      </c>
      <c r="H615" s="128">
        <v>4777.88</v>
      </c>
      <c r="I615" s="113">
        <v>4538.99</v>
      </c>
      <c r="J615" s="113">
        <v>0</v>
      </c>
      <c r="K615" s="114">
        <f t="shared" si="48"/>
        <v>238.89</v>
      </c>
      <c r="L615" s="128">
        <v>0</v>
      </c>
      <c r="M615" s="115"/>
      <c r="N615" s="116"/>
      <c r="O615" s="117">
        <f t="shared" si="49"/>
        <v>45716</v>
      </c>
      <c r="P615" s="118">
        <f t="shared" si="50"/>
        <v>0</v>
      </c>
      <c r="Q615" s="119">
        <f t="shared" si="51"/>
        <v>0</v>
      </c>
      <c r="R615" s="119">
        <f t="shared" si="52"/>
        <v>0</v>
      </c>
      <c r="S615" s="120" t="s">
        <v>106</v>
      </c>
      <c r="U615" s="67"/>
      <c r="V615" s="121"/>
      <c r="W615" s="122"/>
      <c r="X615" s="63"/>
      <c r="Y615" s="63"/>
      <c r="Z615" s="63"/>
      <c r="AA615" s="63"/>
    </row>
    <row r="616" s="59" customFormat="1" ht="16.5" outlineLevel="7" spans="1:27">
      <c r="A616" s="79"/>
      <c r="B616" s="123" t="s">
        <v>195</v>
      </c>
      <c r="C616" s="124">
        <v>100074</v>
      </c>
      <c r="D616" s="125" t="s">
        <v>545</v>
      </c>
      <c r="E616" s="126">
        <v>44600</v>
      </c>
      <c r="F616" s="111">
        <v>36</v>
      </c>
      <c r="G616" s="127">
        <v>0.05</v>
      </c>
      <c r="H616" s="128">
        <v>4777.88</v>
      </c>
      <c r="I616" s="113">
        <v>4538.99</v>
      </c>
      <c r="J616" s="113">
        <v>0</v>
      </c>
      <c r="K616" s="114">
        <f t="shared" si="48"/>
        <v>238.89</v>
      </c>
      <c r="L616" s="128">
        <v>0</v>
      </c>
      <c r="M616" s="115"/>
      <c r="N616" s="116"/>
      <c r="O616" s="117">
        <f t="shared" si="49"/>
        <v>45716</v>
      </c>
      <c r="P616" s="118">
        <f t="shared" si="50"/>
        <v>0</v>
      </c>
      <c r="Q616" s="119">
        <f t="shared" si="51"/>
        <v>0</v>
      </c>
      <c r="R616" s="119">
        <f t="shared" si="52"/>
        <v>0</v>
      </c>
      <c r="S616" s="120" t="s">
        <v>106</v>
      </c>
      <c r="U616" s="67"/>
      <c r="V616" s="121"/>
      <c r="W616" s="122"/>
      <c r="X616" s="63"/>
      <c r="Y616" s="63"/>
      <c r="Z616" s="63"/>
      <c r="AA616" s="63"/>
    </row>
    <row r="617" s="59" customFormat="1" ht="16.5" outlineLevel="7" spans="1:27">
      <c r="A617" s="79"/>
      <c r="B617" s="123" t="s">
        <v>195</v>
      </c>
      <c r="C617" s="124">
        <v>100075</v>
      </c>
      <c r="D617" s="125" t="s">
        <v>545</v>
      </c>
      <c r="E617" s="126">
        <v>44598</v>
      </c>
      <c r="F617" s="111">
        <v>36</v>
      </c>
      <c r="G617" s="127">
        <v>0.05</v>
      </c>
      <c r="H617" s="128">
        <v>4777.88</v>
      </c>
      <c r="I617" s="113">
        <v>4538.99</v>
      </c>
      <c r="J617" s="113">
        <v>0</v>
      </c>
      <c r="K617" s="114">
        <f t="shared" si="48"/>
        <v>238.89</v>
      </c>
      <c r="L617" s="128">
        <v>0</v>
      </c>
      <c r="M617" s="115"/>
      <c r="N617" s="116"/>
      <c r="O617" s="117">
        <f t="shared" si="49"/>
        <v>45716</v>
      </c>
      <c r="P617" s="118">
        <f t="shared" si="50"/>
        <v>0</v>
      </c>
      <c r="Q617" s="119">
        <f t="shared" si="51"/>
        <v>0</v>
      </c>
      <c r="R617" s="119">
        <f t="shared" si="52"/>
        <v>0</v>
      </c>
      <c r="S617" s="120" t="s">
        <v>106</v>
      </c>
      <c r="U617" s="67"/>
      <c r="V617" s="121"/>
      <c r="W617" s="122"/>
      <c r="X617" s="63"/>
      <c r="Y617" s="63"/>
      <c r="Z617" s="63"/>
      <c r="AA617" s="63"/>
    </row>
    <row r="618" s="59" customFormat="1" ht="16.5" outlineLevel="7" spans="1:27">
      <c r="A618" s="79"/>
      <c r="B618" s="123" t="s">
        <v>195</v>
      </c>
      <c r="C618" s="124">
        <v>100076</v>
      </c>
      <c r="D618" s="125" t="s">
        <v>714</v>
      </c>
      <c r="E618" s="126">
        <v>44608</v>
      </c>
      <c r="F618" s="111">
        <v>36</v>
      </c>
      <c r="G618" s="127">
        <v>0.05</v>
      </c>
      <c r="H618" s="128">
        <v>353.1</v>
      </c>
      <c r="I618" s="113">
        <v>335.44</v>
      </c>
      <c r="J618" s="113">
        <v>0</v>
      </c>
      <c r="K618" s="114">
        <f t="shared" si="48"/>
        <v>17.66</v>
      </c>
      <c r="L618" s="128">
        <v>0</v>
      </c>
      <c r="M618" s="115"/>
      <c r="N618" s="116"/>
      <c r="O618" s="117">
        <f t="shared" si="49"/>
        <v>45716</v>
      </c>
      <c r="P618" s="118">
        <f t="shared" si="50"/>
        <v>0</v>
      </c>
      <c r="Q618" s="119">
        <f t="shared" si="51"/>
        <v>0</v>
      </c>
      <c r="R618" s="119">
        <f t="shared" si="52"/>
        <v>0</v>
      </c>
      <c r="S618" s="120" t="s">
        <v>106</v>
      </c>
      <c r="U618" s="67"/>
      <c r="V618" s="121"/>
      <c r="W618" s="122"/>
      <c r="X618" s="63"/>
      <c r="Y618" s="63"/>
      <c r="Z618" s="63"/>
      <c r="AA618" s="63"/>
    </row>
    <row r="619" s="59" customFormat="1" ht="16.5" outlineLevel="7" spans="1:27">
      <c r="A619" s="79"/>
      <c r="B619" s="107" t="s">
        <v>195</v>
      </c>
      <c r="C619" s="108">
        <v>100077</v>
      </c>
      <c r="D619" s="109" t="s">
        <v>559</v>
      </c>
      <c r="E619" s="110">
        <v>44608</v>
      </c>
      <c r="F619" s="111">
        <v>36</v>
      </c>
      <c r="G619" s="112">
        <v>0.05</v>
      </c>
      <c r="H619" s="113">
        <v>1769.02</v>
      </c>
      <c r="I619" s="113">
        <v>1680.57</v>
      </c>
      <c r="J619" s="113">
        <v>0</v>
      </c>
      <c r="K619" s="114">
        <f t="shared" si="48"/>
        <v>88.45</v>
      </c>
      <c r="L619" s="113">
        <v>0</v>
      </c>
      <c r="M619" s="115"/>
      <c r="N619" s="116"/>
      <c r="O619" s="117">
        <f t="shared" si="49"/>
        <v>45716</v>
      </c>
      <c r="P619" s="118">
        <f t="shared" si="50"/>
        <v>0</v>
      </c>
      <c r="Q619" s="119">
        <f t="shared" si="51"/>
        <v>0</v>
      </c>
      <c r="R619" s="119">
        <f t="shared" si="52"/>
        <v>0</v>
      </c>
      <c r="S619" s="120" t="s">
        <v>106</v>
      </c>
      <c r="U619" s="67"/>
      <c r="V619" s="121"/>
      <c r="W619" s="122"/>
      <c r="X619" s="63"/>
      <c r="Y619" s="63"/>
      <c r="Z619" s="63"/>
      <c r="AA619" s="63"/>
    </row>
    <row r="620" s="59" customFormat="1" ht="16.5" outlineLevel="7" spans="1:27">
      <c r="A620" s="79"/>
      <c r="B620" s="107" t="s">
        <v>195</v>
      </c>
      <c r="C620" s="108">
        <v>100078</v>
      </c>
      <c r="D620" s="109" t="s">
        <v>535</v>
      </c>
      <c r="E620" s="110">
        <v>44576</v>
      </c>
      <c r="F620" s="111">
        <v>36</v>
      </c>
      <c r="G620" s="112">
        <v>0.05</v>
      </c>
      <c r="H620" s="113">
        <v>3007.96</v>
      </c>
      <c r="I620" s="113">
        <v>2857.56</v>
      </c>
      <c r="J620" s="113">
        <v>0</v>
      </c>
      <c r="K620" s="114">
        <f t="shared" si="48"/>
        <v>150.4</v>
      </c>
      <c r="L620" s="113">
        <v>0</v>
      </c>
      <c r="M620" s="115"/>
      <c r="N620" s="116"/>
      <c r="O620" s="117">
        <f t="shared" si="49"/>
        <v>45688</v>
      </c>
      <c r="P620" s="118">
        <f t="shared" si="50"/>
        <v>0</v>
      </c>
      <c r="Q620" s="119">
        <f t="shared" si="51"/>
        <v>0</v>
      </c>
      <c r="R620" s="119">
        <f t="shared" si="52"/>
        <v>0</v>
      </c>
      <c r="S620" s="120" t="s">
        <v>106</v>
      </c>
      <c r="U620" s="67"/>
      <c r="V620" s="121"/>
      <c r="W620" s="122"/>
      <c r="X620" s="63"/>
      <c r="Y620" s="63"/>
      <c r="Z620" s="63"/>
      <c r="AA620" s="63"/>
    </row>
    <row r="621" s="59" customFormat="1" ht="16.5" outlineLevel="7" spans="1:27">
      <c r="A621" s="79"/>
      <c r="B621" s="123" t="s">
        <v>195</v>
      </c>
      <c r="C621" s="124">
        <v>100080</v>
      </c>
      <c r="D621" s="125" t="s">
        <v>715</v>
      </c>
      <c r="E621" s="126">
        <v>44642</v>
      </c>
      <c r="F621" s="111">
        <v>36</v>
      </c>
      <c r="G621" s="127">
        <v>0.05</v>
      </c>
      <c r="H621" s="128">
        <v>1397.34</v>
      </c>
      <c r="I621" s="113">
        <v>1327.47</v>
      </c>
      <c r="J621" s="113">
        <v>0</v>
      </c>
      <c r="K621" s="114">
        <f t="shared" si="48"/>
        <v>69.8699999999999</v>
      </c>
      <c r="L621" s="128">
        <v>0</v>
      </c>
      <c r="M621" s="115"/>
      <c r="N621" s="116"/>
      <c r="O621" s="117">
        <f t="shared" si="49"/>
        <v>45747</v>
      </c>
      <c r="P621" s="118">
        <f t="shared" si="50"/>
        <v>0</v>
      </c>
      <c r="Q621" s="119">
        <f t="shared" si="51"/>
        <v>0</v>
      </c>
      <c r="R621" s="119">
        <f t="shared" si="52"/>
        <v>0</v>
      </c>
      <c r="S621" s="120" t="s">
        <v>106</v>
      </c>
      <c r="U621" s="67"/>
      <c r="V621" s="121"/>
      <c r="W621" s="122"/>
      <c r="X621" s="63"/>
      <c r="Y621" s="63"/>
      <c r="Z621" s="63"/>
      <c r="AA621" s="63"/>
    </row>
    <row r="622" s="59" customFormat="1" ht="16.5" outlineLevel="7" spans="1:27">
      <c r="A622" s="79"/>
      <c r="B622" s="123" t="s">
        <v>195</v>
      </c>
      <c r="C622" s="124">
        <v>100081</v>
      </c>
      <c r="D622" s="125" t="s">
        <v>715</v>
      </c>
      <c r="E622" s="126">
        <v>44642</v>
      </c>
      <c r="F622" s="111">
        <v>36</v>
      </c>
      <c r="G622" s="127">
        <v>0.05</v>
      </c>
      <c r="H622" s="128">
        <v>1397.34</v>
      </c>
      <c r="I622" s="113">
        <v>1327.47</v>
      </c>
      <c r="J622" s="113">
        <v>0</v>
      </c>
      <c r="K622" s="114">
        <f t="shared" si="48"/>
        <v>69.8699999999999</v>
      </c>
      <c r="L622" s="128">
        <v>0</v>
      </c>
      <c r="M622" s="115"/>
      <c r="N622" s="116"/>
      <c r="O622" s="117">
        <f t="shared" si="49"/>
        <v>45747</v>
      </c>
      <c r="P622" s="118">
        <f t="shared" si="50"/>
        <v>0</v>
      </c>
      <c r="Q622" s="119">
        <f t="shared" si="51"/>
        <v>0</v>
      </c>
      <c r="R622" s="119">
        <f t="shared" si="52"/>
        <v>0</v>
      </c>
      <c r="S622" s="120" t="s">
        <v>106</v>
      </c>
      <c r="U622" s="67"/>
      <c r="V622" s="121"/>
      <c r="W622" s="122"/>
      <c r="X622" s="63"/>
      <c r="Y622" s="63"/>
      <c r="Z622" s="63"/>
      <c r="AA622" s="63"/>
    </row>
    <row r="623" s="59" customFormat="1" ht="16.5" outlineLevel="7" spans="1:27">
      <c r="A623" s="79"/>
      <c r="B623" s="123" t="s">
        <v>195</v>
      </c>
      <c r="C623" s="124">
        <v>100082</v>
      </c>
      <c r="D623" s="125" t="s">
        <v>715</v>
      </c>
      <c r="E623" s="126">
        <v>44642</v>
      </c>
      <c r="F623" s="111">
        <v>36</v>
      </c>
      <c r="G623" s="127">
        <v>0.05</v>
      </c>
      <c r="H623" s="128">
        <v>1397.34</v>
      </c>
      <c r="I623" s="113">
        <v>1327.47</v>
      </c>
      <c r="J623" s="113">
        <v>0</v>
      </c>
      <c r="K623" s="114">
        <f t="shared" si="48"/>
        <v>69.8699999999999</v>
      </c>
      <c r="L623" s="128">
        <v>0</v>
      </c>
      <c r="M623" s="115"/>
      <c r="N623" s="116"/>
      <c r="O623" s="117">
        <f t="shared" si="49"/>
        <v>45747</v>
      </c>
      <c r="P623" s="118">
        <f t="shared" si="50"/>
        <v>0</v>
      </c>
      <c r="Q623" s="119">
        <f t="shared" si="51"/>
        <v>0</v>
      </c>
      <c r="R623" s="119">
        <f t="shared" si="52"/>
        <v>0</v>
      </c>
      <c r="S623" s="120" t="s">
        <v>106</v>
      </c>
      <c r="U623" s="67"/>
      <c r="V623" s="121"/>
      <c r="W623" s="122"/>
      <c r="X623" s="63"/>
      <c r="Y623" s="63"/>
      <c r="Z623" s="63"/>
      <c r="AA623" s="63"/>
    </row>
    <row r="624" s="59" customFormat="1" ht="16.5" outlineLevel="7" spans="1:27">
      <c r="A624" s="79"/>
      <c r="B624" s="123" t="s">
        <v>195</v>
      </c>
      <c r="C624" s="124">
        <v>100083</v>
      </c>
      <c r="D624" s="125" t="s">
        <v>715</v>
      </c>
      <c r="E624" s="126">
        <v>44642</v>
      </c>
      <c r="F624" s="111">
        <v>36</v>
      </c>
      <c r="G624" s="127">
        <v>0.05</v>
      </c>
      <c r="H624" s="128">
        <v>1397.34</v>
      </c>
      <c r="I624" s="113">
        <v>1327.47</v>
      </c>
      <c r="J624" s="113">
        <v>0</v>
      </c>
      <c r="K624" s="114">
        <f t="shared" si="48"/>
        <v>69.8699999999999</v>
      </c>
      <c r="L624" s="128">
        <v>0</v>
      </c>
      <c r="M624" s="115"/>
      <c r="N624" s="116"/>
      <c r="O624" s="117">
        <f t="shared" si="49"/>
        <v>45747</v>
      </c>
      <c r="P624" s="118">
        <f t="shared" si="50"/>
        <v>0</v>
      </c>
      <c r="Q624" s="119">
        <f t="shared" si="51"/>
        <v>0</v>
      </c>
      <c r="R624" s="119">
        <f t="shared" si="52"/>
        <v>0</v>
      </c>
      <c r="S624" s="120" t="s">
        <v>106</v>
      </c>
      <c r="U624" s="67"/>
      <c r="V624" s="121"/>
      <c r="W624" s="122"/>
      <c r="X624" s="63"/>
      <c r="Y624" s="63"/>
      <c r="Z624" s="63"/>
      <c r="AA624" s="63"/>
    </row>
    <row r="625" s="59" customFormat="1" ht="16.5" outlineLevel="7" spans="1:27">
      <c r="A625" s="79"/>
      <c r="B625" s="123" t="s">
        <v>195</v>
      </c>
      <c r="C625" s="124">
        <v>100084</v>
      </c>
      <c r="D625" s="125" t="s">
        <v>715</v>
      </c>
      <c r="E625" s="126">
        <v>44642</v>
      </c>
      <c r="F625" s="111">
        <v>36</v>
      </c>
      <c r="G625" s="127">
        <v>0.05</v>
      </c>
      <c r="H625" s="128">
        <v>1397.34</v>
      </c>
      <c r="I625" s="113">
        <v>1327.47</v>
      </c>
      <c r="J625" s="113">
        <v>0</v>
      </c>
      <c r="K625" s="114">
        <f t="shared" si="48"/>
        <v>69.8699999999999</v>
      </c>
      <c r="L625" s="128">
        <v>0</v>
      </c>
      <c r="M625" s="115"/>
      <c r="N625" s="116"/>
      <c r="O625" s="117">
        <f t="shared" si="49"/>
        <v>45747</v>
      </c>
      <c r="P625" s="118">
        <f t="shared" si="50"/>
        <v>0</v>
      </c>
      <c r="Q625" s="119">
        <f t="shared" si="51"/>
        <v>0</v>
      </c>
      <c r="R625" s="119">
        <f t="shared" si="52"/>
        <v>0</v>
      </c>
      <c r="S625" s="120" t="s">
        <v>106</v>
      </c>
      <c r="U625" s="67"/>
      <c r="V625" s="121"/>
      <c r="W625" s="122"/>
      <c r="X625" s="63"/>
      <c r="Y625" s="63"/>
      <c r="Z625" s="63"/>
      <c r="AA625" s="63"/>
    </row>
    <row r="626" s="59" customFormat="1" ht="16.5" outlineLevel="7" spans="1:27">
      <c r="A626" s="79"/>
      <c r="B626" s="107" t="s">
        <v>195</v>
      </c>
      <c r="C626" s="108">
        <v>100085</v>
      </c>
      <c r="D626" s="109" t="s">
        <v>715</v>
      </c>
      <c r="E626" s="110">
        <v>44642</v>
      </c>
      <c r="F626" s="111">
        <v>36</v>
      </c>
      <c r="G626" s="112">
        <v>0.05</v>
      </c>
      <c r="H626" s="113">
        <v>1397.34</v>
      </c>
      <c r="I626" s="113">
        <v>1327.47</v>
      </c>
      <c r="J626" s="113">
        <v>0</v>
      </c>
      <c r="K626" s="114">
        <f t="shared" si="48"/>
        <v>69.8699999999999</v>
      </c>
      <c r="L626" s="113">
        <v>0</v>
      </c>
      <c r="M626" s="115"/>
      <c r="N626" s="116"/>
      <c r="O626" s="117">
        <f t="shared" si="49"/>
        <v>45747</v>
      </c>
      <c r="P626" s="118">
        <f t="shared" si="50"/>
        <v>0</v>
      </c>
      <c r="Q626" s="119">
        <f t="shared" si="51"/>
        <v>0</v>
      </c>
      <c r="R626" s="119">
        <f t="shared" si="52"/>
        <v>0</v>
      </c>
      <c r="S626" s="120" t="s">
        <v>106</v>
      </c>
      <c r="U626" s="67"/>
      <c r="V626" s="121"/>
      <c r="W626" s="122"/>
      <c r="X626" s="63"/>
      <c r="Y626" s="63"/>
      <c r="Z626" s="63"/>
      <c r="AA626" s="63"/>
    </row>
    <row r="627" s="59" customFormat="1" ht="16.5" outlineLevel="7" spans="1:27">
      <c r="A627" s="79"/>
      <c r="B627" s="107" t="s">
        <v>195</v>
      </c>
      <c r="C627" s="108">
        <v>100086</v>
      </c>
      <c r="D627" s="109" t="s">
        <v>715</v>
      </c>
      <c r="E627" s="110">
        <v>44642</v>
      </c>
      <c r="F627" s="111">
        <v>36</v>
      </c>
      <c r="G627" s="112">
        <v>0.05</v>
      </c>
      <c r="H627" s="113">
        <v>1397.34</v>
      </c>
      <c r="I627" s="113">
        <v>1327.47</v>
      </c>
      <c r="J627" s="113">
        <v>0</v>
      </c>
      <c r="K627" s="114">
        <f t="shared" si="48"/>
        <v>69.8699999999999</v>
      </c>
      <c r="L627" s="113">
        <v>0</v>
      </c>
      <c r="M627" s="115"/>
      <c r="N627" s="116"/>
      <c r="O627" s="117">
        <f t="shared" si="49"/>
        <v>45747</v>
      </c>
      <c r="P627" s="118">
        <f t="shared" si="50"/>
        <v>0</v>
      </c>
      <c r="Q627" s="119">
        <f t="shared" si="51"/>
        <v>0</v>
      </c>
      <c r="R627" s="119">
        <f t="shared" si="52"/>
        <v>0</v>
      </c>
      <c r="S627" s="120" t="s">
        <v>106</v>
      </c>
      <c r="U627" s="67"/>
      <c r="V627" s="121"/>
      <c r="W627" s="122"/>
      <c r="X627" s="63"/>
      <c r="Y627" s="63"/>
      <c r="Z627" s="63"/>
      <c r="AA627" s="63"/>
    </row>
    <row r="628" s="59" customFormat="1" ht="16.5" outlineLevel="7" spans="1:27">
      <c r="A628" s="79"/>
      <c r="B628" s="123" t="s">
        <v>195</v>
      </c>
      <c r="C628" s="124">
        <v>100087</v>
      </c>
      <c r="D628" s="125" t="s">
        <v>715</v>
      </c>
      <c r="E628" s="126">
        <v>44642</v>
      </c>
      <c r="F628" s="111">
        <v>36</v>
      </c>
      <c r="G628" s="127">
        <v>0.05</v>
      </c>
      <c r="H628" s="128">
        <v>1397.34</v>
      </c>
      <c r="I628" s="113">
        <v>1327.47</v>
      </c>
      <c r="J628" s="113">
        <v>0</v>
      </c>
      <c r="K628" s="114">
        <f t="shared" si="48"/>
        <v>69.8699999999999</v>
      </c>
      <c r="L628" s="128">
        <v>0</v>
      </c>
      <c r="M628" s="115"/>
      <c r="N628" s="116"/>
      <c r="O628" s="117">
        <f t="shared" si="49"/>
        <v>45747</v>
      </c>
      <c r="P628" s="118">
        <f t="shared" si="50"/>
        <v>0</v>
      </c>
      <c r="Q628" s="119">
        <f t="shared" si="51"/>
        <v>0</v>
      </c>
      <c r="R628" s="119">
        <f t="shared" si="52"/>
        <v>0</v>
      </c>
      <c r="S628" s="120" t="s">
        <v>106</v>
      </c>
      <c r="U628" s="67"/>
      <c r="V628" s="121"/>
      <c r="W628" s="122"/>
      <c r="X628" s="63"/>
      <c r="Y628" s="63"/>
      <c r="Z628" s="63"/>
      <c r="AA628" s="63"/>
    </row>
    <row r="629" s="59" customFormat="1" ht="16.5" outlineLevel="7" spans="1:27">
      <c r="A629" s="79"/>
      <c r="B629" s="123" t="s">
        <v>195</v>
      </c>
      <c r="C629" s="124">
        <v>100088</v>
      </c>
      <c r="D629" s="125" t="s">
        <v>715</v>
      </c>
      <c r="E629" s="126">
        <v>44642</v>
      </c>
      <c r="F629" s="111">
        <v>36</v>
      </c>
      <c r="G629" s="127">
        <v>0.05</v>
      </c>
      <c r="H629" s="128">
        <v>1397.34</v>
      </c>
      <c r="I629" s="113">
        <v>1327.47</v>
      </c>
      <c r="J629" s="113">
        <v>0</v>
      </c>
      <c r="K629" s="114">
        <f t="shared" si="48"/>
        <v>69.8699999999999</v>
      </c>
      <c r="L629" s="128">
        <v>0</v>
      </c>
      <c r="M629" s="115"/>
      <c r="N629" s="116"/>
      <c r="O629" s="117">
        <f t="shared" si="49"/>
        <v>45747</v>
      </c>
      <c r="P629" s="118">
        <f t="shared" si="50"/>
        <v>0</v>
      </c>
      <c r="Q629" s="119">
        <f t="shared" si="51"/>
        <v>0</v>
      </c>
      <c r="R629" s="119">
        <f t="shared" si="52"/>
        <v>0</v>
      </c>
      <c r="S629" s="120" t="s">
        <v>106</v>
      </c>
      <c r="U629" s="67"/>
      <c r="V629" s="121"/>
      <c r="W629" s="122"/>
      <c r="X629" s="63"/>
      <c r="Y629" s="63"/>
      <c r="Z629" s="63"/>
      <c r="AA629" s="63"/>
    </row>
    <row r="630" s="59" customFormat="1" ht="16.5" outlineLevel="7" spans="1:27">
      <c r="A630" s="79"/>
      <c r="B630" s="123" t="s">
        <v>195</v>
      </c>
      <c r="C630" s="124">
        <v>100089</v>
      </c>
      <c r="D630" s="125" t="s">
        <v>715</v>
      </c>
      <c r="E630" s="126">
        <v>44642</v>
      </c>
      <c r="F630" s="111">
        <v>36</v>
      </c>
      <c r="G630" s="127">
        <v>0.05</v>
      </c>
      <c r="H630" s="128">
        <v>1397.34</v>
      </c>
      <c r="I630" s="113">
        <v>1327.47</v>
      </c>
      <c r="J630" s="113">
        <v>0</v>
      </c>
      <c r="K630" s="114">
        <f t="shared" si="48"/>
        <v>69.8699999999999</v>
      </c>
      <c r="L630" s="128">
        <v>0</v>
      </c>
      <c r="M630" s="115"/>
      <c r="N630" s="116"/>
      <c r="O630" s="117">
        <f t="shared" si="49"/>
        <v>45747</v>
      </c>
      <c r="P630" s="118">
        <f t="shared" si="50"/>
        <v>0</v>
      </c>
      <c r="Q630" s="119">
        <f t="shared" si="51"/>
        <v>0</v>
      </c>
      <c r="R630" s="119">
        <f t="shared" si="52"/>
        <v>0</v>
      </c>
      <c r="S630" s="120" t="s">
        <v>106</v>
      </c>
      <c r="U630" s="67"/>
      <c r="V630" s="121"/>
      <c r="W630" s="122"/>
      <c r="X630" s="63"/>
      <c r="Y630" s="63"/>
      <c r="Z630" s="63"/>
      <c r="AA630" s="63"/>
    </row>
    <row r="631" s="59" customFormat="1" ht="16.5" outlineLevel="7" spans="1:27">
      <c r="A631" s="79"/>
      <c r="B631" s="123" t="s">
        <v>195</v>
      </c>
      <c r="C631" s="124">
        <v>100090</v>
      </c>
      <c r="D631" s="125" t="s">
        <v>715</v>
      </c>
      <c r="E631" s="126">
        <v>44642</v>
      </c>
      <c r="F631" s="111">
        <v>36</v>
      </c>
      <c r="G631" s="127">
        <v>0.05</v>
      </c>
      <c r="H631" s="128">
        <v>1397.34</v>
      </c>
      <c r="I631" s="113">
        <v>1327.47</v>
      </c>
      <c r="J631" s="113">
        <v>0</v>
      </c>
      <c r="K631" s="114">
        <f t="shared" si="48"/>
        <v>69.8699999999999</v>
      </c>
      <c r="L631" s="128">
        <v>0</v>
      </c>
      <c r="M631" s="115"/>
      <c r="N631" s="116"/>
      <c r="O631" s="117">
        <f t="shared" si="49"/>
        <v>45747</v>
      </c>
      <c r="P631" s="118">
        <f t="shared" si="50"/>
        <v>0</v>
      </c>
      <c r="Q631" s="119">
        <f t="shared" si="51"/>
        <v>0</v>
      </c>
      <c r="R631" s="119">
        <f t="shared" si="52"/>
        <v>0</v>
      </c>
      <c r="S631" s="120" t="s">
        <v>106</v>
      </c>
      <c r="U631" s="67"/>
      <c r="V631" s="121"/>
      <c r="W631" s="122"/>
      <c r="X631" s="63"/>
      <c r="Y631" s="63"/>
      <c r="Z631" s="63"/>
      <c r="AA631" s="63"/>
    </row>
    <row r="632" s="59" customFormat="1" ht="16.5" outlineLevel="7" spans="1:27">
      <c r="A632" s="79"/>
      <c r="B632" s="123" t="s">
        <v>195</v>
      </c>
      <c r="C632" s="124">
        <v>100091</v>
      </c>
      <c r="D632" s="125" t="s">
        <v>715</v>
      </c>
      <c r="E632" s="126">
        <v>44642</v>
      </c>
      <c r="F632" s="111">
        <v>36</v>
      </c>
      <c r="G632" s="127">
        <v>0.05</v>
      </c>
      <c r="H632" s="128">
        <v>1397.34</v>
      </c>
      <c r="I632" s="113">
        <v>1327.47</v>
      </c>
      <c r="J632" s="113">
        <v>0</v>
      </c>
      <c r="K632" s="114">
        <f t="shared" si="48"/>
        <v>69.8699999999999</v>
      </c>
      <c r="L632" s="128">
        <v>0</v>
      </c>
      <c r="M632" s="115"/>
      <c r="N632" s="116"/>
      <c r="O632" s="117">
        <f t="shared" si="49"/>
        <v>45747</v>
      </c>
      <c r="P632" s="118">
        <f t="shared" si="50"/>
        <v>0</v>
      </c>
      <c r="Q632" s="119">
        <f t="shared" si="51"/>
        <v>0</v>
      </c>
      <c r="R632" s="119">
        <f t="shared" si="52"/>
        <v>0</v>
      </c>
      <c r="S632" s="120" t="s">
        <v>106</v>
      </c>
      <c r="U632" s="67"/>
      <c r="V632" s="121"/>
      <c r="W632" s="122"/>
      <c r="X632" s="63"/>
      <c r="Y632" s="63"/>
      <c r="Z632" s="63"/>
      <c r="AA632" s="63"/>
    </row>
    <row r="633" s="59" customFormat="1" ht="16.5" outlineLevel="7" spans="1:27">
      <c r="A633" s="79"/>
      <c r="B633" s="107" t="s">
        <v>195</v>
      </c>
      <c r="C633" s="108">
        <v>100092</v>
      </c>
      <c r="D633" s="109" t="s">
        <v>715</v>
      </c>
      <c r="E633" s="110">
        <v>44642</v>
      </c>
      <c r="F633" s="111">
        <v>36</v>
      </c>
      <c r="G633" s="112">
        <v>0.05</v>
      </c>
      <c r="H633" s="113">
        <v>1397.34</v>
      </c>
      <c r="I633" s="113">
        <v>1327.47</v>
      </c>
      <c r="J633" s="113">
        <v>0</v>
      </c>
      <c r="K633" s="114">
        <f t="shared" si="48"/>
        <v>69.8699999999999</v>
      </c>
      <c r="L633" s="113">
        <v>0</v>
      </c>
      <c r="M633" s="115"/>
      <c r="N633" s="116"/>
      <c r="O633" s="117">
        <f t="shared" si="49"/>
        <v>45747</v>
      </c>
      <c r="P633" s="118">
        <f t="shared" si="50"/>
        <v>0</v>
      </c>
      <c r="Q633" s="119">
        <f t="shared" si="51"/>
        <v>0</v>
      </c>
      <c r="R633" s="119">
        <f t="shared" si="52"/>
        <v>0</v>
      </c>
      <c r="S633" s="120" t="s">
        <v>106</v>
      </c>
      <c r="U633" s="67"/>
      <c r="V633" s="121"/>
      <c r="W633" s="122"/>
      <c r="X633" s="63"/>
      <c r="Y633" s="63"/>
      <c r="Z633" s="63"/>
      <c r="AA633" s="63"/>
    </row>
    <row r="634" s="59" customFormat="1" ht="16.5" outlineLevel="7" spans="1:27">
      <c r="A634" s="79"/>
      <c r="B634" s="107" t="s">
        <v>195</v>
      </c>
      <c r="C634" s="108">
        <v>100093</v>
      </c>
      <c r="D634" s="109" t="s">
        <v>715</v>
      </c>
      <c r="E634" s="110">
        <v>44642</v>
      </c>
      <c r="F634" s="111">
        <v>36</v>
      </c>
      <c r="G634" s="112">
        <v>0.05</v>
      </c>
      <c r="H634" s="113">
        <v>1397.34</v>
      </c>
      <c r="I634" s="113">
        <v>1327.47</v>
      </c>
      <c r="J634" s="113">
        <v>0</v>
      </c>
      <c r="K634" s="114">
        <f t="shared" si="48"/>
        <v>69.8699999999999</v>
      </c>
      <c r="L634" s="113">
        <v>0</v>
      </c>
      <c r="M634" s="115"/>
      <c r="N634" s="116"/>
      <c r="O634" s="117">
        <f t="shared" si="49"/>
        <v>45747</v>
      </c>
      <c r="P634" s="118">
        <f t="shared" si="50"/>
        <v>0</v>
      </c>
      <c r="Q634" s="119">
        <f t="shared" si="51"/>
        <v>0</v>
      </c>
      <c r="R634" s="119">
        <f t="shared" si="52"/>
        <v>0</v>
      </c>
      <c r="S634" s="120" t="s">
        <v>106</v>
      </c>
      <c r="U634" s="67"/>
      <c r="V634" s="121"/>
      <c r="W634" s="122"/>
      <c r="X634" s="63"/>
      <c r="Y634" s="63"/>
      <c r="Z634" s="63"/>
      <c r="AA634" s="63"/>
    </row>
    <row r="635" s="59" customFormat="1" ht="16.5" outlineLevel="7" spans="1:27">
      <c r="A635" s="79"/>
      <c r="B635" s="123" t="s">
        <v>195</v>
      </c>
      <c r="C635" s="124">
        <v>100096</v>
      </c>
      <c r="D635" s="125" t="s">
        <v>545</v>
      </c>
      <c r="E635" s="126">
        <v>44642</v>
      </c>
      <c r="F635" s="111">
        <v>36</v>
      </c>
      <c r="G635" s="127">
        <v>0.05</v>
      </c>
      <c r="H635" s="128">
        <v>4819.47</v>
      </c>
      <c r="I635" s="113">
        <v>4578.5</v>
      </c>
      <c r="J635" s="113">
        <v>0</v>
      </c>
      <c r="K635" s="114">
        <f t="shared" si="48"/>
        <v>240.97</v>
      </c>
      <c r="L635" s="128">
        <v>0</v>
      </c>
      <c r="M635" s="115"/>
      <c r="N635" s="116"/>
      <c r="O635" s="117">
        <f t="shared" si="49"/>
        <v>45747</v>
      </c>
      <c r="P635" s="118">
        <f t="shared" si="50"/>
        <v>0</v>
      </c>
      <c r="Q635" s="119">
        <f t="shared" si="51"/>
        <v>0</v>
      </c>
      <c r="R635" s="119">
        <f t="shared" si="52"/>
        <v>0</v>
      </c>
      <c r="S635" s="120" t="s">
        <v>106</v>
      </c>
      <c r="U635" s="67"/>
      <c r="V635" s="121"/>
      <c r="W635" s="122"/>
      <c r="X635" s="63"/>
      <c r="Y635" s="63"/>
      <c r="Z635" s="63"/>
      <c r="AA635" s="63"/>
    </row>
    <row r="636" s="59" customFormat="1" ht="16.5" outlineLevel="7" spans="1:27">
      <c r="A636" s="79"/>
      <c r="B636" s="123" t="s">
        <v>195</v>
      </c>
      <c r="C636" s="124">
        <v>100097</v>
      </c>
      <c r="D636" s="125" t="s">
        <v>716</v>
      </c>
      <c r="E636" s="126">
        <v>44642</v>
      </c>
      <c r="F636" s="111">
        <v>36</v>
      </c>
      <c r="G636" s="127">
        <v>0.05</v>
      </c>
      <c r="H636" s="128">
        <v>2388.54</v>
      </c>
      <c r="I636" s="113">
        <v>2269.11</v>
      </c>
      <c r="J636" s="113">
        <v>0</v>
      </c>
      <c r="K636" s="114">
        <f t="shared" si="48"/>
        <v>119.43</v>
      </c>
      <c r="L636" s="128">
        <v>0</v>
      </c>
      <c r="M636" s="115"/>
      <c r="N636" s="116"/>
      <c r="O636" s="117">
        <f t="shared" si="49"/>
        <v>45747</v>
      </c>
      <c r="P636" s="118">
        <f t="shared" si="50"/>
        <v>0</v>
      </c>
      <c r="Q636" s="119">
        <f t="shared" si="51"/>
        <v>0</v>
      </c>
      <c r="R636" s="119">
        <f t="shared" si="52"/>
        <v>0</v>
      </c>
      <c r="S636" s="120" t="s">
        <v>106</v>
      </c>
      <c r="U636" s="67"/>
      <c r="V636" s="121"/>
      <c r="W636" s="122"/>
      <c r="X636" s="63"/>
      <c r="Y636" s="63"/>
      <c r="Z636" s="63"/>
      <c r="AA636" s="63"/>
    </row>
    <row r="637" s="59" customFormat="1" ht="16.5" outlineLevel="7" spans="1:27">
      <c r="A637" s="79"/>
      <c r="B637" s="123" t="s">
        <v>195</v>
      </c>
      <c r="C637" s="124">
        <v>100098</v>
      </c>
      <c r="D637" s="125" t="s">
        <v>716</v>
      </c>
      <c r="E637" s="126">
        <v>44642</v>
      </c>
      <c r="F637" s="111">
        <v>36</v>
      </c>
      <c r="G637" s="127">
        <v>0.05</v>
      </c>
      <c r="H637" s="128">
        <v>2388.49</v>
      </c>
      <c r="I637" s="113">
        <v>2269.07</v>
      </c>
      <c r="J637" s="113">
        <v>0</v>
      </c>
      <c r="K637" s="114">
        <f t="shared" si="48"/>
        <v>119.42</v>
      </c>
      <c r="L637" s="128">
        <v>0</v>
      </c>
      <c r="M637" s="115"/>
      <c r="N637" s="116"/>
      <c r="O637" s="117">
        <f t="shared" si="49"/>
        <v>45747</v>
      </c>
      <c r="P637" s="118">
        <f t="shared" si="50"/>
        <v>0</v>
      </c>
      <c r="Q637" s="119">
        <f t="shared" si="51"/>
        <v>0</v>
      </c>
      <c r="R637" s="119">
        <f t="shared" si="52"/>
        <v>0</v>
      </c>
      <c r="S637" s="120" t="s">
        <v>106</v>
      </c>
      <c r="U637" s="67"/>
      <c r="V637" s="121"/>
      <c r="W637" s="122"/>
      <c r="X637" s="63"/>
      <c r="Y637" s="63"/>
      <c r="Z637" s="63"/>
      <c r="AA637" s="63"/>
    </row>
    <row r="638" s="59" customFormat="1" ht="16.5" outlineLevel="7" spans="1:27">
      <c r="A638" s="79"/>
      <c r="B638" s="123" t="s">
        <v>195</v>
      </c>
      <c r="C638" s="124">
        <v>100099</v>
      </c>
      <c r="D638" s="125" t="s">
        <v>716</v>
      </c>
      <c r="E638" s="126">
        <v>44642</v>
      </c>
      <c r="F638" s="111">
        <v>36</v>
      </c>
      <c r="G638" s="127">
        <v>0.05</v>
      </c>
      <c r="H638" s="128">
        <v>2388.49</v>
      </c>
      <c r="I638" s="113">
        <v>2269.07</v>
      </c>
      <c r="J638" s="113">
        <v>0</v>
      </c>
      <c r="K638" s="114">
        <f t="shared" si="48"/>
        <v>119.42</v>
      </c>
      <c r="L638" s="128">
        <v>0</v>
      </c>
      <c r="M638" s="115"/>
      <c r="N638" s="116"/>
      <c r="O638" s="117">
        <f t="shared" si="49"/>
        <v>45747</v>
      </c>
      <c r="P638" s="118">
        <f t="shared" si="50"/>
        <v>0</v>
      </c>
      <c r="Q638" s="119">
        <f t="shared" si="51"/>
        <v>0</v>
      </c>
      <c r="R638" s="119">
        <f t="shared" si="52"/>
        <v>0</v>
      </c>
      <c r="S638" s="120" t="s">
        <v>106</v>
      </c>
      <c r="U638" s="67"/>
      <c r="V638" s="121"/>
      <c r="W638" s="122"/>
      <c r="X638" s="63"/>
      <c r="Y638" s="63"/>
      <c r="Z638" s="63"/>
      <c r="AA638" s="63"/>
    </row>
    <row r="639" s="59" customFormat="1" ht="16.5" outlineLevel="7" spans="1:27">
      <c r="A639" s="79"/>
      <c r="B639" s="123" t="s">
        <v>195</v>
      </c>
      <c r="C639" s="124">
        <v>100100</v>
      </c>
      <c r="D639" s="125" t="s">
        <v>716</v>
      </c>
      <c r="E639" s="126">
        <v>44642</v>
      </c>
      <c r="F639" s="111">
        <v>36</v>
      </c>
      <c r="G639" s="127">
        <v>0.05</v>
      </c>
      <c r="H639" s="128">
        <v>2388.49</v>
      </c>
      <c r="I639" s="113">
        <v>2269.07</v>
      </c>
      <c r="J639" s="113">
        <v>0</v>
      </c>
      <c r="K639" s="114">
        <f t="shared" si="48"/>
        <v>119.42</v>
      </c>
      <c r="L639" s="128">
        <v>0</v>
      </c>
      <c r="M639" s="115"/>
      <c r="N639" s="116"/>
      <c r="O639" s="117">
        <f t="shared" si="49"/>
        <v>45747</v>
      </c>
      <c r="P639" s="118">
        <f t="shared" si="50"/>
        <v>0</v>
      </c>
      <c r="Q639" s="119">
        <f t="shared" si="51"/>
        <v>0</v>
      </c>
      <c r="R639" s="119">
        <f t="shared" si="52"/>
        <v>0</v>
      </c>
      <c r="S639" s="120" t="s">
        <v>106</v>
      </c>
      <c r="U639" s="67"/>
      <c r="V639" s="121"/>
      <c r="W639" s="122"/>
      <c r="X639" s="63"/>
      <c r="Y639" s="63"/>
      <c r="Z639" s="63"/>
      <c r="AA639" s="63"/>
    </row>
    <row r="640" s="59" customFormat="1" ht="16.5" outlineLevel="7" spans="1:27">
      <c r="A640" s="79"/>
      <c r="B640" s="107" t="s">
        <v>195</v>
      </c>
      <c r="C640" s="108">
        <v>100101</v>
      </c>
      <c r="D640" s="109" t="s">
        <v>716</v>
      </c>
      <c r="E640" s="110">
        <v>44642</v>
      </c>
      <c r="F640" s="111">
        <v>36</v>
      </c>
      <c r="G640" s="112">
        <v>0.05</v>
      </c>
      <c r="H640" s="113">
        <v>2388.49</v>
      </c>
      <c r="I640" s="113">
        <v>2269.07</v>
      </c>
      <c r="J640" s="113">
        <v>0</v>
      </c>
      <c r="K640" s="114">
        <f t="shared" si="48"/>
        <v>119.42</v>
      </c>
      <c r="L640" s="113">
        <v>0</v>
      </c>
      <c r="M640" s="115"/>
      <c r="N640" s="116"/>
      <c r="O640" s="117">
        <f t="shared" si="49"/>
        <v>45747</v>
      </c>
      <c r="P640" s="118">
        <f t="shared" si="50"/>
        <v>0</v>
      </c>
      <c r="Q640" s="119">
        <f t="shared" si="51"/>
        <v>0</v>
      </c>
      <c r="R640" s="119">
        <f t="shared" si="52"/>
        <v>0</v>
      </c>
      <c r="S640" s="120" t="s">
        <v>106</v>
      </c>
      <c r="U640" s="67"/>
      <c r="V640" s="121"/>
      <c r="W640" s="122"/>
      <c r="X640" s="63"/>
      <c r="Y640" s="63"/>
      <c r="Z640" s="63"/>
      <c r="AA640" s="63"/>
    </row>
    <row r="641" s="59" customFormat="1" ht="16.5" outlineLevel="7" spans="1:27">
      <c r="A641" s="79"/>
      <c r="B641" s="107" t="s">
        <v>195</v>
      </c>
      <c r="C641" s="108">
        <v>100102</v>
      </c>
      <c r="D641" s="109" t="s">
        <v>716</v>
      </c>
      <c r="E641" s="110">
        <v>44642</v>
      </c>
      <c r="F641" s="111">
        <v>36</v>
      </c>
      <c r="G641" s="112">
        <v>0.05</v>
      </c>
      <c r="H641" s="113">
        <v>2388.49</v>
      </c>
      <c r="I641" s="113">
        <v>2269.07</v>
      </c>
      <c r="J641" s="113">
        <v>0</v>
      </c>
      <c r="K641" s="114">
        <f t="shared" si="48"/>
        <v>119.42</v>
      </c>
      <c r="L641" s="113">
        <v>0</v>
      </c>
      <c r="M641" s="115"/>
      <c r="N641" s="116"/>
      <c r="O641" s="117">
        <f t="shared" si="49"/>
        <v>45747</v>
      </c>
      <c r="P641" s="118">
        <f t="shared" si="50"/>
        <v>0</v>
      </c>
      <c r="Q641" s="119">
        <f t="shared" si="51"/>
        <v>0</v>
      </c>
      <c r="R641" s="119">
        <f t="shared" si="52"/>
        <v>0</v>
      </c>
      <c r="S641" s="120" t="s">
        <v>106</v>
      </c>
      <c r="U641" s="67"/>
      <c r="V641" s="121"/>
      <c r="W641" s="122"/>
      <c r="X641" s="63"/>
      <c r="Y641" s="63"/>
      <c r="Z641" s="63"/>
      <c r="AA641" s="63"/>
    </row>
    <row r="642" s="59" customFormat="1" ht="16.5" outlineLevel="7" spans="1:27">
      <c r="A642" s="79"/>
      <c r="B642" s="123" t="s">
        <v>195</v>
      </c>
      <c r="C642" s="124">
        <v>100103</v>
      </c>
      <c r="D642" s="125" t="s">
        <v>716</v>
      </c>
      <c r="E642" s="126">
        <v>44642</v>
      </c>
      <c r="F642" s="111">
        <v>36</v>
      </c>
      <c r="G642" s="127">
        <v>0.05</v>
      </c>
      <c r="H642" s="128">
        <v>2388.49</v>
      </c>
      <c r="I642" s="113">
        <v>2269.07</v>
      </c>
      <c r="J642" s="113">
        <v>0</v>
      </c>
      <c r="K642" s="114">
        <f t="shared" si="48"/>
        <v>119.42</v>
      </c>
      <c r="L642" s="128">
        <v>0</v>
      </c>
      <c r="M642" s="115"/>
      <c r="N642" s="116"/>
      <c r="O642" s="117">
        <f t="shared" si="49"/>
        <v>45747</v>
      </c>
      <c r="P642" s="118">
        <f t="shared" si="50"/>
        <v>0</v>
      </c>
      <c r="Q642" s="119">
        <f t="shared" si="51"/>
        <v>0</v>
      </c>
      <c r="R642" s="119">
        <f t="shared" si="52"/>
        <v>0</v>
      </c>
      <c r="S642" s="120" t="s">
        <v>106</v>
      </c>
      <c r="U642" s="67"/>
      <c r="V642" s="121"/>
      <c r="W642" s="122"/>
      <c r="X642" s="63"/>
      <c r="Y642" s="63"/>
      <c r="Z642" s="63"/>
      <c r="AA642" s="63"/>
    </row>
    <row r="643" s="59" customFormat="1" ht="16.5" outlineLevel="7" spans="1:27">
      <c r="A643" s="79"/>
      <c r="B643" s="123" t="s">
        <v>195</v>
      </c>
      <c r="C643" s="124">
        <v>100104</v>
      </c>
      <c r="D643" s="125" t="s">
        <v>716</v>
      </c>
      <c r="E643" s="126">
        <v>44642</v>
      </c>
      <c r="F643" s="111">
        <v>36</v>
      </c>
      <c r="G643" s="127">
        <v>0.05</v>
      </c>
      <c r="H643" s="128">
        <v>2388.49</v>
      </c>
      <c r="I643" s="113">
        <v>2269.07</v>
      </c>
      <c r="J643" s="113">
        <v>0</v>
      </c>
      <c r="K643" s="114">
        <f t="shared" si="48"/>
        <v>119.42</v>
      </c>
      <c r="L643" s="128">
        <v>0</v>
      </c>
      <c r="M643" s="115"/>
      <c r="N643" s="116"/>
      <c r="O643" s="117">
        <f t="shared" si="49"/>
        <v>45747</v>
      </c>
      <c r="P643" s="118">
        <f t="shared" si="50"/>
        <v>0</v>
      </c>
      <c r="Q643" s="119">
        <f t="shared" si="51"/>
        <v>0</v>
      </c>
      <c r="R643" s="119">
        <f t="shared" si="52"/>
        <v>0</v>
      </c>
      <c r="S643" s="120" t="s">
        <v>106</v>
      </c>
      <c r="U643" s="67"/>
      <c r="V643" s="121"/>
      <c r="W643" s="122"/>
      <c r="X643" s="63"/>
      <c r="Y643" s="63"/>
      <c r="Z643" s="63"/>
      <c r="AA643" s="63"/>
    </row>
    <row r="644" s="59" customFormat="1" ht="16.5" outlineLevel="7" spans="1:27">
      <c r="A644" s="79"/>
      <c r="B644" s="123" t="s">
        <v>195</v>
      </c>
      <c r="C644" s="124">
        <v>100105</v>
      </c>
      <c r="D644" s="125" t="s">
        <v>716</v>
      </c>
      <c r="E644" s="126">
        <v>44642</v>
      </c>
      <c r="F644" s="111">
        <v>36</v>
      </c>
      <c r="G644" s="127">
        <v>0.05</v>
      </c>
      <c r="H644" s="128">
        <v>2388.49</v>
      </c>
      <c r="I644" s="113">
        <v>2269.07</v>
      </c>
      <c r="J644" s="113">
        <v>0</v>
      </c>
      <c r="K644" s="114">
        <f t="shared" si="48"/>
        <v>119.42</v>
      </c>
      <c r="L644" s="128">
        <v>0</v>
      </c>
      <c r="M644" s="115"/>
      <c r="N644" s="116"/>
      <c r="O644" s="117">
        <f t="shared" si="49"/>
        <v>45747</v>
      </c>
      <c r="P644" s="118">
        <f t="shared" si="50"/>
        <v>0</v>
      </c>
      <c r="Q644" s="119">
        <f t="shared" si="51"/>
        <v>0</v>
      </c>
      <c r="R644" s="119">
        <f t="shared" si="52"/>
        <v>0</v>
      </c>
      <c r="S644" s="120" t="s">
        <v>106</v>
      </c>
      <c r="U644" s="67"/>
      <c r="V644" s="121"/>
      <c r="W644" s="122"/>
      <c r="X644" s="63"/>
      <c r="Y644" s="63"/>
      <c r="Z644" s="63"/>
      <c r="AA644" s="63"/>
    </row>
    <row r="645" s="59" customFormat="1" ht="16.5" outlineLevel="7" spans="1:27">
      <c r="A645" s="79"/>
      <c r="B645" s="123" t="s">
        <v>195</v>
      </c>
      <c r="C645" s="124">
        <v>100106</v>
      </c>
      <c r="D645" s="125" t="s">
        <v>716</v>
      </c>
      <c r="E645" s="126">
        <v>44642</v>
      </c>
      <c r="F645" s="111">
        <v>36</v>
      </c>
      <c r="G645" s="127">
        <v>0.05</v>
      </c>
      <c r="H645" s="128">
        <v>2123.08</v>
      </c>
      <c r="I645" s="113">
        <v>2016.93</v>
      </c>
      <c r="J645" s="113">
        <v>0</v>
      </c>
      <c r="K645" s="114">
        <f t="shared" si="48"/>
        <v>106.15</v>
      </c>
      <c r="L645" s="128">
        <v>0</v>
      </c>
      <c r="M645" s="115"/>
      <c r="N645" s="116"/>
      <c r="O645" s="117">
        <f t="shared" si="49"/>
        <v>45747</v>
      </c>
      <c r="P645" s="118">
        <f t="shared" si="50"/>
        <v>0</v>
      </c>
      <c r="Q645" s="119">
        <f t="shared" si="51"/>
        <v>0</v>
      </c>
      <c r="R645" s="119">
        <f t="shared" si="52"/>
        <v>0</v>
      </c>
      <c r="S645" s="120" t="s">
        <v>106</v>
      </c>
      <c r="U645" s="67"/>
      <c r="V645" s="121"/>
      <c r="W645" s="122"/>
      <c r="X645" s="63"/>
      <c r="Y645" s="63"/>
      <c r="Z645" s="63"/>
      <c r="AA645" s="63"/>
    </row>
    <row r="646" s="59" customFormat="1" ht="16.5" outlineLevel="7" spans="1:27">
      <c r="A646" s="79"/>
      <c r="B646" s="123" t="s">
        <v>195</v>
      </c>
      <c r="C646" s="124">
        <v>100107</v>
      </c>
      <c r="D646" s="125" t="s">
        <v>716</v>
      </c>
      <c r="E646" s="126">
        <v>44642</v>
      </c>
      <c r="F646" s="111">
        <v>36</v>
      </c>
      <c r="G646" s="127">
        <v>0.05</v>
      </c>
      <c r="H646" s="128">
        <v>2123</v>
      </c>
      <c r="I646" s="113">
        <v>2016.85</v>
      </c>
      <c r="J646" s="113">
        <v>0</v>
      </c>
      <c r="K646" s="114">
        <f t="shared" si="48"/>
        <v>106.15</v>
      </c>
      <c r="L646" s="128">
        <v>0</v>
      </c>
      <c r="M646" s="115"/>
      <c r="N646" s="116"/>
      <c r="O646" s="117">
        <f t="shared" si="49"/>
        <v>45747</v>
      </c>
      <c r="P646" s="118">
        <f t="shared" si="50"/>
        <v>0</v>
      </c>
      <c r="Q646" s="119">
        <f t="shared" si="51"/>
        <v>0</v>
      </c>
      <c r="R646" s="119">
        <f t="shared" si="52"/>
        <v>0</v>
      </c>
      <c r="S646" s="120" t="s">
        <v>106</v>
      </c>
      <c r="U646" s="67"/>
      <c r="V646" s="121"/>
      <c r="W646" s="122"/>
      <c r="X646" s="63"/>
      <c r="Y646" s="63"/>
      <c r="Z646" s="63"/>
      <c r="AA646" s="63"/>
    </row>
    <row r="647" s="59" customFormat="1" ht="16.5" outlineLevel="7" spans="1:27">
      <c r="A647" s="79"/>
      <c r="B647" s="107" t="s">
        <v>195</v>
      </c>
      <c r="C647" s="108">
        <v>100108</v>
      </c>
      <c r="D647" s="109" t="s">
        <v>716</v>
      </c>
      <c r="E647" s="110">
        <v>44642</v>
      </c>
      <c r="F647" s="111">
        <v>36</v>
      </c>
      <c r="G647" s="112">
        <v>0.05</v>
      </c>
      <c r="H647" s="113">
        <v>2123</v>
      </c>
      <c r="I647" s="113">
        <v>2016.85</v>
      </c>
      <c r="J647" s="113">
        <v>0</v>
      </c>
      <c r="K647" s="114">
        <f t="shared" si="48"/>
        <v>106.15</v>
      </c>
      <c r="L647" s="113">
        <v>0</v>
      </c>
      <c r="M647" s="115"/>
      <c r="N647" s="116"/>
      <c r="O647" s="117">
        <f t="shared" si="49"/>
        <v>45747</v>
      </c>
      <c r="P647" s="118">
        <f t="shared" si="50"/>
        <v>0</v>
      </c>
      <c r="Q647" s="119">
        <f t="shared" si="51"/>
        <v>0</v>
      </c>
      <c r="R647" s="119">
        <f t="shared" si="52"/>
        <v>0</v>
      </c>
      <c r="S647" s="120" t="s">
        <v>106</v>
      </c>
      <c r="U647" s="67"/>
      <c r="V647" s="121"/>
      <c r="W647" s="122"/>
      <c r="X647" s="63"/>
      <c r="Y647" s="63"/>
      <c r="Z647" s="63"/>
      <c r="AA647" s="63"/>
    </row>
    <row r="648" s="59" customFormat="1" ht="16.5" outlineLevel="7" spans="1:27">
      <c r="A648" s="79"/>
      <c r="B648" s="107" t="s">
        <v>195</v>
      </c>
      <c r="C648" s="108">
        <v>100109</v>
      </c>
      <c r="D648" s="109" t="s">
        <v>716</v>
      </c>
      <c r="E648" s="110">
        <v>44642</v>
      </c>
      <c r="F648" s="111">
        <v>36</v>
      </c>
      <c r="G648" s="112">
        <v>0.05</v>
      </c>
      <c r="H648" s="113">
        <v>2123</v>
      </c>
      <c r="I648" s="113">
        <v>2016.85</v>
      </c>
      <c r="J648" s="113">
        <v>0</v>
      </c>
      <c r="K648" s="114">
        <f t="shared" si="48"/>
        <v>106.15</v>
      </c>
      <c r="L648" s="113">
        <v>0</v>
      </c>
      <c r="M648" s="115"/>
      <c r="N648" s="116"/>
      <c r="O648" s="117">
        <f t="shared" si="49"/>
        <v>45747</v>
      </c>
      <c r="P648" s="118">
        <f t="shared" si="50"/>
        <v>0</v>
      </c>
      <c r="Q648" s="119">
        <f t="shared" si="51"/>
        <v>0</v>
      </c>
      <c r="R648" s="119">
        <f t="shared" si="52"/>
        <v>0</v>
      </c>
      <c r="S648" s="120" t="s">
        <v>106</v>
      </c>
      <c r="U648" s="67"/>
      <c r="V648" s="121"/>
      <c r="W648" s="122"/>
      <c r="X648" s="63"/>
      <c r="Y648" s="63"/>
      <c r="Z648" s="63"/>
      <c r="AA648" s="63"/>
    </row>
    <row r="649" s="59" customFormat="1" ht="16.5" outlineLevel="7" spans="1:27">
      <c r="A649" s="79"/>
      <c r="B649" s="123" t="s">
        <v>195</v>
      </c>
      <c r="C649" s="124">
        <v>100110</v>
      </c>
      <c r="D649" s="125" t="s">
        <v>716</v>
      </c>
      <c r="E649" s="126">
        <v>44642</v>
      </c>
      <c r="F649" s="111">
        <v>36</v>
      </c>
      <c r="G649" s="127">
        <v>0.05</v>
      </c>
      <c r="H649" s="128">
        <v>2123</v>
      </c>
      <c r="I649" s="113">
        <v>2016.85</v>
      </c>
      <c r="J649" s="113">
        <v>0</v>
      </c>
      <c r="K649" s="114">
        <f t="shared" ref="K649:K712" si="53">H649-I649-J649</f>
        <v>106.15</v>
      </c>
      <c r="L649" s="128">
        <v>0</v>
      </c>
      <c r="M649" s="115"/>
      <c r="N649" s="116"/>
      <c r="O649" s="117">
        <f t="shared" ref="O649:O712" si="54">IFERROR(EOMONTH(E649,F649),"")</f>
        <v>45747</v>
      </c>
      <c r="P649" s="118">
        <f t="shared" ref="P649:P712" si="55">IFERROR(IF(OR(AND(M649&lt;&gt;"",YEAR(M649)&lt;YEAR($L$6)),AND(O649&lt;&gt;"",YEAR(O649)&lt;YEAR($L$6))),0,IF(YEAR(E649)&gt;YEAR($L$6),0,IF(OR((IF(YEAR(E649)&lt;YEAR($L$6),1,IF(MONTH(E649)=12,99,MONTH(E649)+1))&gt;12),(IF(YEAR(E649)&lt;YEAR($L$6),1,IF(MONTH(E649)=12,99,MONTH(E649)+1))&gt;MIN(MONTH($L$6),IF(AND(M649&lt;&gt;"",YEAR(M649)=YEAR($L$6)),MONTH(M649),99),IF(AND(O649&lt;&gt;"",YEAR(O649)=YEAR($L$6)),MONTH(O649),99)))),0,MIN(MONTH($L$6),IF(AND(M649&lt;&gt;"",YEAR(M649)=YEAR($L$6)),MONTH(M649),99),IF(AND(O649&lt;&gt;"",YEAR(O649)=YEAR($L$6)),MONTH(O649),99))-IF(YEAR(E649)&lt;YEAR($L$6),1,IF(MONTH(E649)=12,99,MONTH(E649)+1))+1))),0)</f>
        <v>0</v>
      </c>
      <c r="Q649" s="119">
        <f t="shared" si="51"/>
        <v>0</v>
      </c>
      <c r="R649" s="119">
        <f t="shared" si="52"/>
        <v>0</v>
      </c>
      <c r="S649" s="120" t="s">
        <v>106</v>
      </c>
      <c r="U649" s="67"/>
      <c r="V649" s="121"/>
      <c r="W649" s="122"/>
      <c r="X649" s="63"/>
      <c r="Y649" s="63"/>
      <c r="Z649" s="63"/>
      <c r="AA649" s="63"/>
    </row>
    <row r="650" s="59" customFormat="1" ht="16.5" outlineLevel="7" spans="1:27">
      <c r="A650" s="79"/>
      <c r="B650" s="123" t="s">
        <v>195</v>
      </c>
      <c r="C650" s="124">
        <v>100111</v>
      </c>
      <c r="D650" s="125" t="s">
        <v>716</v>
      </c>
      <c r="E650" s="126">
        <v>44642</v>
      </c>
      <c r="F650" s="111">
        <v>36</v>
      </c>
      <c r="G650" s="127">
        <v>0.05</v>
      </c>
      <c r="H650" s="128">
        <v>2123</v>
      </c>
      <c r="I650" s="113">
        <v>2016.85</v>
      </c>
      <c r="J650" s="113">
        <v>0</v>
      </c>
      <c r="K650" s="114">
        <f t="shared" si="53"/>
        <v>106.15</v>
      </c>
      <c r="L650" s="128">
        <v>0</v>
      </c>
      <c r="M650" s="115"/>
      <c r="N650" s="116"/>
      <c r="O650" s="117">
        <f t="shared" si="54"/>
        <v>45747</v>
      </c>
      <c r="P650" s="118">
        <f t="shared" si="55"/>
        <v>0</v>
      </c>
      <c r="Q650" s="119">
        <f t="shared" si="51"/>
        <v>0</v>
      </c>
      <c r="R650" s="119">
        <f t="shared" si="52"/>
        <v>0</v>
      </c>
      <c r="S650" s="120" t="s">
        <v>106</v>
      </c>
      <c r="U650" s="67"/>
      <c r="V650" s="121"/>
      <c r="W650" s="122"/>
      <c r="X650" s="63"/>
      <c r="Y650" s="63"/>
      <c r="Z650" s="63"/>
      <c r="AA650" s="63"/>
    </row>
    <row r="651" s="59" customFormat="1" ht="16.5" outlineLevel="7" spans="1:27">
      <c r="A651" s="79"/>
      <c r="B651" s="123" t="s">
        <v>195</v>
      </c>
      <c r="C651" s="124">
        <v>100112</v>
      </c>
      <c r="D651" s="125" t="s">
        <v>716</v>
      </c>
      <c r="E651" s="126">
        <v>44642</v>
      </c>
      <c r="F651" s="111">
        <v>36</v>
      </c>
      <c r="G651" s="127">
        <v>0.05</v>
      </c>
      <c r="H651" s="128">
        <v>2123</v>
      </c>
      <c r="I651" s="113">
        <v>2016.85</v>
      </c>
      <c r="J651" s="113">
        <v>0</v>
      </c>
      <c r="K651" s="114">
        <f t="shared" si="53"/>
        <v>106.15</v>
      </c>
      <c r="L651" s="128">
        <v>0</v>
      </c>
      <c r="M651" s="115"/>
      <c r="N651" s="116"/>
      <c r="O651" s="117">
        <f t="shared" si="54"/>
        <v>45747</v>
      </c>
      <c r="P651" s="118">
        <f t="shared" si="55"/>
        <v>0</v>
      </c>
      <c r="Q651" s="119">
        <f t="shared" si="51"/>
        <v>0</v>
      </c>
      <c r="R651" s="119">
        <f t="shared" si="52"/>
        <v>0</v>
      </c>
      <c r="S651" s="120" t="s">
        <v>106</v>
      </c>
      <c r="U651" s="67"/>
      <c r="V651" s="121"/>
      <c r="W651" s="122"/>
      <c r="X651" s="63"/>
      <c r="Y651" s="63"/>
      <c r="Z651" s="63"/>
      <c r="AA651" s="63"/>
    </row>
    <row r="652" s="59" customFormat="1" ht="16.5" outlineLevel="7" spans="1:27">
      <c r="A652" s="79"/>
      <c r="B652" s="123" t="s">
        <v>195</v>
      </c>
      <c r="C652" s="124">
        <v>100113</v>
      </c>
      <c r="D652" s="125" t="s">
        <v>716</v>
      </c>
      <c r="E652" s="126">
        <v>44642</v>
      </c>
      <c r="F652" s="111">
        <v>36</v>
      </c>
      <c r="G652" s="127">
        <v>0.05</v>
      </c>
      <c r="H652" s="128">
        <v>2123</v>
      </c>
      <c r="I652" s="113">
        <v>2016.85</v>
      </c>
      <c r="J652" s="113">
        <v>0</v>
      </c>
      <c r="K652" s="114">
        <f t="shared" si="53"/>
        <v>106.15</v>
      </c>
      <c r="L652" s="128">
        <v>0</v>
      </c>
      <c r="M652" s="115"/>
      <c r="N652" s="116"/>
      <c r="O652" s="117">
        <f t="shared" si="54"/>
        <v>45747</v>
      </c>
      <c r="P652" s="118">
        <f t="shared" si="55"/>
        <v>0</v>
      </c>
      <c r="Q652" s="119">
        <f t="shared" si="51"/>
        <v>0</v>
      </c>
      <c r="R652" s="119">
        <f t="shared" si="52"/>
        <v>0</v>
      </c>
      <c r="S652" s="120" t="s">
        <v>106</v>
      </c>
      <c r="U652" s="67"/>
      <c r="V652" s="121"/>
      <c r="W652" s="122"/>
      <c r="X652" s="63"/>
      <c r="Y652" s="63"/>
      <c r="Z652" s="63"/>
      <c r="AA652" s="63"/>
    </row>
    <row r="653" s="59" customFormat="1" ht="16.5" outlineLevel="7" spans="1:27">
      <c r="A653" s="79"/>
      <c r="B653" s="123" t="s">
        <v>195</v>
      </c>
      <c r="C653" s="124">
        <v>100114</v>
      </c>
      <c r="D653" s="125" t="s">
        <v>716</v>
      </c>
      <c r="E653" s="126">
        <v>44642</v>
      </c>
      <c r="F653" s="111">
        <v>36</v>
      </c>
      <c r="G653" s="127">
        <v>0.05</v>
      </c>
      <c r="H653" s="128">
        <v>2123</v>
      </c>
      <c r="I653" s="113">
        <v>2016.85</v>
      </c>
      <c r="J653" s="113">
        <v>0</v>
      </c>
      <c r="K653" s="114">
        <f t="shared" si="53"/>
        <v>106.15</v>
      </c>
      <c r="L653" s="128">
        <v>0</v>
      </c>
      <c r="M653" s="115"/>
      <c r="N653" s="116"/>
      <c r="O653" s="117">
        <f t="shared" si="54"/>
        <v>45747</v>
      </c>
      <c r="P653" s="118">
        <f t="shared" si="55"/>
        <v>0</v>
      </c>
      <c r="Q653" s="119">
        <f t="shared" si="51"/>
        <v>0</v>
      </c>
      <c r="R653" s="119">
        <f t="shared" si="52"/>
        <v>0</v>
      </c>
      <c r="S653" s="120" t="s">
        <v>106</v>
      </c>
      <c r="U653" s="67"/>
      <c r="V653" s="121"/>
      <c r="W653" s="122"/>
      <c r="X653" s="63"/>
      <c r="Y653" s="63"/>
      <c r="Z653" s="63"/>
      <c r="AA653" s="63"/>
    </row>
    <row r="654" s="59" customFormat="1" ht="16.5" outlineLevel="7" spans="1:27">
      <c r="A654" s="79"/>
      <c r="B654" s="107" t="s">
        <v>195</v>
      </c>
      <c r="C654" s="108">
        <v>100115</v>
      </c>
      <c r="D654" s="109" t="s">
        <v>715</v>
      </c>
      <c r="E654" s="110">
        <v>44642</v>
      </c>
      <c r="F654" s="111">
        <v>36</v>
      </c>
      <c r="G654" s="112">
        <v>0.05</v>
      </c>
      <c r="H654" s="113">
        <v>1397.44</v>
      </c>
      <c r="I654" s="113">
        <v>1327.57</v>
      </c>
      <c r="J654" s="113">
        <v>0</v>
      </c>
      <c r="K654" s="114">
        <f t="shared" si="53"/>
        <v>69.8700000000001</v>
      </c>
      <c r="L654" s="113">
        <v>0</v>
      </c>
      <c r="M654" s="115"/>
      <c r="N654" s="116"/>
      <c r="O654" s="117">
        <f t="shared" si="54"/>
        <v>45747</v>
      </c>
      <c r="P654" s="118">
        <f t="shared" si="55"/>
        <v>0</v>
      </c>
      <c r="Q654" s="119">
        <f t="shared" si="51"/>
        <v>0</v>
      </c>
      <c r="R654" s="119">
        <f t="shared" si="52"/>
        <v>0</v>
      </c>
      <c r="S654" s="120" t="s">
        <v>106</v>
      </c>
      <c r="U654" s="67"/>
      <c r="V654" s="121"/>
      <c r="W654" s="122"/>
      <c r="X654" s="63"/>
      <c r="Y654" s="63"/>
      <c r="Z654" s="63"/>
      <c r="AA654" s="63"/>
    </row>
    <row r="655" s="59" customFormat="1" ht="16.5" outlineLevel="7" spans="1:27">
      <c r="A655" s="79"/>
      <c r="B655" s="107" t="s">
        <v>195</v>
      </c>
      <c r="C655" s="108">
        <v>100116</v>
      </c>
      <c r="D655" s="109" t="s">
        <v>715</v>
      </c>
      <c r="E655" s="110">
        <v>44642</v>
      </c>
      <c r="F655" s="111">
        <v>36</v>
      </c>
      <c r="G655" s="112">
        <v>0.05</v>
      </c>
      <c r="H655" s="113">
        <v>1397.34</v>
      </c>
      <c r="I655" s="113">
        <v>1327.47</v>
      </c>
      <c r="J655" s="113">
        <v>0</v>
      </c>
      <c r="K655" s="114">
        <f t="shared" si="53"/>
        <v>69.8699999999999</v>
      </c>
      <c r="L655" s="113">
        <v>0</v>
      </c>
      <c r="M655" s="115"/>
      <c r="N655" s="116"/>
      <c r="O655" s="117">
        <f t="shared" si="54"/>
        <v>45747</v>
      </c>
      <c r="P655" s="118">
        <f t="shared" si="55"/>
        <v>0</v>
      </c>
      <c r="Q655" s="119">
        <f t="shared" si="51"/>
        <v>0</v>
      </c>
      <c r="R655" s="119">
        <f t="shared" si="52"/>
        <v>0</v>
      </c>
      <c r="S655" s="120" t="s">
        <v>106</v>
      </c>
      <c r="U655" s="67"/>
      <c r="V655" s="121"/>
      <c r="W655" s="122"/>
      <c r="X655" s="63"/>
      <c r="Y655" s="63"/>
      <c r="Z655" s="63"/>
      <c r="AA655" s="63"/>
    </row>
    <row r="656" s="59" customFormat="1" ht="16.5" outlineLevel="7" spans="1:27">
      <c r="A656" s="79"/>
      <c r="B656" s="123" t="s">
        <v>195</v>
      </c>
      <c r="C656" s="124">
        <v>100117</v>
      </c>
      <c r="D656" s="125" t="s">
        <v>545</v>
      </c>
      <c r="E656" s="126">
        <v>44712</v>
      </c>
      <c r="F656" s="111">
        <v>36</v>
      </c>
      <c r="G656" s="127">
        <v>0.05</v>
      </c>
      <c r="H656" s="128">
        <v>5131.86</v>
      </c>
      <c r="I656" s="113">
        <v>4875.27</v>
      </c>
      <c r="J656" s="113">
        <v>0</v>
      </c>
      <c r="K656" s="114">
        <f t="shared" si="53"/>
        <v>256.589999999999</v>
      </c>
      <c r="L656" s="128">
        <v>0</v>
      </c>
      <c r="M656" s="115"/>
      <c r="N656" s="116"/>
      <c r="O656" s="117">
        <f t="shared" si="54"/>
        <v>45808</v>
      </c>
      <c r="P656" s="118">
        <f t="shared" si="55"/>
        <v>0</v>
      </c>
      <c r="Q656" s="119">
        <f t="shared" si="51"/>
        <v>0</v>
      </c>
      <c r="R656" s="119">
        <f t="shared" si="52"/>
        <v>0</v>
      </c>
      <c r="S656" s="120" t="s">
        <v>106</v>
      </c>
      <c r="U656" s="67"/>
      <c r="V656" s="121"/>
      <c r="W656" s="122"/>
      <c r="X656" s="63"/>
      <c r="Y656" s="63"/>
      <c r="Z656" s="63"/>
      <c r="AA656" s="63"/>
    </row>
    <row r="657" s="59" customFormat="1" ht="16.5" outlineLevel="7" spans="1:27">
      <c r="A657" s="79"/>
      <c r="B657" s="123" t="s">
        <v>195</v>
      </c>
      <c r="C657" s="124">
        <v>100118</v>
      </c>
      <c r="D657" s="125" t="s">
        <v>545</v>
      </c>
      <c r="E657" s="126">
        <v>44712</v>
      </c>
      <c r="F657" s="111">
        <v>36</v>
      </c>
      <c r="G657" s="127">
        <v>0.05</v>
      </c>
      <c r="H657" s="128">
        <v>5131.86</v>
      </c>
      <c r="I657" s="113">
        <v>4875.27</v>
      </c>
      <c r="J657" s="113">
        <v>0</v>
      </c>
      <c r="K657" s="114">
        <f t="shared" si="53"/>
        <v>256.589999999999</v>
      </c>
      <c r="L657" s="128">
        <v>0</v>
      </c>
      <c r="M657" s="115"/>
      <c r="N657" s="116"/>
      <c r="O657" s="117">
        <f t="shared" si="54"/>
        <v>45808</v>
      </c>
      <c r="P657" s="118">
        <f t="shared" si="55"/>
        <v>0</v>
      </c>
      <c r="Q657" s="119">
        <f t="shared" si="51"/>
        <v>0</v>
      </c>
      <c r="R657" s="119">
        <f t="shared" si="52"/>
        <v>0</v>
      </c>
      <c r="S657" s="120" t="s">
        <v>106</v>
      </c>
      <c r="U657" s="67"/>
      <c r="V657" s="121"/>
      <c r="W657" s="122"/>
      <c r="X657" s="63"/>
      <c r="Y657" s="63"/>
      <c r="Z657" s="63"/>
      <c r="AA657" s="63"/>
    </row>
    <row r="658" s="59" customFormat="1" ht="16.5" outlineLevel="7" spans="1:27">
      <c r="A658" s="79"/>
      <c r="B658" s="123" t="s">
        <v>195</v>
      </c>
      <c r="C658" s="124">
        <v>100119</v>
      </c>
      <c r="D658" s="125" t="s">
        <v>545</v>
      </c>
      <c r="E658" s="126">
        <v>44698</v>
      </c>
      <c r="F658" s="111">
        <v>36</v>
      </c>
      <c r="G658" s="127">
        <v>0.05</v>
      </c>
      <c r="H658" s="128">
        <v>5308.85</v>
      </c>
      <c r="I658" s="113">
        <v>5043.41</v>
      </c>
      <c r="J658" s="113">
        <v>0</v>
      </c>
      <c r="K658" s="114">
        <f t="shared" si="53"/>
        <v>265.440000000001</v>
      </c>
      <c r="L658" s="128">
        <v>0</v>
      </c>
      <c r="M658" s="115"/>
      <c r="N658" s="116"/>
      <c r="O658" s="117">
        <f t="shared" si="54"/>
        <v>45808</v>
      </c>
      <c r="P658" s="118">
        <f t="shared" si="55"/>
        <v>0</v>
      </c>
      <c r="Q658" s="119">
        <f t="shared" si="51"/>
        <v>0</v>
      </c>
      <c r="R658" s="119">
        <f t="shared" si="52"/>
        <v>0</v>
      </c>
      <c r="S658" s="120" t="s">
        <v>106</v>
      </c>
      <c r="U658" s="67"/>
      <c r="V658" s="121"/>
      <c r="W658" s="122"/>
      <c r="X658" s="63"/>
      <c r="Y658" s="63"/>
      <c r="Z658" s="63"/>
      <c r="AA658" s="63"/>
    </row>
    <row r="659" s="59" customFormat="1" ht="16.5" outlineLevel="7" spans="1:27">
      <c r="A659" s="79"/>
      <c r="B659" s="123" t="s">
        <v>195</v>
      </c>
      <c r="C659" s="124">
        <v>100120</v>
      </c>
      <c r="D659" s="125" t="s">
        <v>715</v>
      </c>
      <c r="E659" s="126">
        <v>44710</v>
      </c>
      <c r="F659" s="111">
        <v>36</v>
      </c>
      <c r="G659" s="127">
        <v>0.05</v>
      </c>
      <c r="H659" s="128">
        <v>1260.18</v>
      </c>
      <c r="I659" s="113">
        <v>1197.17</v>
      </c>
      <c r="J659" s="113">
        <v>0</v>
      </c>
      <c r="K659" s="114">
        <f t="shared" si="53"/>
        <v>63.01</v>
      </c>
      <c r="L659" s="128">
        <v>0</v>
      </c>
      <c r="M659" s="115"/>
      <c r="N659" s="116"/>
      <c r="O659" s="117">
        <f t="shared" si="54"/>
        <v>45808</v>
      </c>
      <c r="P659" s="118">
        <f t="shared" si="55"/>
        <v>0</v>
      </c>
      <c r="Q659" s="119">
        <f t="shared" si="51"/>
        <v>0</v>
      </c>
      <c r="R659" s="119">
        <f t="shared" si="52"/>
        <v>0</v>
      </c>
      <c r="S659" s="120" t="s">
        <v>106</v>
      </c>
      <c r="U659" s="67"/>
      <c r="V659" s="121"/>
      <c r="W659" s="122"/>
      <c r="X659" s="63"/>
      <c r="Y659" s="63"/>
      <c r="Z659" s="63"/>
      <c r="AA659" s="63"/>
    </row>
    <row r="660" s="59" customFormat="1" ht="16.5" outlineLevel="7" spans="1:27">
      <c r="A660" s="79"/>
      <c r="B660" s="123" t="s">
        <v>195</v>
      </c>
      <c r="C660" s="124">
        <v>100121</v>
      </c>
      <c r="D660" s="125" t="s">
        <v>715</v>
      </c>
      <c r="E660" s="126">
        <v>44710</v>
      </c>
      <c r="F660" s="111">
        <v>36</v>
      </c>
      <c r="G660" s="127">
        <v>0.05</v>
      </c>
      <c r="H660" s="128">
        <v>1260.18</v>
      </c>
      <c r="I660" s="113">
        <v>1197.17</v>
      </c>
      <c r="J660" s="113">
        <v>0</v>
      </c>
      <c r="K660" s="114">
        <f t="shared" si="53"/>
        <v>63.01</v>
      </c>
      <c r="L660" s="128">
        <v>0</v>
      </c>
      <c r="M660" s="115"/>
      <c r="N660" s="116"/>
      <c r="O660" s="117">
        <f t="shared" si="54"/>
        <v>45808</v>
      </c>
      <c r="P660" s="118">
        <f t="shared" si="55"/>
        <v>0</v>
      </c>
      <c r="Q660" s="119">
        <f t="shared" si="51"/>
        <v>0</v>
      </c>
      <c r="R660" s="119">
        <f t="shared" si="52"/>
        <v>0</v>
      </c>
      <c r="S660" s="120" t="s">
        <v>106</v>
      </c>
      <c r="U660" s="67"/>
      <c r="V660" s="121"/>
      <c r="W660" s="122"/>
      <c r="X660" s="63"/>
      <c r="Y660" s="63"/>
      <c r="Z660" s="63"/>
      <c r="AA660" s="63"/>
    </row>
    <row r="661" s="59" customFormat="1" ht="16.5" outlineLevel="7" spans="1:27">
      <c r="A661" s="79"/>
      <c r="B661" s="107" t="s">
        <v>195</v>
      </c>
      <c r="C661" s="108">
        <v>100122</v>
      </c>
      <c r="D661" s="109" t="s">
        <v>717</v>
      </c>
      <c r="E661" s="110">
        <v>44650</v>
      </c>
      <c r="F661" s="111">
        <v>36</v>
      </c>
      <c r="G661" s="112">
        <v>0.05</v>
      </c>
      <c r="H661" s="113">
        <v>1680.53</v>
      </c>
      <c r="I661" s="113">
        <v>1596.5</v>
      </c>
      <c r="J661" s="113">
        <v>0</v>
      </c>
      <c r="K661" s="114">
        <f t="shared" si="53"/>
        <v>84.03</v>
      </c>
      <c r="L661" s="113">
        <v>0</v>
      </c>
      <c r="M661" s="115"/>
      <c r="N661" s="116"/>
      <c r="O661" s="117">
        <f t="shared" si="54"/>
        <v>45747</v>
      </c>
      <c r="P661" s="118">
        <f t="shared" si="55"/>
        <v>0</v>
      </c>
      <c r="Q661" s="119">
        <f t="shared" si="51"/>
        <v>0</v>
      </c>
      <c r="R661" s="119">
        <f t="shared" si="52"/>
        <v>0</v>
      </c>
      <c r="S661" s="120" t="s">
        <v>106</v>
      </c>
      <c r="U661" s="67"/>
      <c r="V661" s="121"/>
      <c r="W661" s="122"/>
      <c r="X661" s="63"/>
      <c r="Y661" s="63"/>
      <c r="Z661" s="63"/>
      <c r="AA661" s="63"/>
    </row>
    <row r="662" s="59" customFormat="1" ht="16.5" outlineLevel="7" spans="1:27">
      <c r="A662" s="79"/>
      <c r="B662" s="107" t="s">
        <v>195</v>
      </c>
      <c r="C662" s="108">
        <v>100094</v>
      </c>
      <c r="D662" s="109" t="s">
        <v>715</v>
      </c>
      <c r="E662" s="110">
        <v>44642</v>
      </c>
      <c r="F662" s="111">
        <v>36</v>
      </c>
      <c r="G662" s="112">
        <v>0.05</v>
      </c>
      <c r="H662" s="113">
        <v>1397.34</v>
      </c>
      <c r="I662" s="113">
        <v>1327.47</v>
      </c>
      <c r="J662" s="113">
        <v>0</v>
      </c>
      <c r="K662" s="114">
        <f t="shared" si="53"/>
        <v>69.8699999999999</v>
      </c>
      <c r="L662" s="113">
        <v>0</v>
      </c>
      <c r="M662" s="115"/>
      <c r="N662" s="116"/>
      <c r="O662" s="117">
        <f t="shared" si="54"/>
        <v>45747</v>
      </c>
      <c r="P662" s="118">
        <f t="shared" si="55"/>
        <v>0</v>
      </c>
      <c r="Q662" s="119">
        <f t="shared" si="51"/>
        <v>0</v>
      </c>
      <c r="R662" s="119">
        <f t="shared" si="52"/>
        <v>0</v>
      </c>
      <c r="S662" s="120" t="s">
        <v>106</v>
      </c>
      <c r="U662" s="67"/>
      <c r="V662" s="121"/>
      <c r="W662" s="122"/>
      <c r="X662" s="63"/>
      <c r="Y662" s="63"/>
      <c r="Z662" s="63"/>
      <c r="AA662" s="63"/>
    </row>
    <row r="663" s="59" customFormat="1" ht="16.5" outlineLevel="7" spans="1:27">
      <c r="A663" s="79"/>
      <c r="B663" s="123" t="s">
        <v>195</v>
      </c>
      <c r="C663" s="124">
        <v>100095</v>
      </c>
      <c r="D663" s="125" t="s">
        <v>715</v>
      </c>
      <c r="E663" s="126">
        <v>44642</v>
      </c>
      <c r="F663" s="111">
        <v>36</v>
      </c>
      <c r="G663" s="127">
        <v>0.05</v>
      </c>
      <c r="H663" s="128">
        <v>1397.34</v>
      </c>
      <c r="I663" s="113">
        <v>1327.47</v>
      </c>
      <c r="J663" s="113">
        <v>0</v>
      </c>
      <c r="K663" s="114">
        <f t="shared" si="53"/>
        <v>69.8699999999999</v>
      </c>
      <c r="L663" s="128">
        <v>0</v>
      </c>
      <c r="M663" s="115"/>
      <c r="N663" s="116"/>
      <c r="O663" s="117">
        <f t="shared" si="54"/>
        <v>45747</v>
      </c>
      <c r="P663" s="118">
        <f t="shared" si="55"/>
        <v>0</v>
      </c>
      <c r="Q663" s="119">
        <f t="shared" ref="Q663:Q726" si="56">IFERROR(IF(N663=0,(H663*(1-G663))/F663*P663,(N663*(1-G663))/F663*P663),0)</f>
        <v>0</v>
      </c>
      <c r="R663" s="119">
        <f t="shared" ref="R663:R726" si="57">Q663-L663</f>
        <v>0</v>
      </c>
      <c r="S663" s="120" t="s">
        <v>106</v>
      </c>
      <c r="U663" s="67"/>
      <c r="V663" s="121"/>
      <c r="W663" s="122"/>
      <c r="X663" s="63"/>
      <c r="Y663" s="63"/>
      <c r="Z663" s="63"/>
      <c r="AA663" s="63"/>
    </row>
    <row r="664" s="59" customFormat="1" ht="16.5" outlineLevel="7" spans="1:27">
      <c r="A664" s="79"/>
      <c r="B664" s="123" t="s">
        <v>195</v>
      </c>
      <c r="C664" s="124">
        <v>100123</v>
      </c>
      <c r="D664" s="125" t="s">
        <v>554</v>
      </c>
      <c r="E664" s="126">
        <v>44670</v>
      </c>
      <c r="F664" s="111">
        <v>36</v>
      </c>
      <c r="G664" s="127">
        <v>0.05</v>
      </c>
      <c r="H664" s="128">
        <v>5813.27</v>
      </c>
      <c r="I664" s="113">
        <v>5522.61</v>
      </c>
      <c r="J664" s="113">
        <v>0</v>
      </c>
      <c r="K664" s="114">
        <f t="shared" si="53"/>
        <v>290.660000000001</v>
      </c>
      <c r="L664" s="128">
        <v>0</v>
      </c>
      <c r="M664" s="115"/>
      <c r="N664" s="116"/>
      <c r="O664" s="117">
        <f t="shared" si="54"/>
        <v>45777</v>
      </c>
      <c r="P664" s="118">
        <f t="shared" si="55"/>
        <v>0</v>
      </c>
      <c r="Q664" s="119">
        <f t="shared" si="56"/>
        <v>0</v>
      </c>
      <c r="R664" s="119">
        <f t="shared" si="57"/>
        <v>0</v>
      </c>
      <c r="S664" s="120" t="s">
        <v>106</v>
      </c>
      <c r="U664" s="67"/>
      <c r="V664" s="121"/>
      <c r="W664" s="122"/>
      <c r="X664" s="63"/>
      <c r="Y664" s="63"/>
      <c r="Z664" s="63"/>
      <c r="AA664" s="63"/>
    </row>
    <row r="665" s="59" customFormat="1" ht="16.5" outlineLevel="7" spans="1:27">
      <c r="A665" s="79"/>
      <c r="B665" s="123" t="s">
        <v>195</v>
      </c>
      <c r="C665" s="124">
        <v>100124</v>
      </c>
      <c r="D665" s="125" t="s">
        <v>718</v>
      </c>
      <c r="E665" s="126">
        <v>44694</v>
      </c>
      <c r="F665" s="111">
        <v>36</v>
      </c>
      <c r="G665" s="127">
        <v>0.05</v>
      </c>
      <c r="H665" s="128">
        <v>5486.72</v>
      </c>
      <c r="I665" s="113">
        <v>5212.38</v>
      </c>
      <c r="J665" s="113">
        <v>0</v>
      </c>
      <c r="K665" s="114">
        <f t="shared" si="53"/>
        <v>274.34</v>
      </c>
      <c r="L665" s="128">
        <v>0</v>
      </c>
      <c r="M665" s="115"/>
      <c r="N665" s="116"/>
      <c r="O665" s="117">
        <f t="shared" si="54"/>
        <v>45808</v>
      </c>
      <c r="P665" s="118">
        <f t="shared" si="55"/>
        <v>0</v>
      </c>
      <c r="Q665" s="119">
        <f t="shared" si="56"/>
        <v>0</v>
      </c>
      <c r="R665" s="119">
        <f t="shared" si="57"/>
        <v>0</v>
      </c>
      <c r="S665" s="120" t="s">
        <v>106</v>
      </c>
      <c r="U665" s="67"/>
      <c r="V665" s="121"/>
      <c r="W665" s="122"/>
      <c r="X665" s="63"/>
      <c r="Y665" s="63"/>
      <c r="Z665" s="63"/>
      <c r="AA665" s="63"/>
    </row>
    <row r="666" s="59" customFormat="1" ht="16.5" outlineLevel="7" spans="1:27">
      <c r="A666" s="79"/>
      <c r="B666" s="123" t="s">
        <v>195</v>
      </c>
      <c r="C666" s="124">
        <v>100125</v>
      </c>
      <c r="D666" s="125" t="s">
        <v>718</v>
      </c>
      <c r="E666" s="126">
        <v>44694</v>
      </c>
      <c r="F666" s="111">
        <v>36</v>
      </c>
      <c r="G666" s="127">
        <v>0.05</v>
      </c>
      <c r="H666" s="128">
        <v>5486.73</v>
      </c>
      <c r="I666" s="113">
        <v>5212.39</v>
      </c>
      <c r="J666" s="113">
        <v>0</v>
      </c>
      <c r="K666" s="114">
        <f t="shared" si="53"/>
        <v>274.339999999999</v>
      </c>
      <c r="L666" s="128">
        <v>0</v>
      </c>
      <c r="M666" s="115"/>
      <c r="N666" s="116"/>
      <c r="O666" s="117">
        <f t="shared" si="54"/>
        <v>45808</v>
      </c>
      <c r="P666" s="118">
        <f t="shared" si="55"/>
        <v>0</v>
      </c>
      <c r="Q666" s="119">
        <f t="shared" si="56"/>
        <v>0</v>
      </c>
      <c r="R666" s="119">
        <f t="shared" si="57"/>
        <v>0</v>
      </c>
      <c r="S666" s="120" t="s">
        <v>106</v>
      </c>
      <c r="U666" s="67"/>
      <c r="V666" s="121"/>
      <c r="W666" s="122"/>
      <c r="X666" s="63"/>
      <c r="Y666" s="63"/>
      <c r="Z666" s="63"/>
      <c r="AA666" s="63"/>
    </row>
    <row r="667" s="59" customFormat="1" ht="16.5" outlineLevel="7" spans="1:27">
      <c r="A667" s="79"/>
      <c r="B667" s="123" t="s">
        <v>195</v>
      </c>
      <c r="C667" s="124">
        <v>100126</v>
      </c>
      <c r="D667" s="125" t="s">
        <v>719</v>
      </c>
      <c r="E667" s="126">
        <v>44694</v>
      </c>
      <c r="F667" s="111">
        <v>36</v>
      </c>
      <c r="G667" s="127">
        <v>0.05</v>
      </c>
      <c r="H667" s="128">
        <v>3805.31</v>
      </c>
      <c r="I667" s="113">
        <v>3615.04</v>
      </c>
      <c r="J667" s="113">
        <v>0</v>
      </c>
      <c r="K667" s="114">
        <f t="shared" si="53"/>
        <v>190.27</v>
      </c>
      <c r="L667" s="128">
        <v>0</v>
      </c>
      <c r="M667" s="115"/>
      <c r="N667" s="116"/>
      <c r="O667" s="117">
        <f t="shared" si="54"/>
        <v>45808</v>
      </c>
      <c r="P667" s="118">
        <f t="shared" si="55"/>
        <v>0</v>
      </c>
      <c r="Q667" s="119">
        <f t="shared" si="56"/>
        <v>0</v>
      </c>
      <c r="R667" s="119">
        <f t="shared" si="57"/>
        <v>0</v>
      </c>
      <c r="S667" s="120" t="s">
        <v>106</v>
      </c>
      <c r="U667" s="67"/>
      <c r="V667" s="121"/>
      <c r="W667" s="122"/>
      <c r="X667" s="63"/>
      <c r="Y667" s="63"/>
      <c r="Z667" s="63"/>
      <c r="AA667" s="63"/>
    </row>
    <row r="668" s="59" customFormat="1" ht="16.5" outlineLevel="7" spans="1:27">
      <c r="A668" s="79"/>
      <c r="B668" s="107" t="s">
        <v>195</v>
      </c>
      <c r="C668" s="108">
        <v>100127</v>
      </c>
      <c r="D668" s="109" t="s">
        <v>719</v>
      </c>
      <c r="E668" s="110">
        <v>44694</v>
      </c>
      <c r="F668" s="111">
        <v>36</v>
      </c>
      <c r="G668" s="112">
        <v>0.05</v>
      </c>
      <c r="H668" s="113">
        <v>3805.31</v>
      </c>
      <c r="I668" s="113">
        <v>3615.04</v>
      </c>
      <c r="J668" s="113">
        <v>0</v>
      </c>
      <c r="K668" s="114">
        <f t="shared" si="53"/>
        <v>190.27</v>
      </c>
      <c r="L668" s="113">
        <v>0</v>
      </c>
      <c r="M668" s="115"/>
      <c r="N668" s="116"/>
      <c r="O668" s="117">
        <f t="shared" si="54"/>
        <v>45808</v>
      </c>
      <c r="P668" s="118">
        <f t="shared" si="55"/>
        <v>0</v>
      </c>
      <c r="Q668" s="119">
        <f t="shared" si="56"/>
        <v>0</v>
      </c>
      <c r="R668" s="119">
        <f t="shared" si="57"/>
        <v>0</v>
      </c>
      <c r="S668" s="120" t="s">
        <v>106</v>
      </c>
      <c r="U668" s="67"/>
      <c r="V668" s="121"/>
      <c r="W668" s="122"/>
      <c r="X668" s="63"/>
      <c r="Y668" s="63"/>
      <c r="Z668" s="63"/>
      <c r="AA668" s="63"/>
    </row>
    <row r="669" s="59" customFormat="1" ht="16.5" outlineLevel="7" spans="1:27">
      <c r="A669" s="79"/>
      <c r="B669" s="107" t="s">
        <v>195</v>
      </c>
      <c r="C669" s="108">
        <v>100128</v>
      </c>
      <c r="D669" s="109" t="s">
        <v>545</v>
      </c>
      <c r="E669" s="110">
        <v>44719</v>
      </c>
      <c r="F669" s="111">
        <v>36</v>
      </c>
      <c r="G669" s="112">
        <v>0.05</v>
      </c>
      <c r="H669" s="113">
        <v>4379.64</v>
      </c>
      <c r="I669" s="113">
        <v>4160.66</v>
      </c>
      <c r="J669" s="113">
        <v>0</v>
      </c>
      <c r="K669" s="114">
        <f t="shared" si="53"/>
        <v>218.98</v>
      </c>
      <c r="L669" s="113">
        <v>0</v>
      </c>
      <c r="M669" s="115"/>
      <c r="N669" s="116"/>
      <c r="O669" s="117">
        <f t="shared" si="54"/>
        <v>45838</v>
      </c>
      <c r="P669" s="118">
        <f t="shared" si="55"/>
        <v>0</v>
      </c>
      <c r="Q669" s="119">
        <f t="shared" si="56"/>
        <v>0</v>
      </c>
      <c r="R669" s="119">
        <f t="shared" si="57"/>
        <v>0</v>
      </c>
      <c r="S669" s="120" t="s">
        <v>106</v>
      </c>
      <c r="U669" s="67"/>
      <c r="V669" s="121"/>
      <c r="W669" s="122"/>
      <c r="X669" s="63"/>
      <c r="Y669" s="63"/>
      <c r="Z669" s="63"/>
      <c r="AA669" s="63"/>
    </row>
    <row r="670" s="59" customFormat="1" ht="16.5" outlineLevel="7" spans="1:27">
      <c r="A670" s="79"/>
      <c r="B670" s="123" t="s">
        <v>195</v>
      </c>
      <c r="C670" s="124">
        <v>100129</v>
      </c>
      <c r="D670" s="125" t="s">
        <v>715</v>
      </c>
      <c r="E670" s="126">
        <v>44725</v>
      </c>
      <c r="F670" s="111">
        <v>36</v>
      </c>
      <c r="G670" s="127">
        <v>0.05</v>
      </c>
      <c r="H670" s="128">
        <v>1149.55</v>
      </c>
      <c r="I670" s="113">
        <v>1092.07</v>
      </c>
      <c r="J670" s="113">
        <v>0</v>
      </c>
      <c r="K670" s="114">
        <f t="shared" si="53"/>
        <v>57.48</v>
      </c>
      <c r="L670" s="128">
        <v>0</v>
      </c>
      <c r="M670" s="115"/>
      <c r="N670" s="116"/>
      <c r="O670" s="117">
        <f t="shared" si="54"/>
        <v>45838</v>
      </c>
      <c r="P670" s="118">
        <f t="shared" si="55"/>
        <v>0</v>
      </c>
      <c r="Q670" s="119">
        <f t="shared" si="56"/>
        <v>0</v>
      </c>
      <c r="R670" s="119">
        <f t="shared" si="57"/>
        <v>0</v>
      </c>
      <c r="S670" s="120" t="s">
        <v>106</v>
      </c>
      <c r="U670" s="67"/>
      <c r="V670" s="121"/>
      <c r="W670" s="122"/>
      <c r="X670" s="63"/>
      <c r="Y670" s="63"/>
      <c r="Z670" s="63"/>
      <c r="AA670" s="63"/>
    </row>
    <row r="671" s="59" customFormat="1" ht="16.5" outlineLevel="7" spans="1:27">
      <c r="A671" s="79"/>
      <c r="B671" s="123" t="s">
        <v>195</v>
      </c>
      <c r="C671" s="124">
        <v>100130</v>
      </c>
      <c r="D671" s="125" t="s">
        <v>721</v>
      </c>
      <c r="E671" s="126">
        <v>44730</v>
      </c>
      <c r="F671" s="111">
        <v>36</v>
      </c>
      <c r="G671" s="127">
        <v>0.05</v>
      </c>
      <c r="H671" s="128">
        <v>4069.91</v>
      </c>
      <c r="I671" s="113">
        <v>3866.41</v>
      </c>
      <c r="J671" s="113">
        <v>0</v>
      </c>
      <c r="K671" s="114">
        <f t="shared" si="53"/>
        <v>203.5</v>
      </c>
      <c r="L671" s="128">
        <v>0</v>
      </c>
      <c r="M671" s="115"/>
      <c r="N671" s="116"/>
      <c r="O671" s="117">
        <f t="shared" si="54"/>
        <v>45838</v>
      </c>
      <c r="P671" s="118">
        <f t="shared" si="55"/>
        <v>0</v>
      </c>
      <c r="Q671" s="119">
        <f t="shared" si="56"/>
        <v>0</v>
      </c>
      <c r="R671" s="119">
        <f t="shared" si="57"/>
        <v>0</v>
      </c>
      <c r="S671" s="120" t="s">
        <v>106</v>
      </c>
      <c r="U671" s="67"/>
      <c r="V671" s="121"/>
      <c r="W671" s="122"/>
      <c r="X671" s="63"/>
      <c r="Y671" s="63"/>
      <c r="Z671" s="63"/>
      <c r="AA671" s="63"/>
    </row>
    <row r="672" s="59" customFormat="1" ht="16.5" outlineLevel="7" spans="1:27">
      <c r="A672" s="79"/>
      <c r="B672" s="123" t="s">
        <v>195</v>
      </c>
      <c r="C672" s="124">
        <v>100131</v>
      </c>
      <c r="D672" s="125" t="s">
        <v>545</v>
      </c>
      <c r="E672" s="126">
        <v>44730</v>
      </c>
      <c r="F672" s="111">
        <v>36</v>
      </c>
      <c r="G672" s="127">
        <v>0.05</v>
      </c>
      <c r="H672" s="128">
        <v>4423.89</v>
      </c>
      <c r="I672" s="113">
        <v>4202.7</v>
      </c>
      <c r="J672" s="113">
        <v>0</v>
      </c>
      <c r="K672" s="114">
        <f t="shared" si="53"/>
        <v>221.190000000001</v>
      </c>
      <c r="L672" s="128">
        <v>0</v>
      </c>
      <c r="M672" s="115"/>
      <c r="N672" s="116"/>
      <c r="O672" s="117">
        <f t="shared" si="54"/>
        <v>45838</v>
      </c>
      <c r="P672" s="118">
        <f t="shared" si="55"/>
        <v>0</v>
      </c>
      <c r="Q672" s="119">
        <f t="shared" si="56"/>
        <v>0</v>
      </c>
      <c r="R672" s="119">
        <f t="shared" si="57"/>
        <v>0</v>
      </c>
      <c r="S672" s="120" t="s">
        <v>106</v>
      </c>
      <c r="U672" s="67"/>
      <c r="V672" s="121"/>
      <c r="W672" s="122"/>
      <c r="X672" s="63"/>
      <c r="Y672" s="63"/>
      <c r="Z672" s="63"/>
      <c r="AA672" s="63"/>
    </row>
    <row r="673" s="59" customFormat="1" ht="16.5" outlineLevel="7" spans="1:27">
      <c r="A673" s="79"/>
      <c r="B673" s="123" t="s">
        <v>195</v>
      </c>
      <c r="C673" s="124">
        <v>100132</v>
      </c>
      <c r="D673" s="125" t="s">
        <v>722</v>
      </c>
      <c r="E673" s="126">
        <v>44763</v>
      </c>
      <c r="F673" s="111">
        <v>36</v>
      </c>
      <c r="G673" s="127">
        <v>0.05</v>
      </c>
      <c r="H673" s="128">
        <v>6016.81</v>
      </c>
      <c r="I673" s="113">
        <v>5715.97</v>
      </c>
      <c r="J673" s="113">
        <v>0</v>
      </c>
      <c r="K673" s="114">
        <f t="shared" si="53"/>
        <v>300.84</v>
      </c>
      <c r="L673" s="128">
        <v>0</v>
      </c>
      <c r="M673" s="115"/>
      <c r="N673" s="116"/>
      <c r="O673" s="117">
        <f t="shared" si="54"/>
        <v>45869</v>
      </c>
      <c r="P673" s="118">
        <f t="shared" si="55"/>
        <v>0</v>
      </c>
      <c r="Q673" s="119">
        <f t="shared" si="56"/>
        <v>0</v>
      </c>
      <c r="R673" s="119">
        <f t="shared" si="57"/>
        <v>0</v>
      </c>
      <c r="S673" s="120" t="s">
        <v>106</v>
      </c>
      <c r="U673" s="67"/>
      <c r="V673" s="121"/>
      <c r="W673" s="122"/>
      <c r="X673" s="63"/>
      <c r="Y673" s="63"/>
      <c r="Z673" s="63"/>
      <c r="AA673" s="63"/>
    </row>
    <row r="674" s="59" customFormat="1" ht="16.5" outlineLevel="7" spans="1:27">
      <c r="A674" s="79"/>
      <c r="B674" s="123" t="s">
        <v>195</v>
      </c>
      <c r="C674" s="124">
        <v>100133</v>
      </c>
      <c r="D674" s="125" t="s">
        <v>723</v>
      </c>
      <c r="E674" s="126">
        <v>44750</v>
      </c>
      <c r="F674" s="111">
        <v>36</v>
      </c>
      <c r="G674" s="127">
        <v>0.05</v>
      </c>
      <c r="H674" s="128">
        <v>4154.16</v>
      </c>
      <c r="I674" s="113">
        <v>3946.45</v>
      </c>
      <c r="J674" s="113">
        <v>0</v>
      </c>
      <c r="K674" s="114">
        <f t="shared" si="53"/>
        <v>207.71</v>
      </c>
      <c r="L674" s="128">
        <v>0</v>
      </c>
      <c r="M674" s="115"/>
      <c r="N674" s="116"/>
      <c r="O674" s="117">
        <f t="shared" si="54"/>
        <v>45869</v>
      </c>
      <c r="P674" s="118">
        <f t="shared" si="55"/>
        <v>0</v>
      </c>
      <c r="Q674" s="119">
        <f t="shared" si="56"/>
        <v>0</v>
      </c>
      <c r="R674" s="119">
        <f t="shared" si="57"/>
        <v>0</v>
      </c>
      <c r="S674" s="120" t="s">
        <v>106</v>
      </c>
      <c r="U674" s="67"/>
      <c r="V674" s="121"/>
      <c r="W674" s="122"/>
      <c r="X674" s="63"/>
      <c r="Y674" s="63"/>
      <c r="Z674" s="63"/>
      <c r="AA674" s="63"/>
    </row>
    <row r="675" s="59" customFormat="1" ht="16.5" outlineLevel="7" spans="1:27">
      <c r="A675" s="79"/>
      <c r="B675" s="107" t="s">
        <v>195</v>
      </c>
      <c r="C675" s="108">
        <v>100134</v>
      </c>
      <c r="D675" s="109" t="s">
        <v>724</v>
      </c>
      <c r="E675" s="110">
        <v>44753</v>
      </c>
      <c r="F675" s="111">
        <v>36</v>
      </c>
      <c r="G675" s="112">
        <v>0.05</v>
      </c>
      <c r="H675" s="113">
        <v>7177.88</v>
      </c>
      <c r="I675" s="113">
        <v>6818.99</v>
      </c>
      <c r="J675" s="113">
        <v>0</v>
      </c>
      <c r="K675" s="114">
        <f t="shared" si="53"/>
        <v>358.89</v>
      </c>
      <c r="L675" s="113">
        <v>0</v>
      </c>
      <c r="M675" s="115"/>
      <c r="N675" s="116"/>
      <c r="O675" s="117">
        <f t="shared" si="54"/>
        <v>45869</v>
      </c>
      <c r="P675" s="118">
        <f t="shared" si="55"/>
        <v>0</v>
      </c>
      <c r="Q675" s="119">
        <f t="shared" si="56"/>
        <v>0</v>
      </c>
      <c r="R675" s="119">
        <f t="shared" si="57"/>
        <v>0</v>
      </c>
      <c r="S675" s="120" t="s">
        <v>106</v>
      </c>
      <c r="U675" s="67"/>
      <c r="V675" s="121"/>
      <c r="W675" s="122"/>
      <c r="X675" s="63"/>
      <c r="Y675" s="63"/>
      <c r="Z675" s="63"/>
      <c r="AA675" s="63"/>
    </row>
    <row r="676" s="59" customFormat="1" ht="16.5" outlineLevel="7" spans="1:27">
      <c r="A676" s="79"/>
      <c r="B676" s="107" t="s">
        <v>195</v>
      </c>
      <c r="C676" s="108">
        <v>100135</v>
      </c>
      <c r="D676" s="109" t="s">
        <v>715</v>
      </c>
      <c r="E676" s="110">
        <v>44740</v>
      </c>
      <c r="F676" s="111">
        <v>36</v>
      </c>
      <c r="G676" s="112">
        <v>0.05</v>
      </c>
      <c r="H676" s="113">
        <v>1272.09</v>
      </c>
      <c r="I676" s="113">
        <v>1208.49</v>
      </c>
      <c r="J676" s="113">
        <v>0</v>
      </c>
      <c r="K676" s="114">
        <f t="shared" si="53"/>
        <v>63.5999999999999</v>
      </c>
      <c r="L676" s="113">
        <v>0</v>
      </c>
      <c r="M676" s="115"/>
      <c r="N676" s="116"/>
      <c r="O676" s="117">
        <f t="shared" si="54"/>
        <v>45838</v>
      </c>
      <c r="P676" s="118">
        <f t="shared" si="55"/>
        <v>0</v>
      </c>
      <c r="Q676" s="119">
        <f t="shared" si="56"/>
        <v>0</v>
      </c>
      <c r="R676" s="119">
        <f t="shared" si="57"/>
        <v>0</v>
      </c>
      <c r="S676" s="120" t="s">
        <v>106</v>
      </c>
      <c r="U676" s="67"/>
      <c r="V676" s="121"/>
      <c r="W676" s="122"/>
      <c r="X676" s="63"/>
      <c r="Y676" s="63"/>
      <c r="Z676" s="63"/>
      <c r="AA676" s="63"/>
    </row>
    <row r="677" s="59" customFormat="1" ht="16.5" outlineLevel="7" spans="1:27">
      <c r="A677" s="79"/>
      <c r="B677" s="123" t="s">
        <v>195</v>
      </c>
      <c r="C677" s="124">
        <v>100136</v>
      </c>
      <c r="D677" s="125" t="s">
        <v>715</v>
      </c>
      <c r="E677" s="126">
        <v>44740</v>
      </c>
      <c r="F677" s="111">
        <v>36</v>
      </c>
      <c r="G677" s="127">
        <v>0.05</v>
      </c>
      <c r="H677" s="128">
        <v>1272.09</v>
      </c>
      <c r="I677" s="113">
        <v>1208.49</v>
      </c>
      <c r="J677" s="113">
        <v>0</v>
      </c>
      <c r="K677" s="114">
        <f t="shared" si="53"/>
        <v>63.5999999999999</v>
      </c>
      <c r="L677" s="128">
        <v>0</v>
      </c>
      <c r="M677" s="115"/>
      <c r="N677" s="116"/>
      <c r="O677" s="117">
        <f t="shared" si="54"/>
        <v>45838</v>
      </c>
      <c r="P677" s="118">
        <f t="shared" si="55"/>
        <v>0</v>
      </c>
      <c r="Q677" s="119">
        <f t="shared" si="56"/>
        <v>0</v>
      </c>
      <c r="R677" s="119">
        <f t="shared" si="57"/>
        <v>0</v>
      </c>
      <c r="S677" s="120" t="s">
        <v>106</v>
      </c>
      <c r="U677" s="67"/>
      <c r="V677" s="121"/>
      <c r="W677" s="122"/>
      <c r="X677" s="63"/>
      <c r="Y677" s="63"/>
      <c r="Z677" s="63"/>
      <c r="AA677" s="63"/>
    </row>
    <row r="678" s="59" customFormat="1" ht="16.5" outlineLevel="7" spans="1:27">
      <c r="A678" s="79"/>
      <c r="B678" s="123" t="s">
        <v>195</v>
      </c>
      <c r="C678" s="124">
        <v>100137</v>
      </c>
      <c r="D678" s="125" t="s">
        <v>715</v>
      </c>
      <c r="E678" s="126">
        <v>44740</v>
      </c>
      <c r="F678" s="111">
        <v>36</v>
      </c>
      <c r="G678" s="127">
        <v>0.05</v>
      </c>
      <c r="H678" s="128">
        <v>1272.09</v>
      </c>
      <c r="I678" s="113">
        <v>1208.49</v>
      </c>
      <c r="J678" s="113">
        <v>0</v>
      </c>
      <c r="K678" s="114">
        <f t="shared" si="53"/>
        <v>63.5999999999999</v>
      </c>
      <c r="L678" s="128">
        <v>0</v>
      </c>
      <c r="M678" s="115"/>
      <c r="N678" s="116"/>
      <c r="O678" s="117">
        <f t="shared" si="54"/>
        <v>45838</v>
      </c>
      <c r="P678" s="118">
        <f t="shared" si="55"/>
        <v>0</v>
      </c>
      <c r="Q678" s="119">
        <f t="shared" si="56"/>
        <v>0</v>
      </c>
      <c r="R678" s="119">
        <f t="shared" si="57"/>
        <v>0</v>
      </c>
      <c r="S678" s="120" t="s">
        <v>106</v>
      </c>
      <c r="U678" s="67"/>
      <c r="V678" s="121"/>
      <c r="W678" s="122"/>
      <c r="X678" s="63"/>
      <c r="Y678" s="63"/>
      <c r="Z678" s="63"/>
      <c r="AA678" s="63"/>
    </row>
    <row r="679" s="59" customFormat="1" ht="16.5" outlineLevel="7" spans="1:27">
      <c r="A679" s="79"/>
      <c r="B679" s="123" t="s">
        <v>195</v>
      </c>
      <c r="C679" s="124">
        <v>100138</v>
      </c>
      <c r="D679" s="125" t="s">
        <v>715</v>
      </c>
      <c r="E679" s="126">
        <v>44740</v>
      </c>
      <c r="F679" s="111">
        <v>36</v>
      </c>
      <c r="G679" s="127">
        <v>0.05</v>
      </c>
      <c r="H679" s="128">
        <v>1272.09</v>
      </c>
      <c r="I679" s="113">
        <v>1208.49</v>
      </c>
      <c r="J679" s="113">
        <v>0</v>
      </c>
      <c r="K679" s="114">
        <f t="shared" si="53"/>
        <v>63.5999999999999</v>
      </c>
      <c r="L679" s="128">
        <v>0</v>
      </c>
      <c r="M679" s="115"/>
      <c r="N679" s="116"/>
      <c r="O679" s="117">
        <f t="shared" si="54"/>
        <v>45838</v>
      </c>
      <c r="P679" s="118">
        <f t="shared" si="55"/>
        <v>0</v>
      </c>
      <c r="Q679" s="119">
        <f t="shared" si="56"/>
        <v>0</v>
      </c>
      <c r="R679" s="119">
        <f t="shared" si="57"/>
        <v>0</v>
      </c>
      <c r="S679" s="120" t="s">
        <v>106</v>
      </c>
      <c r="U679" s="67"/>
      <c r="V679" s="121"/>
      <c r="W679" s="122"/>
      <c r="X679" s="63"/>
      <c r="Y679" s="63"/>
      <c r="Z679" s="63"/>
      <c r="AA679" s="63"/>
    </row>
    <row r="680" s="59" customFormat="1" ht="16.5" outlineLevel="7" spans="1:27">
      <c r="A680" s="79"/>
      <c r="B680" s="123" t="s">
        <v>195</v>
      </c>
      <c r="C680" s="124">
        <v>100139</v>
      </c>
      <c r="D680" s="125" t="s">
        <v>715</v>
      </c>
      <c r="E680" s="126">
        <v>44740</v>
      </c>
      <c r="F680" s="111">
        <v>36</v>
      </c>
      <c r="G680" s="127">
        <v>0.05</v>
      </c>
      <c r="H680" s="128">
        <v>1272.09</v>
      </c>
      <c r="I680" s="113">
        <v>1208.49</v>
      </c>
      <c r="J680" s="113">
        <v>0</v>
      </c>
      <c r="K680" s="114">
        <f t="shared" si="53"/>
        <v>63.5999999999999</v>
      </c>
      <c r="L680" s="128">
        <v>0</v>
      </c>
      <c r="M680" s="115"/>
      <c r="N680" s="116"/>
      <c r="O680" s="117">
        <f t="shared" si="54"/>
        <v>45838</v>
      </c>
      <c r="P680" s="118">
        <f t="shared" si="55"/>
        <v>0</v>
      </c>
      <c r="Q680" s="119">
        <f t="shared" si="56"/>
        <v>0</v>
      </c>
      <c r="R680" s="119">
        <f t="shared" si="57"/>
        <v>0</v>
      </c>
      <c r="S680" s="120" t="s">
        <v>106</v>
      </c>
      <c r="U680" s="67"/>
      <c r="V680" s="121"/>
      <c r="W680" s="122"/>
      <c r="X680" s="63"/>
      <c r="Y680" s="63"/>
      <c r="Z680" s="63"/>
      <c r="AA680" s="63"/>
    </row>
    <row r="681" s="59" customFormat="1" ht="16.5" outlineLevel="7" spans="1:27">
      <c r="A681" s="79"/>
      <c r="B681" s="123" t="s">
        <v>195</v>
      </c>
      <c r="C681" s="124">
        <v>100140</v>
      </c>
      <c r="D681" s="125" t="s">
        <v>715</v>
      </c>
      <c r="E681" s="126">
        <v>44740</v>
      </c>
      <c r="F681" s="111">
        <v>36</v>
      </c>
      <c r="G681" s="127">
        <v>0.05</v>
      </c>
      <c r="H681" s="128">
        <v>1272.09</v>
      </c>
      <c r="I681" s="113">
        <v>1208.49</v>
      </c>
      <c r="J681" s="113">
        <v>0</v>
      </c>
      <c r="K681" s="114">
        <f t="shared" si="53"/>
        <v>63.5999999999999</v>
      </c>
      <c r="L681" s="128">
        <v>0</v>
      </c>
      <c r="M681" s="115"/>
      <c r="N681" s="116"/>
      <c r="O681" s="117">
        <f t="shared" si="54"/>
        <v>45838</v>
      </c>
      <c r="P681" s="118">
        <f t="shared" si="55"/>
        <v>0</v>
      </c>
      <c r="Q681" s="119">
        <f t="shared" si="56"/>
        <v>0</v>
      </c>
      <c r="R681" s="119">
        <f t="shared" si="57"/>
        <v>0</v>
      </c>
      <c r="S681" s="120" t="s">
        <v>106</v>
      </c>
      <c r="U681" s="67"/>
      <c r="V681" s="121"/>
      <c r="W681" s="122"/>
      <c r="X681" s="63"/>
      <c r="Y681" s="63"/>
      <c r="Z681" s="63"/>
      <c r="AA681" s="63"/>
    </row>
    <row r="682" s="59" customFormat="1" ht="16.5" outlineLevel="7" spans="1:27">
      <c r="A682" s="79"/>
      <c r="B682" s="107" t="s">
        <v>195</v>
      </c>
      <c r="C682" s="108">
        <v>100141</v>
      </c>
      <c r="D682" s="109" t="s">
        <v>715</v>
      </c>
      <c r="E682" s="110">
        <v>44740</v>
      </c>
      <c r="F682" s="111">
        <v>36</v>
      </c>
      <c r="G682" s="112">
        <v>0.05</v>
      </c>
      <c r="H682" s="113">
        <v>1272.09</v>
      </c>
      <c r="I682" s="113">
        <v>1208.49</v>
      </c>
      <c r="J682" s="113">
        <v>0</v>
      </c>
      <c r="K682" s="114">
        <f t="shared" si="53"/>
        <v>63.5999999999999</v>
      </c>
      <c r="L682" s="113">
        <v>0</v>
      </c>
      <c r="M682" s="115"/>
      <c r="N682" s="116"/>
      <c r="O682" s="117">
        <f t="shared" si="54"/>
        <v>45838</v>
      </c>
      <c r="P682" s="118">
        <f t="shared" si="55"/>
        <v>0</v>
      </c>
      <c r="Q682" s="119">
        <f t="shared" si="56"/>
        <v>0</v>
      </c>
      <c r="R682" s="119">
        <f t="shared" si="57"/>
        <v>0</v>
      </c>
      <c r="S682" s="120" t="s">
        <v>106</v>
      </c>
      <c r="U682" s="67"/>
      <c r="V682" s="121"/>
      <c r="W682" s="122"/>
      <c r="X682" s="63"/>
      <c r="Y682" s="63"/>
      <c r="Z682" s="63"/>
      <c r="AA682" s="63"/>
    </row>
    <row r="683" s="59" customFormat="1" ht="16.5" outlineLevel="7" spans="1:27">
      <c r="A683" s="79"/>
      <c r="B683" s="107" t="s">
        <v>195</v>
      </c>
      <c r="C683" s="108">
        <v>100142</v>
      </c>
      <c r="D683" s="109" t="s">
        <v>715</v>
      </c>
      <c r="E683" s="110">
        <v>44740</v>
      </c>
      <c r="F683" s="111">
        <v>36</v>
      </c>
      <c r="G683" s="112">
        <v>0.05</v>
      </c>
      <c r="H683" s="113">
        <v>1272.09</v>
      </c>
      <c r="I683" s="113">
        <v>1208.49</v>
      </c>
      <c r="J683" s="113">
        <v>0</v>
      </c>
      <c r="K683" s="114">
        <f t="shared" si="53"/>
        <v>63.5999999999999</v>
      </c>
      <c r="L683" s="113">
        <v>0</v>
      </c>
      <c r="M683" s="115"/>
      <c r="N683" s="116"/>
      <c r="O683" s="117">
        <f t="shared" si="54"/>
        <v>45838</v>
      </c>
      <c r="P683" s="118">
        <f t="shared" si="55"/>
        <v>0</v>
      </c>
      <c r="Q683" s="119">
        <f t="shared" si="56"/>
        <v>0</v>
      </c>
      <c r="R683" s="119">
        <f t="shared" si="57"/>
        <v>0</v>
      </c>
      <c r="S683" s="120" t="s">
        <v>106</v>
      </c>
      <c r="U683" s="67"/>
      <c r="V683" s="121"/>
      <c r="W683" s="122"/>
      <c r="X683" s="63"/>
      <c r="Y683" s="63"/>
      <c r="Z683" s="63"/>
      <c r="AA683" s="63"/>
    </row>
    <row r="684" s="59" customFormat="1" ht="16.5" outlineLevel="7" spans="1:27">
      <c r="A684" s="79"/>
      <c r="B684" s="123" t="s">
        <v>195</v>
      </c>
      <c r="C684" s="124">
        <v>100143</v>
      </c>
      <c r="D684" s="125" t="s">
        <v>715</v>
      </c>
      <c r="E684" s="126">
        <v>44740</v>
      </c>
      <c r="F684" s="111">
        <v>36</v>
      </c>
      <c r="G684" s="127">
        <v>0.05</v>
      </c>
      <c r="H684" s="128">
        <v>1272.09</v>
      </c>
      <c r="I684" s="113">
        <v>1208.49</v>
      </c>
      <c r="J684" s="113">
        <v>0</v>
      </c>
      <c r="K684" s="114">
        <f t="shared" si="53"/>
        <v>63.5999999999999</v>
      </c>
      <c r="L684" s="128">
        <v>0</v>
      </c>
      <c r="M684" s="115"/>
      <c r="N684" s="116"/>
      <c r="O684" s="117">
        <f t="shared" si="54"/>
        <v>45838</v>
      </c>
      <c r="P684" s="118">
        <f t="shared" si="55"/>
        <v>0</v>
      </c>
      <c r="Q684" s="119">
        <f t="shared" si="56"/>
        <v>0</v>
      </c>
      <c r="R684" s="119">
        <f t="shared" si="57"/>
        <v>0</v>
      </c>
      <c r="S684" s="120" t="s">
        <v>106</v>
      </c>
      <c r="U684" s="67"/>
      <c r="V684" s="121"/>
      <c r="W684" s="122"/>
      <c r="X684" s="63"/>
      <c r="Y684" s="63"/>
      <c r="Z684" s="63"/>
      <c r="AA684" s="63"/>
    </row>
    <row r="685" s="59" customFormat="1" ht="16.5" outlineLevel="7" spans="1:27">
      <c r="A685" s="79"/>
      <c r="B685" s="123" t="s">
        <v>195</v>
      </c>
      <c r="C685" s="124">
        <v>100144</v>
      </c>
      <c r="D685" s="125" t="s">
        <v>715</v>
      </c>
      <c r="E685" s="126">
        <v>44740</v>
      </c>
      <c r="F685" s="111">
        <v>36</v>
      </c>
      <c r="G685" s="127">
        <v>0.05</v>
      </c>
      <c r="H685" s="128">
        <v>1272.09</v>
      </c>
      <c r="I685" s="113">
        <v>1208.49</v>
      </c>
      <c r="J685" s="113">
        <v>0</v>
      </c>
      <c r="K685" s="114">
        <f t="shared" si="53"/>
        <v>63.5999999999999</v>
      </c>
      <c r="L685" s="128">
        <v>0</v>
      </c>
      <c r="M685" s="115"/>
      <c r="N685" s="116"/>
      <c r="O685" s="117">
        <f t="shared" si="54"/>
        <v>45838</v>
      </c>
      <c r="P685" s="118">
        <f t="shared" si="55"/>
        <v>0</v>
      </c>
      <c r="Q685" s="119">
        <f t="shared" si="56"/>
        <v>0</v>
      </c>
      <c r="R685" s="119">
        <f t="shared" si="57"/>
        <v>0</v>
      </c>
      <c r="S685" s="120" t="s">
        <v>106</v>
      </c>
      <c r="U685" s="67"/>
      <c r="V685" s="121"/>
      <c r="W685" s="122"/>
      <c r="X685" s="63"/>
      <c r="Y685" s="63"/>
      <c r="Z685" s="63"/>
      <c r="AA685" s="63"/>
    </row>
    <row r="686" s="59" customFormat="1" ht="16.5" outlineLevel="7" spans="1:27">
      <c r="A686" s="79"/>
      <c r="B686" s="123" t="s">
        <v>195</v>
      </c>
      <c r="C686" s="124">
        <v>100145</v>
      </c>
      <c r="D686" s="125" t="s">
        <v>715</v>
      </c>
      <c r="E686" s="126">
        <v>44740</v>
      </c>
      <c r="F686" s="111">
        <v>36</v>
      </c>
      <c r="G686" s="127">
        <v>0.05</v>
      </c>
      <c r="H686" s="128">
        <v>1272.09</v>
      </c>
      <c r="I686" s="113">
        <v>1208.49</v>
      </c>
      <c r="J686" s="113">
        <v>0</v>
      </c>
      <c r="K686" s="114">
        <f t="shared" si="53"/>
        <v>63.5999999999999</v>
      </c>
      <c r="L686" s="128">
        <v>0</v>
      </c>
      <c r="M686" s="115"/>
      <c r="N686" s="116"/>
      <c r="O686" s="117">
        <f t="shared" si="54"/>
        <v>45838</v>
      </c>
      <c r="P686" s="118">
        <f t="shared" si="55"/>
        <v>0</v>
      </c>
      <c r="Q686" s="119">
        <f t="shared" si="56"/>
        <v>0</v>
      </c>
      <c r="R686" s="119">
        <f t="shared" si="57"/>
        <v>0</v>
      </c>
      <c r="S686" s="120" t="s">
        <v>106</v>
      </c>
      <c r="U686" s="67"/>
      <c r="V686" s="121"/>
      <c r="W686" s="122"/>
      <c r="X686" s="63"/>
      <c r="Y686" s="63"/>
      <c r="Z686" s="63"/>
      <c r="AA686" s="63"/>
    </row>
    <row r="687" s="59" customFormat="1" ht="16.5" outlineLevel="7" spans="1:27">
      <c r="A687" s="79"/>
      <c r="B687" s="123" t="s">
        <v>195</v>
      </c>
      <c r="C687" s="124">
        <v>100146</v>
      </c>
      <c r="D687" s="125" t="s">
        <v>715</v>
      </c>
      <c r="E687" s="126">
        <v>44740</v>
      </c>
      <c r="F687" s="111">
        <v>36</v>
      </c>
      <c r="G687" s="127">
        <v>0.05</v>
      </c>
      <c r="H687" s="128">
        <v>1272.09</v>
      </c>
      <c r="I687" s="113">
        <v>1208.49</v>
      </c>
      <c r="J687" s="113">
        <v>0</v>
      </c>
      <c r="K687" s="114">
        <f t="shared" si="53"/>
        <v>63.5999999999999</v>
      </c>
      <c r="L687" s="128">
        <v>0</v>
      </c>
      <c r="M687" s="115"/>
      <c r="N687" s="116"/>
      <c r="O687" s="117">
        <f t="shared" si="54"/>
        <v>45838</v>
      </c>
      <c r="P687" s="118">
        <f t="shared" si="55"/>
        <v>0</v>
      </c>
      <c r="Q687" s="119">
        <f t="shared" si="56"/>
        <v>0</v>
      </c>
      <c r="R687" s="119">
        <f t="shared" si="57"/>
        <v>0</v>
      </c>
      <c r="S687" s="120" t="s">
        <v>106</v>
      </c>
      <c r="U687" s="67"/>
      <c r="V687" s="121"/>
      <c r="W687" s="122"/>
      <c r="X687" s="63"/>
      <c r="Y687" s="63"/>
      <c r="Z687" s="63"/>
      <c r="AA687" s="63"/>
    </row>
    <row r="688" s="59" customFormat="1" ht="16.5" outlineLevel="7" spans="1:27">
      <c r="A688" s="79"/>
      <c r="B688" s="123" t="s">
        <v>195</v>
      </c>
      <c r="C688" s="124">
        <v>100147</v>
      </c>
      <c r="D688" s="125" t="s">
        <v>715</v>
      </c>
      <c r="E688" s="126">
        <v>44740</v>
      </c>
      <c r="F688" s="111">
        <v>36</v>
      </c>
      <c r="G688" s="127">
        <v>0.05</v>
      </c>
      <c r="H688" s="128">
        <v>1272.09</v>
      </c>
      <c r="I688" s="113">
        <v>1208.49</v>
      </c>
      <c r="J688" s="113">
        <v>0</v>
      </c>
      <c r="K688" s="114">
        <f t="shared" si="53"/>
        <v>63.5999999999999</v>
      </c>
      <c r="L688" s="128">
        <v>0</v>
      </c>
      <c r="M688" s="115"/>
      <c r="N688" s="116"/>
      <c r="O688" s="117">
        <f t="shared" si="54"/>
        <v>45838</v>
      </c>
      <c r="P688" s="118">
        <f t="shared" si="55"/>
        <v>0</v>
      </c>
      <c r="Q688" s="119">
        <f t="shared" si="56"/>
        <v>0</v>
      </c>
      <c r="R688" s="119">
        <f t="shared" si="57"/>
        <v>0</v>
      </c>
      <c r="S688" s="120" t="s">
        <v>106</v>
      </c>
      <c r="U688" s="67"/>
      <c r="V688" s="121"/>
      <c r="W688" s="122"/>
      <c r="X688" s="63"/>
      <c r="Y688" s="63"/>
      <c r="Z688" s="63"/>
      <c r="AA688" s="63"/>
    </row>
    <row r="689" s="59" customFormat="1" ht="16.5" outlineLevel="7" spans="1:27">
      <c r="A689" s="79"/>
      <c r="B689" s="107" t="s">
        <v>195</v>
      </c>
      <c r="C689" s="108">
        <v>100148</v>
      </c>
      <c r="D689" s="109" t="s">
        <v>545</v>
      </c>
      <c r="E689" s="110">
        <v>44740</v>
      </c>
      <c r="F689" s="111">
        <v>36</v>
      </c>
      <c r="G689" s="112">
        <v>0.05</v>
      </c>
      <c r="H689" s="113">
        <v>4424</v>
      </c>
      <c r="I689" s="113">
        <v>4202.8</v>
      </c>
      <c r="J689" s="113">
        <v>0</v>
      </c>
      <c r="K689" s="114">
        <f t="shared" si="53"/>
        <v>221.2</v>
      </c>
      <c r="L689" s="113">
        <v>0</v>
      </c>
      <c r="M689" s="115"/>
      <c r="N689" s="116"/>
      <c r="O689" s="117">
        <f t="shared" si="54"/>
        <v>45838</v>
      </c>
      <c r="P689" s="118">
        <f t="shared" si="55"/>
        <v>0</v>
      </c>
      <c r="Q689" s="119">
        <f t="shared" si="56"/>
        <v>0</v>
      </c>
      <c r="R689" s="119">
        <f t="shared" si="57"/>
        <v>0</v>
      </c>
      <c r="S689" s="120" t="s">
        <v>106</v>
      </c>
      <c r="U689" s="67"/>
      <c r="V689" s="121"/>
      <c r="W689" s="122"/>
      <c r="X689" s="63"/>
      <c r="Y689" s="63"/>
      <c r="Z689" s="63"/>
      <c r="AA689" s="63"/>
    </row>
    <row r="690" s="59" customFormat="1" ht="16.5" outlineLevel="7" spans="1:27">
      <c r="A690" s="79"/>
      <c r="B690" s="107" t="s">
        <v>195</v>
      </c>
      <c r="C690" s="108">
        <v>100149</v>
      </c>
      <c r="D690" s="109" t="s">
        <v>545</v>
      </c>
      <c r="E690" s="110">
        <v>44740</v>
      </c>
      <c r="F690" s="111">
        <v>36</v>
      </c>
      <c r="G690" s="112">
        <v>0.05</v>
      </c>
      <c r="H690" s="113">
        <v>4423.79</v>
      </c>
      <c r="I690" s="113">
        <v>4202.6</v>
      </c>
      <c r="J690" s="113">
        <v>0</v>
      </c>
      <c r="K690" s="114">
        <f t="shared" si="53"/>
        <v>221.19</v>
      </c>
      <c r="L690" s="113">
        <v>0</v>
      </c>
      <c r="M690" s="115"/>
      <c r="N690" s="116"/>
      <c r="O690" s="117">
        <f t="shared" si="54"/>
        <v>45838</v>
      </c>
      <c r="P690" s="118">
        <f t="shared" si="55"/>
        <v>0</v>
      </c>
      <c r="Q690" s="119">
        <f t="shared" si="56"/>
        <v>0</v>
      </c>
      <c r="R690" s="119">
        <f t="shared" si="57"/>
        <v>0</v>
      </c>
      <c r="S690" s="120" t="s">
        <v>106</v>
      </c>
      <c r="U690" s="67"/>
      <c r="V690" s="121"/>
      <c r="W690" s="122"/>
      <c r="X690" s="63"/>
      <c r="Y690" s="63"/>
      <c r="Z690" s="63"/>
      <c r="AA690" s="63"/>
    </row>
    <row r="691" s="59" customFormat="1" ht="16.5" outlineLevel="7" spans="1:27">
      <c r="A691" s="79"/>
      <c r="B691" s="123" t="s">
        <v>195</v>
      </c>
      <c r="C691" s="124">
        <v>100150</v>
      </c>
      <c r="D691" s="125" t="s">
        <v>545</v>
      </c>
      <c r="E691" s="126">
        <v>44740</v>
      </c>
      <c r="F691" s="111">
        <v>36</v>
      </c>
      <c r="G691" s="127">
        <v>0.05</v>
      </c>
      <c r="H691" s="128">
        <v>5131.86</v>
      </c>
      <c r="I691" s="113">
        <v>4875.27</v>
      </c>
      <c r="J691" s="113">
        <v>0</v>
      </c>
      <c r="K691" s="114">
        <f t="shared" si="53"/>
        <v>256.589999999999</v>
      </c>
      <c r="L691" s="128">
        <v>0</v>
      </c>
      <c r="M691" s="115"/>
      <c r="N691" s="116"/>
      <c r="O691" s="117">
        <f t="shared" si="54"/>
        <v>45838</v>
      </c>
      <c r="P691" s="118">
        <f t="shared" si="55"/>
        <v>0</v>
      </c>
      <c r="Q691" s="119">
        <f t="shared" si="56"/>
        <v>0</v>
      </c>
      <c r="R691" s="119">
        <f t="shared" si="57"/>
        <v>0</v>
      </c>
      <c r="S691" s="120" t="s">
        <v>106</v>
      </c>
      <c r="U691" s="67"/>
      <c r="V691" s="121"/>
      <c r="W691" s="122"/>
      <c r="X691" s="63"/>
      <c r="Y691" s="63"/>
      <c r="Z691" s="63"/>
      <c r="AA691" s="63"/>
    </row>
    <row r="692" s="59" customFormat="1" ht="16.5" outlineLevel="7" spans="1:27">
      <c r="A692" s="79"/>
      <c r="B692" s="123" t="s">
        <v>195</v>
      </c>
      <c r="C692" s="124">
        <v>100151</v>
      </c>
      <c r="D692" s="125" t="s">
        <v>716</v>
      </c>
      <c r="E692" s="126">
        <v>44740</v>
      </c>
      <c r="F692" s="111">
        <v>36</v>
      </c>
      <c r="G692" s="127">
        <v>0.05</v>
      </c>
      <c r="H692" s="128">
        <v>2388.49</v>
      </c>
      <c r="I692" s="113">
        <v>2269.07</v>
      </c>
      <c r="J692" s="113">
        <v>0</v>
      </c>
      <c r="K692" s="114">
        <f t="shared" si="53"/>
        <v>119.42</v>
      </c>
      <c r="L692" s="128">
        <v>0</v>
      </c>
      <c r="M692" s="115"/>
      <c r="N692" s="116"/>
      <c r="O692" s="117">
        <f t="shared" si="54"/>
        <v>45838</v>
      </c>
      <c r="P692" s="118">
        <f t="shared" si="55"/>
        <v>0</v>
      </c>
      <c r="Q692" s="119">
        <f t="shared" si="56"/>
        <v>0</v>
      </c>
      <c r="R692" s="119">
        <f t="shared" si="57"/>
        <v>0</v>
      </c>
      <c r="S692" s="120" t="s">
        <v>106</v>
      </c>
      <c r="U692" s="67"/>
      <c r="V692" s="121"/>
      <c r="W692" s="122"/>
      <c r="X692" s="63"/>
      <c r="Y692" s="63"/>
      <c r="Z692" s="63"/>
      <c r="AA692" s="63"/>
    </row>
    <row r="693" s="59" customFormat="1" ht="16.5" outlineLevel="7" spans="1:27">
      <c r="A693" s="79"/>
      <c r="B693" s="123" t="s">
        <v>195</v>
      </c>
      <c r="C693" s="124">
        <v>100152</v>
      </c>
      <c r="D693" s="125" t="s">
        <v>716</v>
      </c>
      <c r="E693" s="126">
        <v>44740</v>
      </c>
      <c r="F693" s="111">
        <v>36</v>
      </c>
      <c r="G693" s="127">
        <v>0.05</v>
      </c>
      <c r="H693" s="128">
        <v>2388.5</v>
      </c>
      <c r="I693" s="113">
        <v>2269.07</v>
      </c>
      <c r="J693" s="113">
        <v>0</v>
      </c>
      <c r="K693" s="114">
        <f t="shared" si="53"/>
        <v>119.43</v>
      </c>
      <c r="L693" s="128">
        <v>0</v>
      </c>
      <c r="M693" s="115"/>
      <c r="N693" s="116"/>
      <c r="O693" s="117">
        <f t="shared" si="54"/>
        <v>45838</v>
      </c>
      <c r="P693" s="118">
        <f t="shared" si="55"/>
        <v>0</v>
      </c>
      <c r="Q693" s="119">
        <f t="shared" si="56"/>
        <v>0</v>
      </c>
      <c r="R693" s="119">
        <f t="shared" si="57"/>
        <v>0</v>
      </c>
      <c r="S693" s="120" t="s">
        <v>106</v>
      </c>
      <c r="U693" s="67"/>
      <c r="V693" s="121"/>
      <c r="W693" s="122"/>
      <c r="X693" s="63"/>
      <c r="Y693" s="63"/>
      <c r="Z693" s="63"/>
      <c r="AA693" s="63"/>
    </row>
    <row r="694" s="59" customFormat="1" ht="16.5" outlineLevel="7" spans="1:27">
      <c r="A694" s="79"/>
      <c r="B694" s="123" t="s">
        <v>195</v>
      </c>
      <c r="C694" s="124">
        <v>100153</v>
      </c>
      <c r="D694" s="125" t="s">
        <v>716</v>
      </c>
      <c r="E694" s="126">
        <v>44740</v>
      </c>
      <c r="F694" s="111">
        <v>36</v>
      </c>
      <c r="G694" s="127">
        <v>0.05</v>
      </c>
      <c r="H694" s="128">
        <v>2388.5</v>
      </c>
      <c r="I694" s="113">
        <v>2269.07</v>
      </c>
      <c r="J694" s="113">
        <v>0</v>
      </c>
      <c r="K694" s="114">
        <f t="shared" si="53"/>
        <v>119.43</v>
      </c>
      <c r="L694" s="128">
        <v>0</v>
      </c>
      <c r="M694" s="115"/>
      <c r="N694" s="116"/>
      <c r="O694" s="117">
        <f t="shared" si="54"/>
        <v>45838</v>
      </c>
      <c r="P694" s="118">
        <f t="shared" si="55"/>
        <v>0</v>
      </c>
      <c r="Q694" s="119">
        <f t="shared" si="56"/>
        <v>0</v>
      </c>
      <c r="R694" s="119">
        <f t="shared" si="57"/>
        <v>0</v>
      </c>
      <c r="S694" s="120" t="s">
        <v>106</v>
      </c>
      <c r="U694" s="67"/>
      <c r="V694" s="121"/>
      <c r="W694" s="122"/>
      <c r="X694" s="63"/>
      <c r="Y694" s="63"/>
      <c r="Z694" s="63"/>
      <c r="AA694" s="63"/>
    </row>
    <row r="695" s="59" customFormat="1" ht="16.5" outlineLevel="7" spans="1:27">
      <c r="A695" s="79"/>
      <c r="B695" s="123" t="s">
        <v>195</v>
      </c>
      <c r="C695" s="124">
        <v>100154</v>
      </c>
      <c r="D695" s="125" t="s">
        <v>716</v>
      </c>
      <c r="E695" s="126">
        <v>44740</v>
      </c>
      <c r="F695" s="111">
        <v>36</v>
      </c>
      <c r="G695" s="127">
        <v>0.05</v>
      </c>
      <c r="H695" s="128">
        <v>2123.04</v>
      </c>
      <c r="I695" s="113">
        <v>2016.89</v>
      </c>
      <c r="J695" s="113">
        <v>0</v>
      </c>
      <c r="K695" s="114">
        <f t="shared" si="53"/>
        <v>106.15</v>
      </c>
      <c r="L695" s="128">
        <v>0</v>
      </c>
      <c r="M695" s="115"/>
      <c r="N695" s="116"/>
      <c r="O695" s="117">
        <f t="shared" si="54"/>
        <v>45838</v>
      </c>
      <c r="P695" s="118">
        <f t="shared" si="55"/>
        <v>0</v>
      </c>
      <c r="Q695" s="119">
        <f t="shared" si="56"/>
        <v>0</v>
      </c>
      <c r="R695" s="119">
        <f t="shared" si="57"/>
        <v>0</v>
      </c>
      <c r="S695" s="120" t="s">
        <v>106</v>
      </c>
      <c r="U695" s="67"/>
      <c r="V695" s="121"/>
      <c r="W695" s="122"/>
      <c r="X695" s="63"/>
      <c r="Y695" s="63"/>
      <c r="Z695" s="63"/>
      <c r="AA695" s="63"/>
    </row>
    <row r="696" s="59" customFormat="1" ht="16.5" outlineLevel="7" spans="1:27">
      <c r="A696" s="79"/>
      <c r="B696" s="107" t="s">
        <v>195</v>
      </c>
      <c r="C696" s="108">
        <v>100155</v>
      </c>
      <c r="D696" s="109" t="s">
        <v>716</v>
      </c>
      <c r="E696" s="110">
        <v>44740</v>
      </c>
      <c r="F696" s="111">
        <v>36</v>
      </c>
      <c r="G696" s="112">
        <v>0.05</v>
      </c>
      <c r="H696" s="113">
        <v>2123</v>
      </c>
      <c r="I696" s="113">
        <v>2016.85</v>
      </c>
      <c r="J696" s="113">
        <v>0</v>
      </c>
      <c r="K696" s="114">
        <f t="shared" si="53"/>
        <v>106.15</v>
      </c>
      <c r="L696" s="113">
        <v>0</v>
      </c>
      <c r="M696" s="115"/>
      <c r="N696" s="116"/>
      <c r="O696" s="117">
        <f t="shared" si="54"/>
        <v>45838</v>
      </c>
      <c r="P696" s="118">
        <f t="shared" si="55"/>
        <v>0</v>
      </c>
      <c r="Q696" s="119">
        <f t="shared" si="56"/>
        <v>0</v>
      </c>
      <c r="R696" s="119">
        <f t="shared" si="57"/>
        <v>0</v>
      </c>
      <c r="S696" s="120" t="s">
        <v>106</v>
      </c>
      <c r="U696" s="67"/>
      <c r="V696" s="121"/>
      <c r="W696" s="122"/>
      <c r="X696" s="63"/>
      <c r="Y696" s="63"/>
      <c r="Z696" s="63"/>
      <c r="AA696" s="63"/>
    </row>
    <row r="697" s="59" customFormat="1" ht="16.5" outlineLevel="7" spans="1:27">
      <c r="A697" s="79"/>
      <c r="B697" s="107" t="s">
        <v>195</v>
      </c>
      <c r="C697" s="108">
        <v>100156</v>
      </c>
      <c r="D697" s="109" t="s">
        <v>716</v>
      </c>
      <c r="E697" s="110">
        <v>44740</v>
      </c>
      <c r="F697" s="111">
        <v>36</v>
      </c>
      <c r="G697" s="112">
        <v>0.05</v>
      </c>
      <c r="H697" s="113">
        <v>2123</v>
      </c>
      <c r="I697" s="113">
        <v>2016.85</v>
      </c>
      <c r="J697" s="113">
        <v>0</v>
      </c>
      <c r="K697" s="114">
        <f t="shared" si="53"/>
        <v>106.15</v>
      </c>
      <c r="L697" s="113">
        <v>0</v>
      </c>
      <c r="M697" s="115"/>
      <c r="N697" s="116"/>
      <c r="O697" s="117">
        <f t="shared" si="54"/>
        <v>45838</v>
      </c>
      <c r="P697" s="118">
        <f t="shared" si="55"/>
        <v>0</v>
      </c>
      <c r="Q697" s="119">
        <f t="shared" si="56"/>
        <v>0</v>
      </c>
      <c r="R697" s="119">
        <f t="shared" si="57"/>
        <v>0</v>
      </c>
      <c r="S697" s="120" t="s">
        <v>106</v>
      </c>
      <c r="U697" s="67"/>
      <c r="V697" s="121"/>
      <c r="W697" s="122"/>
      <c r="X697" s="63"/>
      <c r="Y697" s="63"/>
      <c r="Z697" s="63"/>
      <c r="AA697" s="63"/>
    </row>
    <row r="698" s="59" customFormat="1" ht="16.5" outlineLevel="7" spans="1:27">
      <c r="A698" s="79"/>
      <c r="B698" s="123" t="s">
        <v>195</v>
      </c>
      <c r="C698" s="124">
        <v>100157</v>
      </c>
      <c r="D698" s="125" t="s">
        <v>716</v>
      </c>
      <c r="E698" s="126">
        <v>44740</v>
      </c>
      <c r="F698" s="111">
        <v>36</v>
      </c>
      <c r="G698" s="127">
        <v>0.05</v>
      </c>
      <c r="H698" s="128">
        <v>2123</v>
      </c>
      <c r="I698" s="113">
        <v>2016.85</v>
      </c>
      <c r="J698" s="113">
        <v>0</v>
      </c>
      <c r="K698" s="114">
        <f t="shared" si="53"/>
        <v>106.15</v>
      </c>
      <c r="L698" s="128">
        <v>0</v>
      </c>
      <c r="M698" s="115"/>
      <c r="N698" s="116"/>
      <c r="O698" s="117">
        <f t="shared" si="54"/>
        <v>45838</v>
      </c>
      <c r="P698" s="118">
        <f t="shared" si="55"/>
        <v>0</v>
      </c>
      <c r="Q698" s="119">
        <f t="shared" si="56"/>
        <v>0</v>
      </c>
      <c r="R698" s="119">
        <f t="shared" si="57"/>
        <v>0</v>
      </c>
      <c r="S698" s="120" t="s">
        <v>106</v>
      </c>
      <c r="U698" s="67"/>
      <c r="V698" s="121"/>
      <c r="W698" s="122"/>
      <c r="X698" s="63"/>
      <c r="Y698" s="63"/>
      <c r="Z698" s="63"/>
      <c r="AA698" s="63"/>
    </row>
    <row r="699" s="59" customFormat="1" ht="16.5" outlineLevel="7" spans="1:27">
      <c r="A699" s="79"/>
      <c r="B699" s="123" t="s">
        <v>195</v>
      </c>
      <c r="C699" s="124">
        <v>100158</v>
      </c>
      <c r="D699" s="125" t="s">
        <v>716</v>
      </c>
      <c r="E699" s="126">
        <v>44740</v>
      </c>
      <c r="F699" s="111">
        <v>36</v>
      </c>
      <c r="G699" s="127">
        <v>0.05</v>
      </c>
      <c r="H699" s="128">
        <v>2123</v>
      </c>
      <c r="I699" s="113">
        <v>2016.85</v>
      </c>
      <c r="J699" s="113">
        <v>0</v>
      </c>
      <c r="K699" s="114">
        <f t="shared" si="53"/>
        <v>106.15</v>
      </c>
      <c r="L699" s="128">
        <v>0</v>
      </c>
      <c r="M699" s="115"/>
      <c r="N699" s="116"/>
      <c r="O699" s="117">
        <f t="shared" si="54"/>
        <v>45838</v>
      </c>
      <c r="P699" s="118">
        <f t="shared" si="55"/>
        <v>0</v>
      </c>
      <c r="Q699" s="119">
        <f t="shared" si="56"/>
        <v>0</v>
      </c>
      <c r="R699" s="119">
        <f t="shared" si="57"/>
        <v>0</v>
      </c>
      <c r="S699" s="120" t="s">
        <v>106</v>
      </c>
      <c r="U699" s="67"/>
      <c r="V699" s="121"/>
      <c r="W699" s="122"/>
      <c r="X699" s="63"/>
      <c r="Y699" s="63"/>
      <c r="Z699" s="63"/>
      <c r="AA699" s="63"/>
    </row>
    <row r="700" s="59" customFormat="1" ht="16.5" outlineLevel="7" spans="1:27">
      <c r="A700" s="79"/>
      <c r="B700" s="123" t="s">
        <v>195</v>
      </c>
      <c r="C700" s="124">
        <v>100162</v>
      </c>
      <c r="D700" s="125" t="s">
        <v>578</v>
      </c>
      <c r="E700" s="126">
        <v>44279</v>
      </c>
      <c r="F700" s="111">
        <v>36</v>
      </c>
      <c r="G700" s="127">
        <v>0.05</v>
      </c>
      <c r="H700" s="128">
        <v>983.84</v>
      </c>
      <c r="I700" s="113">
        <v>934.65</v>
      </c>
      <c r="J700" s="113">
        <v>0</v>
      </c>
      <c r="K700" s="114">
        <f t="shared" si="53"/>
        <v>49.1900000000001</v>
      </c>
      <c r="L700" s="128">
        <v>0</v>
      </c>
      <c r="M700" s="115"/>
      <c r="N700" s="116"/>
      <c r="O700" s="117">
        <f t="shared" si="54"/>
        <v>45382</v>
      </c>
      <c r="P700" s="118">
        <f t="shared" si="55"/>
        <v>0</v>
      </c>
      <c r="Q700" s="119">
        <f t="shared" si="56"/>
        <v>0</v>
      </c>
      <c r="R700" s="119">
        <f t="shared" si="57"/>
        <v>0</v>
      </c>
      <c r="S700" s="120" t="s">
        <v>106</v>
      </c>
      <c r="U700" s="67"/>
      <c r="V700" s="121"/>
      <c r="W700" s="122"/>
      <c r="X700" s="63"/>
      <c r="Y700" s="63"/>
      <c r="Z700" s="63"/>
      <c r="AA700" s="63"/>
    </row>
    <row r="701" s="59" customFormat="1" ht="16.5" outlineLevel="7" spans="1:27">
      <c r="A701" s="79"/>
      <c r="B701" s="123" t="s">
        <v>195</v>
      </c>
      <c r="C701" s="124">
        <v>100164</v>
      </c>
      <c r="D701" s="125" t="s">
        <v>578</v>
      </c>
      <c r="E701" s="126">
        <v>44279</v>
      </c>
      <c r="F701" s="111">
        <v>36</v>
      </c>
      <c r="G701" s="127">
        <v>0.05</v>
      </c>
      <c r="H701" s="128">
        <v>870.28</v>
      </c>
      <c r="I701" s="113">
        <v>826.77</v>
      </c>
      <c r="J701" s="113">
        <v>0</v>
      </c>
      <c r="K701" s="114">
        <f t="shared" si="53"/>
        <v>43.51</v>
      </c>
      <c r="L701" s="128">
        <v>0</v>
      </c>
      <c r="M701" s="115"/>
      <c r="N701" s="116"/>
      <c r="O701" s="117">
        <f t="shared" si="54"/>
        <v>45382</v>
      </c>
      <c r="P701" s="118">
        <f t="shared" si="55"/>
        <v>0</v>
      </c>
      <c r="Q701" s="119">
        <f t="shared" si="56"/>
        <v>0</v>
      </c>
      <c r="R701" s="119">
        <f t="shared" si="57"/>
        <v>0</v>
      </c>
      <c r="S701" s="120" t="s">
        <v>106</v>
      </c>
      <c r="U701" s="67"/>
      <c r="V701" s="121"/>
      <c r="W701" s="122"/>
      <c r="X701" s="63"/>
      <c r="Y701" s="63"/>
      <c r="Z701" s="63"/>
      <c r="AA701" s="63"/>
    </row>
    <row r="702" s="59" customFormat="1" ht="16.5" outlineLevel="7" spans="1:27">
      <c r="A702" s="79"/>
      <c r="B702" s="123" t="s">
        <v>195</v>
      </c>
      <c r="C702" s="124">
        <v>100165</v>
      </c>
      <c r="D702" s="125" t="s">
        <v>578</v>
      </c>
      <c r="E702" s="126">
        <v>44279</v>
      </c>
      <c r="F702" s="111">
        <v>36</v>
      </c>
      <c r="G702" s="127">
        <v>0.05</v>
      </c>
      <c r="H702" s="128">
        <v>870.28</v>
      </c>
      <c r="I702" s="113">
        <v>826.77</v>
      </c>
      <c r="J702" s="113">
        <v>0</v>
      </c>
      <c r="K702" s="114">
        <f t="shared" si="53"/>
        <v>43.51</v>
      </c>
      <c r="L702" s="128">
        <v>0</v>
      </c>
      <c r="M702" s="115"/>
      <c r="N702" s="116"/>
      <c r="O702" s="117">
        <f t="shared" si="54"/>
        <v>45382</v>
      </c>
      <c r="P702" s="118">
        <f t="shared" si="55"/>
        <v>0</v>
      </c>
      <c r="Q702" s="119">
        <f t="shared" si="56"/>
        <v>0</v>
      </c>
      <c r="R702" s="119">
        <f t="shared" si="57"/>
        <v>0</v>
      </c>
      <c r="S702" s="120" t="s">
        <v>106</v>
      </c>
      <c r="U702" s="67"/>
      <c r="V702" s="121"/>
      <c r="W702" s="122"/>
      <c r="X702" s="63"/>
      <c r="Y702" s="63"/>
      <c r="Z702" s="63"/>
      <c r="AA702" s="63"/>
    </row>
    <row r="703" s="59" customFormat="1" ht="16.5" outlineLevel="7" spans="1:27">
      <c r="A703" s="79"/>
      <c r="B703" s="107" t="s">
        <v>195</v>
      </c>
      <c r="C703" s="108">
        <v>100167</v>
      </c>
      <c r="D703" s="109" t="s">
        <v>578</v>
      </c>
      <c r="E703" s="110">
        <v>44279</v>
      </c>
      <c r="F703" s="111">
        <v>36</v>
      </c>
      <c r="G703" s="112">
        <v>0.05</v>
      </c>
      <c r="H703" s="113">
        <v>870.28</v>
      </c>
      <c r="I703" s="113">
        <v>826.77</v>
      </c>
      <c r="J703" s="113">
        <v>0</v>
      </c>
      <c r="K703" s="114">
        <f t="shared" si="53"/>
        <v>43.51</v>
      </c>
      <c r="L703" s="113">
        <v>0</v>
      </c>
      <c r="M703" s="115"/>
      <c r="N703" s="116"/>
      <c r="O703" s="117">
        <f t="shared" si="54"/>
        <v>45382</v>
      </c>
      <c r="P703" s="118">
        <f t="shared" si="55"/>
        <v>0</v>
      </c>
      <c r="Q703" s="119">
        <f t="shared" si="56"/>
        <v>0</v>
      </c>
      <c r="R703" s="119">
        <f t="shared" si="57"/>
        <v>0</v>
      </c>
      <c r="S703" s="120" t="s">
        <v>106</v>
      </c>
      <c r="U703" s="67"/>
      <c r="V703" s="121"/>
      <c r="W703" s="122"/>
      <c r="X703" s="63"/>
      <c r="Y703" s="63"/>
      <c r="Z703" s="63"/>
      <c r="AA703" s="63"/>
    </row>
    <row r="704" s="59" customFormat="1" ht="16.5" outlineLevel="7" spans="1:27">
      <c r="A704" s="79"/>
      <c r="B704" s="107" t="s">
        <v>195</v>
      </c>
      <c r="C704" s="108">
        <v>100170</v>
      </c>
      <c r="D704" s="109" t="s">
        <v>578</v>
      </c>
      <c r="E704" s="110">
        <v>44279</v>
      </c>
      <c r="F704" s="111">
        <v>36</v>
      </c>
      <c r="G704" s="112">
        <v>0.05</v>
      </c>
      <c r="H704" s="113">
        <v>983.84</v>
      </c>
      <c r="I704" s="113">
        <v>934.65</v>
      </c>
      <c r="J704" s="113">
        <v>0</v>
      </c>
      <c r="K704" s="114">
        <f t="shared" si="53"/>
        <v>49.1900000000001</v>
      </c>
      <c r="L704" s="113">
        <v>0</v>
      </c>
      <c r="M704" s="115"/>
      <c r="N704" s="116"/>
      <c r="O704" s="117">
        <f t="shared" si="54"/>
        <v>45382</v>
      </c>
      <c r="P704" s="118">
        <f t="shared" si="55"/>
        <v>0</v>
      </c>
      <c r="Q704" s="119">
        <f t="shared" si="56"/>
        <v>0</v>
      </c>
      <c r="R704" s="119">
        <f t="shared" si="57"/>
        <v>0</v>
      </c>
      <c r="S704" s="120" t="s">
        <v>106</v>
      </c>
      <c r="U704" s="67"/>
      <c r="V704" s="121"/>
      <c r="W704" s="122"/>
      <c r="X704" s="63"/>
      <c r="Y704" s="63"/>
      <c r="Z704" s="63"/>
      <c r="AA704" s="63"/>
    </row>
    <row r="705" s="59" customFormat="1" ht="16.5" outlineLevel="7" spans="1:27">
      <c r="A705" s="79"/>
      <c r="B705" s="123" t="s">
        <v>195</v>
      </c>
      <c r="C705" s="124">
        <v>100172</v>
      </c>
      <c r="D705" s="125" t="s">
        <v>578</v>
      </c>
      <c r="E705" s="126">
        <v>44279</v>
      </c>
      <c r="F705" s="111">
        <v>36</v>
      </c>
      <c r="G705" s="127">
        <v>0.05</v>
      </c>
      <c r="H705" s="128">
        <v>870.28</v>
      </c>
      <c r="I705" s="113">
        <v>826.77</v>
      </c>
      <c r="J705" s="113">
        <v>0</v>
      </c>
      <c r="K705" s="114">
        <f t="shared" si="53"/>
        <v>43.51</v>
      </c>
      <c r="L705" s="128">
        <v>0</v>
      </c>
      <c r="M705" s="115"/>
      <c r="N705" s="116"/>
      <c r="O705" s="117">
        <f t="shared" si="54"/>
        <v>45382</v>
      </c>
      <c r="P705" s="118">
        <f t="shared" si="55"/>
        <v>0</v>
      </c>
      <c r="Q705" s="119">
        <f t="shared" si="56"/>
        <v>0</v>
      </c>
      <c r="R705" s="119">
        <f t="shared" si="57"/>
        <v>0</v>
      </c>
      <c r="S705" s="120" t="s">
        <v>106</v>
      </c>
      <c r="U705" s="67"/>
      <c r="V705" s="121"/>
      <c r="W705" s="122"/>
      <c r="X705" s="63"/>
      <c r="Y705" s="63"/>
      <c r="Z705" s="63"/>
      <c r="AA705" s="63"/>
    </row>
    <row r="706" s="59" customFormat="1" ht="16.5" outlineLevel="7" spans="1:27">
      <c r="A706" s="79"/>
      <c r="B706" s="123" t="s">
        <v>195</v>
      </c>
      <c r="C706" s="124">
        <v>100173</v>
      </c>
      <c r="D706" s="125" t="s">
        <v>578</v>
      </c>
      <c r="E706" s="126">
        <v>44279</v>
      </c>
      <c r="F706" s="111">
        <v>36</v>
      </c>
      <c r="G706" s="127">
        <v>0.05</v>
      </c>
      <c r="H706" s="128">
        <v>870.28</v>
      </c>
      <c r="I706" s="113">
        <v>826.77</v>
      </c>
      <c r="J706" s="113">
        <v>0</v>
      </c>
      <c r="K706" s="114">
        <f t="shared" si="53"/>
        <v>43.51</v>
      </c>
      <c r="L706" s="128">
        <v>0</v>
      </c>
      <c r="M706" s="115"/>
      <c r="N706" s="116"/>
      <c r="O706" s="117">
        <f t="shared" si="54"/>
        <v>45382</v>
      </c>
      <c r="P706" s="118">
        <f t="shared" si="55"/>
        <v>0</v>
      </c>
      <c r="Q706" s="119">
        <f t="shared" si="56"/>
        <v>0</v>
      </c>
      <c r="R706" s="119">
        <f t="shared" si="57"/>
        <v>0</v>
      </c>
      <c r="S706" s="120" t="s">
        <v>106</v>
      </c>
      <c r="U706" s="67"/>
      <c r="V706" s="121"/>
      <c r="W706" s="122"/>
      <c r="X706" s="63"/>
      <c r="Y706" s="63"/>
      <c r="Z706" s="63"/>
      <c r="AA706" s="63"/>
    </row>
    <row r="707" s="59" customFormat="1" ht="16.5" outlineLevel="7" spans="1:27">
      <c r="A707" s="79"/>
      <c r="B707" s="123" t="s">
        <v>195</v>
      </c>
      <c r="C707" s="124">
        <v>100177</v>
      </c>
      <c r="D707" s="125" t="s">
        <v>578</v>
      </c>
      <c r="E707" s="126">
        <v>44279</v>
      </c>
      <c r="F707" s="111">
        <v>36</v>
      </c>
      <c r="G707" s="127">
        <v>0.05</v>
      </c>
      <c r="H707" s="128">
        <v>870.28</v>
      </c>
      <c r="I707" s="113">
        <v>826.77</v>
      </c>
      <c r="J707" s="113">
        <v>0</v>
      </c>
      <c r="K707" s="114">
        <f t="shared" si="53"/>
        <v>43.51</v>
      </c>
      <c r="L707" s="128">
        <v>0</v>
      </c>
      <c r="M707" s="115"/>
      <c r="N707" s="116"/>
      <c r="O707" s="117">
        <f t="shared" si="54"/>
        <v>45382</v>
      </c>
      <c r="P707" s="118">
        <f t="shared" si="55"/>
        <v>0</v>
      </c>
      <c r="Q707" s="119">
        <f t="shared" si="56"/>
        <v>0</v>
      </c>
      <c r="R707" s="119">
        <f t="shared" si="57"/>
        <v>0</v>
      </c>
      <c r="S707" s="120" t="s">
        <v>106</v>
      </c>
      <c r="U707" s="67"/>
      <c r="V707" s="121"/>
      <c r="W707" s="122"/>
      <c r="X707" s="63"/>
      <c r="Y707" s="63"/>
      <c r="Z707" s="63"/>
      <c r="AA707" s="63"/>
    </row>
    <row r="708" s="59" customFormat="1" ht="16.5" outlineLevel="7" spans="1:27">
      <c r="A708" s="79"/>
      <c r="B708" s="123" t="s">
        <v>195</v>
      </c>
      <c r="C708" s="124">
        <v>100178</v>
      </c>
      <c r="D708" s="125" t="s">
        <v>559</v>
      </c>
      <c r="E708" s="126">
        <v>44279</v>
      </c>
      <c r="F708" s="111">
        <v>36</v>
      </c>
      <c r="G708" s="127">
        <v>0.05</v>
      </c>
      <c r="H708" s="128">
        <v>531.1</v>
      </c>
      <c r="I708" s="113">
        <v>504.54</v>
      </c>
      <c r="J708" s="113">
        <v>0</v>
      </c>
      <c r="K708" s="114">
        <f t="shared" si="53"/>
        <v>26.56</v>
      </c>
      <c r="L708" s="128">
        <v>0</v>
      </c>
      <c r="M708" s="115"/>
      <c r="N708" s="116"/>
      <c r="O708" s="117">
        <f t="shared" si="54"/>
        <v>45382</v>
      </c>
      <c r="P708" s="118">
        <f t="shared" si="55"/>
        <v>0</v>
      </c>
      <c r="Q708" s="119">
        <f t="shared" si="56"/>
        <v>0</v>
      </c>
      <c r="R708" s="119">
        <f t="shared" si="57"/>
        <v>0</v>
      </c>
      <c r="S708" s="120" t="s">
        <v>106</v>
      </c>
      <c r="U708" s="67"/>
      <c r="V708" s="121"/>
      <c r="W708" s="122"/>
      <c r="X708" s="63"/>
      <c r="Y708" s="63"/>
      <c r="Z708" s="63"/>
      <c r="AA708" s="63"/>
    </row>
    <row r="709" s="59" customFormat="1" ht="16.5" outlineLevel="7" spans="1:27">
      <c r="A709" s="79"/>
      <c r="B709" s="123" t="s">
        <v>195</v>
      </c>
      <c r="C709" s="124">
        <v>100179</v>
      </c>
      <c r="D709" s="125" t="s">
        <v>559</v>
      </c>
      <c r="E709" s="126">
        <v>44279</v>
      </c>
      <c r="F709" s="111">
        <v>36</v>
      </c>
      <c r="G709" s="127">
        <v>0.05</v>
      </c>
      <c r="H709" s="128">
        <v>531.1</v>
      </c>
      <c r="I709" s="113">
        <v>504.54</v>
      </c>
      <c r="J709" s="113">
        <v>0</v>
      </c>
      <c r="K709" s="114">
        <f t="shared" si="53"/>
        <v>26.56</v>
      </c>
      <c r="L709" s="128">
        <v>0</v>
      </c>
      <c r="M709" s="115"/>
      <c r="N709" s="116"/>
      <c r="O709" s="117">
        <f t="shared" si="54"/>
        <v>45382</v>
      </c>
      <c r="P709" s="118">
        <f t="shared" si="55"/>
        <v>0</v>
      </c>
      <c r="Q709" s="119">
        <f t="shared" si="56"/>
        <v>0</v>
      </c>
      <c r="R709" s="119">
        <f t="shared" si="57"/>
        <v>0</v>
      </c>
      <c r="S709" s="120" t="s">
        <v>106</v>
      </c>
      <c r="U709" s="67"/>
      <c r="V709" s="121"/>
      <c r="W709" s="122"/>
      <c r="X709" s="63"/>
      <c r="Y709" s="63"/>
      <c r="Z709" s="63"/>
      <c r="AA709" s="63"/>
    </row>
    <row r="710" s="59" customFormat="1" ht="16.5" outlineLevel="7" spans="1:27">
      <c r="A710" s="79"/>
      <c r="B710" s="107" t="s">
        <v>195</v>
      </c>
      <c r="C710" s="108">
        <v>100180</v>
      </c>
      <c r="D710" s="109" t="s">
        <v>559</v>
      </c>
      <c r="E710" s="110">
        <v>44279</v>
      </c>
      <c r="F710" s="111">
        <v>36</v>
      </c>
      <c r="G710" s="112">
        <v>0.05</v>
      </c>
      <c r="H710" s="113">
        <v>531.1</v>
      </c>
      <c r="I710" s="113">
        <v>504.54</v>
      </c>
      <c r="J710" s="113">
        <v>0</v>
      </c>
      <c r="K710" s="114">
        <f t="shared" si="53"/>
        <v>26.56</v>
      </c>
      <c r="L710" s="113">
        <v>0</v>
      </c>
      <c r="M710" s="115"/>
      <c r="N710" s="116"/>
      <c r="O710" s="117">
        <f t="shared" si="54"/>
        <v>45382</v>
      </c>
      <c r="P710" s="118">
        <f t="shared" si="55"/>
        <v>0</v>
      </c>
      <c r="Q710" s="119">
        <f t="shared" si="56"/>
        <v>0</v>
      </c>
      <c r="R710" s="119">
        <f t="shared" si="57"/>
        <v>0</v>
      </c>
      <c r="S710" s="120" t="s">
        <v>106</v>
      </c>
      <c r="U710" s="67"/>
      <c r="V710" s="121"/>
      <c r="W710" s="122"/>
      <c r="X710" s="63"/>
      <c r="Y710" s="63"/>
      <c r="Z710" s="63"/>
      <c r="AA710" s="63"/>
    </row>
    <row r="711" s="59" customFormat="1" ht="16.5" outlineLevel="7" spans="1:27">
      <c r="A711" s="79"/>
      <c r="B711" s="107" t="s">
        <v>195</v>
      </c>
      <c r="C711" s="108">
        <v>100181</v>
      </c>
      <c r="D711" s="109" t="s">
        <v>578</v>
      </c>
      <c r="E711" s="110">
        <v>44279</v>
      </c>
      <c r="F711" s="111">
        <v>36</v>
      </c>
      <c r="G711" s="112">
        <v>0.05</v>
      </c>
      <c r="H711" s="113">
        <v>983.84</v>
      </c>
      <c r="I711" s="113">
        <v>934.65</v>
      </c>
      <c r="J711" s="113">
        <v>0</v>
      </c>
      <c r="K711" s="114">
        <f t="shared" si="53"/>
        <v>49.1900000000001</v>
      </c>
      <c r="L711" s="113">
        <v>0</v>
      </c>
      <c r="M711" s="115"/>
      <c r="N711" s="116"/>
      <c r="O711" s="117">
        <f t="shared" si="54"/>
        <v>45382</v>
      </c>
      <c r="P711" s="118">
        <f t="shared" si="55"/>
        <v>0</v>
      </c>
      <c r="Q711" s="119">
        <f t="shared" si="56"/>
        <v>0</v>
      </c>
      <c r="R711" s="119">
        <f t="shared" si="57"/>
        <v>0</v>
      </c>
      <c r="S711" s="120" t="s">
        <v>106</v>
      </c>
      <c r="U711" s="67"/>
      <c r="V711" s="121"/>
      <c r="W711" s="122"/>
      <c r="X711" s="63"/>
      <c r="Y711" s="63"/>
      <c r="Z711" s="63"/>
      <c r="AA711" s="63"/>
    </row>
    <row r="712" s="59" customFormat="1" ht="16.5" outlineLevel="7" spans="1:27">
      <c r="A712" s="79"/>
      <c r="B712" s="123" t="s">
        <v>195</v>
      </c>
      <c r="C712" s="124">
        <v>100182</v>
      </c>
      <c r="D712" s="125" t="s">
        <v>559</v>
      </c>
      <c r="E712" s="126">
        <v>44279</v>
      </c>
      <c r="F712" s="111">
        <v>36</v>
      </c>
      <c r="G712" s="127">
        <v>0.05</v>
      </c>
      <c r="H712" s="128">
        <v>531.1</v>
      </c>
      <c r="I712" s="113">
        <v>504.54</v>
      </c>
      <c r="J712" s="113">
        <v>0</v>
      </c>
      <c r="K712" s="114">
        <f t="shared" si="53"/>
        <v>26.56</v>
      </c>
      <c r="L712" s="128">
        <v>0</v>
      </c>
      <c r="M712" s="115"/>
      <c r="N712" s="116"/>
      <c r="O712" s="117">
        <f t="shared" si="54"/>
        <v>45382</v>
      </c>
      <c r="P712" s="118">
        <f t="shared" si="55"/>
        <v>0</v>
      </c>
      <c r="Q712" s="119">
        <f t="shared" si="56"/>
        <v>0</v>
      </c>
      <c r="R712" s="119">
        <f t="shared" si="57"/>
        <v>0</v>
      </c>
      <c r="S712" s="120" t="s">
        <v>106</v>
      </c>
      <c r="U712" s="67"/>
      <c r="V712" s="121"/>
      <c r="W712" s="122"/>
      <c r="X712" s="63"/>
      <c r="Y712" s="63"/>
      <c r="Z712" s="63"/>
      <c r="AA712" s="63"/>
    </row>
    <row r="713" s="59" customFormat="1" ht="16.5" outlineLevel="7" spans="1:27">
      <c r="A713" s="79"/>
      <c r="B713" s="123" t="s">
        <v>195</v>
      </c>
      <c r="C713" s="124">
        <v>100183</v>
      </c>
      <c r="D713" s="125" t="s">
        <v>559</v>
      </c>
      <c r="E713" s="126">
        <v>44279</v>
      </c>
      <c r="F713" s="111">
        <v>36</v>
      </c>
      <c r="G713" s="127">
        <v>0.05</v>
      </c>
      <c r="H713" s="128">
        <v>531.1</v>
      </c>
      <c r="I713" s="113">
        <v>504.54</v>
      </c>
      <c r="J713" s="113">
        <v>0</v>
      </c>
      <c r="K713" s="114">
        <f t="shared" ref="K713:K776" si="58">H713-I713-J713</f>
        <v>26.56</v>
      </c>
      <c r="L713" s="128">
        <v>0</v>
      </c>
      <c r="M713" s="115"/>
      <c r="N713" s="116"/>
      <c r="O713" s="117">
        <f t="shared" ref="O713:O776" si="59">IFERROR(EOMONTH(E713,F713),"")</f>
        <v>45382</v>
      </c>
      <c r="P713" s="118">
        <f t="shared" ref="P713:P776" si="60">IFERROR(IF(OR(AND(M713&lt;&gt;"",YEAR(M713)&lt;YEAR($L$6)),AND(O713&lt;&gt;"",YEAR(O713)&lt;YEAR($L$6))),0,IF(YEAR(E713)&gt;YEAR($L$6),0,IF(OR((IF(YEAR(E713)&lt;YEAR($L$6),1,IF(MONTH(E713)=12,99,MONTH(E713)+1))&gt;12),(IF(YEAR(E713)&lt;YEAR($L$6),1,IF(MONTH(E713)=12,99,MONTH(E713)+1))&gt;MIN(MONTH($L$6),IF(AND(M713&lt;&gt;"",YEAR(M713)=YEAR($L$6)),MONTH(M713),99),IF(AND(O713&lt;&gt;"",YEAR(O713)=YEAR($L$6)),MONTH(O713),99)))),0,MIN(MONTH($L$6),IF(AND(M713&lt;&gt;"",YEAR(M713)=YEAR($L$6)),MONTH(M713),99),IF(AND(O713&lt;&gt;"",YEAR(O713)=YEAR($L$6)),MONTH(O713),99))-IF(YEAR(E713)&lt;YEAR($L$6),1,IF(MONTH(E713)=12,99,MONTH(E713)+1))+1))),0)</f>
        <v>0</v>
      </c>
      <c r="Q713" s="119">
        <f t="shared" si="56"/>
        <v>0</v>
      </c>
      <c r="R713" s="119">
        <f t="shared" si="57"/>
        <v>0</v>
      </c>
      <c r="S713" s="120" t="s">
        <v>106</v>
      </c>
      <c r="U713" s="67"/>
      <c r="V713" s="121"/>
      <c r="W713" s="122"/>
      <c r="X713" s="63"/>
      <c r="Y713" s="63"/>
      <c r="Z713" s="63"/>
      <c r="AA713" s="63"/>
    </row>
    <row r="714" s="59" customFormat="1" ht="16.5" outlineLevel="7" spans="1:27">
      <c r="A714" s="79"/>
      <c r="B714" s="123" t="s">
        <v>195</v>
      </c>
      <c r="C714" s="124">
        <v>100184</v>
      </c>
      <c r="D714" s="125" t="s">
        <v>559</v>
      </c>
      <c r="E714" s="126">
        <v>44279</v>
      </c>
      <c r="F714" s="111">
        <v>36</v>
      </c>
      <c r="G714" s="127">
        <v>0.05</v>
      </c>
      <c r="H714" s="128">
        <v>531.1</v>
      </c>
      <c r="I714" s="113">
        <v>504.54</v>
      </c>
      <c r="J714" s="113">
        <v>0</v>
      </c>
      <c r="K714" s="114">
        <f t="shared" si="58"/>
        <v>26.56</v>
      </c>
      <c r="L714" s="128">
        <v>0</v>
      </c>
      <c r="M714" s="115"/>
      <c r="N714" s="116"/>
      <c r="O714" s="117">
        <f t="shared" si="59"/>
        <v>45382</v>
      </c>
      <c r="P714" s="118">
        <f t="shared" si="60"/>
        <v>0</v>
      </c>
      <c r="Q714" s="119">
        <f t="shared" si="56"/>
        <v>0</v>
      </c>
      <c r="R714" s="119">
        <f t="shared" si="57"/>
        <v>0</v>
      </c>
      <c r="S714" s="120" t="s">
        <v>106</v>
      </c>
      <c r="U714" s="67"/>
      <c r="V714" s="121"/>
      <c r="W714" s="122"/>
      <c r="X714" s="63"/>
      <c r="Y714" s="63"/>
      <c r="Z714" s="63"/>
      <c r="AA714" s="63"/>
    </row>
    <row r="715" s="59" customFormat="1" ht="16.5" outlineLevel="7" spans="1:27">
      <c r="A715" s="79"/>
      <c r="B715" s="123" t="s">
        <v>195</v>
      </c>
      <c r="C715" s="124">
        <v>100185</v>
      </c>
      <c r="D715" s="125" t="s">
        <v>559</v>
      </c>
      <c r="E715" s="126">
        <v>44279</v>
      </c>
      <c r="F715" s="111">
        <v>36</v>
      </c>
      <c r="G715" s="127">
        <v>0.05</v>
      </c>
      <c r="H715" s="128">
        <v>531.1</v>
      </c>
      <c r="I715" s="113">
        <v>504.54</v>
      </c>
      <c r="J715" s="113">
        <v>0</v>
      </c>
      <c r="K715" s="114">
        <f t="shared" si="58"/>
        <v>26.56</v>
      </c>
      <c r="L715" s="128">
        <v>0</v>
      </c>
      <c r="M715" s="115"/>
      <c r="N715" s="116"/>
      <c r="O715" s="117">
        <f t="shared" si="59"/>
        <v>45382</v>
      </c>
      <c r="P715" s="118">
        <f t="shared" si="60"/>
        <v>0</v>
      </c>
      <c r="Q715" s="119">
        <f t="shared" si="56"/>
        <v>0</v>
      </c>
      <c r="R715" s="119">
        <f t="shared" si="57"/>
        <v>0</v>
      </c>
      <c r="S715" s="120" t="s">
        <v>106</v>
      </c>
      <c r="U715" s="67"/>
      <c r="V715" s="121"/>
      <c r="W715" s="122"/>
      <c r="X715" s="63"/>
      <c r="Y715" s="63"/>
      <c r="Z715" s="63"/>
      <c r="AA715" s="63"/>
    </row>
    <row r="716" s="59" customFormat="1" ht="16.5" outlineLevel="7" spans="1:27">
      <c r="A716" s="79"/>
      <c r="B716" s="123" t="s">
        <v>195</v>
      </c>
      <c r="C716" s="124">
        <v>100186</v>
      </c>
      <c r="D716" s="125" t="s">
        <v>559</v>
      </c>
      <c r="E716" s="126">
        <v>44279</v>
      </c>
      <c r="F716" s="111">
        <v>36</v>
      </c>
      <c r="G716" s="127">
        <v>0.05</v>
      </c>
      <c r="H716" s="128">
        <v>531.1</v>
      </c>
      <c r="I716" s="113">
        <v>504.54</v>
      </c>
      <c r="J716" s="113">
        <v>0</v>
      </c>
      <c r="K716" s="114">
        <f t="shared" si="58"/>
        <v>26.56</v>
      </c>
      <c r="L716" s="128">
        <v>0</v>
      </c>
      <c r="M716" s="115"/>
      <c r="N716" s="116"/>
      <c r="O716" s="117">
        <f t="shared" si="59"/>
        <v>45382</v>
      </c>
      <c r="P716" s="118">
        <f t="shared" si="60"/>
        <v>0</v>
      </c>
      <c r="Q716" s="119">
        <f t="shared" si="56"/>
        <v>0</v>
      </c>
      <c r="R716" s="119">
        <f t="shared" si="57"/>
        <v>0</v>
      </c>
      <c r="S716" s="120" t="s">
        <v>106</v>
      </c>
      <c r="U716" s="67"/>
      <c r="V716" s="121"/>
      <c r="W716" s="122"/>
      <c r="X716" s="63"/>
      <c r="Y716" s="63"/>
      <c r="Z716" s="63"/>
      <c r="AA716" s="63"/>
    </row>
    <row r="717" s="59" customFormat="1" ht="16.5" outlineLevel="7" spans="1:27">
      <c r="A717" s="79"/>
      <c r="B717" s="107" t="s">
        <v>195</v>
      </c>
      <c r="C717" s="108">
        <v>100187</v>
      </c>
      <c r="D717" s="109" t="s">
        <v>559</v>
      </c>
      <c r="E717" s="110">
        <v>44279</v>
      </c>
      <c r="F717" s="111">
        <v>36</v>
      </c>
      <c r="G717" s="112">
        <v>0.05</v>
      </c>
      <c r="H717" s="113">
        <v>531.1</v>
      </c>
      <c r="I717" s="113">
        <v>504.54</v>
      </c>
      <c r="J717" s="113">
        <v>0</v>
      </c>
      <c r="K717" s="114">
        <f t="shared" si="58"/>
        <v>26.56</v>
      </c>
      <c r="L717" s="113">
        <v>0</v>
      </c>
      <c r="M717" s="115"/>
      <c r="N717" s="116"/>
      <c r="O717" s="117">
        <f t="shared" si="59"/>
        <v>45382</v>
      </c>
      <c r="P717" s="118">
        <f t="shared" si="60"/>
        <v>0</v>
      </c>
      <c r="Q717" s="119">
        <f t="shared" si="56"/>
        <v>0</v>
      </c>
      <c r="R717" s="119">
        <f t="shared" si="57"/>
        <v>0</v>
      </c>
      <c r="S717" s="120" t="s">
        <v>106</v>
      </c>
      <c r="U717" s="67"/>
      <c r="V717" s="121"/>
      <c r="W717" s="122"/>
      <c r="X717" s="63"/>
      <c r="Y717" s="63"/>
      <c r="Z717" s="63"/>
      <c r="AA717" s="63"/>
    </row>
    <row r="718" s="59" customFormat="1" ht="16.5" outlineLevel="7" spans="1:27">
      <c r="A718" s="79"/>
      <c r="B718" s="107" t="s">
        <v>195</v>
      </c>
      <c r="C718" s="108">
        <v>100188</v>
      </c>
      <c r="D718" s="109" t="s">
        <v>559</v>
      </c>
      <c r="E718" s="110">
        <v>44279</v>
      </c>
      <c r="F718" s="111">
        <v>36</v>
      </c>
      <c r="G718" s="112">
        <v>0.05</v>
      </c>
      <c r="H718" s="113">
        <v>531.1</v>
      </c>
      <c r="I718" s="113">
        <v>504.54</v>
      </c>
      <c r="J718" s="113">
        <v>0</v>
      </c>
      <c r="K718" s="114">
        <f t="shared" si="58"/>
        <v>26.56</v>
      </c>
      <c r="L718" s="113">
        <v>0</v>
      </c>
      <c r="M718" s="115"/>
      <c r="N718" s="116"/>
      <c r="O718" s="117">
        <f t="shared" si="59"/>
        <v>45382</v>
      </c>
      <c r="P718" s="118">
        <f t="shared" si="60"/>
        <v>0</v>
      </c>
      <c r="Q718" s="119">
        <f t="shared" si="56"/>
        <v>0</v>
      </c>
      <c r="R718" s="119">
        <f t="shared" si="57"/>
        <v>0</v>
      </c>
      <c r="S718" s="120" t="s">
        <v>106</v>
      </c>
      <c r="U718" s="67"/>
      <c r="V718" s="121"/>
      <c r="W718" s="122"/>
      <c r="X718" s="63"/>
      <c r="Y718" s="63"/>
      <c r="Z718" s="63"/>
      <c r="AA718" s="63"/>
    </row>
    <row r="719" s="59" customFormat="1" ht="16.5" outlineLevel="7" spans="1:27">
      <c r="A719" s="79"/>
      <c r="B719" s="123" t="s">
        <v>195</v>
      </c>
      <c r="C719" s="124">
        <v>100189</v>
      </c>
      <c r="D719" s="125" t="s">
        <v>559</v>
      </c>
      <c r="E719" s="126">
        <v>44279</v>
      </c>
      <c r="F719" s="111">
        <v>36</v>
      </c>
      <c r="G719" s="127">
        <v>0.05</v>
      </c>
      <c r="H719" s="128">
        <v>531.1</v>
      </c>
      <c r="I719" s="113">
        <v>504.54</v>
      </c>
      <c r="J719" s="113">
        <v>0</v>
      </c>
      <c r="K719" s="114">
        <f t="shared" si="58"/>
        <v>26.56</v>
      </c>
      <c r="L719" s="128">
        <v>0</v>
      </c>
      <c r="M719" s="115"/>
      <c r="N719" s="116"/>
      <c r="O719" s="117">
        <f t="shared" si="59"/>
        <v>45382</v>
      </c>
      <c r="P719" s="118">
        <f t="shared" si="60"/>
        <v>0</v>
      </c>
      <c r="Q719" s="119">
        <f t="shared" si="56"/>
        <v>0</v>
      </c>
      <c r="R719" s="119">
        <f t="shared" si="57"/>
        <v>0</v>
      </c>
      <c r="S719" s="120" t="s">
        <v>106</v>
      </c>
      <c r="U719" s="67"/>
      <c r="V719" s="121"/>
      <c r="W719" s="122"/>
      <c r="X719" s="63"/>
      <c r="Y719" s="63"/>
      <c r="Z719" s="63"/>
      <c r="AA719" s="63"/>
    </row>
    <row r="720" s="59" customFormat="1" ht="16.5" outlineLevel="7" spans="1:27">
      <c r="A720" s="79"/>
      <c r="B720" s="123" t="s">
        <v>195</v>
      </c>
      <c r="C720" s="124">
        <v>100190</v>
      </c>
      <c r="D720" s="125" t="s">
        <v>559</v>
      </c>
      <c r="E720" s="126">
        <v>44279</v>
      </c>
      <c r="F720" s="111">
        <v>36</v>
      </c>
      <c r="G720" s="127">
        <v>0.05</v>
      </c>
      <c r="H720" s="128">
        <v>531.1</v>
      </c>
      <c r="I720" s="113">
        <v>504.54</v>
      </c>
      <c r="J720" s="113">
        <v>0</v>
      </c>
      <c r="K720" s="114">
        <f t="shared" si="58"/>
        <v>26.56</v>
      </c>
      <c r="L720" s="128">
        <v>0</v>
      </c>
      <c r="M720" s="115"/>
      <c r="N720" s="116"/>
      <c r="O720" s="117">
        <f t="shared" si="59"/>
        <v>45382</v>
      </c>
      <c r="P720" s="118">
        <f t="shared" si="60"/>
        <v>0</v>
      </c>
      <c r="Q720" s="119">
        <f t="shared" si="56"/>
        <v>0</v>
      </c>
      <c r="R720" s="119">
        <f t="shared" si="57"/>
        <v>0</v>
      </c>
      <c r="S720" s="120" t="s">
        <v>106</v>
      </c>
      <c r="U720" s="67"/>
      <c r="V720" s="121"/>
      <c r="W720" s="122"/>
      <c r="X720" s="63"/>
      <c r="Y720" s="63"/>
      <c r="Z720" s="63"/>
      <c r="AA720" s="63"/>
    </row>
    <row r="721" s="59" customFormat="1" ht="16.5" outlineLevel="7" spans="1:27">
      <c r="A721" s="79"/>
      <c r="B721" s="123" t="s">
        <v>195</v>
      </c>
      <c r="C721" s="124">
        <v>100191</v>
      </c>
      <c r="D721" s="125" t="s">
        <v>559</v>
      </c>
      <c r="E721" s="126">
        <v>44279</v>
      </c>
      <c r="F721" s="111">
        <v>36</v>
      </c>
      <c r="G721" s="127">
        <v>0.05</v>
      </c>
      <c r="H721" s="128">
        <v>531.1</v>
      </c>
      <c r="I721" s="113">
        <v>504.54</v>
      </c>
      <c r="J721" s="113">
        <v>0</v>
      </c>
      <c r="K721" s="114">
        <f t="shared" si="58"/>
        <v>26.56</v>
      </c>
      <c r="L721" s="128">
        <v>0</v>
      </c>
      <c r="M721" s="115"/>
      <c r="N721" s="116"/>
      <c r="O721" s="117">
        <f t="shared" si="59"/>
        <v>45382</v>
      </c>
      <c r="P721" s="118">
        <f t="shared" si="60"/>
        <v>0</v>
      </c>
      <c r="Q721" s="119">
        <f t="shared" si="56"/>
        <v>0</v>
      </c>
      <c r="R721" s="119">
        <f t="shared" si="57"/>
        <v>0</v>
      </c>
      <c r="S721" s="120" t="s">
        <v>106</v>
      </c>
      <c r="U721" s="67"/>
      <c r="V721" s="121"/>
      <c r="W721" s="122"/>
      <c r="X721" s="63"/>
      <c r="Y721" s="63"/>
      <c r="Z721" s="63"/>
      <c r="AA721" s="63"/>
    </row>
    <row r="722" s="59" customFormat="1" ht="16.5" outlineLevel="7" spans="1:27">
      <c r="A722" s="79"/>
      <c r="B722" s="123" t="s">
        <v>195</v>
      </c>
      <c r="C722" s="124">
        <v>100193</v>
      </c>
      <c r="D722" s="125" t="s">
        <v>559</v>
      </c>
      <c r="E722" s="126">
        <v>44279</v>
      </c>
      <c r="F722" s="111">
        <v>36</v>
      </c>
      <c r="G722" s="127">
        <v>0.05</v>
      </c>
      <c r="H722" s="128">
        <v>531.09</v>
      </c>
      <c r="I722" s="113">
        <v>504.54</v>
      </c>
      <c r="J722" s="113">
        <v>0</v>
      </c>
      <c r="K722" s="114">
        <f t="shared" si="58"/>
        <v>26.55</v>
      </c>
      <c r="L722" s="128">
        <v>0</v>
      </c>
      <c r="M722" s="115"/>
      <c r="N722" s="116"/>
      <c r="O722" s="117">
        <f t="shared" si="59"/>
        <v>45382</v>
      </c>
      <c r="P722" s="118">
        <f t="shared" si="60"/>
        <v>0</v>
      </c>
      <c r="Q722" s="119">
        <f t="shared" si="56"/>
        <v>0</v>
      </c>
      <c r="R722" s="119">
        <f t="shared" si="57"/>
        <v>0</v>
      </c>
      <c r="S722" s="120" t="s">
        <v>106</v>
      </c>
      <c r="U722" s="67"/>
      <c r="V722" s="121"/>
      <c r="W722" s="122"/>
      <c r="X722" s="63"/>
      <c r="Y722" s="63"/>
      <c r="Z722" s="63"/>
      <c r="AA722" s="63"/>
    </row>
    <row r="723" s="59" customFormat="1" ht="16.5" outlineLevel="7" spans="1:27">
      <c r="A723" s="79"/>
      <c r="B723" s="123" t="s">
        <v>195</v>
      </c>
      <c r="C723" s="124">
        <v>100194</v>
      </c>
      <c r="D723" s="125" t="s">
        <v>559</v>
      </c>
      <c r="E723" s="126">
        <v>44279</v>
      </c>
      <c r="F723" s="111">
        <v>36</v>
      </c>
      <c r="G723" s="127">
        <v>0.05</v>
      </c>
      <c r="H723" s="128">
        <v>945.99</v>
      </c>
      <c r="I723" s="113">
        <v>898.69</v>
      </c>
      <c r="J723" s="113">
        <v>0</v>
      </c>
      <c r="K723" s="114">
        <f t="shared" si="58"/>
        <v>47.3</v>
      </c>
      <c r="L723" s="128">
        <v>0</v>
      </c>
      <c r="M723" s="115"/>
      <c r="N723" s="116"/>
      <c r="O723" s="117">
        <f t="shared" si="59"/>
        <v>45382</v>
      </c>
      <c r="P723" s="118">
        <f t="shared" si="60"/>
        <v>0</v>
      </c>
      <c r="Q723" s="119">
        <f t="shared" si="56"/>
        <v>0</v>
      </c>
      <c r="R723" s="119">
        <f t="shared" si="57"/>
        <v>0</v>
      </c>
      <c r="S723" s="120" t="s">
        <v>106</v>
      </c>
      <c r="U723" s="67"/>
      <c r="V723" s="121"/>
      <c r="W723" s="122"/>
      <c r="X723" s="63"/>
      <c r="Y723" s="63"/>
      <c r="Z723" s="63"/>
      <c r="AA723" s="63"/>
    </row>
    <row r="724" s="59" customFormat="1" ht="16.5" outlineLevel="7" spans="1:27">
      <c r="A724" s="79"/>
      <c r="B724" s="107" t="s">
        <v>195</v>
      </c>
      <c r="C724" s="108">
        <v>100195</v>
      </c>
      <c r="D724" s="109" t="s">
        <v>578</v>
      </c>
      <c r="E724" s="110">
        <v>44279</v>
      </c>
      <c r="F724" s="111">
        <v>36</v>
      </c>
      <c r="G724" s="112">
        <v>0.05</v>
      </c>
      <c r="H724" s="113">
        <v>870.28</v>
      </c>
      <c r="I724" s="113">
        <v>826.77</v>
      </c>
      <c r="J724" s="113">
        <v>0</v>
      </c>
      <c r="K724" s="114">
        <f t="shared" si="58"/>
        <v>43.51</v>
      </c>
      <c r="L724" s="113">
        <v>0</v>
      </c>
      <c r="M724" s="115"/>
      <c r="N724" s="116"/>
      <c r="O724" s="117">
        <f t="shared" si="59"/>
        <v>45382</v>
      </c>
      <c r="P724" s="118">
        <f t="shared" si="60"/>
        <v>0</v>
      </c>
      <c r="Q724" s="119">
        <f t="shared" si="56"/>
        <v>0</v>
      </c>
      <c r="R724" s="119">
        <f t="shared" si="57"/>
        <v>0</v>
      </c>
      <c r="S724" s="120" t="s">
        <v>106</v>
      </c>
      <c r="U724" s="67"/>
      <c r="V724" s="121"/>
      <c r="W724" s="122"/>
      <c r="X724" s="63"/>
      <c r="Y724" s="63"/>
      <c r="Z724" s="63"/>
      <c r="AA724" s="63"/>
    </row>
    <row r="725" s="59" customFormat="1" ht="16.5" outlineLevel="7" spans="1:27">
      <c r="A725" s="79"/>
      <c r="B725" s="107" t="s">
        <v>195</v>
      </c>
      <c r="C725" s="108">
        <v>100196</v>
      </c>
      <c r="D725" s="109" t="s">
        <v>578</v>
      </c>
      <c r="E725" s="110">
        <v>44279</v>
      </c>
      <c r="F725" s="111">
        <v>36</v>
      </c>
      <c r="G725" s="112">
        <v>0.05</v>
      </c>
      <c r="H725" s="113">
        <v>983.84</v>
      </c>
      <c r="I725" s="113">
        <v>934.65</v>
      </c>
      <c r="J725" s="113">
        <v>0</v>
      </c>
      <c r="K725" s="114">
        <f t="shared" si="58"/>
        <v>49.1900000000001</v>
      </c>
      <c r="L725" s="113">
        <v>0</v>
      </c>
      <c r="M725" s="115"/>
      <c r="N725" s="116"/>
      <c r="O725" s="117">
        <f t="shared" si="59"/>
        <v>45382</v>
      </c>
      <c r="P725" s="118">
        <f t="shared" si="60"/>
        <v>0</v>
      </c>
      <c r="Q725" s="119">
        <f t="shared" si="56"/>
        <v>0</v>
      </c>
      <c r="R725" s="119">
        <f t="shared" si="57"/>
        <v>0</v>
      </c>
      <c r="S725" s="120" t="s">
        <v>106</v>
      </c>
      <c r="U725" s="67"/>
      <c r="V725" s="121"/>
      <c r="W725" s="122"/>
      <c r="X725" s="63"/>
      <c r="Y725" s="63"/>
      <c r="Z725" s="63"/>
      <c r="AA725" s="63"/>
    </row>
    <row r="726" s="59" customFormat="1" ht="16.5" outlineLevel="7" spans="1:27">
      <c r="A726" s="79"/>
      <c r="B726" s="123" t="s">
        <v>195</v>
      </c>
      <c r="C726" s="124">
        <v>100199</v>
      </c>
      <c r="D726" s="125" t="s">
        <v>578</v>
      </c>
      <c r="E726" s="126">
        <v>44279</v>
      </c>
      <c r="F726" s="111">
        <v>36</v>
      </c>
      <c r="G726" s="127">
        <v>0.05</v>
      </c>
      <c r="H726" s="128">
        <v>983.84</v>
      </c>
      <c r="I726" s="113">
        <v>934.65</v>
      </c>
      <c r="J726" s="113">
        <v>0</v>
      </c>
      <c r="K726" s="114">
        <f t="shared" si="58"/>
        <v>49.1900000000001</v>
      </c>
      <c r="L726" s="128">
        <v>0</v>
      </c>
      <c r="M726" s="115"/>
      <c r="N726" s="116"/>
      <c r="O726" s="117">
        <f t="shared" si="59"/>
        <v>45382</v>
      </c>
      <c r="P726" s="118">
        <f t="shared" si="60"/>
        <v>0</v>
      </c>
      <c r="Q726" s="119">
        <f t="shared" si="56"/>
        <v>0</v>
      </c>
      <c r="R726" s="119">
        <f t="shared" si="57"/>
        <v>0</v>
      </c>
      <c r="S726" s="120" t="s">
        <v>106</v>
      </c>
      <c r="U726" s="67"/>
      <c r="V726" s="121"/>
      <c r="W726" s="122"/>
      <c r="X726" s="63"/>
      <c r="Y726" s="63"/>
      <c r="Z726" s="63"/>
      <c r="AA726" s="63"/>
    </row>
    <row r="727" s="59" customFormat="1" ht="16.5" outlineLevel="7" spans="1:27">
      <c r="A727" s="79"/>
      <c r="B727" s="123" t="s">
        <v>195</v>
      </c>
      <c r="C727" s="124">
        <v>100200</v>
      </c>
      <c r="D727" s="125" t="s">
        <v>578</v>
      </c>
      <c r="E727" s="126">
        <v>44279</v>
      </c>
      <c r="F727" s="111">
        <v>36</v>
      </c>
      <c r="G727" s="127">
        <v>0.05</v>
      </c>
      <c r="H727" s="128">
        <v>983.84</v>
      </c>
      <c r="I727" s="113">
        <v>934.65</v>
      </c>
      <c r="J727" s="113">
        <v>0</v>
      </c>
      <c r="K727" s="114">
        <f t="shared" si="58"/>
        <v>49.1900000000001</v>
      </c>
      <c r="L727" s="128">
        <v>0</v>
      </c>
      <c r="M727" s="115"/>
      <c r="N727" s="116"/>
      <c r="O727" s="117">
        <f t="shared" si="59"/>
        <v>45382</v>
      </c>
      <c r="P727" s="118">
        <f t="shared" si="60"/>
        <v>0</v>
      </c>
      <c r="Q727" s="119">
        <f t="shared" ref="Q727:Q790" si="61">IFERROR(IF(N727=0,(H727*(1-G727))/F727*P727,(N727*(1-G727))/F727*P727),0)</f>
        <v>0</v>
      </c>
      <c r="R727" s="119">
        <f t="shared" ref="R727:R790" si="62">Q727-L727</f>
        <v>0</v>
      </c>
      <c r="S727" s="120" t="s">
        <v>106</v>
      </c>
      <c r="U727" s="67"/>
      <c r="V727" s="121"/>
      <c r="W727" s="122"/>
      <c r="X727" s="63"/>
      <c r="Y727" s="63"/>
      <c r="Z727" s="63"/>
      <c r="AA727" s="63"/>
    </row>
    <row r="728" s="59" customFormat="1" ht="16.5" outlineLevel="7" spans="1:27">
      <c r="A728" s="79"/>
      <c r="B728" s="123" t="s">
        <v>195</v>
      </c>
      <c r="C728" s="124">
        <v>100203</v>
      </c>
      <c r="D728" s="125" t="s">
        <v>725</v>
      </c>
      <c r="E728" s="126">
        <v>44279</v>
      </c>
      <c r="F728" s="111">
        <v>36</v>
      </c>
      <c r="G728" s="127">
        <v>0.05</v>
      </c>
      <c r="H728" s="128">
        <v>33645.5</v>
      </c>
      <c r="I728" s="113">
        <v>31963.22</v>
      </c>
      <c r="J728" s="113">
        <v>0</v>
      </c>
      <c r="K728" s="114">
        <f t="shared" si="58"/>
        <v>1682.28</v>
      </c>
      <c r="L728" s="128">
        <v>0</v>
      </c>
      <c r="M728" s="115"/>
      <c r="N728" s="116"/>
      <c r="O728" s="117">
        <f t="shared" si="59"/>
        <v>45382</v>
      </c>
      <c r="P728" s="118">
        <f t="shared" si="60"/>
        <v>0</v>
      </c>
      <c r="Q728" s="119">
        <f t="shared" si="61"/>
        <v>0</v>
      </c>
      <c r="R728" s="119">
        <f t="shared" si="62"/>
        <v>0</v>
      </c>
      <c r="S728" s="120" t="s">
        <v>106</v>
      </c>
      <c r="U728" s="67"/>
      <c r="V728" s="121"/>
      <c r="W728" s="122"/>
      <c r="X728" s="63"/>
      <c r="Y728" s="63"/>
      <c r="Z728" s="63"/>
      <c r="AA728" s="63"/>
    </row>
    <row r="729" s="59" customFormat="1" ht="16.5" outlineLevel="7" spans="1:27">
      <c r="A729" s="79"/>
      <c r="B729" s="123" t="s">
        <v>195</v>
      </c>
      <c r="C729" s="124">
        <v>100205</v>
      </c>
      <c r="D729" s="125" t="s">
        <v>726</v>
      </c>
      <c r="E729" s="126">
        <v>44769</v>
      </c>
      <c r="F729" s="111">
        <v>36</v>
      </c>
      <c r="G729" s="127">
        <v>0.05</v>
      </c>
      <c r="H729" s="128">
        <v>3069.91</v>
      </c>
      <c r="I729" s="113">
        <v>2916.41</v>
      </c>
      <c r="J729" s="113">
        <v>0</v>
      </c>
      <c r="K729" s="114">
        <f t="shared" si="58"/>
        <v>153.5</v>
      </c>
      <c r="L729" s="128">
        <v>0</v>
      </c>
      <c r="M729" s="115"/>
      <c r="N729" s="116"/>
      <c r="O729" s="117">
        <f t="shared" si="59"/>
        <v>45869</v>
      </c>
      <c r="P729" s="118">
        <f t="shared" si="60"/>
        <v>0</v>
      </c>
      <c r="Q729" s="119">
        <f t="shared" si="61"/>
        <v>0</v>
      </c>
      <c r="R729" s="119">
        <f t="shared" si="62"/>
        <v>0</v>
      </c>
      <c r="S729" s="120" t="s">
        <v>106</v>
      </c>
      <c r="U729" s="67"/>
      <c r="V729" s="121"/>
      <c r="W729" s="122"/>
      <c r="X729" s="63"/>
      <c r="Y729" s="63"/>
      <c r="Z729" s="63"/>
      <c r="AA729" s="63"/>
    </row>
    <row r="730" s="59" customFormat="1" ht="16.5" outlineLevel="7" spans="1:27">
      <c r="A730" s="79"/>
      <c r="B730" s="123" t="s">
        <v>195</v>
      </c>
      <c r="C730" s="124">
        <v>100734</v>
      </c>
      <c r="D730" s="125" t="s">
        <v>727</v>
      </c>
      <c r="E730" s="126">
        <v>46135</v>
      </c>
      <c r="F730" s="109">
        <v>36</v>
      </c>
      <c r="G730" s="127">
        <v>0.05</v>
      </c>
      <c r="H730" s="128">
        <v>851.62</v>
      </c>
      <c r="I730" s="113">
        <v>0</v>
      </c>
      <c r="J730" s="113">
        <v>0</v>
      </c>
      <c r="K730" s="114">
        <f t="shared" si="58"/>
        <v>851.62</v>
      </c>
      <c r="L730" s="128">
        <v>0</v>
      </c>
      <c r="M730" s="115"/>
      <c r="N730" s="116"/>
      <c r="O730" s="117">
        <f t="shared" si="59"/>
        <v>47238</v>
      </c>
      <c r="P730" s="118">
        <f t="shared" si="60"/>
        <v>0</v>
      </c>
      <c r="Q730" s="119">
        <f t="shared" si="61"/>
        <v>0</v>
      </c>
      <c r="R730" s="119">
        <f t="shared" si="62"/>
        <v>0</v>
      </c>
      <c r="S730" s="120" t="s">
        <v>106</v>
      </c>
      <c r="U730" s="67"/>
      <c r="V730" s="121"/>
      <c r="W730" s="63"/>
      <c r="X730" s="63"/>
      <c r="Y730" s="63"/>
      <c r="Z730" s="63"/>
      <c r="AA730" s="63"/>
    </row>
    <row r="731" s="59" customFormat="1" ht="16.5" outlineLevel="7" spans="1:27">
      <c r="A731" s="79"/>
      <c r="B731" s="107" t="s">
        <v>195</v>
      </c>
      <c r="C731" s="108">
        <v>100735</v>
      </c>
      <c r="D731" s="109" t="s">
        <v>727</v>
      </c>
      <c r="E731" s="110">
        <v>46135</v>
      </c>
      <c r="F731" s="109">
        <v>36</v>
      </c>
      <c r="G731" s="112">
        <v>0.05</v>
      </c>
      <c r="H731" s="113">
        <v>851.62</v>
      </c>
      <c r="I731" s="113">
        <v>0</v>
      </c>
      <c r="J731" s="113">
        <v>0</v>
      </c>
      <c r="K731" s="114">
        <f t="shared" si="58"/>
        <v>851.62</v>
      </c>
      <c r="L731" s="113">
        <v>0</v>
      </c>
      <c r="M731" s="115"/>
      <c r="N731" s="116"/>
      <c r="O731" s="117">
        <f t="shared" si="59"/>
        <v>47238</v>
      </c>
      <c r="P731" s="118">
        <f t="shared" si="60"/>
        <v>0</v>
      </c>
      <c r="Q731" s="119">
        <f t="shared" si="61"/>
        <v>0</v>
      </c>
      <c r="R731" s="119">
        <f t="shared" si="62"/>
        <v>0</v>
      </c>
      <c r="S731" s="120" t="s">
        <v>106</v>
      </c>
      <c r="U731" s="67"/>
      <c r="V731" s="121"/>
      <c r="W731" s="63"/>
      <c r="X731" s="63"/>
      <c r="Y731" s="63"/>
      <c r="Z731" s="63"/>
      <c r="AA731" s="63"/>
    </row>
    <row r="732" s="59" customFormat="1" ht="16.5" outlineLevel="7" spans="1:27">
      <c r="A732" s="79"/>
      <c r="B732" s="107" t="s">
        <v>195</v>
      </c>
      <c r="C732" s="108">
        <v>100736</v>
      </c>
      <c r="D732" s="109" t="s">
        <v>727</v>
      </c>
      <c r="E732" s="110">
        <v>46135</v>
      </c>
      <c r="F732" s="109">
        <v>36</v>
      </c>
      <c r="G732" s="112">
        <v>0.05</v>
      </c>
      <c r="H732" s="113">
        <v>851.62</v>
      </c>
      <c r="I732" s="113">
        <v>0</v>
      </c>
      <c r="J732" s="113">
        <v>0</v>
      </c>
      <c r="K732" s="114">
        <f t="shared" si="58"/>
        <v>851.62</v>
      </c>
      <c r="L732" s="113">
        <v>0</v>
      </c>
      <c r="M732" s="115"/>
      <c r="N732" s="116"/>
      <c r="O732" s="117">
        <f t="shared" si="59"/>
        <v>47238</v>
      </c>
      <c r="P732" s="118">
        <f t="shared" si="60"/>
        <v>0</v>
      </c>
      <c r="Q732" s="119">
        <f t="shared" si="61"/>
        <v>0</v>
      </c>
      <c r="R732" s="119">
        <f t="shared" si="62"/>
        <v>0</v>
      </c>
      <c r="S732" s="120" t="s">
        <v>106</v>
      </c>
      <c r="U732" s="67"/>
      <c r="V732" s="121"/>
      <c r="W732" s="63"/>
      <c r="X732" s="63"/>
      <c r="Y732" s="63"/>
      <c r="Z732" s="63"/>
      <c r="AA732" s="63"/>
    </row>
    <row r="733" s="59" customFormat="1" ht="16.5" outlineLevel="7" spans="1:27">
      <c r="A733" s="79"/>
      <c r="B733" s="123" t="s">
        <v>195</v>
      </c>
      <c r="C733" s="124">
        <v>100737</v>
      </c>
      <c r="D733" s="125" t="s">
        <v>730</v>
      </c>
      <c r="E733" s="126">
        <v>46141</v>
      </c>
      <c r="F733" s="109">
        <v>36</v>
      </c>
      <c r="G733" s="127">
        <v>0.05</v>
      </c>
      <c r="H733" s="128">
        <v>6623.89</v>
      </c>
      <c r="I733" s="113">
        <v>0</v>
      </c>
      <c r="J733" s="113">
        <v>0</v>
      </c>
      <c r="K733" s="114">
        <f t="shared" si="58"/>
        <v>6623.89</v>
      </c>
      <c r="L733" s="128">
        <v>0</v>
      </c>
      <c r="M733" s="115"/>
      <c r="N733" s="116"/>
      <c r="O733" s="117">
        <f t="shared" si="59"/>
        <v>47238</v>
      </c>
      <c r="P733" s="118">
        <f t="shared" si="60"/>
        <v>0</v>
      </c>
      <c r="Q733" s="119">
        <f t="shared" si="61"/>
        <v>0</v>
      </c>
      <c r="R733" s="119">
        <f t="shared" si="62"/>
        <v>0</v>
      </c>
      <c r="S733" s="120" t="s">
        <v>106</v>
      </c>
      <c r="U733" s="67"/>
      <c r="V733" s="121"/>
      <c r="W733" s="122"/>
      <c r="X733" s="63"/>
      <c r="Y733" s="63"/>
      <c r="Z733" s="63"/>
      <c r="AA733" s="63"/>
    </row>
    <row r="734" s="59" customFormat="1" ht="16.5" outlineLevel="7" spans="1:27">
      <c r="A734" s="79"/>
      <c r="B734" s="123" t="s">
        <v>195</v>
      </c>
      <c r="C734" s="124">
        <v>200009</v>
      </c>
      <c r="D734" s="125" t="s">
        <v>545</v>
      </c>
      <c r="E734" s="126">
        <v>44541</v>
      </c>
      <c r="F734" s="111">
        <v>60</v>
      </c>
      <c r="G734" s="127">
        <v>0.05</v>
      </c>
      <c r="H734" s="128">
        <v>9538.05</v>
      </c>
      <c r="I734" s="113">
        <v>7853.03</v>
      </c>
      <c r="J734" s="113">
        <v>0</v>
      </c>
      <c r="K734" s="114">
        <f t="shared" si="58"/>
        <v>1685.02</v>
      </c>
      <c r="L734" s="128">
        <v>604.07</v>
      </c>
      <c r="M734" s="115"/>
      <c r="N734" s="116"/>
      <c r="O734" s="117">
        <f t="shared" si="59"/>
        <v>46387</v>
      </c>
      <c r="P734" s="118">
        <f t="shared" si="60"/>
        <v>4</v>
      </c>
      <c r="Q734" s="119">
        <f t="shared" si="61"/>
        <v>604.0765</v>
      </c>
      <c r="R734" s="119">
        <f t="shared" si="62"/>
        <v>0.0064999999998463</v>
      </c>
      <c r="S734" s="120" t="s">
        <v>106</v>
      </c>
      <c r="U734" s="67"/>
      <c r="V734" s="121"/>
      <c r="W734" s="122"/>
      <c r="X734" s="63"/>
      <c r="Y734" s="63"/>
      <c r="Z734" s="63"/>
      <c r="AA734" s="63"/>
    </row>
    <row r="735" s="59" customFormat="1" ht="16.5" outlineLevel="7" spans="1:27">
      <c r="A735" s="79"/>
      <c r="B735" s="123" t="s">
        <v>195</v>
      </c>
      <c r="C735" s="124">
        <v>200010</v>
      </c>
      <c r="D735" s="125" t="s">
        <v>545</v>
      </c>
      <c r="E735" s="126">
        <v>44539</v>
      </c>
      <c r="F735" s="111">
        <v>60</v>
      </c>
      <c r="G735" s="127">
        <v>0.05</v>
      </c>
      <c r="H735" s="128">
        <v>4769.03</v>
      </c>
      <c r="I735" s="113">
        <v>3926.52</v>
      </c>
      <c r="J735" s="113">
        <v>0</v>
      </c>
      <c r="K735" s="114">
        <f t="shared" si="58"/>
        <v>842.51</v>
      </c>
      <c r="L735" s="128">
        <v>302.04</v>
      </c>
      <c r="M735" s="115"/>
      <c r="N735" s="116"/>
      <c r="O735" s="117">
        <f t="shared" si="59"/>
        <v>46387</v>
      </c>
      <c r="P735" s="118">
        <f t="shared" si="60"/>
        <v>4</v>
      </c>
      <c r="Q735" s="119">
        <f t="shared" si="61"/>
        <v>302.038566666667</v>
      </c>
      <c r="R735" s="119">
        <f t="shared" si="62"/>
        <v>-0.00143333333335249</v>
      </c>
      <c r="S735" s="120" t="s">
        <v>106</v>
      </c>
      <c r="U735" s="67"/>
      <c r="V735" s="121"/>
      <c r="W735" s="122"/>
      <c r="X735" s="63"/>
      <c r="Y735" s="63"/>
      <c r="Z735" s="63"/>
      <c r="AA735" s="63"/>
    </row>
    <row r="736" s="59" customFormat="1" ht="16.5" outlineLevel="7" spans="1:27">
      <c r="A736" s="79"/>
      <c r="B736" s="123" t="s">
        <v>196</v>
      </c>
      <c r="C736" s="124">
        <v>100024</v>
      </c>
      <c r="D736" s="125" t="s">
        <v>725</v>
      </c>
      <c r="E736" s="126">
        <v>44265</v>
      </c>
      <c r="F736" s="111">
        <v>36</v>
      </c>
      <c r="G736" s="127">
        <v>0.05</v>
      </c>
      <c r="H736" s="128">
        <v>10619.47</v>
      </c>
      <c r="I736" s="113">
        <v>10088.5</v>
      </c>
      <c r="J736" s="113">
        <v>0</v>
      </c>
      <c r="K736" s="114">
        <f t="shared" si="58"/>
        <v>530.969999999999</v>
      </c>
      <c r="L736" s="128">
        <v>0</v>
      </c>
      <c r="M736" s="115"/>
      <c r="N736" s="116"/>
      <c r="O736" s="117">
        <f t="shared" si="59"/>
        <v>45382</v>
      </c>
      <c r="P736" s="118">
        <f t="shared" si="60"/>
        <v>0</v>
      </c>
      <c r="Q736" s="119">
        <f t="shared" si="61"/>
        <v>0</v>
      </c>
      <c r="R736" s="119">
        <f t="shared" si="62"/>
        <v>0</v>
      </c>
      <c r="S736" s="120" t="s">
        <v>106</v>
      </c>
      <c r="U736" s="67"/>
      <c r="V736" s="121"/>
      <c r="W736" s="122"/>
      <c r="X736" s="63"/>
      <c r="Y736" s="63"/>
      <c r="Z736" s="63"/>
      <c r="AA736" s="63"/>
    </row>
    <row r="737" s="59" customFormat="1" ht="16.5" outlineLevel="7" spans="1:27">
      <c r="A737" s="79"/>
      <c r="B737" s="123" t="s">
        <v>196</v>
      </c>
      <c r="C737" s="124">
        <v>100051</v>
      </c>
      <c r="D737" s="125" t="s">
        <v>733</v>
      </c>
      <c r="E737" s="126">
        <v>44386</v>
      </c>
      <c r="F737" s="111">
        <v>36</v>
      </c>
      <c r="G737" s="127">
        <v>0.05</v>
      </c>
      <c r="H737" s="128">
        <v>4141.59</v>
      </c>
      <c r="I737" s="113">
        <v>3934.51</v>
      </c>
      <c r="J737" s="113">
        <v>0</v>
      </c>
      <c r="K737" s="114">
        <f t="shared" si="58"/>
        <v>207.08</v>
      </c>
      <c r="L737" s="128">
        <v>0</v>
      </c>
      <c r="M737" s="115"/>
      <c r="N737" s="116"/>
      <c r="O737" s="117">
        <f t="shared" si="59"/>
        <v>45504</v>
      </c>
      <c r="P737" s="118">
        <f t="shared" si="60"/>
        <v>0</v>
      </c>
      <c r="Q737" s="119">
        <f t="shared" si="61"/>
        <v>0</v>
      </c>
      <c r="R737" s="119">
        <f t="shared" si="62"/>
        <v>0</v>
      </c>
      <c r="S737" s="120" t="s">
        <v>106</v>
      </c>
      <c r="U737" s="67"/>
      <c r="V737" s="121"/>
      <c r="W737" s="122"/>
      <c r="X737" s="63"/>
      <c r="Y737" s="63"/>
      <c r="Z737" s="63"/>
      <c r="AA737" s="63"/>
    </row>
    <row r="738" s="59" customFormat="1" ht="16.5" outlineLevel="7" spans="1:27">
      <c r="A738" s="79"/>
      <c r="B738" s="107" t="s">
        <v>196</v>
      </c>
      <c r="C738" s="108">
        <v>200001</v>
      </c>
      <c r="D738" s="109" t="s">
        <v>734</v>
      </c>
      <c r="E738" s="110">
        <v>44193</v>
      </c>
      <c r="F738" s="111">
        <v>60</v>
      </c>
      <c r="G738" s="112">
        <v>0.05</v>
      </c>
      <c r="H738" s="113">
        <v>54867.26</v>
      </c>
      <c r="I738" s="113">
        <v>52123.9</v>
      </c>
      <c r="J738" s="113">
        <v>0</v>
      </c>
      <c r="K738" s="114">
        <f t="shared" si="58"/>
        <v>2743.36</v>
      </c>
      <c r="L738" s="113">
        <v>0</v>
      </c>
      <c r="M738" s="115"/>
      <c r="N738" s="116"/>
      <c r="O738" s="117">
        <f t="shared" si="59"/>
        <v>46022</v>
      </c>
      <c r="P738" s="118">
        <f t="shared" si="60"/>
        <v>0</v>
      </c>
      <c r="Q738" s="119">
        <f t="shared" si="61"/>
        <v>0</v>
      </c>
      <c r="R738" s="119">
        <f t="shared" si="62"/>
        <v>0</v>
      </c>
      <c r="S738" s="120" t="s">
        <v>106</v>
      </c>
      <c r="U738" s="67"/>
      <c r="V738" s="121"/>
      <c r="W738" s="122"/>
      <c r="X738" s="63"/>
      <c r="Y738" s="63"/>
      <c r="Z738" s="63"/>
      <c r="AA738" s="63"/>
    </row>
    <row r="739" s="59" customFormat="1" ht="16.5" outlineLevel="7" spans="1:27">
      <c r="A739" s="79"/>
      <c r="B739" s="107" t="s">
        <v>196</v>
      </c>
      <c r="C739" s="108">
        <v>200002</v>
      </c>
      <c r="D739" s="109" t="s">
        <v>735</v>
      </c>
      <c r="E739" s="110">
        <v>44161</v>
      </c>
      <c r="F739" s="111">
        <v>60</v>
      </c>
      <c r="G739" s="112">
        <v>0.05</v>
      </c>
      <c r="H739" s="113">
        <v>6430.13</v>
      </c>
      <c r="I739" s="113">
        <v>6108.62</v>
      </c>
      <c r="J739" s="113">
        <v>0</v>
      </c>
      <c r="K739" s="114">
        <f t="shared" si="58"/>
        <v>321.51</v>
      </c>
      <c r="L739" s="113">
        <v>0</v>
      </c>
      <c r="M739" s="115"/>
      <c r="N739" s="116"/>
      <c r="O739" s="117">
        <f t="shared" si="59"/>
        <v>45991</v>
      </c>
      <c r="P739" s="118">
        <f t="shared" si="60"/>
        <v>0</v>
      </c>
      <c r="Q739" s="119">
        <f t="shared" si="61"/>
        <v>0</v>
      </c>
      <c r="R739" s="119">
        <f t="shared" si="62"/>
        <v>0</v>
      </c>
      <c r="S739" s="120" t="s">
        <v>106</v>
      </c>
      <c r="U739" s="67"/>
      <c r="V739" s="121"/>
      <c r="W739" s="122"/>
      <c r="X739" s="63"/>
      <c r="Y739" s="63"/>
      <c r="Z739" s="63"/>
      <c r="AA739" s="63"/>
    </row>
    <row r="740" s="59" customFormat="1" ht="16.5" outlineLevel="7" spans="1:27">
      <c r="A740" s="79"/>
      <c r="B740" s="123" t="s">
        <v>196</v>
      </c>
      <c r="C740" s="124">
        <v>200004</v>
      </c>
      <c r="D740" s="125" t="s">
        <v>733</v>
      </c>
      <c r="E740" s="126">
        <v>44247</v>
      </c>
      <c r="F740" s="111">
        <v>60</v>
      </c>
      <c r="G740" s="127">
        <v>0.05</v>
      </c>
      <c r="H740" s="128">
        <v>9447.23</v>
      </c>
      <c r="I740" s="113">
        <v>8974.87</v>
      </c>
      <c r="J740" s="113">
        <v>0</v>
      </c>
      <c r="K740" s="114">
        <f t="shared" si="58"/>
        <v>472.359999999999</v>
      </c>
      <c r="L740" s="128">
        <v>299.17</v>
      </c>
      <c r="M740" s="115"/>
      <c r="N740" s="116"/>
      <c r="O740" s="117">
        <f t="shared" si="59"/>
        <v>46081</v>
      </c>
      <c r="P740" s="118">
        <f t="shared" si="60"/>
        <v>2</v>
      </c>
      <c r="Q740" s="119">
        <f t="shared" si="61"/>
        <v>299.162283333333</v>
      </c>
      <c r="R740" s="119">
        <f t="shared" si="62"/>
        <v>-0.00771666666673809</v>
      </c>
      <c r="S740" s="120" t="s">
        <v>106</v>
      </c>
      <c r="U740" s="67"/>
      <c r="V740" s="121"/>
      <c r="W740" s="122"/>
      <c r="X740" s="63"/>
      <c r="Y740" s="63"/>
      <c r="Z740" s="63"/>
      <c r="AA740" s="63"/>
    </row>
    <row r="741" s="59" customFormat="1" ht="16.5" outlineLevel="7" spans="1:27">
      <c r="A741" s="79"/>
      <c r="B741" s="123" t="s">
        <v>196</v>
      </c>
      <c r="C741" s="124">
        <v>200005</v>
      </c>
      <c r="D741" s="125" t="s">
        <v>736</v>
      </c>
      <c r="E741" s="126">
        <v>44231</v>
      </c>
      <c r="F741" s="111">
        <v>60</v>
      </c>
      <c r="G741" s="127">
        <v>0.05</v>
      </c>
      <c r="H741" s="128">
        <v>5888</v>
      </c>
      <c r="I741" s="113">
        <v>5593.6</v>
      </c>
      <c r="J741" s="113">
        <v>0</v>
      </c>
      <c r="K741" s="114">
        <f t="shared" si="58"/>
        <v>294.4</v>
      </c>
      <c r="L741" s="128">
        <v>186.45</v>
      </c>
      <c r="M741" s="115"/>
      <c r="N741" s="116"/>
      <c r="O741" s="117">
        <f t="shared" si="59"/>
        <v>46081</v>
      </c>
      <c r="P741" s="118">
        <f t="shared" si="60"/>
        <v>2</v>
      </c>
      <c r="Q741" s="119">
        <f t="shared" si="61"/>
        <v>186.453333333333</v>
      </c>
      <c r="R741" s="119">
        <f t="shared" si="62"/>
        <v>0.0033333333333303</v>
      </c>
      <c r="S741" s="120" t="s">
        <v>106</v>
      </c>
      <c r="U741" s="67"/>
      <c r="V741" s="121"/>
      <c r="W741" s="122"/>
      <c r="X741" s="63"/>
      <c r="Y741" s="63"/>
      <c r="Z741" s="63"/>
      <c r="AA741" s="63"/>
    </row>
    <row r="742" s="59" customFormat="1" ht="16.5" outlineLevel="7" spans="1:27">
      <c r="A742" s="79"/>
      <c r="B742" s="123" t="s">
        <v>196</v>
      </c>
      <c r="C742" s="124">
        <v>200007</v>
      </c>
      <c r="D742" s="125" t="s">
        <v>734</v>
      </c>
      <c r="E742" s="126">
        <v>44369</v>
      </c>
      <c r="F742" s="111">
        <v>60</v>
      </c>
      <c r="G742" s="127">
        <v>0.05</v>
      </c>
      <c r="H742" s="128">
        <v>77433.63</v>
      </c>
      <c r="I742" s="113">
        <v>71109.88</v>
      </c>
      <c r="J742" s="113">
        <v>0</v>
      </c>
      <c r="K742" s="114">
        <f t="shared" si="58"/>
        <v>6323.75</v>
      </c>
      <c r="L742" s="128">
        <v>4904.14</v>
      </c>
      <c r="M742" s="115"/>
      <c r="N742" s="116"/>
      <c r="O742" s="117">
        <f t="shared" si="59"/>
        <v>46203</v>
      </c>
      <c r="P742" s="118">
        <f t="shared" si="60"/>
        <v>4</v>
      </c>
      <c r="Q742" s="119">
        <f t="shared" si="61"/>
        <v>4904.1299</v>
      </c>
      <c r="R742" s="119">
        <f t="shared" si="62"/>
        <v>-0.0101000000004206</v>
      </c>
      <c r="S742" s="120" t="s">
        <v>106</v>
      </c>
      <c r="U742" s="67"/>
      <c r="V742" s="121"/>
      <c r="W742" s="122"/>
      <c r="X742" s="63"/>
      <c r="Y742" s="63"/>
      <c r="Z742" s="63"/>
      <c r="AA742" s="63"/>
    </row>
    <row r="743" s="59" customFormat="1" ht="16.5" outlineLevel="7" spans="1:27">
      <c r="A743" s="79"/>
      <c r="B743" s="123" t="s">
        <v>196</v>
      </c>
      <c r="C743" s="124">
        <v>200008</v>
      </c>
      <c r="D743" s="125" t="s">
        <v>734</v>
      </c>
      <c r="E743" s="126">
        <v>44545</v>
      </c>
      <c r="F743" s="111">
        <v>60</v>
      </c>
      <c r="G743" s="127">
        <v>0.05</v>
      </c>
      <c r="H743" s="128">
        <v>87168.14</v>
      </c>
      <c r="I743" s="113">
        <v>71768.41</v>
      </c>
      <c r="J743" s="113">
        <v>0</v>
      </c>
      <c r="K743" s="114">
        <f t="shared" si="58"/>
        <v>15399.73</v>
      </c>
      <c r="L743" s="128">
        <v>5520.66</v>
      </c>
      <c r="M743" s="115"/>
      <c r="N743" s="116"/>
      <c r="O743" s="117">
        <f t="shared" si="59"/>
        <v>46387</v>
      </c>
      <c r="P743" s="118">
        <f t="shared" si="60"/>
        <v>4</v>
      </c>
      <c r="Q743" s="119">
        <f t="shared" si="61"/>
        <v>5520.64886666667</v>
      </c>
      <c r="R743" s="119">
        <f t="shared" si="62"/>
        <v>-0.0111333333334187</v>
      </c>
      <c r="S743" s="120" t="s">
        <v>106</v>
      </c>
      <c r="U743" s="67"/>
      <c r="V743" s="121"/>
      <c r="W743" s="122"/>
      <c r="X743" s="63"/>
      <c r="Y743" s="63"/>
      <c r="Z743" s="63"/>
      <c r="AA743" s="63"/>
    </row>
    <row r="744" s="59" customFormat="1" ht="16.5" outlineLevel="7" spans="1:27">
      <c r="A744" s="79"/>
      <c r="B744" s="123" t="s">
        <v>196</v>
      </c>
      <c r="C744" s="124">
        <v>200012</v>
      </c>
      <c r="D744" s="125" t="s">
        <v>737</v>
      </c>
      <c r="E744" s="126">
        <v>44574</v>
      </c>
      <c r="F744" s="111">
        <v>60</v>
      </c>
      <c r="G744" s="127">
        <v>0.05</v>
      </c>
      <c r="H744" s="128">
        <v>293041.63</v>
      </c>
      <c r="I744" s="113">
        <v>236631.13</v>
      </c>
      <c r="J744" s="113">
        <v>0</v>
      </c>
      <c r="K744" s="114">
        <f t="shared" si="58"/>
        <v>56410.5</v>
      </c>
      <c r="L744" s="128">
        <v>18559.3</v>
      </c>
      <c r="M744" s="115"/>
      <c r="N744" s="116"/>
      <c r="O744" s="117">
        <f t="shared" si="59"/>
        <v>46418</v>
      </c>
      <c r="P744" s="118">
        <f t="shared" si="60"/>
        <v>4</v>
      </c>
      <c r="Q744" s="119">
        <f t="shared" si="61"/>
        <v>18559.3032333333</v>
      </c>
      <c r="R744" s="119">
        <f t="shared" si="62"/>
        <v>0.00323333333290066</v>
      </c>
      <c r="S744" s="120" t="s">
        <v>106</v>
      </c>
      <c r="U744" s="67"/>
      <c r="V744" s="121"/>
      <c r="W744" s="122"/>
      <c r="X744" s="63"/>
      <c r="Y744" s="63"/>
      <c r="Z744" s="63"/>
      <c r="AA744" s="63"/>
    </row>
    <row r="745" s="59" customFormat="1" ht="16.5" outlineLevel="7" spans="1:27">
      <c r="A745" s="79"/>
      <c r="B745" s="107" t="s">
        <v>196</v>
      </c>
      <c r="C745" s="108">
        <v>200013</v>
      </c>
      <c r="D745" s="109" t="s">
        <v>738</v>
      </c>
      <c r="E745" s="110">
        <v>44984</v>
      </c>
      <c r="F745" s="111">
        <v>60</v>
      </c>
      <c r="G745" s="112">
        <v>0.05</v>
      </c>
      <c r="H745" s="113">
        <v>7787.61</v>
      </c>
      <c r="I745" s="113">
        <v>4685.52</v>
      </c>
      <c r="J745" s="113">
        <v>0</v>
      </c>
      <c r="K745" s="114">
        <f t="shared" si="58"/>
        <v>3102.09</v>
      </c>
      <c r="L745" s="113">
        <v>493.22</v>
      </c>
      <c r="M745" s="115"/>
      <c r="N745" s="116"/>
      <c r="O745" s="117">
        <f t="shared" si="59"/>
        <v>46812</v>
      </c>
      <c r="P745" s="118">
        <f t="shared" si="60"/>
        <v>4</v>
      </c>
      <c r="Q745" s="119">
        <f t="shared" si="61"/>
        <v>493.2153</v>
      </c>
      <c r="R745" s="119">
        <f t="shared" si="62"/>
        <v>-0.00470000000007076</v>
      </c>
      <c r="S745" s="120" t="s">
        <v>106</v>
      </c>
      <c r="U745" s="67"/>
      <c r="V745" s="121"/>
      <c r="W745" s="122"/>
      <c r="X745" s="63"/>
      <c r="Y745" s="63"/>
      <c r="Z745" s="63"/>
      <c r="AA745" s="63"/>
    </row>
    <row r="746" s="59" customFormat="1" ht="16.5" outlineLevel="7" spans="1:27">
      <c r="A746" s="79"/>
      <c r="B746" s="107" t="s">
        <v>196</v>
      </c>
      <c r="C746" s="108">
        <v>200014</v>
      </c>
      <c r="D746" s="109" t="s">
        <v>740</v>
      </c>
      <c r="E746" s="110">
        <v>45001</v>
      </c>
      <c r="F746" s="111">
        <v>60</v>
      </c>
      <c r="G746" s="112">
        <v>0.05</v>
      </c>
      <c r="H746" s="113">
        <v>5132.74</v>
      </c>
      <c r="I746" s="113">
        <v>3006.99</v>
      </c>
      <c r="J746" s="113">
        <v>0</v>
      </c>
      <c r="K746" s="114">
        <f t="shared" si="58"/>
        <v>2125.75</v>
      </c>
      <c r="L746" s="113">
        <v>325.08</v>
      </c>
      <c r="M746" s="115"/>
      <c r="N746" s="116"/>
      <c r="O746" s="117">
        <f t="shared" si="59"/>
        <v>46843</v>
      </c>
      <c r="P746" s="118">
        <f t="shared" si="60"/>
        <v>4</v>
      </c>
      <c r="Q746" s="119">
        <f t="shared" si="61"/>
        <v>325.073533333333</v>
      </c>
      <c r="R746" s="119">
        <f t="shared" si="62"/>
        <v>-0.00646666666671081</v>
      </c>
      <c r="S746" s="120" t="s">
        <v>106</v>
      </c>
      <c r="U746" s="67"/>
      <c r="V746" s="121"/>
      <c r="W746" s="122"/>
      <c r="X746" s="63"/>
      <c r="Y746" s="63"/>
      <c r="Z746" s="63"/>
      <c r="AA746" s="63"/>
    </row>
    <row r="747" s="59" customFormat="1" ht="16.5" outlineLevel="7" spans="1:27">
      <c r="A747" s="79"/>
      <c r="B747" s="123" t="s">
        <v>196</v>
      </c>
      <c r="C747" s="124">
        <v>200015</v>
      </c>
      <c r="D747" s="125" t="s">
        <v>741</v>
      </c>
      <c r="E747" s="126">
        <v>45021</v>
      </c>
      <c r="F747" s="111">
        <v>60</v>
      </c>
      <c r="G747" s="127">
        <v>0.05</v>
      </c>
      <c r="H747" s="128">
        <v>41150.45</v>
      </c>
      <c r="I747" s="113">
        <v>23455.8</v>
      </c>
      <c r="J747" s="113">
        <v>0</v>
      </c>
      <c r="K747" s="114">
        <f t="shared" si="58"/>
        <v>17694.65</v>
      </c>
      <c r="L747" s="128">
        <v>2606.2</v>
      </c>
      <c r="M747" s="115"/>
      <c r="N747" s="116"/>
      <c r="O747" s="117">
        <f t="shared" si="59"/>
        <v>46873</v>
      </c>
      <c r="P747" s="118">
        <f t="shared" si="60"/>
        <v>4</v>
      </c>
      <c r="Q747" s="119">
        <f t="shared" si="61"/>
        <v>2606.19516666667</v>
      </c>
      <c r="R747" s="119">
        <f t="shared" si="62"/>
        <v>-0.00483333333340852</v>
      </c>
      <c r="S747" s="120" t="s">
        <v>106</v>
      </c>
      <c r="U747" s="67"/>
      <c r="V747" s="121"/>
      <c r="W747" s="122"/>
      <c r="X747" s="63"/>
      <c r="Y747" s="63"/>
      <c r="Z747" s="63"/>
      <c r="AA747" s="63"/>
    </row>
    <row r="748" s="59" customFormat="1" ht="16.5" outlineLevel="7" spans="1:27">
      <c r="A748" s="79"/>
      <c r="B748" s="123" t="s">
        <v>196</v>
      </c>
      <c r="C748" s="124">
        <v>200016</v>
      </c>
      <c r="D748" s="125" t="s">
        <v>742</v>
      </c>
      <c r="E748" s="126">
        <v>45033</v>
      </c>
      <c r="F748" s="111">
        <v>60</v>
      </c>
      <c r="G748" s="127">
        <v>0.05</v>
      </c>
      <c r="H748" s="128">
        <v>2876.1</v>
      </c>
      <c r="I748" s="113">
        <v>1639.44</v>
      </c>
      <c r="J748" s="113">
        <v>0</v>
      </c>
      <c r="K748" s="114">
        <f t="shared" si="58"/>
        <v>1236.66</v>
      </c>
      <c r="L748" s="128">
        <v>182.16</v>
      </c>
      <c r="M748" s="115"/>
      <c r="N748" s="116"/>
      <c r="O748" s="117">
        <f t="shared" si="59"/>
        <v>46873</v>
      </c>
      <c r="P748" s="118">
        <f t="shared" si="60"/>
        <v>4</v>
      </c>
      <c r="Q748" s="119">
        <f t="shared" si="61"/>
        <v>182.153</v>
      </c>
      <c r="R748" s="119">
        <f t="shared" si="62"/>
        <v>-0.00700000000003342</v>
      </c>
      <c r="S748" s="120" t="s">
        <v>106</v>
      </c>
      <c r="U748" s="67"/>
      <c r="V748" s="121"/>
      <c r="W748" s="122"/>
      <c r="X748" s="63"/>
      <c r="Y748" s="63"/>
      <c r="Z748" s="63"/>
      <c r="AA748" s="63"/>
    </row>
    <row r="749" s="59" customFormat="1" ht="16.5" outlineLevel="7" spans="1:27">
      <c r="A749" s="79"/>
      <c r="B749" s="123" t="s">
        <v>196</v>
      </c>
      <c r="C749" s="124">
        <v>200017</v>
      </c>
      <c r="D749" s="125" t="s">
        <v>742</v>
      </c>
      <c r="E749" s="126">
        <v>45033</v>
      </c>
      <c r="F749" s="111">
        <v>60</v>
      </c>
      <c r="G749" s="127">
        <v>0.05</v>
      </c>
      <c r="H749" s="128">
        <v>2876.11</v>
      </c>
      <c r="I749" s="113">
        <v>1639.44</v>
      </c>
      <c r="J749" s="113">
        <v>0</v>
      </c>
      <c r="K749" s="114">
        <f t="shared" si="58"/>
        <v>1236.67</v>
      </c>
      <c r="L749" s="128">
        <v>182.16</v>
      </c>
      <c r="M749" s="115"/>
      <c r="N749" s="116"/>
      <c r="O749" s="117">
        <f t="shared" si="59"/>
        <v>46873</v>
      </c>
      <c r="P749" s="118">
        <f t="shared" si="60"/>
        <v>4</v>
      </c>
      <c r="Q749" s="119">
        <f t="shared" si="61"/>
        <v>182.153633333333</v>
      </c>
      <c r="R749" s="119">
        <f t="shared" si="62"/>
        <v>-0.00636666666665064</v>
      </c>
      <c r="S749" s="120" t="s">
        <v>106</v>
      </c>
      <c r="U749" s="67"/>
      <c r="V749" s="121"/>
      <c r="W749" s="122"/>
      <c r="X749" s="63"/>
      <c r="Y749" s="63"/>
      <c r="Z749" s="63"/>
      <c r="AA749" s="63"/>
    </row>
    <row r="750" s="59" customFormat="1" ht="16.5" outlineLevel="7" spans="1:27">
      <c r="A750" s="79"/>
      <c r="B750" s="123" t="s">
        <v>196</v>
      </c>
      <c r="C750" s="124">
        <v>200018</v>
      </c>
      <c r="D750" s="125" t="s">
        <v>743</v>
      </c>
      <c r="E750" s="126">
        <v>45089</v>
      </c>
      <c r="F750" s="111">
        <v>60</v>
      </c>
      <c r="G750" s="127">
        <v>0.05</v>
      </c>
      <c r="H750" s="128">
        <v>4292.04</v>
      </c>
      <c r="I750" s="113">
        <v>2310.61</v>
      </c>
      <c r="J750" s="113">
        <v>0</v>
      </c>
      <c r="K750" s="114">
        <f t="shared" si="58"/>
        <v>1981.43</v>
      </c>
      <c r="L750" s="128">
        <v>271.82</v>
      </c>
      <c r="M750" s="115"/>
      <c r="N750" s="116"/>
      <c r="O750" s="117">
        <f t="shared" si="59"/>
        <v>46934</v>
      </c>
      <c r="P750" s="118">
        <f t="shared" si="60"/>
        <v>4</v>
      </c>
      <c r="Q750" s="119">
        <f t="shared" si="61"/>
        <v>271.8292</v>
      </c>
      <c r="R750" s="119">
        <f t="shared" si="62"/>
        <v>0.00919999999996435</v>
      </c>
      <c r="S750" s="120" t="s">
        <v>106</v>
      </c>
      <c r="U750" s="67"/>
      <c r="V750" s="121"/>
      <c r="W750" s="122"/>
      <c r="X750" s="63"/>
      <c r="Y750" s="63"/>
      <c r="Z750" s="63"/>
      <c r="AA750" s="63"/>
    </row>
    <row r="751" s="59" customFormat="1" ht="16.5" outlineLevel="7" spans="1:27">
      <c r="A751" s="79"/>
      <c r="B751" s="123" t="s">
        <v>196</v>
      </c>
      <c r="C751" s="124">
        <v>200019</v>
      </c>
      <c r="D751" s="125" t="s">
        <v>743</v>
      </c>
      <c r="E751" s="126">
        <v>45089</v>
      </c>
      <c r="F751" s="111">
        <v>60</v>
      </c>
      <c r="G751" s="127">
        <v>0.05</v>
      </c>
      <c r="H751" s="128">
        <v>4292.03</v>
      </c>
      <c r="I751" s="113">
        <v>2310.6</v>
      </c>
      <c r="J751" s="113">
        <v>0</v>
      </c>
      <c r="K751" s="114">
        <f t="shared" si="58"/>
        <v>1981.43</v>
      </c>
      <c r="L751" s="128">
        <v>271.82</v>
      </c>
      <c r="M751" s="115"/>
      <c r="N751" s="116"/>
      <c r="O751" s="117">
        <f t="shared" si="59"/>
        <v>46934</v>
      </c>
      <c r="P751" s="118">
        <f t="shared" si="60"/>
        <v>4</v>
      </c>
      <c r="Q751" s="119">
        <f t="shared" si="61"/>
        <v>271.828566666667</v>
      </c>
      <c r="R751" s="119">
        <f t="shared" si="62"/>
        <v>0.00856666666663841</v>
      </c>
      <c r="S751" s="120" t="s">
        <v>106</v>
      </c>
      <c r="U751" s="67"/>
      <c r="V751" s="121"/>
      <c r="W751" s="122"/>
      <c r="X751" s="63"/>
      <c r="Y751" s="63"/>
      <c r="Z751" s="63"/>
      <c r="AA751" s="63"/>
    </row>
    <row r="752" s="59" customFormat="1" ht="16.5" outlineLevel="7" spans="1:27">
      <c r="A752" s="79"/>
      <c r="B752" s="107" t="s">
        <v>196</v>
      </c>
      <c r="C752" s="108">
        <v>200020</v>
      </c>
      <c r="D752" s="109" t="s">
        <v>744</v>
      </c>
      <c r="E752" s="110">
        <v>45114</v>
      </c>
      <c r="F752" s="111">
        <v>60</v>
      </c>
      <c r="G752" s="112">
        <v>0.05</v>
      </c>
      <c r="H752" s="113">
        <v>44247.79</v>
      </c>
      <c r="I752" s="113">
        <v>23119.47</v>
      </c>
      <c r="J752" s="113">
        <v>0</v>
      </c>
      <c r="K752" s="114">
        <f t="shared" si="58"/>
        <v>21128.32</v>
      </c>
      <c r="L752" s="113">
        <v>2802.36</v>
      </c>
      <c r="M752" s="115"/>
      <c r="N752" s="116"/>
      <c r="O752" s="117">
        <f t="shared" si="59"/>
        <v>46965</v>
      </c>
      <c r="P752" s="118">
        <f t="shared" si="60"/>
        <v>4</v>
      </c>
      <c r="Q752" s="119">
        <f t="shared" si="61"/>
        <v>2802.36003333333</v>
      </c>
      <c r="R752" s="119">
        <f t="shared" si="62"/>
        <v>3.33333327944274e-5</v>
      </c>
      <c r="S752" s="120" t="s">
        <v>106</v>
      </c>
      <c r="U752" s="67"/>
      <c r="V752" s="121"/>
      <c r="W752" s="122"/>
      <c r="X752" s="63"/>
      <c r="Y752" s="63"/>
      <c r="Z752" s="63"/>
      <c r="AA752" s="63"/>
    </row>
    <row r="753" s="59" customFormat="1" ht="16.5" outlineLevel="7" spans="1:27">
      <c r="A753" s="79"/>
      <c r="B753" s="107" t="s">
        <v>196</v>
      </c>
      <c r="C753" s="108">
        <v>200021</v>
      </c>
      <c r="D753" s="109" t="s">
        <v>746</v>
      </c>
      <c r="E753" s="110">
        <v>45114</v>
      </c>
      <c r="F753" s="111">
        <v>60</v>
      </c>
      <c r="G753" s="112">
        <v>0.05</v>
      </c>
      <c r="H753" s="113">
        <v>3185.84</v>
      </c>
      <c r="I753" s="113">
        <v>1664.54</v>
      </c>
      <c r="J753" s="113">
        <v>0</v>
      </c>
      <c r="K753" s="114">
        <f t="shared" si="58"/>
        <v>1521.3</v>
      </c>
      <c r="L753" s="113">
        <v>201.78</v>
      </c>
      <c r="M753" s="115"/>
      <c r="N753" s="116"/>
      <c r="O753" s="117">
        <f t="shared" si="59"/>
        <v>46965</v>
      </c>
      <c r="P753" s="118">
        <f t="shared" si="60"/>
        <v>4</v>
      </c>
      <c r="Q753" s="119">
        <f t="shared" si="61"/>
        <v>201.769866666667</v>
      </c>
      <c r="R753" s="119">
        <f t="shared" si="62"/>
        <v>-0.0101333333333571</v>
      </c>
      <c r="S753" s="120" t="s">
        <v>106</v>
      </c>
      <c r="U753" s="67"/>
      <c r="V753" s="121"/>
      <c r="W753" s="122"/>
      <c r="X753" s="63"/>
      <c r="Y753" s="63"/>
      <c r="Z753" s="63"/>
      <c r="AA753" s="63"/>
    </row>
    <row r="754" s="59" customFormat="1" ht="16.5" outlineLevel="7" spans="1:27">
      <c r="A754" s="79"/>
      <c r="B754" s="123" t="s">
        <v>196</v>
      </c>
      <c r="C754" s="124">
        <v>200022</v>
      </c>
      <c r="D754" s="125" t="s">
        <v>746</v>
      </c>
      <c r="E754" s="126">
        <v>45114</v>
      </c>
      <c r="F754" s="111">
        <v>60</v>
      </c>
      <c r="G754" s="127">
        <v>0.05</v>
      </c>
      <c r="H754" s="128">
        <v>3185.84</v>
      </c>
      <c r="I754" s="113">
        <v>1664.54</v>
      </c>
      <c r="J754" s="113">
        <v>0</v>
      </c>
      <c r="K754" s="114">
        <f t="shared" si="58"/>
        <v>1521.3</v>
      </c>
      <c r="L754" s="128">
        <v>201.78</v>
      </c>
      <c r="M754" s="115"/>
      <c r="N754" s="116"/>
      <c r="O754" s="117">
        <f t="shared" si="59"/>
        <v>46965</v>
      </c>
      <c r="P754" s="118">
        <f t="shared" si="60"/>
        <v>4</v>
      </c>
      <c r="Q754" s="119">
        <f t="shared" si="61"/>
        <v>201.769866666667</v>
      </c>
      <c r="R754" s="119">
        <f t="shared" si="62"/>
        <v>-0.0101333333333571</v>
      </c>
      <c r="S754" s="120" t="s">
        <v>106</v>
      </c>
      <c r="U754" s="67"/>
      <c r="V754" s="121"/>
      <c r="W754" s="122"/>
      <c r="X754" s="63"/>
      <c r="Y754" s="63"/>
      <c r="Z754" s="63"/>
      <c r="AA754" s="63"/>
    </row>
    <row r="755" s="59" customFormat="1" ht="16.5" outlineLevel="7" spans="1:27">
      <c r="A755" s="79"/>
      <c r="B755" s="123" t="s">
        <v>196</v>
      </c>
      <c r="C755" s="124">
        <v>200023</v>
      </c>
      <c r="D755" s="125" t="s">
        <v>725</v>
      </c>
      <c r="E755" s="126">
        <v>45112</v>
      </c>
      <c r="F755" s="111">
        <v>60</v>
      </c>
      <c r="G755" s="127">
        <v>0.05</v>
      </c>
      <c r="H755" s="128">
        <v>44070.8</v>
      </c>
      <c r="I755" s="113">
        <v>23027.07</v>
      </c>
      <c r="J755" s="113">
        <v>0</v>
      </c>
      <c r="K755" s="114">
        <f t="shared" si="58"/>
        <v>21043.73</v>
      </c>
      <c r="L755" s="128">
        <v>2791.16</v>
      </c>
      <c r="M755" s="115"/>
      <c r="N755" s="116"/>
      <c r="O755" s="117">
        <f t="shared" si="59"/>
        <v>46965</v>
      </c>
      <c r="P755" s="118">
        <f t="shared" si="60"/>
        <v>4</v>
      </c>
      <c r="Q755" s="119">
        <f t="shared" si="61"/>
        <v>2791.15066666667</v>
      </c>
      <c r="R755" s="119">
        <f t="shared" si="62"/>
        <v>-0.00933333333296105</v>
      </c>
      <c r="S755" s="120" t="s">
        <v>106</v>
      </c>
      <c r="U755" s="67"/>
      <c r="V755" s="121"/>
      <c r="W755" s="122"/>
      <c r="X755" s="63"/>
      <c r="Y755" s="63"/>
      <c r="Z755" s="63"/>
      <c r="AA755" s="63"/>
    </row>
    <row r="756" s="59" customFormat="1" ht="16.5" outlineLevel="7" spans="1:27">
      <c r="A756" s="79"/>
      <c r="B756" s="123" t="s">
        <v>196</v>
      </c>
      <c r="C756" s="124">
        <v>200024</v>
      </c>
      <c r="D756" s="125" t="s">
        <v>725</v>
      </c>
      <c r="E756" s="126">
        <v>45138</v>
      </c>
      <c r="F756" s="111">
        <v>60</v>
      </c>
      <c r="G756" s="127">
        <v>0.05</v>
      </c>
      <c r="H756" s="128">
        <v>35398.23</v>
      </c>
      <c r="I756" s="113">
        <v>18495.51</v>
      </c>
      <c r="J756" s="113">
        <v>0</v>
      </c>
      <c r="K756" s="114">
        <f t="shared" si="58"/>
        <v>16902.72</v>
      </c>
      <c r="L756" s="128">
        <v>2241.88</v>
      </c>
      <c r="M756" s="115"/>
      <c r="N756" s="116"/>
      <c r="O756" s="117">
        <f t="shared" si="59"/>
        <v>46965</v>
      </c>
      <c r="P756" s="118">
        <f t="shared" si="60"/>
        <v>4</v>
      </c>
      <c r="Q756" s="119">
        <f t="shared" si="61"/>
        <v>2241.8879</v>
      </c>
      <c r="R756" s="119">
        <f t="shared" si="62"/>
        <v>0.0079000000000633</v>
      </c>
      <c r="S756" s="120" t="s">
        <v>106</v>
      </c>
      <c r="U756" s="67"/>
      <c r="V756" s="121"/>
      <c r="W756" s="122"/>
      <c r="X756" s="63"/>
      <c r="Y756" s="63"/>
      <c r="Z756" s="63"/>
      <c r="AA756" s="63"/>
    </row>
    <row r="757" s="59" customFormat="1" ht="16.5" outlineLevel="7" spans="1:27">
      <c r="A757" s="79"/>
      <c r="B757" s="123" t="s">
        <v>196</v>
      </c>
      <c r="C757" s="124">
        <v>200025</v>
      </c>
      <c r="D757" s="125" t="s">
        <v>750</v>
      </c>
      <c r="E757" s="126">
        <v>45138</v>
      </c>
      <c r="F757" s="111">
        <v>60</v>
      </c>
      <c r="G757" s="127">
        <v>0.05</v>
      </c>
      <c r="H757" s="128">
        <v>12345.13</v>
      </c>
      <c r="I757" s="113">
        <v>6450.32</v>
      </c>
      <c r="J757" s="113">
        <v>0</v>
      </c>
      <c r="K757" s="114">
        <f t="shared" si="58"/>
        <v>5894.81</v>
      </c>
      <c r="L757" s="128">
        <v>781.86</v>
      </c>
      <c r="M757" s="115"/>
      <c r="N757" s="116"/>
      <c r="O757" s="117">
        <f t="shared" si="59"/>
        <v>46965</v>
      </c>
      <c r="P757" s="118">
        <f t="shared" si="60"/>
        <v>4</v>
      </c>
      <c r="Q757" s="119">
        <f t="shared" si="61"/>
        <v>781.858233333333</v>
      </c>
      <c r="R757" s="119">
        <f t="shared" si="62"/>
        <v>-0.00176666666686742</v>
      </c>
      <c r="S757" s="120" t="s">
        <v>106</v>
      </c>
      <c r="U757" s="67"/>
      <c r="V757" s="121"/>
      <c r="W757" s="122"/>
      <c r="X757" s="63"/>
      <c r="Y757" s="63"/>
      <c r="Z757" s="63"/>
      <c r="AA757" s="63"/>
    </row>
    <row r="758" s="59" customFormat="1" ht="16.5" outlineLevel="7" spans="1:27">
      <c r="A758" s="79"/>
      <c r="B758" s="123" t="s">
        <v>196</v>
      </c>
      <c r="C758" s="124">
        <v>200026</v>
      </c>
      <c r="D758" s="125" t="s">
        <v>725</v>
      </c>
      <c r="E758" s="126">
        <v>45139</v>
      </c>
      <c r="F758" s="111">
        <v>60</v>
      </c>
      <c r="G758" s="127">
        <v>0.05</v>
      </c>
      <c r="H758" s="128">
        <v>12212.39</v>
      </c>
      <c r="I758" s="113">
        <v>6380.92</v>
      </c>
      <c r="J758" s="113">
        <v>0</v>
      </c>
      <c r="K758" s="114">
        <f t="shared" si="58"/>
        <v>5831.47</v>
      </c>
      <c r="L758" s="128">
        <v>773.46</v>
      </c>
      <c r="M758" s="115"/>
      <c r="N758" s="116"/>
      <c r="O758" s="117">
        <f t="shared" si="59"/>
        <v>46996</v>
      </c>
      <c r="P758" s="118">
        <f t="shared" si="60"/>
        <v>4</v>
      </c>
      <c r="Q758" s="119">
        <f t="shared" si="61"/>
        <v>773.451366666667</v>
      </c>
      <c r="R758" s="119">
        <f t="shared" si="62"/>
        <v>-0.00863333333347782</v>
      </c>
      <c r="S758" s="120" t="s">
        <v>106</v>
      </c>
      <c r="U758" s="67"/>
      <c r="V758" s="121"/>
      <c r="W758" s="122"/>
      <c r="X758" s="63"/>
      <c r="Y758" s="63"/>
      <c r="Z758" s="63"/>
      <c r="AA758" s="63"/>
    </row>
    <row r="759" s="59" customFormat="1" ht="16.5" outlineLevel="7" spans="1:27">
      <c r="A759" s="79"/>
      <c r="B759" s="107" t="s">
        <v>193</v>
      </c>
      <c r="C759" s="108">
        <v>300053</v>
      </c>
      <c r="D759" s="109" t="s">
        <v>753</v>
      </c>
      <c r="E759" s="110">
        <v>44536</v>
      </c>
      <c r="F759" s="111">
        <v>60</v>
      </c>
      <c r="G759" s="112">
        <v>0.05</v>
      </c>
      <c r="H759" s="113">
        <v>48672.57</v>
      </c>
      <c r="I759" s="113">
        <v>40073.78</v>
      </c>
      <c r="J759" s="113">
        <v>0</v>
      </c>
      <c r="K759" s="114">
        <f t="shared" si="58"/>
        <v>8598.79</v>
      </c>
      <c r="L759" s="113">
        <v>3082.58</v>
      </c>
      <c r="M759" s="115"/>
      <c r="N759" s="116"/>
      <c r="O759" s="117">
        <f t="shared" si="59"/>
        <v>46387</v>
      </c>
      <c r="P759" s="118">
        <f t="shared" si="60"/>
        <v>4</v>
      </c>
      <c r="Q759" s="119">
        <f t="shared" si="61"/>
        <v>3082.5961</v>
      </c>
      <c r="R759" s="119">
        <f t="shared" si="62"/>
        <v>0.0161000000002787</v>
      </c>
      <c r="S759" s="120" t="s">
        <v>106</v>
      </c>
      <c r="U759" s="67"/>
      <c r="V759" s="121"/>
      <c r="W759" s="122"/>
      <c r="X759" s="63"/>
      <c r="Y759" s="63"/>
      <c r="Z759" s="63"/>
      <c r="AA759" s="63"/>
    </row>
    <row r="760" s="59" customFormat="1" ht="16.5" outlineLevel="7" spans="1:27">
      <c r="A760" s="79"/>
      <c r="B760" s="107" t="s">
        <v>193</v>
      </c>
      <c r="C760" s="108">
        <v>300054</v>
      </c>
      <c r="D760" s="109" t="s">
        <v>754</v>
      </c>
      <c r="E760" s="110">
        <v>44536</v>
      </c>
      <c r="F760" s="111">
        <v>60</v>
      </c>
      <c r="G760" s="112">
        <v>0.05</v>
      </c>
      <c r="H760" s="113">
        <v>18053.1</v>
      </c>
      <c r="I760" s="113">
        <v>14863.68</v>
      </c>
      <c r="J760" s="113">
        <v>0</v>
      </c>
      <c r="K760" s="114">
        <f t="shared" si="58"/>
        <v>3189.42</v>
      </c>
      <c r="L760" s="113">
        <v>1143.36</v>
      </c>
      <c r="M760" s="115"/>
      <c r="N760" s="116"/>
      <c r="O760" s="117">
        <f t="shared" si="59"/>
        <v>46387</v>
      </c>
      <c r="P760" s="118">
        <f t="shared" si="60"/>
        <v>4</v>
      </c>
      <c r="Q760" s="119">
        <f t="shared" si="61"/>
        <v>1143.363</v>
      </c>
      <c r="R760" s="119">
        <f t="shared" si="62"/>
        <v>0.00299999999992906</v>
      </c>
      <c r="S760" s="120" t="s">
        <v>106</v>
      </c>
      <c r="U760" s="67"/>
      <c r="V760" s="121"/>
      <c r="W760" s="122"/>
      <c r="X760" s="63"/>
      <c r="Y760" s="63"/>
      <c r="Z760" s="63"/>
      <c r="AA760" s="63"/>
    </row>
    <row r="761" s="59" customFormat="1" ht="16.5" outlineLevel="7" spans="1:27">
      <c r="A761" s="79"/>
      <c r="B761" s="123" t="s">
        <v>193</v>
      </c>
      <c r="C761" s="124">
        <v>300055</v>
      </c>
      <c r="D761" s="125" t="s">
        <v>755</v>
      </c>
      <c r="E761" s="126">
        <v>44536</v>
      </c>
      <c r="F761" s="111">
        <v>60</v>
      </c>
      <c r="G761" s="127">
        <v>0.05</v>
      </c>
      <c r="H761" s="128">
        <v>16417.7</v>
      </c>
      <c r="I761" s="113">
        <v>13517.25</v>
      </c>
      <c r="J761" s="113">
        <v>0</v>
      </c>
      <c r="K761" s="114">
        <f t="shared" si="58"/>
        <v>2900.45</v>
      </c>
      <c r="L761" s="128">
        <v>1039.78</v>
      </c>
      <c r="M761" s="115"/>
      <c r="N761" s="116"/>
      <c r="O761" s="117">
        <f t="shared" si="59"/>
        <v>46387</v>
      </c>
      <c r="P761" s="118">
        <f t="shared" si="60"/>
        <v>4</v>
      </c>
      <c r="Q761" s="119">
        <f t="shared" si="61"/>
        <v>1039.78766666667</v>
      </c>
      <c r="R761" s="119">
        <f t="shared" si="62"/>
        <v>0.00766666666663696</v>
      </c>
      <c r="S761" s="120" t="s">
        <v>106</v>
      </c>
      <c r="U761" s="67"/>
      <c r="V761" s="121"/>
      <c r="W761" s="122"/>
      <c r="X761" s="63"/>
      <c r="Y761" s="63"/>
      <c r="Z761" s="63"/>
      <c r="AA761" s="63"/>
    </row>
    <row r="762" s="59" customFormat="1" ht="16.5" outlineLevel="7" spans="1:27">
      <c r="A762" s="79"/>
      <c r="B762" s="123" t="s">
        <v>193</v>
      </c>
      <c r="C762" s="124">
        <v>300056</v>
      </c>
      <c r="D762" s="125" t="s">
        <v>377</v>
      </c>
      <c r="E762" s="126">
        <v>44536</v>
      </c>
      <c r="F762" s="111">
        <v>60</v>
      </c>
      <c r="G762" s="127">
        <v>0.05</v>
      </c>
      <c r="H762" s="128">
        <v>5566.37</v>
      </c>
      <c r="I762" s="113">
        <v>4582.97</v>
      </c>
      <c r="J762" s="113">
        <v>0</v>
      </c>
      <c r="K762" s="114">
        <f t="shared" si="58"/>
        <v>983.4</v>
      </c>
      <c r="L762" s="128">
        <v>352.54</v>
      </c>
      <c r="M762" s="115"/>
      <c r="N762" s="116"/>
      <c r="O762" s="117">
        <f t="shared" si="59"/>
        <v>46387</v>
      </c>
      <c r="P762" s="118">
        <f t="shared" si="60"/>
        <v>4</v>
      </c>
      <c r="Q762" s="119">
        <f t="shared" si="61"/>
        <v>352.536766666667</v>
      </c>
      <c r="R762" s="119">
        <f t="shared" si="62"/>
        <v>-0.0032333333333554</v>
      </c>
      <c r="S762" s="120" t="s">
        <v>106</v>
      </c>
      <c r="U762" s="67"/>
      <c r="V762" s="121"/>
      <c r="W762" s="122"/>
      <c r="X762" s="63"/>
      <c r="Y762" s="63"/>
      <c r="Z762" s="63"/>
      <c r="AA762" s="63"/>
    </row>
    <row r="763" s="59" customFormat="1" ht="16.5" outlineLevel="7" spans="1:27">
      <c r="A763" s="79"/>
      <c r="B763" s="123" t="s">
        <v>193</v>
      </c>
      <c r="C763" s="124">
        <v>300057</v>
      </c>
      <c r="D763" s="125" t="s">
        <v>756</v>
      </c>
      <c r="E763" s="126">
        <v>44536</v>
      </c>
      <c r="F763" s="111">
        <v>60</v>
      </c>
      <c r="G763" s="127">
        <v>0.05</v>
      </c>
      <c r="H763" s="128">
        <v>14380.53</v>
      </c>
      <c r="I763" s="113">
        <v>11839.94</v>
      </c>
      <c r="J763" s="113">
        <v>0</v>
      </c>
      <c r="K763" s="114">
        <f t="shared" si="58"/>
        <v>2540.59</v>
      </c>
      <c r="L763" s="128">
        <v>910.78</v>
      </c>
      <c r="M763" s="115"/>
      <c r="N763" s="116"/>
      <c r="O763" s="117">
        <f t="shared" si="59"/>
        <v>46387</v>
      </c>
      <c r="P763" s="118">
        <f t="shared" si="60"/>
        <v>4</v>
      </c>
      <c r="Q763" s="119">
        <f t="shared" si="61"/>
        <v>910.7669</v>
      </c>
      <c r="R763" s="119">
        <f t="shared" si="62"/>
        <v>-0.0130999999998949</v>
      </c>
      <c r="S763" s="120" t="s">
        <v>106</v>
      </c>
      <c r="U763" s="67"/>
      <c r="V763" s="121"/>
      <c r="W763" s="122"/>
      <c r="X763" s="63"/>
      <c r="Y763" s="63"/>
      <c r="Z763" s="63"/>
      <c r="AA763" s="63"/>
    </row>
    <row r="764" s="59" customFormat="1" ht="16.5" outlineLevel="7" spans="1:27">
      <c r="A764" s="79"/>
      <c r="B764" s="123" t="s">
        <v>193</v>
      </c>
      <c r="C764" s="124">
        <v>300058</v>
      </c>
      <c r="D764" s="125" t="s">
        <v>757</v>
      </c>
      <c r="E764" s="126">
        <v>44517</v>
      </c>
      <c r="F764" s="111">
        <v>60</v>
      </c>
      <c r="G764" s="127">
        <v>0.05</v>
      </c>
      <c r="H764" s="128">
        <v>23539.82</v>
      </c>
      <c r="I764" s="113">
        <v>19753.83</v>
      </c>
      <c r="J764" s="113">
        <v>0</v>
      </c>
      <c r="K764" s="114">
        <f t="shared" si="58"/>
        <v>3785.99</v>
      </c>
      <c r="L764" s="128">
        <v>1490.86</v>
      </c>
      <c r="M764" s="115"/>
      <c r="N764" s="116"/>
      <c r="O764" s="117">
        <f t="shared" si="59"/>
        <v>46356</v>
      </c>
      <c r="P764" s="118">
        <f t="shared" si="60"/>
        <v>4</v>
      </c>
      <c r="Q764" s="119">
        <f t="shared" si="61"/>
        <v>1490.85526666667</v>
      </c>
      <c r="R764" s="119">
        <f t="shared" si="62"/>
        <v>-0.00473333333343362</v>
      </c>
      <c r="S764" s="120" t="s">
        <v>106</v>
      </c>
      <c r="U764" s="67"/>
      <c r="V764" s="121"/>
      <c r="W764" s="122"/>
      <c r="X764" s="63"/>
      <c r="Y764" s="63"/>
      <c r="Z764" s="63"/>
      <c r="AA764" s="63"/>
    </row>
    <row r="765" s="59" customFormat="1" ht="16.5" outlineLevel="7" spans="1:27">
      <c r="A765" s="79"/>
      <c r="B765" s="123" t="s">
        <v>193</v>
      </c>
      <c r="C765" s="124">
        <v>300060</v>
      </c>
      <c r="D765" s="125" t="s">
        <v>758</v>
      </c>
      <c r="E765" s="126">
        <v>44670</v>
      </c>
      <c r="F765" s="111">
        <v>60</v>
      </c>
      <c r="G765" s="127">
        <v>0.05</v>
      </c>
      <c r="H765" s="128">
        <v>2113.27</v>
      </c>
      <c r="I765" s="113">
        <v>1606.08</v>
      </c>
      <c r="J765" s="113">
        <v>0</v>
      </c>
      <c r="K765" s="114">
        <f t="shared" si="58"/>
        <v>507.19</v>
      </c>
      <c r="L765" s="128">
        <v>133.84</v>
      </c>
      <c r="M765" s="115"/>
      <c r="N765" s="116"/>
      <c r="O765" s="117">
        <f t="shared" si="59"/>
        <v>46507</v>
      </c>
      <c r="P765" s="118">
        <f t="shared" si="60"/>
        <v>4</v>
      </c>
      <c r="Q765" s="119">
        <f t="shared" si="61"/>
        <v>133.840433333333</v>
      </c>
      <c r="R765" s="119">
        <f t="shared" si="62"/>
        <v>0.000433333333319297</v>
      </c>
      <c r="S765" s="120" t="s">
        <v>106</v>
      </c>
      <c r="U765" s="67"/>
      <c r="V765" s="121"/>
      <c r="W765" s="122"/>
      <c r="X765" s="63"/>
      <c r="Y765" s="63"/>
      <c r="Z765" s="63"/>
      <c r="AA765" s="63"/>
    </row>
    <row r="766" s="59" customFormat="1" ht="16.5" outlineLevel="7" spans="1:27">
      <c r="A766" s="79"/>
      <c r="B766" s="107" t="s">
        <v>193</v>
      </c>
      <c r="C766" s="108">
        <v>300061</v>
      </c>
      <c r="D766" s="109" t="s">
        <v>759</v>
      </c>
      <c r="E766" s="110">
        <v>44709</v>
      </c>
      <c r="F766" s="111">
        <v>36</v>
      </c>
      <c r="G766" s="112">
        <v>0.05</v>
      </c>
      <c r="H766" s="113">
        <v>1061.06</v>
      </c>
      <c r="I766" s="113">
        <v>1008.01</v>
      </c>
      <c r="J766" s="113">
        <v>0</v>
      </c>
      <c r="K766" s="114">
        <f t="shared" si="58"/>
        <v>53.05</v>
      </c>
      <c r="L766" s="113">
        <v>0</v>
      </c>
      <c r="M766" s="115"/>
      <c r="N766" s="116"/>
      <c r="O766" s="117">
        <f t="shared" si="59"/>
        <v>45808</v>
      </c>
      <c r="P766" s="118">
        <f t="shared" si="60"/>
        <v>0</v>
      </c>
      <c r="Q766" s="119">
        <f t="shared" si="61"/>
        <v>0</v>
      </c>
      <c r="R766" s="119">
        <f t="shared" si="62"/>
        <v>0</v>
      </c>
      <c r="S766" s="120" t="s">
        <v>106</v>
      </c>
      <c r="U766" s="67"/>
      <c r="V766" s="121"/>
      <c r="W766" s="122"/>
      <c r="X766" s="63"/>
      <c r="Y766" s="63"/>
      <c r="Z766" s="63"/>
      <c r="AA766" s="63"/>
    </row>
    <row r="767" s="59" customFormat="1" ht="16.5" outlineLevel="7" spans="1:27">
      <c r="A767" s="79"/>
      <c r="B767" s="107" t="s">
        <v>193</v>
      </c>
      <c r="C767" s="108">
        <v>300062</v>
      </c>
      <c r="D767" s="109" t="s">
        <v>453</v>
      </c>
      <c r="E767" s="110">
        <v>44735</v>
      </c>
      <c r="F767" s="111">
        <v>60</v>
      </c>
      <c r="G767" s="112">
        <v>0.05</v>
      </c>
      <c r="H767" s="113">
        <v>610.62</v>
      </c>
      <c r="I767" s="113">
        <v>444.78</v>
      </c>
      <c r="J767" s="113">
        <v>0</v>
      </c>
      <c r="K767" s="114">
        <f t="shared" si="58"/>
        <v>165.84</v>
      </c>
      <c r="L767" s="113">
        <v>38.66</v>
      </c>
      <c r="M767" s="115"/>
      <c r="N767" s="116"/>
      <c r="O767" s="117">
        <f t="shared" si="59"/>
        <v>46568</v>
      </c>
      <c r="P767" s="118">
        <f t="shared" si="60"/>
        <v>4</v>
      </c>
      <c r="Q767" s="119">
        <f t="shared" si="61"/>
        <v>38.6726</v>
      </c>
      <c r="R767" s="119">
        <f t="shared" si="62"/>
        <v>0.0125999999999991</v>
      </c>
      <c r="S767" s="120" t="s">
        <v>106</v>
      </c>
      <c r="U767" s="67"/>
      <c r="V767" s="121"/>
      <c r="W767" s="122"/>
      <c r="X767" s="63"/>
      <c r="Y767" s="63"/>
      <c r="Z767" s="63"/>
      <c r="AA767" s="63"/>
    </row>
    <row r="768" s="59" customFormat="1" ht="16.5" outlineLevel="7" spans="1:27">
      <c r="A768" s="79"/>
      <c r="B768" s="123" t="s">
        <v>193</v>
      </c>
      <c r="C768" s="124">
        <v>300072</v>
      </c>
      <c r="D768" s="125" t="s">
        <v>760</v>
      </c>
      <c r="E768" s="126">
        <v>44995</v>
      </c>
      <c r="F768" s="111">
        <v>60</v>
      </c>
      <c r="G768" s="127">
        <v>0.05</v>
      </c>
      <c r="H768" s="128">
        <v>1422.12</v>
      </c>
      <c r="I768" s="113">
        <v>833.17</v>
      </c>
      <c r="J768" s="113">
        <v>0</v>
      </c>
      <c r="K768" s="114">
        <f t="shared" si="58"/>
        <v>588.95</v>
      </c>
      <c r="L768" s="128">
        <v>90.06</v>
      </c>
      <c r="M768" s="115"/>
      <c r="N768" s="116"/>
      <c r="O768" s="117">
        <f t="shared" si="59"/>
        <v>46843</v>
      </c>
      <c r="P768" s="118">
        <f t="shared" si="60"/>
        <v>4</v>
      </c>
      <c r="Q768" s="119">
        <f t="shared" si="61"/>
        <v>90.0676</v>
      </c>
      <c r="R768" s="119">
        <f t="shared" si="62"/>
        <v>0.0075999999999965</v>
      </c>
      <c r="S768" s="120" t="s">
        <v>106</v>
      </c>
      <c r="U768" s="67"/>
      <c r="V768" s="121"/>
      <c r="W768" s="122"/>
      <c r="X768" s="63"/>
      <c r="Y768" s="63"/>
      <c r="Z768" s="63"/>
      <c r="AA768" s="63"/>
    </row>
    <row r="769" s="59" customFormat="1" ht="16.5" outlineLevel="7" spans="1:27">
      <c r="A769" s="79"/>
      <c r="B769" s="123" t="s">
        <v>193</v>
      </c>
      <c r="C769" s="124">
        <v>300073</v>
      </c>
      <c r="D769" s="125" t="s">
        <v>760</v>
      </c>
      <c r="E769" s="126">
        <v>44995</v>
      </c>
      <c r="F769" s="111">
        <v>60</v>
      </c>
      <c r="G769" s="127">
        <v>0.05</v>
      </c>
      <c r="H769" s="128">
        <v>1422.13</v>
      </c>
      <c r="I769" s="113">
        <v>833.18</v>
      </c>
      <c r="J769" s="113">
        <v>0</v>
      </c>
      <c r="K769" s="114">
        <f t="shared" si="58"/>
        <v>588.95</v>
      </c>
      <c r="L769" s="128">
        <v>90.06</v>
      </c>
      <c r="M769" s="115"/>
      <c r="N769" s="116"/>
      <c r="O769" s="117">
        <f t="shared" si="59"/>
        <v>46843</v>
      </c>
      <c r="P769" s="118">
        <f t="shared" si="60"/>
        <v>4</v>
      </c>
      <c r="Q769" s="119">
        <f t="shared" si="61"/>
        <v>90.0682333333333</v>
      </c>
      <c r="R769" s="119">
        <f t="shared" si="62"/>
        <v>0.00823333333333665</v>
      </c>
      <c r="S769" s="120" t="s">
        <v>106</v>
      </c>
      <c r="U769" s="67"/>
      <c r="V769" s="121"/>
      <c r="W769" s="122"/>
      <c r="X769" s="63"/>
      <c r="Y769" s="63"/>
      <c r="Z769" s="63"/>
      <c r="AA769" s="63"/>
    </row>
    <row r="770" s="59" customFormat="1" ht="16.5" outlineLevel="7" spans="1:27">
      <c r="A770" s="79"/>
      <c r="B770" s="123" t="s">
        <v>193</v>
      </c>
      <c r="C770" s="124">
        <v>300074</v>
      </c>
      <c r="D770" s="125" t="s">
        <v>761</v>
      </c>
      <c r="E770" s="126">
        <v>45007</v>
      </c>
      <c r="F770" s="111">
        <v>60</v>
      </c>
      <c r="G770" s="127">
        <v>0.05</v>
      </c>
      <c r="H770" s="128">
        <v>1559.29</v>
      </c>
      <c r="I770" s="113">
        <v>913.53</v>
      </c>
      <c r="J770" s="113">
        <v>0</v>
      </c>
      <c r="K770" s="114">
        <f t="shared" si="58"/>
        <v>645.76</v>
      </c>
      <c r="L770" s="128">
        <v>98.76</v>
      </c>
      <c r="M770" s="115"/>
      <c r="N770" s="116"/>
      <c r="O770" s="117">
        <f t="shared" si="59"/>
        <v>46843</v>
      </c>
      <c r="P770" s="118">
        <f t="shared" si="60"/>
        <v>4</v>
      </c>
      <c r="Q770" s="119">
        <f t="shared" si="61"/>
        <v>98.7550333333333</v>
      </c>
      <c r="R770" s="119">
        <f t="shared" si="62"/>
        <v>-0.00496666666667522</v>
      </c>
      <c r="S770" s="120" t="s">
        <v>106</v>
      </c>
      <c r="U770" s="67"/>
      <c r="V770" s="121"/>
      <c r="W770" s="122"/>
      <c r="X770" s="63"/>
      <c r="Y770" s="63"/>
      <c r="Z770" s="63"/>
      <c r="AA770" s="63"/>
    </row>
    <row r="771" s="59" customFormat="1" ht="16.5" outlineLevel="7" spans="1:27">
      <c r="A771" s="79"/>
      <c r="B771" s="123" t="s">
        <v>193</v>
      </c>
      <c r="C771" s="124">
        <v>300075</v>
      </c>
      <c r="D771" s="125" t="s">
        <v>757</v>
      </c>
      <c r="E771" s="126">
        <v>45016</v>
      </c>
      <c r="F771" s="111">
        <v>60</v>
      </c>
      <c r="G771" s="127">
        <v>0.05</v>
      </c>
      <c r="H771" s="128">
        <v>929.2</v>
      </c>
      <c r="I771" s="113">
        <v>544.3</v>
      </c>
      <c r="J771" s="113">
        <v>0</v>
      </c>
      <c r="K771" s="114">
        <f t="shared" si="58"/>
        <v>384.9</v>
      </c>
      <c r="L771" s="128">
        <v>58.86</v>
      </c>
      <c r="M771" s="115"/>
      <c r="N771" s="116"/>
      <c r="O771" s="117">
        <f t="shared" si="59"/>
        <v>46843</v>
      </c>
      <c r="P771" s="118">
        <f t="shared" si="60"/>
        <v>4</v>
      </c>
      <c r="Q771" s="119">
        <f t="shared" si="61"/>
        <v>58.8493333333333</v>
      </c>
      <c r="R771" s="119">
        <f t="shared" si="62"/>
        <v>-0.0106666666666655</v>
      </c>
      <c r="S771" s="120" t="s">
        <v>106</v>
      </c>
      <c r="U771" s="67"/>
      <c r="V771" s="121"/>
      <c r="W771" s="122"/>
      <c r="X771" s="63"/>
      <c r="Y771" s="63"/>
      <c r="Z771" s="63"/>
      <c r="AA771" s="63"/>
    </row>
    <row r="772" s="59" customFormat="1" ht="16.5" outlineLevel="7" spans="1:27">
      <c r="A772" s="79"/>
      <c r="B772" s="123" t="s">
        <v>193</v>
      </c>
      <c r="C772" s="124">
        <v>300076</v>
      </c>
      <c r="D772" s="125" t="s">
        <v>762</v>
      </c>
      <c r="E772" s="126">
        <v>45044</v>
      </c>
      <c r="F772" s="111">
        <v>60</v>
      </c>
      <c r="G772" s="127">
        <v>0.05</v>
      </c>
      <c r="H772" s="128">
        <v>1758.99</v>
      </c>
      <c r="I772" s="113">
        <v>1002.6</v>
      </c>
      <c r="J772" s="113">
        <v>0</v>
      </c>
      <c r="K772" s="114">
        <f t="shared" si="58"/>
        <v>756.39</v>
      </c>
      <c r="L772" s="128">
        <v>111.4</v>
      </c>
      <c r="M772" s="115"/>
      <c r="N772" s="116"/>
      <c r="O772" s="117">
        <f t="shared" si="59"/>
        <v>46873</v>
      </c>
      <c r="P772" s="118">
        <f t="shared" si="60"/>
        <v>4</v>
      </c>
      <c r="Q772" s="119">
        <f t="shared" si="61"/>
        <v>111.4027</v>
      </c>
      <c r="R772" s="119">
        <f t="shared" si="62"/>
        <v>0.00269999999999015</v>
      </c>
      <c r="S772" s="120" t="s">
        <v>106</v>
      </c>
      <c r="U772" s="67"/>
      <c r="V772" s="121"/>
      <c r="W772" s="122"/>
      <c r="X772" s="63"/>
      <c r="Y772" s="63"/>
      <c r="Z772" s="63"/>
      <c r="AA772" s="63"/>
    </row>
    <row r="773" s="59" customFormat="1" ht="16.5" outlineLevel="7" spans="1:27">
      <c r="A773" s="79"/>
      <c r="B773" s="107" t="s">
        <v>193</v>
      </c>
      <c r="C773" s="108">
        <v>300077</v>
      </c>
      <c r="D773" s="109" t="s">
        <v>762</v>
      </c>
      <c r="E773" s="110">
        <v>45044</v>
      </c>
      <c r="F773" s="111">
        <v>60</v>
      </c>
      <c r="G773" s="112">
        <v>0.05</v>
      </c>
      <c r="H773" s="113">
        <v>1758.99</v>
      </c>
      <c r="I773" s="113">
        <v>1002.6</v>
      </c>
      <c r="J773" s="113">
        <v>0</v>
      </c>
      <c r="K773" s="114">
        <f t="shared" si="58"/>
        <v>756.39</v>
      </c>
      <c r="L773" s="113">
        <v>111.4</v>
      </c>
      <c r="M773" s="115"/>
      <c r="N773" s="116"/>
      <c r="O773" s="117">
        <f t="shared" si="59"/>
        <v>46873</v>
      </c>
      <c r="P773" s="118">
        <f t="shared" si="60"/>
        <v>4</v>
      </c>
      <c r="Q773" s="119">
        <f t="shared" si="61"/>
        <v>111.4027</v>
      </c>
      <c r="R773" s="119">
        <f t="shared" si="62"/>
        <v>0.00269999999999015</v>
      </c>
      <c r="S773" s="120" t="s">
        <v>106</v>
      </c>
      <c r="U773" s="67"/>
      <c r="V773" s="121"/>
      <c r="W773" s="122"/>
      <c r="X773" s="63"/>
      <c r="Y773" s="63"/>
      <c r="Z773" s="63"/>
      <c r="AA773" s="63"/>
    </row>
    <row r="774" s="59" customFormat="1" ht="16.5" outlineLevel="7" spans="1:27">
      <c r="A774" s="79"/>
      <c r="B774" s="107" t="s">
        <v>193</v>
      </c>
      <c r="C774" s="108">
        <v>300078</v>
      </c>
      <c r="D774" s="109" t="s">
        <v>763</v>
      </c>
      <c r="E774" s="110">
        <v>45048</v>
      </c>
      <c r="F774" s="111">
        <v>60</v>
      </c>
      <c r="G774" s="112">
        <v>0.05</v>
      </c>
      <c r="H774" s="113">
        <v>1193.9</v>
      </c>
      <c r="I774" s="113">
        <v>661.58</v>
      </c>
      <c r="J774" s="113">
        <v>0</v>
      </c>
      <c r="K774" s="114">
        <f t="shared" si="58"/>
        <v>532.32</v>
      </c>
      <c r="L774" s="113">
        <v>75.62</v>
      </c>
      <c r="M774" s="115"/>
      <c r="N774" s="116"/>
      <c r="O774" s="117">
        <f t="shared" si="59"/>
        <v>46904</v>
      </c>
      <c r="P774" s="118">
        <f t="shared" si="60"/>
        <v>4</v>
      </c>
      <c r="Q774" s="119">
        <f t="shared" si="61"/>
        <v>75.6136666666667</v>
      </c>
      <c r="R774" s="119">
        <f t="shared" si="62"/>
        <v>-0.00633333333334463</v>
      </c>
      <c r="S774" s="120" t="s">
        <v>106</v>
      </c>
      <c r="U774" s="67"/>
      <c r="V774" s="121"/>
      <c r="W774" s="122"/>
      <c r="X774" s="63"/>
      <c r="Y774" s="63"/>
      <c r="Z774" s="63"/>
      <c r="AA774" s="63"/>
    </row>
    <row r="775" s="59" customFormat="1" ht="16.5" outlineLevel="7" spans="1:27">
      <c r="A775" s="79"/>
      <c r="B775" s="123" t="s">
        <v>193</v>
      </c>
      <c r="C775" s="124">
        <v>300079</v>
      </c>
      <c r="D775" s="125" t="s">
        <v>764</v>
      </c>
      <c r="E775" s="126">
        <v>45069</v>
      </c>
      <c r="F775" s="111">
        <v>60</v>
      </c>
      <c r="G775" s="127">
        <v>0.05</v>
      </c>
      <c r="H775" s="128">
        <v>751.33</v>
      </c>
      <c r="I775" s="113">
        <v>416.39</v>
      </c>
      <c r="J775" s="113">
        <v>0</v>
      </c>
      <c r="K775" s="114">
        <f t="shared" si="58"/>
        <v>334.94</v>
      </c>
      <c r="L775" s="128">
        <v>47.58</v>
      </c>
      <c r="M775" s="115"/>
      <c r="N775" s="116"/>
      <c r="O775" s="117">
        <f t="shared" si="59"/>
        <v>46904</v>
      </c>
      <c r="P775" s="118">
        <f t="shared" si="60"/>
        <v>4</v>
      </c>
      <c r="Q775" s="119">
        <f t="shared" si="61"/>
        <v>47.5842333333333</v>
      </c>
      <c r="R775" s="119">
        <f t="shared" si="62"/>
        <v>0.00423333333333886</v>
      </c>
      <c r="S775" s="120" t="s">
        <v>106</v>
      </c>
      <c r="U775" s="67"/>
      <c r="V775" s="121"/>
      <c r="W775" s="122"/>
      <c r="X775" s="63"/>
      <c r="Y775" s="63"/>
      <c r="Z775" s="63"/>
      <c r="AA775" s="63"/>
    </row>
    <row r="776" s="59" customFormat="1" ht="16.5" outlineLevel="7" spans="1:27">
      <c r="A776" s="79"/>
      <c r="B776" s="123" t="s">
        <v>193</v>
      </c>
      <c r="C776" s="124">
        <v>300080</v>
      </c>
      <c r="D776" s="125" t="s">
        <v>765</v>
      </c>
      <c r="E776" s="126">
        <v>45107</v>
      </c>
      <c r="F776" s="111">
        <v>60</v>
      </c>
      <c r="G776" s="127">
        <v>0.05</v>
      </c>
      <c r="H776" s="128">
        <v>1207.08</v>
      </c>
      <c r="I776" s="113">
        <v>649.74</v>
      </c>
      <c r="J776" s="113">
        <v>0</v>
      </c>
      <c r="K776" s="114">
        <f t="shared" si="58"/>
        <v>557.34</v>
      </c>
      <c r="L776" s="128">
        <v>76.44</v>
      </c>
      <c r="M776" s="115"/>
      <c r="N776" s="116"/>
      <c r="O776" s="117">
        <f t="shared" si="59"/>
        <v>46934</v>
      </c>
      <c r="P776" s="118">
        <f t="shared" si="60"/>
        <v>4</v>
      </c>
      <c r="Q776" s="119">
        <f t="shared" si="61"/>
        <v>76.4484</v>
      </c>
      <c r="R776" s="119">
        <f t="shared" si="62"/>
        <v>0.00839999999999463</v>
      </c>
      <c r="S776" s="120" t="s">
        <v>106</v>
      </c>
      <c r="U776" s="67"/>
      <c r="V776" s="121"/>
      <c r="W776" s="122"/>
      <c r="X776" s="63"/>
      <c r="Y776" s="63"/>
      <c r="Z776" s="63"/>
      <c r="AA776" s="63"/>
    </row>
    <row r="777" s="59" customFormat="1" ht="16.5" outlineLevel="7" spans="1:27">
      <c r="A777" s="79"/>
      <c r="B777" s="123" t="s">
        <v>193</v>
      </c>
      <c r="C777" s="124">
        <v>300081</v>
      </c>
      <c r="D777" s="125" t="s">
        <v>432</v>
      </c>
      <c r="E777" s="126">
        <v>45149</v>
      </c>
      <c r="F777" s="111">
        <v>60</v>
      </c>
      <c r="G777" s="127">
        <v>0.05</v>
      </c>
      <c r="H777" s="128">
        <v>830</v>
      </c>
      <c r="I777" s="113">
        <v>433.62</v>
      </c>
      <c r="J777" s="113">
        <v>0</v>
      </c>
      <c r="K777" s="114">
        <f t="shared" ref="K777:K840" si="63">H777-I777-J777</f>
        <v>396.38</v>
      </c>
      <c r="L777" s="128">
        <v>52.56</v>
      </c>
      <c r="M777" s="115"/>
      <c r="N777" s="116"/>
      <c r="O777" s="117">
        <f t="shared" ref="O777:O840" si="64">IFERROR(EOMONTH(E777,F777),"")</f>
        <v>46996</v>
      </c>
      <c r="P777" s="118">
        <f t="shared" ref="P777:P840" si="65">IFERROR(IF(OR(AND(M777&lt;&gt;"",YEAR(M777)&lt;YEAR($L$6)),AND(O777&lt;&gt;"",YEAR(O777)&lt;YEAR($L$6))),0,IF(YEAR(E777)&gt;YEAR($L$6),0,IF(OR((IF(YEAR(E777)&lt;YEAR($L$6),1,IF(MONTH(E777)=12,99,MONTH(E777)+1))&gt;12),(IF(YEAR(E777)&lt;YEAR($L$6),1,IF(MONTH(E777)=12,99,MONTH(E777)+1))&gt;MIN(MONTH($L$6),IF(AND(M777&lt;&gt;"",YEAR(M777)=YEAR($L$6)),MONTH(M777),99),IF(AND(O777&lt;&gt;"",YEAR(O777)=YEAR($L$6)),MONTH(O777),99)))),0,MIN(MONTH($L$6),IF(AND(M777&lt;&gt;"",YEAR(M777)=YEAR($L$6)),MONTH(M777),99),IF(AND(O777&lt;&gt;"",YEAR(O777)=YEAR($L$6)),MONTH(O777),99))-IF(YEAR(E777)&lt;YEAR($L$6),1,IF(MONTH(E777)=12,99,MONTH(E777)+1))+1))),0)</f>
        <v>4</v>
      </c>
      <c r="Q777" s="119">
        <f t="shared" si="61"/>
        <v>52.5666666666667</v>
      </c>
      <c r="R777" s="119">
        <f t="shared" si="62"/>
        <v>0.00666666666666771</v>
      </c>
      <c r="S777" s="120" t="s">
        <v>106</v>
      </c>
      <c r="U777" s="67"/>
      <c r="V777" s="121"/>
      <c r="W777" s="122"/>
      <c r="X777" s="63"/>
      <c r="Y777" s="63"/>
      <c r="Z777" s="63"/>
      <c r="AA777" s="63"/>
    </row>
    <row r="778" s="59" customFormat="1" ht="16.5" outlineLevel="7" spans="1:27">
      <c r="A778" s="79"/>
      <c r="B778" s="123" t="s">
        <v>193</v>
      </c>
      <c r="C778" s="124">
        <v>300083</v>
      </c>
      <c r="D778" s="125" t="s">
        <v>767</v>
      </c>
      <c r="E778" s="126">
        <v>45187</v>
      </c>
      <c r="F778" s="111">
        <v>60</v>
      </c>
      <c r="G778" s="127">
        <v>0.05</v>
      </c>
      <c r="H778" s="128">
        <v>787.61</v>
      </c>
      <c r="I778" s="113">
        <v>386.57</v>
      </c>
      <c r="J778" s="113">
        <v>0</v>
      </c>
      <c r="K778" s="114">
        <f t="shared" si="63"/>
        <v>401.04</v>
      </c>
      <c r="L778" s="128">
        <v>49.88</v>
      </c>
      <c r="M778" s="115"/>
      <c r="N778" s="116"/>
      <c r="O778" s="117">
        <f t="shared" si="64"/>
        <v>47026</v>
      </c>
      <c r="P778" s="118">
        <f t="shared" si="65"/>
        <v>4</v>
      </c>
      <c r="Q778" s="119">
        <f t="shared" si="61"/>
        <v>49.8819666666667</v>
      </c>
      <c r="R778" s="119">
        <f t="shared" si="62"/>
        <v>0.001966666666668</v>
      </c>
      <c r="S778" s="120" t="s">
        <v>106</v>
      </c>
      <c r="U778" s="67"/>
      <c r="V778" s="121"/>
      <c r="W778" s="122"/>
      <c r="X778" s="63"/>
      <c r="Y778" s="63"/>
      <c r="Z778" s="63"/>
      <c r="AA778" s="63"/>
    </row>
    <row r="779" s="59" customFormat="1" ht="16.5" outlineLevel="7" spans="1:27">
      <c r="A779" s="79"/>
      <c r="B779" s="123" t="s">
        <v>193</v>
      </c>
      <c r="C779" s="124">
        <v>300084</v>
      </c>
      <c r="D779" s="125" t="s">
        <v>768</v>
      </c>
      <c r="E779" s="126">
        <v>45286</v>
      </c>
      <c r="F779" s="111">
        <v>60</v>
      </c>
      <c r="G779" s="127">
        <v>0.05</v>
      </c>
      <c r="H779" s="128">
        <v>1782.18</v>
      </c>
      <c r="I779" s="113">
        <v>790.16</v>
      </c>
      <c r="J779" s="113">
        <v>0</v>
      </c>
      <c r="K779" s="114">
        <f t="shared" si="63"/>
        <v>992.02</v>
      </c>
      <c r="L779" s="128">
        <v>112.88</v>
      </c>
      <c r="M779" s="115"/>
      <c r="N779" s="116"/>
      <c r="O779" s="117">
        <f t="shared" si="64"/>
        <v>47118</v>
      </c>
      <c r="P779" s="118">
        <f t="shared" si="65"/>
        <v>4</v>
      </c>
      <c r="Q779" s="119">
        <f t="shared" si="61"/>
        <v>112.8714</v>
      </c>
      <c r="R779" s="119">
        <f t="shared" si="62"/>
        <v>-0.00860000000000127</v>
      </c>
      <c r="S779" s="120" t="s">
        <v>106</v>
      </c>
      <c r="U779" s="67"/>
      <c r="V779" s="121"/>
      <c r="W779" s="122"/>
      <c r="X779" s="63"/>
      <c r="Y779" s="63"/>
      <c r="Z779" s="63"/>
      <c r="AA779" s="63"/>
    </row>
    <row r="780" s="59" customFormat="1" ht="16.5" outlineLevel="7" spans="1:27">
      <c r="A780" s="79"/>
      <c r="B780" s="107" t="s">
        <v>193</v>
      </c>
      <c r="C780" s="108">
        <v>300085</v>
      </c>
      <c r="D780" s="109" t="s">
        <v>453</v>
      </c>
      <c r="E780" s="110">
        <v>45288</v>
      </c>
      <c r="F780" s="111">
        <v>60</v>
      </c>
      <c r="G780" s="112">
        <v>0.05</v>
      </c>
      <c r="H780" s="113">
        <v>600.88</v>
      </c>
      <c r="I780" s="113">
        <v>266.36</v>
      </c>
      <c r="J780" s="113">
        <v>0</v>
      </c>
      <c r="K780" s="114">
        <f t="shared" si="63"/>
        <v>334.52</v>
      </c>
      <c r="L780" s="113">
        <v>38.06</v>
      </c>
      <c r="M780" s="115"/>
      <c r="N780" s="116"/>
      <c r="O780" s="117">
        <f t="shared" si="64"/>
        <v>47118</v>
      </c>
      <c r="P780" s="118">
        <f t="shared" si="65"/>
        <v>4</v>
      </c>
      <c r="Q780" s="119">
        <f t="shared" si="61"/>
        <v>38.0557333333333</v>
      </c>
      <c r="R780" s="119">
        <f t="shared" si="62"/>
        <v>-0.0042666666666662</v>
      </c>
      <c r="S780" s="120" t="s">
        <v>106</v>
      </c>
      <c r="U780" s="67"/>
      <c r="V780" s="121"/>
      <c r="W780" s="122"/>
      <c r="X780" s="63"/>
      <c r="Y780" s="63"/>
      <c r="Z780" s="63"/>
      <c r="AA780" s="63"/>
    </row>
    <row r="781" s="59" customFormat="1" ht="16.5" outlineLevel="7" spans="1:27">
      <c r="A781" s="79"/>
      <c r="B781" s="107" t="s">
        <v>193</v>
      </c>
      <c r="C781" s="108">
        <v>300086</v>
      </c>
      <c r="D781" s="109" t="s">
        <v>754</v>
      </c>
      <c r="E781" s="110">
        <v>45320</v>
      </c>
      <c r="F781" s="111">
        <v>60</v>
      </c>
      <c r="G781" s="112">
        <v>0.05</v>
      </c>
      <c r="H781" s="113">
        <v>24467.26</v>
      </c>
      <c r="I781" s="113">
        <v>10459.8</v>
      </c>
      <c r="J781" s="113">
        <v>0</v>
      </c>
      <c r="K781" s="114">
        <f t="shared" si="63"/>
        <v>14007.46</v>
      </c>
      <c r="L781" s="113">
        <v>1549.6</v>
      </c>
      <c r="M781" s="115"/>
      <c r="N781" s="116"/>
      <c r="O781" s="117">
        <f t="shared" si="64"/>
        <v>47149</v>
      </c>
      <c r="P781" s="118">
        <f t="shared" si="65"/>
        <v>4</v>
      </c>
      <c r="Q781" s="119">
        <f t="shared" si="61"/>
        <v>1549.59313333333</v>
      </c>
      <c r="R781" s="119">
        <f t="shared" si="62"/>
        <v>-0.00686666666683777</v>
      </c>
      <c r="S781" s="120" t="s">
        <v>106</v>
      </c>
      <c r="U781" s="67"/>
      <c r="V781" s="121"/>
      <c r="W781" s="122"/>
      <c r="X781" s="63"/>
      <c r="Y781" s="63"/>
      <c r="Z781" s="63"/>
      <c r="AA781" s="63"/>
    </row>
    <row r="782" s="59" customFormat="1" ht="16.5" outlineLevel="7" spans="1:27">
      <c r="A782" s="79"/>
      <c r="B782" s="123" t="s">
        <v>193</v>
      </c>
      <c r="C782" s="124">
        <v>300087</v>
      </c>
      <c r="D782" s="125" t="s">
        <v>770</v>
      </c>
      <c r="E782" s="126">
        <v>45320</v>
      </c>
      <c r="F782" s="111">
        <v>60</v>
      </c>
      <c r="G782" s="127">
        <v>0.05</v>
      </c>
      <c r="H782" s="128">
        <v>3584.07</v>
      </c>
      <c r="I782" s="113">
        <v>1532.25</v>
      </c>
      <c r="J782" s="113">
        <v>0</v>
      </c>
      <c r="K782" s="114">
        <f t="shared" si="63"/>
        <v>2051.82</v>
      </c>
      <c r="L782" s="128">
        <v>227</v>
      </c>
      <c r="M782" s="115"/>
      <c r="N782" s="116"/>
      <c r="O782" s="117">
        <f t="shared" si="64"/>
        <v>47149</v>
      </c>
      <c r="P782" s="118">
        <f t="shared" si="65"/>
        <v>4</v>
      </c>
      <c r="Q782" s="119">
        <f t="shared" si="61"/>
        <v>226.9911</v>
      </c>
      <c r="R782" s="119">
        <f t="shared" si="62"/>
        <v>-0.00889999999998281</v>
      </c>
      <c r="S782" s="120" t="s">
        <v>106</v>
      </c>
      <c r="U782" s="67"/>
      <c r="V782" s="121"/>
      <c r="W782" s="122"/>
      <c r="X782" s="63"/>
      <c r="Y782" s="63"/>
      <c r="Z782" s="63"/>
      <c r="AA782" s="63"/>
    </row>
    <row r="783" s="59" customFormat="1" ht="16.5" outlineLevel="7" spans="1:27">
      <c r="A783" s="79"/>
      <c r="B783" s="123" t="s">
        <v>193</v>
      </c>
      <c r="C783" s="124">
        <v>300088</v>
      </c>
      <c r="D783" s="125" t="s">
        <v>398</v>
      </c>
      <c r="E783" s="126">
        <v>45320</v>
      </c>
      <c r="F783" s="111">
        <v>60</v>
      </c>
      <c r="G783" s="127">
        <v>0.05</v>
      </c>
      <c r="H783" s="128">
        <v>21196.46</v>
      </c>
      <c r="I783" s="113">
        <v>9061.47</v>
      </c>
      <c r="J783" s="113">
        <v>0</v>
      </c>
      <c r="K783" s="114">
        <f t="shared" si="63"/>
        <v>12134.99</v>
      </c>
      <c r="L783" s="128">
        <v>1342.44</v>
      </c>
      <c r="M783" s="115"/>
      <c r="N783" s="116"/>
      <c r="O783" s="117">
        <f t="shared" si="64"/>
        <v>47149</v>
      </c>
      <c r="P783" s="118">
        <f t="shared" si="65"/>
        <v>4</v>
      </c>
      <c r="Q783" s="119">
        <f t="shared" si="61"/>
        <v>1342.44246666667</v>
      </c>
      <c r="R783" s="119">
        <f t="shared" si="62"/>
        <v>0.00246666666657802</v>
      </c>
      <c r="S783" s="120" t="s">
        <v>106</v>
      </c>
      <c r="U783" s="67"/>
      <c r="V783" s="121"/>
      <c r="W783" s="122"/>
      <c r="X783" s="63"/>
      <c r="Y783" s="63"/>
      <c r="Z783" s="63"/>
      <c r="AA783" s="63"/>
    </row>
    <row r="784" s="59" customFormat="1" ht="16.5" outlineLevel="7" spans="1:27">
      <c r="A784" s="79"/>
      <c r="B784" s="123" t="s">
        <v>193</v>
      </c>
      <c r="C784" s="124">
        <v>300089</v>
      </c>
      <c r="D784" s="125" t="s">
        <v>771</v>
      </c>
      <c r="E784" s="126">
        <v>45320</v>
      </c>
      <c r="F784" s="111">
        <v>60</v>
      </c>
      <c r="G784" s="127">
        <v>0.05</v>
      </c>
      <c r="H784" s="128">
        <v>1743.36</v>
      </c>
      <c r="I784" s="113">
        <v>745.23</v>
      </c>
      <c r="J784" s="113">
        <v>0</v>
      </c>
      <c r="K784" s="114">
        <f t="shared" si="63"/>
        <v>998.13</v>
      </c>
      <c r="L784" s="128">
        <v>110.42</v>
      </c>
      <c r="M784" s="115"/>
      <c r="N784" s="116"/>
      <c r="O784" s="117">
        <f t="shared" si="64"/>
        <v>47149</v>
      </c>
      <c r="P784" s="118">
        <f t="shared" si="65"/>
        <v>4</v>
      </c>
      <c r="Q784" s="119">
        <f t="shared" si="61"/>
        <v>110.4128</v>
      </c>
      <c r="R784" s="119">
        <f t="shared" si="62"/>
        <v>-0.00720000000001164</v>
      </c>
      <c r="S784" s="120" t="s">
        <v>106</v>
      </c>
      <c r="U784" s="67"/>
      <c r="V784" s="121"/>
      <c r="W784" s="122"/>
      <c r="X784" s="63"/>
      <c r="Y784" s="63"/>
      <c r="Z784" s="63"/>
      <c r="AA784" s="63"/>
    </row>
    <row r="785" s="59" customFormat="1" ht="16.5" outlineLevel="7" spans="1:27">
      <c r="A785" s="79"/>
      <c r="B785" s="123" t="s">
        <v>193</v>
      </c>
      <c r="C785" s="124">
        <v>300090</v>
      </c>
      <c r="D785" s="125" t="s">
        <v>772</v>
      </c>
      <c r="E785" s="126">
        <v>45320</v>
      </c>
      <c r="F785" s="111">
        <v>60</v>
      </c>
      <c r="G785" s="127">
        <v>0.05</v>
      </c>
      <c r="H785" s="128">
        <v>4874.34</v>
      </c>
      <c r="I785" s="113">
        <v>2083.85</v>
      </c>
      <c r="J785" s="113">
        <v>0</v>
      </c>
      <c r="K785" s="114">
        <f t="shared" si="63"/>
        <v>2790.49</v>
      </c>
      <c r="L785" s="128">
        <v>308.71</v>
      </c>
      <c r="M785" s="115"/>
      <c r="N785" s="116"/>
      <c r="O785" s="117">
        <f t="shared" si="64"/>
        <v>47149</v>
      </c>
      <c r="P785" s="118">
        <f t="shared" si="65"/>
        <v>4</v>
      </c>
      <c r="Q785" s="119">
        <f t="shared" si="61"/>
        <v>308.7082</v>
      </c>
      <c r="R785" s="119">
        <f t="shared" si="62"/>
        <v>-0.00180000000000291</v>
      </c>
      <c r="S785" s="120" t="s">
        <v>106</v>
      </c>
      <c r="U785" s="67"/>
      <c r="V785" s="121"/>
      <c r="W785" s="122"/>
      <c r="X785" s="63"/>
      <c r="Y785" s="63"/>
      <c r="Z785" s="63"/>
      <c r="AA785" s="63"/>
    </row>
    <row r="786" s="59" customFormat="1" ht="16.5" outlineLevel="7" spans="1:27">
      <c r="A786" s="79"/>
      <c r="B786" s="123" t="s">
        <v>193</v>
      </c>
      <c r="C786" s="124">
        <v>300091</v>
      </c>
      <c r="D786" s="125" t="s">
        <v>773</v>
      </c>
      <c r="E786" s="126">
        <v>45320</v>
      </c>
      <c r="F786" s="111">
        <v>60</v>
      </c>
      <c r="G786" s="127">
        <v>0.05</v>
      </c>
      <c r="H786" s="128">
        <v>9557.52</v>
      </c>
      <c r="I786" s="113">
        <v>4085.91</v>
      </c>
      <c r="J786" s="113">
        <v>0</v>
      </c>
      <c r="K786" s="114">
        <f t="shared" si="63"/>
        <v>5471.61</v>
      </c>
      <c r="L786" s="128">
        <v>605.32</v>
      </c>
      <c r="M786" s="115"/>
      <c r="N786" s="116"/>
      <c r="O786" s="117">
        <f t="shared" si="64"/>
        <v>47149</v>
      </c>
      <c r="P786" s="118">
        <f t="shared" si="65"/>
        <v>4</v>
      </c>
      <c r="Q786" s="119">
        <f t="shared" si="61"/>
        <v>605.3096</v>
      </c>
      <c r="R786" s="119">
        <f t="shared" si="62"/>
        <v>-0.0104000000000042</v>
      </c>
      <c r="S786" s="120" t="s">
        <v>106</v>
      </c>
      <c r="U786" s="67"/>
      <c r="V786" s="121"/>
      <c r="W786" s="122"/>
      <c r="X786" s="63"/>
      <c r="Y786" s="63"/>
      <c r="Z786" s="63"/>
      <c r="AA786" s="63"/>
    </row>
    <row r="787" s="59" customFormat="1" ht="16.5" outlineLevel="7" spans="1:27">
      <c r="A787" s="79"/>
      <c r="B787" s="107" t="s">
        <v>193</v>
      </c>
      <c r="C787" s="108">
        <v>300092</v>
      </c>
      <c r="D787" s="109" t="s">
        <v>774</v>
      </c>
      <c r="E787" s="110">
        <v>45320</v>
      </c>
      <c r="F787" s="111">
        <v>60</v>
      </c>
      <c r="G787" s="112">
        <v>0.05</v>
      </c>
      <c r="H787" s="113">
        <v>9557.52</v>
      </c>
      <c r="I787" s="113">
        <v>4085.91</v>
      </c>
      <c r="J787" s="113">
        <v>0</v>
      </c>
      <c r="K787" s="114">
        <f t="shared" si="63"/>
        <v>5471.61</v>
      </c>
      <c r="L787" s="113">
        <v>605.32</v>
      </c>
      <c r="M787" s="115"/>
      <c r="N787" s="116"/>
      <c r="O787" s="117">
        <f t="shared" si="64"/>
        <v>47149</v>
      </c>
      <c r="P787" s="118">
        <f t="shared" si="65"/>
        <v>4</v>
      </c>
      <c r="Q787" s="119">
        <f t="shared" si="61"/>
        <v>605.3096</v>
      </c>
      <c r="R787" s="119">
        <f t="shared" si="62"/>
        <v>-0.0104000000000042</v>
      </c>
      <c r="S787" s="120" t="s">
        <v>106</v>
      </c>
      <c r="U787" s="67"/>
      <c r="V787" s="121"/>
      <c r="W787" s="122"/>
      <c r="X787" s="63"/>
      <c r="Y787" s="63"/>
      <c r="Z787" s="63"/>
      <c r="AA787" s="63"/>
    </row>
    <row r="788" s="59" customFormat="1" ht="16.5" outlineLevel="7" spans="1:27">
      <c r="A788" s="79"/>
      <c r="B788" s="107" t="s">
        <v>193</v>
      </c>
      <c r="C788" s="108">
        <v>300093</v>
      </c>
      <c r="D788" s="109" t="s">
        <v>775</v>
      </c>
      <c r="E788" s="110">
        <v>45320</v>
      </c>
      <c r="F788" s="111">
        <v>60</v>
      </c>
      <c r="G788" s="112">
        <v>0.05</v>
      </c>
      <c r="H788" s="113">
        <v>27079.65</v>
      </c>
      <c r="I788" s="113">
        <v>11576.52</v>
      </c>
      <c r="J788" s="113">
        <v>0</v>
      </c>
      <c r="K788" s="114">
        <f t="shared" si="63"/>
        <v>15503.13</v>
      </c>
      <c r="L788" s="113">
        <v>1715.04</v>
      </c>
      <c r="M788" s="115"/>
      <c r="N788" s="116"/>
      <c r="O788" s="117">
        <f t="shared" si="64"/>
        <v>47149</v>
      </c>
      <c r="P788" s="118">
        <f t="shared" si="65"/>
        <v>4</v>
      </c>
      <c r="Q788" s="119">
        <f t="shared" si="61"/>
        <v>1715.0445</v>
      </c>
      <c r="R788" s="119">
        <f t="shared" si="62"/>
        <v>0.00450000000000728</v>
      </c>
      <c r="S788" s="120" t="s">
        <v>106</v>
      </c>
      <c r="U788" s="67"/>
      <c r="V788" s="121"/>
      <c r="W788" s="122"/>
      <c r="X788" s="63"/>
      <c r="Y788" s="63"/>
      <c r="Z788" s="63"/>
      <c r="AA788" s="63"/>
    </row>
    <row r="789" s="59" customFormat="1" ht="16.5" outlineLevel="7" spans="1:27">
      <c r="A789" s="79"/>
      <c r="B789" s="123" t="s">
        <v>193</v>
      </c>
      <c r="C789" s="124">
        <v>300094</v>
      </c>
      <c r="D789" s="125" t="s">
        <v>776</v>
      </c>
      <c r="E789" s="126">
        <v>45320</v>
      </c>
      <c r="F789" s="111">
        <v>60</v>
      </c>
      <c r="G789" s="127">
        <v>0.05</v>
      </c>
      <c r="H789" s="128">
        <v>4885.84</v>
      </c>
      <c r="I789" s="113">
        <v>2088.72</v>
      </c>
      <c r="J789" s="113">
        <v>0</v>
      </c>
      <c r="K789" s="114">
        <f t="shared" si="63"/>
        <v>2797.12</v>
      </c>
      <c r="L789" s="128">
        <v>309.44</v>
      </c>
      <c r="M789" s="115"/>
      <c r="N789" s="116"/>
      <c r="O789" s="117">
        <f t="shared" si="64"/>
        <v>47149</v>
      </c>
      <c r="P789" s="118">
        <f t="shared" si="65"/>
        <v>4</v>
      </c>
      <c r="Q789" s="119">
        <f t="shared" si="61"/>
        <v>309.436533333333</v>
      </c>
      <c r="R789" s="119">
        <f t="shared" si="62"/>
        <v>-0.00346666666666806</v>
      </c>
      <c r="S789" s="120" t="s">
        <v>106</v>
      </c>
      <c r="U789" s="67"/>
      <c r="V789" s="121"/>
      <c r="W789" s="122"/>
      <c r="X789" s="63"/>
      <c r="Y789" s="63"/>
      <c r="Z789" s="63"/>
      <c r="AA789" s="63"/>
    </row>
    <row r="790" s="59" customFormat="1" ht="16.5" outlineLevel="7" spans="1:27">
      <c r="A790" s="79"/>
      <c r="B790" s="123" t="s">
        <v>196</v>
      </c>
      <c r="C790" s="124">
        <v>200027</v>
      </c>
      <c r="D790" s="125" t="s">
        <v>725</v>
      </c>
      <c r="E790" s="126">
        <v>45231</v>
      </c>
      <c r="F790" s="111">
        <v>60</v>
      </c>
      <c r="G790" s="127">
        <v>0.05</v>
      </c>
      <c r="H790" s="128">
        <v>19469.03</v>
      </c>
      <c r="I790" s="113">
        <v>8939.54</v>
      </c>
      <c r="J790" s="113">
        <v>0</v>
      </c>
      <c r="K790" s="114">
        <f t="shared" si="63"/>
        <v>10529.49</v>
      </c>
      <c r="L790" s="128">
        <v>1233.04</v>
      </c>
      <c r="M790" s="115"/>
      <c r="N790" s="116"/>
      <c r="O790" s="117">
        <f t="shared" si="64"/>
        <v>47087</v>
      </c>
      <c r="P790" s="118">
        <f t="shared" si="65"/>
        <v>4</v>
      </c>
      <c r="Q790" s="119">
        <f t="shared" si="61"/>
        <v>1233.03856666667</v>
      </c>
      <c r="R790" s="119">
        <f t="shared" si="62"/>
        <v>-0.00143333333335249</v>
      </c>
      <c r="S790" s="120" t="s">
        <v>106</v>
      </c>
      <c r="U790" s="67"/>
      <c r="V790" s="121"/>
      <c r="W790" s="122"/>
      <c r="X790" s="63"/>
      <c r="Y790" s="63"/>
      <c r="Z790" s="63"/>
      <c r="AA790" s="63"/>
    </row>
    <row r="791" s="59" customFormat="1" ht="16.5" outlineLevel="7" spans="1:27">
      <c r="A791" s="79"/>
      <c r="B791" s="123" t="s">
        <v>196</v>
      </c>
      <c r="C791" s="124">
        <v>200029</v>
      </c>
      <c r="D791" s="125" t="s">
        <v>778</v>
      </c>
      <c r="E791" s="126">
        <v>45257</v>
      </c>
      <c r="F791" s="111">
        <v>60</v>
      </c>
      <c r="G791" s="127">
        <v>0.05</v>
      </c>
      <c r="H791" s="128">
        <v>10840.71</v>
      </c>
      <c r="I791" s="113">
        <v>4977.68</v>
      </c>
      <c r="J791" s="113">
        <v>0</v>
      </c>
      <c r="K791" s="114">
        <f t="shared" si="63"/>
        <v>5863.03</v>
      </c>
      <c r="L791" s="128">
        <v>686.58</v>
      </c>
      <c r="M791" s="115"/>
      <c r="N791" s="116"/>
      <c r="O791" s="117">
        <f t="shared" si="64"/>
        <v>47087</v>
      </c>
      <c r="P791" s="118">
        <f t="shared" si="65"/>
        <v>4</v>
      </c>
      <c r="Q791" s="119">
        <f t="shared" ref="Q791:Q854" si="66">IFERROR(IF(N791=0,(H791*(1-G791))/F791*P791,(N791*(1-G791))/F791*P791),0)</f>
        <v>686.5783</v>
      </c>
      <c r="R791" s="119">
        <f t="shared" ref="R791:R854" si="67">Q791-L791</f>
        <v>-0.0017000000001417</v>
      </c>
      <c r="S791" s="120" t="s">
        <v>106</v>
      </c>
      <c r="U791" s="67"/>
      <c r="V791" s="121"/>
      <c r="W791" s="122"/>
      <c r="X791" s="63"/>
      <c r="Y791" s="63"/>
      <c r="Z791" s="63"/>
      <c r="AA791" s="63"/>
    </row>
    <row r="792" s="59" customFormat="1" ht="16.5" outlineLevel="7" spans="1:27">
      <c r="A792" s="79"/>
      <c r="B792" s="123" t="s">
        <v>196</v>
      </c>
      <c r="C792" s="124">
        <v>200030</v>
      </c>
      <c r="D792" s="125" t="s">
        <v>780</v>
      </c>
      <c r="E792" s="126">
        <v>45271</v>
      </c>
      <c r="F792" s="111">
        <v>60</v>
      </c>
      <c r="G792" s="127">
        <v>0.05</v>
      </c>
      <c r="H792" s="128">
        <v>6573.45</v>
      </c>
      <c r="I792" s="113">
        <v>2914.24</v>
      </c>
      <c r="J792" s="113">
        <v>0</v>
      </c>
      <c r="K792" s="114">
        <f t="shared" si="63"/>
        <v>3659.21</v>
      </c>
      <c r="L792" s="128">
        <v>416.32</v>
      </c>
      <c r="M792" s="115"/>
      <c r="N792" s="116"/>
      <c r="O792" s="117">
        <f t="shared" si="64"/>
        <v>47118</v>
      </c>
      <c r="P792" s="118">
        <f t="shared" si="65"/>
        <v>4</v>
      </c>
      <c r="Q792" s="119">
        <f t="shared" si="66"/>
        <v>416.3185</v>
      </c>
      <c r="R792" s="119">
        <f t="shared" si="67"/>
        <v>-0.00150000000002137</v>
      </c>
      <c r="S792" s="120" t="s">
        <v>106</v>
      </c>
      <c r="U792" s="67"/>
      <c r="V792" s="121"/>
      <c r="W792" s="122"/>
      <c r="X792" s="63"/>
      <c r="Y792" s="63"/>
      <c r="Z792" s="63"/>
      <c r="AA792" s="63"/>
    </row>
    <row r="793" s="59" customFormat="1" ht="16.5" outlineLevel="7" spans="1:27">
      <c r="A793" s="79"/>
      <c r="B793" s="123" t="s">
        <v>196</v>
      </c>
      <c r="C793" s="124">
        <v>200031</v>
      </c>
      <c r="D793" s="125" t="s">
        <v>782</v>
      </c>
      <c r="E793" s="126">
        <v>45288</v>
      </c>
      <c r="F793" s="111">
        <v>60</v>
      </c>
      <c r="G793" s="127">
        <v>0.05</v>
      </c>
      <c r="H793" s="128">
        <v>2404898</v>
      </c>
      <c r="I793" s="113">
        <v>1066171.4</v>
      </c>
      <c r="J793" s="113">
        <v>0</v>
      </c>
      <c r="K793" s="114">
        <f t="shared" si="63"/>
        <v>1338726.6</v>
      </c>
      <c r="L793" s="128">
        <v>152310.2</v>
      </c>
      <c r="M793" s="115"/>
      <c r="N793" s="116"/>
      <c r="O793" s="117">
        <f t="shared" si="64"/>
        <v>47118</v>
      </c>
      <c r="P793" s="118">
        <f t="shared" si="65"/>
        <v>4</v>
      </c>
      <c r="Q793" s="119">
        <f t="shared" si="66"/>
        <v>152310.206666667</v>
      </c>
      <c r="R793" s="119">
        <f t="shared" si="67"/>
        <v>0.00666666665347293</v>
      </c>
      <c r="S793" s="120" t="s">
        <v>106</v>
      </c>
      <c r="U793" s="67"/>
      <c r="V793" s="121"/>
      <c r="W793" s="122"/>
      <c r="X793" s="63"/>
      <c r="Y793" s="63"/>
      <c r="Z793" s="63"/>
      <c r="AA793" s="63"/>
    </row>
    <row r="794" s="59" customFormat="1" ht="16.5" outlineLevel="7" spans="1:27">
      <c r="A794" s="79"/>
      <c r="B794" s="107" t="s">
        <v>196</v>
      </c>
      <c r="C794" s="108">
        <v>200032</v>
      </c>
      <c r="D794" s="109" t="s">
        <v>690</v>
      </c>
      <c r="E794" s="110">
        <v>45313</v>
      </c>
      <c r="F794" s="111">
        <v>60</v>
      </c>
      <c r="G794" s="112">
        <v>0.05</v>
      </c>
      <c r="H794" s="113">
        <v>60617.7</v>
      </c>
      <c r="I794" s="113">
        <v>25914.06</v>
      </c>
      <c r="J794" s="113">
        <v>0</v>
      </c>
      <c r="K794" s="114">
        <f t="shared" si="63"/>
        <v>34703.64</v>
      </c>
      <c r="L794" s="113">
        <v>3839.12</v>
      </c>
      <c r="M794" s="115"/>
      <c r="N794" s="116"/>
      <c r="O794" s="117">
        <f t="shared" si="64"/>
        <v>47149</v>
      </c>
      <c r="P794" s="118">
        <f t="shared" si="65"/>
        <v>4</v>
      </c>
      <c r="Q794" s="119">
        <f t="shared" si="66"/>
        <v>3839.121</v>
      </c>
      <c r="R794" s="119">
        <f t="shared" si="67"/>
        <v>0.000999999999748979</v>
      </c>
      <c r="S794" s="120" t="s">
        <v>106</v>
      </c>
      <c r="U794" s="67"/>
      <c r="V794" s="121"/>
      <c r="W794" s="122"/>
      <c r="X794" s="63"/>
      <c r="Y794" s="63"/>
      <c r="Z794" s="63"/>
      <c r="AA794" s="63"/>
    </row>
    <row r="795" s="59" customFormat="1" ht="16.5" outlineLevel="7" spans="1:27">
      <c r="A795" s="79"/>
      <c r="B795" s="107" t="s">
        <v>196</v>
      </c>
      <c r="C795" s="108">
        <v>200033</v>
      </c>
      <c r="D795" s="109" t="s">
        <v>785</v>
      </c>
      <c r="E795" s="110">
        <v>45315</v>
      </c>
      <c r="F795" s="111">
        <v>60</v>
      </c>
      <c r="G795" s="112">
        <v>0.05</v>
      </c>
      <c r="H795" s="113">
        <v>92831.86</v>
      </c>
      <c r="I795" s="113">
        <v>39685.68</v>
      </c>
      <c r="J795" s="113">
        <v>0</v>
      </c>
      <c r="K795" s="114">
        <f t="shared" si="63"/>
        <v>53146.18</v>
      </c>
      <c r="L795" s="113">
        <v>5879.36</v>
      </c>
      <c r="M795" s="115"/>
      <c r="N795" s="116"/>
      <c r="O795" s="117">
        <f t="shared" si="64"/>
        <v>47149</v>
      </c>
      <c r="P795" s="118">
        <f t="shared" si="65"/>
        <v>4</v>
      </c>
      <c r="Q795" s="119">
        <f t="shared" si="66"/>
        <v>5879.35113333333</v>
      </c>
      <c r="R795" s="119">
        <f t="shared" si="67"/>
        <v>-0.00886666666701785</v>
      </c>
      <c r="S795" s="120" t="s">
        <v>106</v>
      </c>
      <c r="U795" s="67"/>
      <c r="V795" s="121"/>
      <c r="W795" s="122"/>
      <c r="X795" s="63"/>
      <c r="Y795" s="63"/>
      <c r="Z795" s="63"/>
      <c r="AA795" s="63"/>
    </row>
    <row r="796" s="59" customFormat="1" ht="16.5" outlineLevel="7" spans="1:27">
      <c r="A796" s="79"/>
      <c r="B796" s="123" t="s">
        <v>196</v>
      </c>
      <c r="C796" s="124">
        <v>200034</v>
      </c>
      <c r="D796" s="125" t="s">
        <v>785</v>
      </c>
      <c r="E796" s="126">
        <v>45315</v>
      </c>
      <c r="F796" s="111">
        <v>60</v>
      </c>
      <c r="G796" s="127">
        <v>0.05</v>
      </c>
      <c r="H796" s="128">
        <v>92831.86</v>
      </c>
      <c r="I796" s="113">
        <v>39685.68</v>
      </c>
      <c r="J796" s="113">
        <v>0</v>
      </c>
      <c r="K796" s="114">
        <f t="shared" si="63"/>
        <v>53146.18</v>
      </c>
      <c r="L796" s="128">
        <v>5879.36</v>
      </c>
      <c r="M796" s="115"/>
      <c r="N796" s="116"/>
      <c r="O796" s="117">
        <f t="shared" si="64"/>
        <v>47149</v>
      </c>
      <c r="P796" s="118">
        <f t="shared" si="65"/>
        <v>4</v>
      </c>
      <c r="Q796" s="119">
        <f t="shared" si="66"/>
        <v>5879.35113333333</v>
      </c>
      <c r="R796" s="119">
        <f t="shared" si="67"/>
        <v>-0.00886666666701785</v>
      </c>
      <c r="S796" s="120" t="s">
        <v>106</v>
      </c>
      <c r="U796" s="67"/>
      <c r="V796" s="121"/>
      <c r="W796" s="122"/>
      <c r="X796" s="63"/>
      <c r="Y796" s="63"/>
      <c r="Z796" s="63"/>
      <c r="AA796" s="63"/>
    </row>
    <row r="797" s="59" customFormat="1" ht="16.5" outlineLevel="7" spans="1:27">
      <c r="A797" s="79"/>
      <c r="B797" s="123" t="s">
        <v>196</v>
      </c>
      <c r="C797" s="124">
        <v>200035</v>
      </c>
      <c r="D797" s="125" t="s">
        <v>725</v>
      </c>
      <c r="E797" s="126">
        <v>45349</v>
      </c>
      <c r="F797" s="111">
        <v>60</v>
      </c>
      <c r="G797" s="127">
        <v>0.05</v>
      </c>
      <c r="H797" s="128">
        <v>65486.73</v>
      </c>
      <c r="I797" s="113">
        <v>26958.64</v>
      </c>
      <c r="J797" s="113">
        <v>0</v>
      </c>
      <c r="K797" s="114">
        <f t="shared" si="63"/>
        <v>38528.09</v>
      </c>
      <c r="L797" s="128">
        <v>4147.5</v>
      </c>
      <c r="M797" s="115"/>
      <c r="N797" s="116"/>
      <c r="O797" s="117">
        <f t="shared" si="64"/>
        <v>47177</v>
      </c>
      <c r="P797" s="118">
        <f t="shared" si="65"/>
        <v>4</v>
      </c>
      <c r="Q797" s="119">
        <f t="shared" si="66"/>
        <v>4147.4929</v>
      </c>
      <c r="R797" s="119">
        <f t="shared" si="67"/>
        <v>-0.00709999999980937</v>
      </c>
      <c r="S797" s="120" t="s">
        <v>106</v>
      </c>
      <c r="U797" s="67"/>
      <c r="V797" s="121"/>
      <c r="W797" s="122"/>
      <c r="X797" s="63"/>
      <c r="Y797" s="63"/>
      <c r="Z797" s="63"/>
      <c r="AA797" s="63"/>
    </row>
    <row r="798" s="59" customFormat="1" ht="16.5" outlineLevel="7" spans="1:27">
      <c r="A798" s="79"/>
      <c r="B798" s="123" t="s">
        <v>196</v>
      </c>
      <c r="C798" s="124">
        <v>200036</v>
      </c>
      <c r="D798" s="125" t="s">
        <v>788</v>
      </c>
      <c r="E798" s="126">
        <v>45378</v>
      </c>
      <c r="F798" s="111">
        <v>60</v>
      </c>
      <c r="G798" s="127">
        <v>0.05</v>
      </c>
      <c r="H798" s="128">
        <v>84955.75</v>
      </c>
      <c r="I798" s="113">
        <v>33628.25</v>
      </c>
      <c r="J798" s="113">
        <v>0</v>
      </c>
      <c r="K798" s="114">
        <f t="shared" si="63"/>
        <v>51327.5</v>
      </c>
      <c r="L798" s="128">
        <v>5380.52</v>
      </c>
      <c r="M798" s="115"/>
      <c r="N798" s="116"/>
      <c r="O798" s="117">
        <f t="shared" si="64"/>
        <v>47208</v>
      </c>
      <c r="P798" s="118">
        <f t="shared" si="65"/>
        <v>4</v>
      </c>
      <c r="Q798" s="119">
        <f t="shared" si="66"/>
        <v>5380.53083333333</v>
      </c>
      <c r="R798" s="119">
        <f t="shared" si="67"/>
        <v>0.0108333333328119</v>
      </c>
      <c r="S798" s="120" t="s">
        <v>106</v>
      </c>
      <c r="U798" s="67"/>
      <c r="V798" s="121"/>
      <c r="W798" s="122"/>
      <c r="X798" s="63"/>
      <c r="Y798" s="63"/>
      <c r="Z798" s="63"/>
      <c r="AA798" s="63"/>
    </row>
    <row r="799" s="59" customFormat="1" ht="16.5" outlineLevel="7" spans="1:27">
      <c r="A799" s="79"/>
      <c r="B799" s="123" t="s">
        <v>196</v>
      </c>
      <c r="C799" s="124">
        <v>200037</v>
      </c>
      <c r="D799" s="125" t="s">
        <v>790</v>
      </c>
      <c r="E799" s="126">
        <v>45406</v>
      </c>
      <c r="F799" s="111">
        <v>60</v>
      </c>
      <c r="G799" s="127">
        <v>0.05</v>
      </c>
      <c r="H799" s="128">
        <v>92831.86</v>
      </c>
      <c r="I799" s="113">
        <v>35276.16</v>
      </c>
      <c r="J799" s="113">
        <v>0</v>
      </c>
      <c r="K799" s="114">
        <f t="shared" si="63"/>
        <v>57555.7</v>
      </c>
      <c r="L799" s="128">
        <v>5879.36</v>
      </c>
      <c r="M799" s="115"/>
      <c r="N799" s="116"/>
      <c r="O799" s="117">
        <f t="shared" si="64"/>
        <v>47238</v>
      </c>
      <c r="P799" s="118">
        <f t="shared" si="65"/>
        <v>4</v>
      </c>
      <c r="Q799" s="119">
        <f t="shared" si="66"/>
        <v>5879.35113333333</v>
      </c>
      <c r="R799" s="119">
        <f t="shared" si="67"/>
        <v>-0.00886666666701785</v>
      </c>
      <c r="S799" s="120" t="s">
        <v>106</v>
      </c>
      <c r="U799" s="67"/>
      <c r="V799" s="121"/>
      <c r="W799" s="122"/>
      <c r="X799" s="63"/>
      <c r="Y799" s="63"/>
      <c r="Z799" s="63"/>
      <c r="AA799" s="63"/>
    </row>
    <row r="800" s="59" customFormat="1" ht="16.5" outlineLevel="7" spans="1:27">
      <c r="A800" s="79"/>
      <c r="B800" s="123" t="s">
        <v>196</v>
      </c>
      <c r="C800" s="124">
        <v>200038</v>
      </c>
      <c r="D800" s="125" t="s">
        <v>788</v>
      </c>
      <c r="E800" s="126">
        <v>45385</v>
      </c>
      <c r="F800" s="111">
        <v>60</v>
      </c>
      <c r="G800" s="127">
        <v>0.05</v>
      </c>
      <c r="H800" s="128">
        <v>84955.75</v>
      </c>
      <c r="I800" s="113">
        <v>32283.12</v>
      </c>
      <c r="J800" s="113">
        <v>0</v>
      </c>
      <c r="K800" s="114">
        <f t="shared" si="63"/>
        <v>52672.63</v>
      </c>
      <c r="L800" s="128">
        <v>5380.52</v>
      </c>
      <c r="M800" s="115"/>
      <c r="N800" s="116"/>
      <c r="O800" s="117">
        <f t="shared" si="64"/>
        <v>47238</v>
      </c>
      <c r="P800" s="118">
        <f t="shared" si="65"/>
        <v>4</v>
      </c>
      <c r="Q800" s="119">
        <f t="shared" si="66"/>
        <v>5380.53083333333</v>
      </c>
      <c r="R800" s="119">
        <f t="shared" si="67"/>
        <v>0.0108333333328119</v>
      </c>
      <c r="S800" s="120" t="s">
        <v>106</v>
      </c>
      <c r="U800" s="67"/>
      <c r="V800" s="121"/>
      <c r="W800" s="122"/>
      <c r="X800" s="63"/>
      <c r="Y800" s="63"/>
      <c r="Z800" s="63"/>
      <c r="AA800" s="63"/>
    </row>
    <row r="801" s="59" customFormat="1" ht="16.5" outlineLevel="7" spans="1:27">
      <c r="A801" s="79"/>
      <c r="B801" s="107" t="s">
        <v>196</v>
      </c>
      <c r="C801" s="108">
        <v>200039</v>
      </c>
      <c r="D801" s="109" t="s">
        <v>791</v>
      </c>
      <c r="E801" s="110">
        <v>45420</v>
      </c>
      <c r="F801" s="111">
        <v>60</v>
      </c>
      <c r="G801" s="112">
        <v>0.05</v>
      </c>
      <c r="H801" s="113">
        <v>81578.7</v>
      </c>
      <c r="I801" s="113">
        <v>29708.18</v>
      </c>
      <c r="J801" s="113">
        <v>0</v>
      </c>
      <c r="K801" s="114">
        <f t="shared" si="63"/>
        <v>51870.52</v>
      </c>
      <c r="L801" s="113">
        <v>5166.64</v>
      </c>
      <c r="M801" s="115"/>
      <c r="N801" s="116"/>
      <c r="O801" s="117">
        <f t="shared" si="64"/>
        <v>47269</v>
      </c>
      <c r="P801" s="118">
        <f t="shared" si="65"/>
        <v>4</v>
      </c>
      <c r="Q801" s="119">
        <f t="shared" si="66"/>
        <v>5166.651</v>
      </c>
      <c r="R801" s="119">
        <f t="shared" si="67"/>
        <v>0.0109999999995125</v>
      </c>
      <c r="S801" s="120" t="s">
        <v>106</v>
      </c>
      <c r="U801" s="67"/>
      <c r="V801" s="121"/>
      <c r="W801" s="122"/>
      <c r="X801" s="63"/>
      <c r="Y801" s="63"/>
      <c r="Z801" s="63"/>
      <c r="AA801" s="63"/>
    </row>
    <row r="802" s="59" customFormat="1" ht="16.5" outlineLevel="7" spans="1:27">
      <c r="A802" s="79"/>
      <c r="B802" s="107" t="s">
        <v>196</v>
      </c>
      <c r="C802" s="108">
        <v>200040</v>
      </c>
      <c r="D802" s="109" t="s">
        <v>788</v>
      </c>
      <c r="E802" s="110">
        <v>45498</v>
      </c>
      <c r="F802" s="111">
        <v>60</v>
      </c>
      <c r="G802" s="112">
        <v>0.05</v>
      </c>
      <c r="H802" s="113">
        <v>120920</v>
      </c>
      <c r="I802" s="113">
        <v>40205.97</v>
      </c>
      <c r="J802" s="113">
        <v>0</v>
      </c>
      <c r="K802" s="114">
        <f t="shared" si="63"/>
        <v>80714.03</v>
      </c>
      <c r="L802" s="113">
        <v>7658.28</v>
      </c>
      <c r="M802" s="115"/>
      <c r="N802" s="116"/>
      <c r="O802" s="117">
        <f t="shared" si="64"/>
        <v>47330</v>
      </c>
      <c r="P802" s="118">
        <f t="shared" si="65"/>
        <v>4</v>
      </c>
      <c r="Q802" s="119">
        <f t="shared" si="66"/>
        <v>7658.26666666667</v>
      </c>
      <c r="R802" s="119">
        <f t="shared" si="67"/>
        <v>-0.0133333333333212</v>
      </c>
      <c r="S802" s="120" t="s">
        <v>106</v>
      </c>
      <c r="U802" s="67"/>
      <c r="V802" s="121"/>
      <c r="W802" s="122"/>
      <c r="X802" s="63"/>
      <c r="Y802" s="63"/>
      <c r="Z802" s="63"/>
      <c r="AA802" s="63"/>
    </row>
    <row r="803" s="59" customFormat="1" ht="16.5" outlineLevel="7" spans="1:27">
      <c r="A803" s="79"/>
      <c r="B803" s="123" t="s">
        <v>196</v>
      </c>
      <c r="C803" s="124">
        <v>200041</v>
      </c>
      <c r="D803" s="125" t="s">
        <v>788</v>
      </c>
      <c r="E803" s="126">
        <v>45498</v>
      </c>
      <c r="F803" s="111">
        <v>60</v>
      </c>
      <c r="G803" s="127">
        <v>0.05</v>
      </c>
      <c r="H803" s="128">
        <v>120920</v>
      </c>
      <c r="I803" s="113">
        <v>40205.97</v>
      </c>
      <c r="J803" s="113">
        <v>0</v>
      </c>
      <c r="K803" s="114">
        <f t="shared" si="63"/>
        <v>80714.03</v>
      </c>
      <c r="L803" s="128">
        <v>7658.28</v>
      </c>
      <c r="M803" s="115"/>
      <c r="N803" s="116"/>
      <c r="O803" s="117">
        <f t="shared" si="64"/>
        <v>47330</v>
      </c>
      <c r="P803" s="118">
        <f t="shared" si="65"/>
        <v>4</v>
      </c>
      <c r="Q803" s="119">
        <f t="shared" si="66"/>
        <v>7658.26666666667</v>
      </c>
      <c r="R803" s="119">
        <f t="shared" si="67"/>
        <v>-0.0133333333333212</v>
      </c>
      <c r="S803" s="120" t="s">
        <v>106</v>
      </c>
      <c r="U803" s="67"/>
      <c r="V803" s="121"/>
      <c r="W803" s="122"/>
      <c r="X803" s="63"/>
      <c r="Y803" s="63"/>
      <c r="Z803" s="63"/>
      <c r="AA803" s="63"/>
    </row>
    <row r="804" s="59" customFormat="1" ht="16.5" outlineLevel="7" spans="1:27">
      <c r="A804" s="79"/>
      <c r="B804" s="123" t="s">
        <v>196</v>
      </c>
      <c r="C804" s="124">
        <v>200043</v>
      </c>
      <c r="D804" s="125" t="s">
        <v>788</v>
      </c>
      <c r="E804" s="126">
        <v>45498</v>
      </c>
      <c r="F804" s="111">
        <v>60</v>
      </c>
      <c r="G804" s="127">
        <v>0.05</v>
      </c>
      <c r="H804" s="128">
        <v>120920</v>
      </c>
      <c r="I804" s="113">
        <v>40205.97</v>
      </c>
      <c r="J804" s="113">
        <v>0</v>
      </c>
      <c r="K804" s="114">
        <f t="shared" si="63"/>
        <v>80714.03</v>
      </c>
      <c r="L804" s="128">
        <v>7658.28</v>
      </c>
      <c r="M804" s="115"/>
      <c r="N804" s="116"/>
      <c r="O804" s="117">
        <f t="shared" si="64"/>
        <v>47330</v>
      </c>
      <c r="P804" s="118">
        <f t="shared" si="65"/>
        <v>4</v>
      </c>
      <c r="Q804" s="119">
        <f t="shared" si="66"/>
        <v>7658.26666666667</v>
      </c>
      <c r="R804" s="119">
        <f t="shared" si="67"/>
        <v>-0.0133333333333212</v>
      </c>
      <c r="S804" s="120" t="s">
        <v>106</v>
      </c>
      <c r="U804" s="67"/>
      <c r="V804" s="121"/>
      <c r="W804" s="122"/>
      <c r="X804" s="63"/>
      <c r="Y804" s="63"/>
      <c r="Z804" s="63"/>
      <c r="AA804" s="63"/>
    </row>
    <row r="805" s="59" customFormat="1" ht="16.5" outlineLevel="7" spans="1:27">
      <c r="A805" s="79"/>
      <c r="B805" s="123" t="s">
        <v>196</v>
      </c>
      <c r="C805" s="124">
        <v>200044</v>
      </c>
      <c r="D805" s="125" t="s">
        <v>793</v>
      </c>
      <c r="E805" s="126">
        <v>45509</v>
      </c>
      <c r="F805" s="111">
        <v>60</v>
      </c>
      <c r="G805" s="127">
        <v>0.05</v>
      </c>
      <c r="H805" s="128">
        <v>19823.01</v>
      </c>
      <c r="I805" s="113">
        <v>6277.26</v>
      </c>
      <c r="J805" s="113">
        <v>0</v>
      </c>
      <c r="K805" s="114">
        <f t="shared" si="63"/>
        <v>13545.75</v>
      </c>
      <c r="L805" s="128">
        <v>1255.46</v>
      </c>
      <c r="M805" s="115"/>
      <c r="N805" s="116"/>
      <c r="O805" s="117">
        <f t="shared" si="64"/>
        <v>47361</v>
      </c>
      <c r="P805" s="118">
        <f t="shared" si="65"/>
        <v>4</v>
      </c>
      <c r="Q805" s="119">
        <f t="shared" si="66"/>
        <v>1255.4573</v>
      </c>
      <c r="R805" s="119">
        <f t="shared" si="67"/>
        <v>-0.00270000000023174</v>
      </c>
      <c r="S805" s="120" t="s">
        <v>106</v>
      </c>
      <c r="U805" s="67"/>
      <c r="V805" s="121"/>
      <c r="W805" s="122"/>
      <c r="X805" s="63"/>
      <c r="Y805" s="63"/>
      <c r="Z805" s="63"/>
      <c r="AA805" s="63"/>
    </row>
    <row r="806" s="59" customFormat="1" ht="16.5" outlineLevel="7" spans="1:27">
      <c r="A806" s="79"/>
      <c r="B806" s="123" t="s">
        <v>196</v>
      </c>
      <c r="C806" s="124">
        <v>200045</v>
      </c>
      <c r="D806" s="125" t="s">
        <v>795</v>
      </c>
      <c r="E806" s="126">
        <v>45517</v>
      </c>
      <c r="F806" s="111">
        <v>60</v>
      </c>
      <c r="G806" s="127">
        <v>0.05</v>
      </c>
      <c r="H806" s="128">
        <v>4424.78</v>
      </c>
      <c r="I806" s="113">
        <v>1401.2</v>
      </c>
      <c r="J806" s="113">
        <v>0</v>
      </c>
      <c r="K806" s="114">
        <f t="shared" si="63"/>
        <v>3023.58</v>
      </c>
      <c r="L806" s="128">
        <v>280.24</v>
      </c>
      <c r="M806" s="115"/>
      <c r="N806" s="116"/>
      <c r="O806" s="117">
        <f t="shared" si="64"/>
        <v>47361</v>
      </c>
      <c r="P806" s="118">
        <f t="shared" si="65"/>
        <v>4</v>
      </c>
      <c r="Q806" s="119">
        <f t="shared" si="66"/>
        <v>280.236066666667</v>
      </c>
      <c r="R806" s="119">
        <f t="shared" si="67"/>
        <v>-0.00393333333340706</v>
      </c>
      <c r="S806" s="120" t="s">
        <v>106</v>
      </c>
      <c r="U806" s="67"/>
      <c r="V806" s="121"/>
      <c r="W806" s="122"/>
      <c r="X806" s="63"/>
      <c r="Y806" s="63"/>
      <c r="Z806" s="63"/>
      <c r="AA806" s="63"/>
    </row>
    <row r="807" s="59" customFormat="1" ht="16.5" outlineLevel="7" spans="1:27">
      <c r="A807" s="79"/>
      <c r="B807" s="123" t="s">
        <v>196</v>
      </c>
      <c r="C807" s="124">
        <v>200046</v>
      </c>
      <c r="D807" s="125" t="s">
        <v>797</v>
      </c>
      <c r="E807" s="126">
        <v>45543</v>
      </c>
      <c r="F807" s="111">
        <v>60</v>
      </c>
      <c r="G807" s="127">
        <v>0.05</v>
      </c>
      <c r="H807" s="128">
        <v>1973.45</v>
      </c>
      <c r="I807" s="113">
        <v>593.74</v>
      </c>
      <c r="J807" s="113">
        <v>0</v>
      </c>
      <c r="K807" s="114">
        <f t="shared" si="63"/>
        <v>1379.71</v>
      </c>
      <c r="L807" s="128">
        <v>124.99</v>
      </c>
      <c r="M807" s="115"/>
      <c r="N807" s="116"/>
      <c r="O807" s="117">
        <f t="shared" si="64"/>
        <v>47391</v>
      </c>
      <c r="P807" s="118">
        <f t="shared" si="65"/>
        <v>4</v>
      </c>
      <c r="Q807" s="119">
        <f t="shared" si="66"/>
        <v>124.985166666667</v>
      </c>
      <c r="R807" s="119">
        <f t="shared" si="67"/>
        <v>-0.00483333333333746</v>
      </c>
      <c r="S807" s="120" t="s">
        <v>106</v>
      </c>
      <c r="U807" s="67"/>
      <c r="V807" s="121"/>
      <c r="W807" s="122"/>
      <c r="X807" s="63"/>
      <c r="Y807" s="63"/>
      <c r="Z807" s="63"/>
      <c r="AA807" s="63"/>
    </row>
    <row r="808" s="59" customFormat="1" ht="16.5" outlineLevel="7" spans="1:27">
      <c r="A808" s="79"/>
      <c r="B808" s="107" t="s">
        <v>196</v>
      </c>
      <c r="C808" s="108">
        <v>200047</v>
      </c>
      <c r="D808" s="109" t="s">
        <v>799</v>
      </c>
      <c r="E808" s="110">
        <v>45539</v>
      </c>
      <c r="F808" s="111">
        <v>60</v>
      </c>
      <c r="G808" s="112">
        <v>0.05</v>
      </c>
      <c r="H808" s="113">
        <v>91849.55</v>
      </c>
      <c r="I808" s="113">
        <v>27631.39</v>
      </c>
      <c r="J808" s="113">
        <v>0</v>
      </c>
      <c r="K808" s="114">
        <f t="shared" si="63"/>
        <v>64218.16</v>
      </c>
      <c r="L808" s="113">
        <v>5817.14</v>
      </c>
      <c r="M808" s="115"/>
      <c r="N808" s="116"/>
      <c r="O808" s="117">
        <f t="shared" si="64"/>
        <v>47391</v>
      </c>
      <c r="P808" s="118">
        <f t="shared" si="65"/>
        <v>4</v>
      </c>
      <c r="Q808" s="119">
        <f t="shared" si="66"/>
        <v>5817.13816666667</v>
      </c>
      <c r="R808" s="119">
        <f t="shared" si="67"/>
        <v>-0.00183333333370683</v>
      </c>
      <c r="S808" s="120" t="s">
        <v>106</v>
      </c>
      <c r="U808" s="67"/>
      <c r="V808" s="121"/>
      <c r="W808" s="122"/>
      <c r="X808" s="63"/>
      <c r="Y808" s="63"/>
      <c r="Z808" s="63"/>
      <c r="AA808" s="63"/>
    </row>
    <row r="809" s="59" customFormat="1" ht="16.5" outlineLevel="7" spans="1:27">
      <c r="A809" s="79"/>
      <c r="B809" s="107" t="s">
        <v>196</v>
      </c>
      <c r="C809" s="108">
        <v>200048</v>
      </c>
      <c r="D809" s="109" t="s">
        <v>801</v>
      </c>
      <c r="E809" s="110">
        <v>45549</v>
      </c>
      <c r="F809" s="111">
        <v>60</v>
      </c>
      <c r="G809" s="112">
        <v>0.05</v>
      </c>
      <c r="H809" s="113">
        <v>3484.96</v>
      </c>
      <c r="I809" s="113">
        <v>1048.42</v>
      </c>
      <c r="J809" s="113">
        <v>0</v>
      </c>
      <c r="K809" s="114">
        <f t="shared" si="63"/>
        <v>2436.54</v>
      </c>
      <c r="L809" s="113">
        <v>220.72</v>
      </c>
      <c r="M809" s="115"/>
      <c r="N809" s="116"/>
      <c r="O809" s="117">
        <f t="shared" si="64"/>
        <v>47391</v>
      </c>
      <c r="P809" s="118">
        <f t="shared" si="65"/>
        <v>4</v>
      </c>
      <c r="Q809" s="119">
        <f t="shared" si="66"/>
        <v>220.714133333333</v>
      </c>
      <c r="R809" s="119">
        <f t="shared" si="67"/>
        <v>-0.00586666666666247</v>
      </c>
      <c r="S809" s="120" t="s">
        <v>106</v>
      </c>
      <c r="U809" s="67"/>
      <c r="V809" s="121"/>
      <c r="W809" s="122"/>
      <c r="X809" s="63"/>
      <c r="Y809" s="63"/>
      <c r="Z809" s="63"/>
      <c r="AA809" s="63"/>
    </row>
    <row r="810" s="59" customFormat="1" ht="16.5" outlineLevel="7" spans="1:27">
      <c r="A810" s="79"/>
      <c r="B810" s="123" t="s">
        <v>196</v>
      </c>
      <c r="C810" s="124">
        <v>200049</v>
      </c>
      <c r="D810" s="125" t="s">
        <v>803</v>
      </c>
      <c r="E810" s="126">
        <v>45574</v>
      </c>
      <c r="F810" s="111">
        <v>60</v>
      </c>
      <c r="G810" s="127">
        <v>0.05</v>
      </c>
      <c r="H810" s="128">
        <v>2876.11</v>
      </c>
      <c r="I810" s="113">
        <v>819.72</v>
      </c>
      <c r="J810" s="113">
        <v>0</v>
      </c>
      <c r="K810" s="114">
        <f t="shared" si="63"/>
        <v>2056.39</v>
      </c>
      <c r="L810" s="128">
        <v>182.16</v>
      </c>
      <c r="M810" s="115"/>
      <c r="N810" s="116"/>
      <c r="O810" s="117">
        <f t="shared" si="64"/>
        <v>47422</v>
      </c>
      <c r="P810" s="118">
        <f t="shared" si="65"/>
        <v>4</v>
      </c>
      <c r="Q810" s="119">
        <f t="shared" si="66"/>
        <v>182.153633333333</v>
      </c>
      <c r="R810" s="119">
        <f t="shared" si="67"/>
        <v>-0.00636666666665064</v>
      </c>
      <c r="S810" s="120" t="s">
        <v>106</v>
      </c>
      <c r="U810" s="67"/>
      <c r="V810" s="121"/>
      <c r="W810" s="122"/>
      <c r="X810" s="63"/>
      <c r="Y810" s="63"/>
      <c r="Z810" s="63"/>
      <c r="AA810" s="63"/>
    </row>
    <row r="811" s="59" customFormat="1" ht="16.5" outlineLevel="7" spans="1:27">
      <c r="A811" s="79"/>
      <c r="B811" s="123" t="s">
        <v>196</v>
      </c>
      <c r="C811" s="124">
        <v>200050</v>
      </c>
      <c r="D811" s="125" t="s">
        <v>803</v>
      </c>
      <c r="E811" s="126">
        <v>45574</v>
      </c>
      <c r="F811" s="111">
        <v>60</v>
      </c>
      <c r="G811" s="127">
        <v>0.05</v>
      </c>
      <c r="H811" s="128">
        <v>2876.1</v>
      </c>
      <c r="I811" s="113">
        <v>819.72</v>
      </c>
      <c r="J811" s="113">
        <v>0</v>
      </c>
      <c r="K811" s="114">
        <f t="shared" si="63"/>
        <v>2056.38</v>
      </c>
      <c r="L811" s="128">
        <v>182.16</v>
      </c>
      <c r="M811" s="115"/>
      <c r="N811" s="116"/>
      <c r="O811" s="117">
        <f t="shared" si="64"/>
        <v>47422</v>
      </c>
      <c r="P811" s="118">
        <f t="shared" si="65"/>
        <v>4</v>
      </c>
      <c r="Q811" s="119">
        <f t="shared" si="66"/>
        <v>182.153</v>
      </c>
      <c r="R811" s="119">
        <f t="shared" si="67"/>
        <v>-0.00700000000003342</v>
      </c>
      <c r="S811" s="120" t="s">
        <v>106</v>
      </c>
      <c r="U811" s="67"/>
      <c r="V811" s="121"/>
      <c r="W811" s="122"/>
      <c r="X811" s="63"/>
      <c r="Y811" s="63"/>
      <c r="Z811" s="63"/>
      <c r="AA811" s="63"/>
    </row>
    <row r="812" s="59" customFormat="1" ht="16.5" outlineLevel="7" spans="1:27">
      <c r="A812" s="79"/>
      <c r="B812" s="123" t="s">
        <v>196</v>
      </c>
      <c r="C812" s="124">
        <v>200051</v>
      </c>
      <c r="D812" s="125" t="s">
        <v>804</v>
      </c>
      <c r="E812" s="126">
        <v>45582</v>
      </c>
      <c r="F812" s="111">
        <v>60</v>
      </c>
      <c r="G812" s="127">
        <v>0.05</v>
      </c>
      <c r="H812" s="128">
        <v>1415.93</v>
      </c>
      <c r="I812" s="113">
        <v>403.56</v>
      </c>
      <c r="J812" s="113">
        <v>0</v>
      </c>
      <c r="K812" s="114">
        <f t="shared" si="63"/>
        <v>1012.37</v>
      </c>
      <c r="L812" s="128">
        <v>89.68</v>
      </c>
      <c r="M812" s="115"/>
      <c r="N812" s="116"/>
      <c r="O812" s="117">
        <f t="shared" si="64"/>
        <v>47422</v>
      </c>
      <c r="P812" s="118">
        <f t="shared" si="65"/>
        <v>4</v>
      </c>
      <c r="Q812" s="119">
        <f t="shared" si="66"/>
        <v>89.6755666666667</v>
      </c>
      <c r="R812" s="119">
        <f t="shared" si="67"/>
        <v>-0.00443333333335261</v>
      </c>
      <c r="S812" s="120" t="s">
        <v>106</v>
      </c>
      <c r="U812" s="67"/>
      <c r="V812" s="121"/>
      <c r="W812" s="122"/>
      <c r="X812" s="63"/>
      <c r="Y812" s="63"/>
      <c r="Z812" s="63"/>
      <c r="AA812" s="63"/>
    </row>
    <row r="813" s="59" customFormat="1" ht="16.5" outlineLevel="7" spans="1:27">
      <c r="A813" s="79"/>
      <c r="B813" s="123" t="s">
        <v>196</v>
      </c>
      <c r="C813" s="124">
        <v>200052</v>
      </c>
      <c r="D813" s="125" t="s">
        <v>804</v>
      </c>
      <c r="E813" s="126">
        <v>45582</v>
      </c>
      <c r="F813" s="111">
        <v>60</v>
      </c>
      <c r="G813" s="127">
        <v>0.05</v>
      </c>
      <c r="H813" s="128">
        <v>1415.93</v>
      </c>
      <c r="I813" s="113">
        <v>403.56</v>
      </c>
      <c r="J813" s="113">
        <v>0</v>
      </c>
      <c r="K813" s="114">
        <f t="shared" si="63"/>
        <v>1012.37</v>
      </c>
      <c r="L813" s="128">
        <v>89.68</v>
      </c>
      <c r="M813" s="115"/>
      <c r="N813" s="116"/>
      <c r="O813" s="117">
        <f t="shared" si="64"/>
        <v>47422</v>
      </c>
      <c r="P813" s="118">
        <f t="shared" si="65"/>
        <v>4</v>
      </c>
      <c r="Q813" s="119">
        <f t="shared" si="66"/>
        <v>89.6755666666667</v>
      </c>
      <c r="R813" s="119">
        <f t="shared" si="67"/>
        <v>-0.00443333333335261</v>
      </c>
      <c r="S813" s="120" t="s">
        <v>106</v>
      </c>
      <c r="U813" s="67"/>
      <c r="V813" s="121"/>
      <c r="W813" s="122"/>
      <c r="X813" s="63"/>
      <c r="Y813" s="63"/>
      <c r="Z813" s="63"/>
      <c r="AA813" s="63"/>
    </row>
    <row r="814" s="59" customFormat="1" ht="16.5" outlineLevel="7" spans="1:27">
      <c r="A814" s="79"/>
      <c r="B814" s="123" t="s">
        <v>196</v>
      </c>
      <c r="C814" s="124">
        <v>200053</v>
      </c>
      <c r="D814" s="125" t="s">
        <v>804</v>
      </c>
      <c r="E814" s="126">
        <v>45582</v>
      </c>
      <c r="F814" s="111">
        <v>60</v>
      </c>
      <c r="G814" s="127">
        <v>0.05</v>
      </c>
      <c r="H814" s="128">
        <v>1415.93</v>
      </c>
      <c r="I814" s="113">
        <v>403.56</v>
      </c>
      <c r="J814" s="113">
        <v>0</v>
      </c>
      <c r="K814" s="114">
        <f t="shared" si="63"/>
        <v>1012.37</v>
      </c>
      <c r="L814" s="128">
        <v>89.68</v>
      </c>
      <c r="M814" s="115"/>
      <c r="N814" s="116"/>
      <c r="O814" s="117">
        <f t="shared" si="64"/>
        <v>47422</v>
      </c>
      <c r="P814" s="118">
        <f t="shared" si="65"/>
        <v>4</v>
      </c>
      <c r="Q814" s="119">
        <f t="shared" si="66"/>
        <v>89.6755666666667</v>
      </c>
      <c r="R814" s="119">
        <f t="shared" si="67"/>
        <v>-0.00443333333335261</v>
      </c>
      <c r="S814" s="120" t="s">
        <v>106</v>
      </c>
      <c r="U814" s="67"/>
      <c r="V814" s="121"/>
      <c r="W814" s="122"/>
      <c r="X814" s="63"/>
      <c r="Y814" s="63"/>
      <c r="Z814" s="63"/>
      <c r="AA814" s="63"/>
    </row>
    <row r="815" s="59" customFormat="1" ht="16.5" outlineLevel="7" spans="1:27">
      <c r="A815" s="79"/>
      <c r="B815" s="107" t="s">
        <v>196</v>
      </c>
      <c r="C815" s="108">
        <v>200054</v>
      </c>
      <c r="D815" s="109" t="s">
        <v>804</v>
      </c>
      <c r="E815" s="110">
        <v>45582</v>
      </c>
      <c r="F815" s="111">
        <v>60</v>
      </c>
      <c r="G815" s="112">
        <v>0.05</v>
      </c>
      <c r="H815" s="113">
        <v>1415.93</v>
      </c>
      <c r="I815" s="113">
        <v>403.56</v>
      </c>
      <c r="J815" s="113">
        <v>0</v>
      </c>
      <c r="K815" s="114">
        <f t="shared" si="63"/>
        <v>1012.37</v>
      </c>
      <c r="L815" s="113">
        <v>89.68</v>
      </c>
      <c r="M815" s="115"/>
      <c r="N815" s="116"/>
      <c r="O815" s="117">
        <f t="shared" si="64"/>
        <v>47422</v>
      </c>
      <c r="P815" s="118">
        <f t="shared" si="65"/>
        <v>4</v>
      </c>
      <c r="Q815" s="119">
        <f t="shared" si="66"/>
        <v>89.6755666666667</v>
      </c>
      <c r="R815" s="119">
        <f t="shared" si="67"/>
        <v>-0.00443333333335261</v>
      </c>
      <c r="S815" s="120" t="s">
        <v>106</v>
      </c>
      <c r="U815" s="67"/>
      <c r="V815" s="121"/>
      <c r="W815" s="122"/>
      <c r="X815" s="63"/>
      <c r="Y815" s="63"/>
      <c r="Z815" s="63"/>
      <c r="AA815" s="63"/>
    </row>
    <row r="816" s="59" customFormat="1" ht="16.5" outlineLevel="7" spans="1:27">
      <c r="A816" s="79"/>
      <c r="B816" s="107" t="s">
        <v>196</v>
      </c>
      <c r="C816" s="108">
        <v>200055</v>
      </c>
      <c r="D816" s="109" t="s">
        <v>804</v>
      </c>
      <c r="E816" s="110">
        <v>45582</v>
      </c>
      <c r="F816" s="111">
        <v>60</v>
      </c>
      <c r="G816" s="112">
        <v>0.05</v>
      </c>
      <c r="H816" s="113">
        <v>1415.93</v>
      </c>
      <c r="I816" s="113">
        <v>403.56</v>
      </c>
      <c r="J816" s="113">
        <v>0</v>
      </c>
      <c r="K816" s="114">
        <f t="shared" si="63"/>
        <v>1012.37</v>
      </c>
      <c r="L816" s="113">
        <v>89.68</v>
      </c>
      <c r="M816" s="115"/>
      <c r="N816" s="116"/>
      <c r="O816" s="117">
        <f t="shared" si="64"/>
        <v>47422</v>
      </c>
      <c r="P816" s="118">
        <f t="shared" si="65"/>
        <v>4</v>
      </c>
      <c r="Q816" s="119">
        <f t="shared" si="66"/>
        <v>89.6755666666667</v>
      </c>
      <c r="R816" s="119">
        <f t="shared" si="67"/>
        <v>-0.00443333333335261</v>
      </c>
      <c r="S816" s="120" t="s">
        <v>106</v>
      </c>
      <c r="U816" s="67"/>
      <c r="V816" s="121"/>
      <c r="W816" s="122"/>
      <c r="X816" s="63"/>
      <c r="Y816" s="63"/>
      <c r="Z816" s="63"/>
      <c r="AA816" s="63"/>
    </row>
    <row r="817" s="59" customFormat="1" ht="16.5" outlineLevel="7" spans="1:27">
      <c r="A817" s="79"/>
      <c r="B817" s="123" t="s">
        <v>196</v>
      </c>
      <c r="C817" s="124">
        <v>200056</v>
      </c>
      <c r="D817" s="125" t="s">
        <v>804</v>
      </c>
      <c r="E817" s="126">
        <v>45582</v>
      </c>
      <c r="F817" s="111">
        <v>60</v>
      </c>
      <c r="G817" s="127">
        <v>0.05</v>
      </c>
      <c r="H817" s="128">
        <v>1415.93</v>
      </c>
      <c r="I817" s="113">
        <v>403.56</v>
      </c>
      <c r="J817" s="113">
        <v>0</v>
      </c>
      <c r="K817" s="114">
        <f t="shared" si="63"/>
        <v>1012.37</v>
      </c>
      <c r="L817" s="128">
        <v>89.68</v>
      </c>
      <c r="M817" s="115"/>
      <c r="N817" s="116"/>
      <c r="O817" s="117">
        <f t="shared" si="64"/>
        <v>47422</v>
      </c>
      <c r="P817" s="118">
        <f t="shared" si="65"/>
        <v>4</v>
      </c>
      <c r="Q817" s="119">
        <f t="shared" si="66"/>
        <v>89.6755666666667</v>
      </c>
      <c r="R817" s="119">
        <f t="shared" si="67"/>
        <v>-0.00443333333335261</v>
      </c>
      <c r="S817" s="120" t="s">
        <v>106</v>
      </c>
      <c r="U817" s="67"/>
      <c r="V817" s="121"/>
      <c r="W817" s="122"/>
      <c r="X817" s="63"/>
      <c r="Y817" s="63"/>
      <c r="Z817" s="63"/>
      <c r="AA817" s="63"/>
    </row>
    <row r="818" s="59" customFormat="1" ht="16.5" outlineLevel="7" spans="1:27">
      <c r="A818" s="79"/>
      <c r="B818" s="123" t="s">
        <v>196</v>
      </c>
      <c r="C818" s="124">
        <v>200057</v>
      </c>
      <c r="D818" s="125" t="s">
        <v>806</v>
      </c>
      <c r="E818" s="126">
        <v>45582</v>
      </c>
      <c r="F818" s="111">
        <v>60</v>
      </c>
      <c r="G818" s="127">
        <v>0.05</v>
      </c>
      <c r="H818" s="128">
        <v>173451.33</v>
      </c>
      <c r="I818" s="113">
        <v>49433.58</v>
      </c>
      <c r="J818" s="113">
        <v>0</v>
      </c>
      <c r="K818" s="114">
        <f t="shared" si="63"/>
        <v>124017.75</v>
      </c>
      <c r="L818" s="128">
        <v>10985.24</v>
      </c>
      <c r="M818" s="115"/>
      <c r="N818" s="116"/>
      <c r="O818" s="117">
        <f t="shared" si="64"/>
        <v>47422</v>
      </c>
      <c r="P818" s="118">
        <f t="shared" si="65"/>
        <v>4</v>
      </c>
      <c r="Q818" s="119">
        <f t="shared" si="66"/>
        <v>10985.2509</v>
      </c>
      <c r="R818" s="119">
        <f t="shared" si="67"/>
        <v>0.0108999999974912</v>
      </c>
      <c r="S818" s="120" t="s">
        <v>106</v>
      </c>
      <c r="U818" s="67"/>
      <c r="V818" s="121"/>
      <c r="W818" s="122"/>
      <c r="X818" s="63"/>
      <c r="Y818" s="63"/>
      <c r="Z818" s="63"/>
      <c r="AA818" s="63"/>
    </row>
    <row r="819" s="59" customFormat="1" ht="16.5" outlineLevel="7" spans="1:27">
      <c r="A819" s="79"/>
      <c r="B819" s="123" t="s">
        <v>196</v>
      </c>
      <c r="C819" s="124">
        <v>200058</v>
      </c>
      <c r="D819" s="125" t="s">
        <v>742</v>
      </c>
      <c r="E819" s="126">
        <v>45582</v>
      </c>
      <c r="F819" s="111">
        <v>60</v>
      </c>
      <c r="G819" s="127">
        <v>0.05</v>
      </c>
      <c r="H819" s="128">
        <v>14743.36</v>
      </c>
      <c r="I819" s="113">
        <v>4201.92</v>
      </c>
      <c r="J819" s="113">
        <v>0</v>
      </c>
      <c r="K819" s="114">
        <f t="shared" si="63"/>
        <v>10541.44</v>
      </c>
      <c r="L819" s="128">
        <v>933.76</v>
      </c>
      <c r="M819" s="115"/>
      <c r="N819" s="116"/>
      <c r="O819" s="117">
        <f t="shared" si="64"/>
        <v>47422</v>
      </c>
      <c r="P819" s="118">
        <f t="shared" si="65"/>
        <v>4</v>
      </c>
      <c r="Q819" s="119">
        <f t="shared" si="66"/>
        <v>933.746133333333</v>
      </c>
      <c r="R819" s="119">
        <f t="shared" si="67"/>
        <v>-0.0138666666666722</v>
      </c>
      <c r="S819" s="120" t="s">
        <v>106</v>
      </c>
      <c r="U819" s="67"/>
      <c r="V819" s="121"/>
      <c r="W819" s="122"/>
      <c r="X819" s="63"/>
      <c r="Y819" s="63"/>
      <c r="Z819" s="63"/>
      <c r="AA819" s="63"/>
    </row>
    <row r="820" s="59" customFormat="1" ht="16.5" outlineLevel="7" spans="1:27">
      <c r="A820" s="79"/>
      <c r="B820" s="123" t="s">
        <v>196</v>
      </c>
      <c r="C820" s="124">
        <v>200059</v>
      </c>
      <c r="D820" s="125" t="s">
        <v>809</v>
      </c>
      <c r="E820" s="126">
        <v>45582</v>
      </c>
      <c r="F820" s="111">
        <v>60</v>
      </c>
      <c r="G820" s="127">
        <v>0.05</v>
      </c>
      <c r="H820" s="128">
        <v>31504.42</v>
      </c>
      <c r="I820" s="113">
        <v>8978.76</v>
      </c>
      <c r="J820" s="113">
        <v>0</v>
      </c>
      <c r="K820" s="114">
        <f t="shared" si="63"/>
        <v>22525.66</v>
      </c>
      <c r="L820" s="128">
        <v>1995.28</v>
      </c>
      <c r="M820" s="115"/>
      <c r="N820" s="116"/>
      <c r="O820" s="117">
        <f t="shared" si="64"/>
        <v>47422</v>
      </c>
      <c r="P820" s="118">
        <f t="shared" si="65"/>
        <v>4</v>
      </c>
      <c r="Q820" s="119">
        <f t="shared" si="66"/>
        <v>1995.27993333333</v>
      </c>
      <c r="R820" s="119">
        <f t="shared" si="67"/>
        <v>-6.66666669530969e-5</v>
      </c>
      <c r="S820" s="120" t="s">
        <v>106</v>
      </c>
      <c r="U820" s="67"/>
      <c r="V820" s="121"/>
      <c r="W820" s="122"/>
      <c r="X820" s="63"/>
      <c r="Y820" s="63"/>
      <c r="Z820" s="63"/>
      <c r="AA820" s="63"/>
    </row>
    <row r="821" s="59" customFormat="1" ht="16.5" outlineLevel="7" spans="1:27">
      <c r="A821" s="79"/>
      <c r="B821" s="123" t="s">
        <v>196</v>
      </c>
      <c r="C821" s="124">
        <v>200060</v>
      </c>
      <c r="D821" s="125" t="s">
        <v>811</v>
      </c>
      <c r="E821" s="126">
        <v>45616</v>
      </c>
      <c r="F821" s="111">
        <v>60</v>
      </c>
      <c r="G821" s="127">
        <v>0.05</v>
      </c>
      <c r="H821" s="128">
        <v>225663.72</v>
      </c>
      <c r="I821" s="113">
        <v>60741.17</v>
      </c>
      <c r="J821" s="113">
        <v>0</v>
      </c>
      <c r="K821" s="114">
        <f t="shared" si="63"/>
        <v>164922.55</v>
      </c>
      <c r="L821" s="128">
        <v>14292.04</v>
      </c>
      <c r="M821" s="115"/>
      <c r="N821" s="116"/>
      <c r="O821" s="117">
        <f t="shared" si="64"/>
        <v>47452</v>
      </c>
      <c r="P821" s="118">
        <f t="shared" si="65"/>
        <v>4</v>
      </c>
      <c r="Q821" s="119">
        <f t="shared" si="66"/>
        <v>14292.0356</v>
      </c>
      <c r="R821" s="119">
        <f t="shared" si="67"/>
        <v>-0.00440000000162399</v>
      </c>
      <c r="S821" s="120" t="s">
        <v>106</v>
      </c>
      <c r="U821" s="67"/>
      <c r="V821" s="121"/>
      <c r="W821" s="122"/>
      <c r="X821" s="63"/>
      <c r="Y821" s="63"/>
      <c r="Z821" s="63"/>
      <c r="AA821" s="63"/>
    </row>
    <row r="822" s="59" customFormat="1" ht="16.5" outlineLevel="7" spans="1:27">
      <c r="A822" s="79"/>
      <c r="B822" s="107" t="s">
        <v>196</v>
      </c>
      <c r="C822" s="108">
        <v>200061</v>
      </c>
      <c r="D822" s="109" t="s">
        <v>813</v>
      </c>
      <c r="E822" s="110">
        <v>45616</v>
      </c>
      <c r="F822" s="111">
        <v>60</v>
      </c>
      <c r="G822" s="112">
        <v>0.05</v>
      </c>
      <c r="H822" s="113">
        <v>137168.14</v>
      </c>
      <c r="I822" s="113">
        <v>36921.11</v>
      </c>
      <c r="J822" s="113">
        <v>0</v>
      </c>
      <c r="K822" s="114">
        <f t="shared" si="63"/>
        <v>100247.03</v>
      </c>
      <c r="L822" s="113">
        <v>8687.32</v>
      </c>
      <c r="M822" s="115"/>
      <c r="N822" s="116"/>
      <c r="O822" s="117">
        <f t="shared" si="64"/>
        <v>47452</v>
      </c>
      <c r="P822" s="118">
        <f t="shared" si="65"/>
        <v>4</v>
      </c>
      <c r="Q822" s="119">
        <f t="shared" si="66"/>
        <v>8687.31553333333</v>
      </c>
      <c r="R822" s="119">
        <f t="shared" si="67"/>
        <v>-0.00446666666539386</v>
      </c>
      <c r="S822" s="120" t="s">
        <v>106</v>
      </c>
      <c r="U822" s="67"/>
      <c r="V822" s="121"/>
      <c r="W822" s="122"/>
      <c r="X822" s="63"/>
      <c r="Y822" s="63"/>
      <c r="Z822" s="63"/>
      <c r="AA822" s="63"/>
    </row>
    <row r="823" s="59" customFormat="1" ht="16.5" outlineLevel="7" spans="1:27">
      <c r="A823" s="79"/>
      <c r="B823" s="107" t="s">
        <v>196</v>
      </c>
      <c r="C823" s="108">
        <v>200062</v>
      </c>
      <c r="D823" s="109" t="s">
        <v>815</v>
      </c>
      <c r="E823" s="110">
        <v>45629</v>
      </c>
      <c r="F823" s="111">
        <v>60</v>
      </c>
      <c r="G823" s="112">
        <v>0.05</v>
      </c>
      <c r="H823" s="113">
        <v>36191.15</v>
      </c>
      <c r="I823" s="113">
        <v>9168.48</v>
      </c>
      <c r="J823" s="113">
        <v>0</v>
      </c>
      <c r="K823" s="114">
        <f t="shared" si="63"/>
        <v>27022.67</v>
      </c>
      <c r="L823" s="113">
        <v>2292.12</v>
      </c>
      <c r="M823" s="115"/>
      <c r="N823" s="116"/>
      <c r="O823" s="117">
        <f t="shared" si="64"/>
        <v>47483</v>
      </c>
      <c r="P823" s="118">
        <f t="shared" si="65"/>
        <v>4</v>
      </c>
      <c r="Q823" s="119">
        <f t="shared" si="66"/>
        <v>2292.10616666667</v>
      </c>
      <c r="R823" s="119">
        <f t="shared" si="67"/>
        <v>-0.0138333333334231</v>
      </c>
      <c r="S823" s="120" t="s">
        <v>106</v>
      </c>
      <c r="U823" s="67"/>
      <c r="V823" s="121"/>
      <c r="W823" s="122"/>
      <c r="X823" s="63"/>
      <c r="Y823" s="63"/>
      <c r="Z823" s="63"/>
      <c r="AA823" s="63"/>
    </row>
    <row r="824" s="59" customFormat="1" ht="16.5" outlineLevel="7" spans="1:27">
      <c r="A824" s="79"/>
      <c r="B824" s="123" t="s">
        <v>196</v>
      </c>
      <c r="C824" s="124">
        <v>200063</v>
      </c>
      <c r="D824" s="125" t="s">
        <v>815</v>
      </c>
      <c r="E824" s="126">
        <v>45629</v>
      </c>
      <c r="F824" s="111">
        <v>60</v>
      </c>
      <c r="G824" s="127">
        <v>0.05</v>
      </c>
      <c r="H824" s="128">
        <v>36191.15</v>
      </c>
      <c r="I824" s="113">
        <v>9168.48</v>
      </c>
      <c r="J824" s="113">
        <v>0</v>
      </c>
      <c r="K824" s="114">
        <f t="shared" si="63"/>
        <v>27022.67</v>
      </c>
      <c r="L824" s="128">
        <v>2292.12</v>
      </c>
      <c r="M824" s="115"/>
      <c r="N824" s="116"/>
      <c r="O824" s="117">
        <f t="shared" si="64"/>
        <v>47483</v>
      </c>
      <c r="P824" s="118">
        <f t="shared" si="65"/>
        <v>4</v>
      </c>
      <c r="Q824" s="119">
        <f t="shared" si="66"/>
        <v>2292.10616666667</v>
      </c>
      <c r="R824" s="119">
        <f t="shared" si="67"/>
        <v>-0.0138333333334231</v>
      </c>
      <c r="S824" s="120" t="s">
        <v>106</v>
      </c>
      <c r="U824" s="67"/>
      <c r="V824" s="121"/>
      <c r="W824" s="122"/>
      <c r="X824" s="63"/>
      <c r="Y824" s="63"/>
      <c r="Z824" s="63"/>
      <c r="AA824" s="63"/>
    </row>
    <row r="825" s="59" customFormat="1" ht="16.5" outlineLevel="7" spans="1:27">
      <c r="A825" s="79"/>
      <c r="B825" s="123" t="s">
        <v>196</v>
      </c>
      <c r="C825" s="124">
        <v>200064</v>
      </c>
      <c r="D825" s="125" t="s">
        <v>817</v>
      </c>
      <c r="E825" s="126">
        <v>45646</v>
      </c>
      <c r="F825" s="111">
        <v>60</v>
      </c>
      <c r="G825" s="127">
        <v>0.05</v>
      </c>
      <c r="H825" s="128">
        <v>120920</v>
      </c>
      <c r="I825" s="113">
        <v>30633.12</v>
      </c>
      <c r="J825" s="113">
        <v>0</v>
      </c>
      <c r="K825" s="114">
        <f t="shared" si="63"/>
        <v>90286.88</v>
      </c>
      <c r="L825" s="128">
        <v>7658.28</v>
      </c>
      <c r="M825" s="115"/>
      <c r="N825" s="116"/>
      <c r="O825" s="117">
        <f t="shared" si="64"/>
        <v>47483</v>
      </c>
      <c r="P825" s="118">
        <f t="shared" si="65"/>
        <v>4</v>
      </c>
      <c r="Q825" s="119">
        <f t="shared" si="66"/>
        <v>7658.26666666667</v>
      </c>
      <c r="R825" s="119">
        <f t="shared" si="67"/>
        <v>-0.0133333333333212</v>
      </c>
      <c r="S825" s="120" t="s">
        <v>106</v>
      </c>
      <c r="U825" s="67"/>
      <c r="V825" s="121"/>
      <c r="W825" s="122"/>
      <c r="X825" s="63"/>
      <c r="Y825" s="63"/>
      <c r="Z825" s="63"/>
      <c r="AA825" s="63"/>
    </row>
    <row r="826" s="59" customFormat="1" ht="16.5" outlineLevel="7" spans="1:27">
      <c r="A826" s="79"/>
      <c r="B826" s="123" t="s">
        <v>196</v>
      </c>
      <c r="C826" s="124">
        <v>200065</v>
      </c>
      <c r="D826" s="125" t="s">
        <v>817</v>
      </c>
      <c r="E826" s="126">
        <v>45646</v>
      </c>
      <c r="F826" s="111">
        <v>60</v>
      </c>
      <c r="G826" s="127">
        <v>0.05</v>
      </c>
      <c r="H826" s="128">
        <v>120920</v>
      </c>
      <c r="I826" s="113">
        <v>30633.12</v>
      </c>
      <c r="J826" s="113">
        <v>0</v>
      </c>
      <c r="K826" s="114">
        <f t="shared" si="63"/>
        <v>90286.88</v>
      </c>
      <c r="L826" s="128">
        <v>7658.28</v>
      </c>
      <c r="M826" s="115"/>
      <c r="N826" s="116"/>
      <c r="O826" s="117">
        <f t="shared" si="64"/>
        <v>47483</v>
      </c>
      <c r="P826" s="118">
        <f t="shared" si="65"/>
        <v>4</v>
      </c>
      <c r="Q826" s="119">
        <f t="shared" si="66"/>
        <v>7658.26666666667</v>
      </c>
      <c r="R826" s="119">
        <f t="shared" si="67"/>
        <v>-0.0133333333333212</v>
      </c>
      <c r="S826" s="120" t="s">
        <v>106</v>
      </c>
      <c r="U826" s="67"/>
      <c r="V826" s="121"/>
      <c r="W826" s="122"/>
      <c r="X826" s="63"/>
      <c r="Y826" s="63"/>
      <c r="Z826" s="63"/>
      <c r="AA826" s="63"/>
    </row>
    <row r="827" s="59" customFormat="1" ht="16.5" outlineLevel="7" spans="1:27">
      <c r="A827" s="79"/>
      <c r="B827" s="123" t="s">
        <v>196</v>
      </c>
      <c r="C827" s="124">
        <v>200066</v>
      </c>
      <c r="D827" s="125" t="s">
        <v>817</v>
      </c>
      <c r="E827" s="126">
        <v>45646</v>
      </c>
      <c r="F827" s="111">
        <v>60</v>
      </c>
      <c r="G827" s="127">
        <v>0.05</v>
      </c>
      <c r="H827" s="128">
        <v>120920</v>
      </c>
      <c r="I827" s="113">
        <v>30633.12</v>
      </c>
      <c r="J827" s="113">
        <v>0</v>
      </c>
      <c r="K827" s="114">
        <f t="shared" si="63"/>
        <v>90286.88</v>
      </c>
      <c r="L827" s="128">
        <v>7658.28</v>
      </c>
      <c r="M827" s="115"/>
      <c r="N827" s="116"/>
      <c r="O827" s="117">
        <f t="shared" si="64"/>
        <v>47483</v>
      </c>
      <c r="P827" s="118">
        <f t="shared" si="65"/>
        <v>4</v>
      </c>
      <c r="Q827" s="119">
        <f t="shared" si="66"/>
        <v>7658.26666666667</v>
      </c>
      <c r="R827" s="119">
        <f t="shared" si="67"/>
        <v>-0.0133333333333212</v>
      </c>
      <c r="S827" s="120" t="s">
        <v>106</v>
      </c>
      <c r="U827" s="67"/>
      <c r="V827" s="121"/>
      <c r="W827" s="122"/>
      <c r="X827" s="63"/>
      <c r="Y827" s="63"/>
      <c r="Z827" s="63"/>
      <c r="AA827" s="63"/>
    </row>
    <row r="828" s="59" customFormat="1" ht="16.5" outlineLevel="7" spans="1:27">
      <c r="A828" s="79"/>
      <c r="B828" s="123" t="s">
        <v>196</v>
      </c>
      <c r="C828" s="124">
        <v>200067</v>
      </c>
      <c r="D828" s="125" t="s">
        <v>818</v>
      </c>
      <c r="E828" s="126">
        <v>45657</v>
      </c>
      <c r="F828" s="111">
        <v>60</v>
      </c>
      <c r="G828" s="127">
        <v>0.05</v>
      </c>
      <c r="H828" s="128">
        <v>3732.74</v>
      </c>
      <c r="I828" s="113">
        <v>945.6</v>
      </c>
      <c r="J828" s="113">
        <v>0</v>
      </c>
      <c r="K828" s="114">
        <f t="shared" si="63"/>
        <v>2787.14</v>
      </c>
      <c r="L828" s="128">
        <v>236.4</v>
      </c>
      <c r="M828" s="115"/>
      <c r="N828" s="116"/>
      <c r="O828" s="117">
        <f t="shared" si="64"/>
        <v>47483</v>
      </c>
      <c r="P828" s="118">
        <f t="shared" si="65"/>
        <v>4</v>
      </c>
      <c r="Q828" s="119">
        <f t="shared" si="66"/>
        <v>236.406866666667</v>
      </c>
      <c r="R828" s="119">
        <f t="shared" si="67"/>
        <v>0.00686666666663882</v>
      </c>
      <c r="S828" s="120" t="s">
        <v>106</v>
      </c>
      <c r="U828" s="67"/>
      <c r="V828" s="121"/>
      <c r="W828" s="122"/>
      <c r="X828" s="63"/>
      <c r="Y828" s="63"/>
      <c r="Z828" s="63"/>
      <c r="AA828" s="63"/>
    </row>
    <row r="829" s="59" customFormat="1" ht="16.5" outlineLevel="7" spans="1:27">
      <c r="A829" s="79"/>
      <c r="B829" s="107" t="s">
        <v>196</v>
      </c>
      <c r="C829" s="108">
        <v>200068</v>
      </c>
      <c r="D829" s="109" t="s">
        <v>820</v>
      </c>
      <c r="E829" s="110">
        <v>45673</v>
      </c>
      <c r="F829" s="111">
        <v>60</v>
      </c>
      <c r="G829" s="112">
        <v>0.05</v>
      </c>
      <c r="H829" s="113">
        <v>36368.14</v>
      </c>
      <c r="I829" s="113">
        <v>8637.45</v>
      </c>
      <c r="J829" s="113">
        <v>0</v>
      </c>
      <c r="K829" s="114">
        <f t="shared" si="63"/>
        <v>27730.69</v>
      </c>
      <c r="L829" s="113">
        <v>2303.32</v>
      </c>
      <c r="M829" s="115"/>
      <c r="N829" s="116"/>
      <c r="O829" s="117">
        <f t="shared" si="64"/>
        <v>47514</v>
      </c>
      <c r="P829" s="118">
        <f t="shared" si="65"/>
        <v>4</v>
      </c>
      <c r="Q829" s="119">
        <f t="shared" si="66"/>
        <v>2303.31553333333</v>
      </c>
      <c r="R829" s="119">
        <f t="shared" si="67"/>
        <v>-0.0044666666667581</v>
      </c>
      <c r="S829" s="120" t="s">
        <v>106</v>
      </c>
      <c r="U829" s="67"/>
      <c r="V829" s="121"/>
      <c r="W829" s="122"/>
      <c r="X829" s="63"/>
      <c r="Y829" s="63"/>
      <c r="Z829" s="63"/>
      <c r="AA829" s="63"/>
    </row>
    <row r="830" s="59" customFormat="1" ht="16.5" outlineLevel="7" spans="1:27">
      <c r="A830" s="79"/>
      <c r="B830" s="107" t="s">
        <v>196</v>
      </c>
      <c r="C830" s="108">
        <v>200069</v>
      </c>
      <c r="D830" s="109" t="s">
        <v>820</v>
      </c>
      <c r="E830" s="110">
        <v>45673</v>
      </c>
      <c r="F830" s="111">
        <v>60</v>
      </c>
      <c r="G830" s="112">
        <v>0.05</v>
      </c>
      <c r="H830" s="113">
        <v>36368.14</v>
      </c>
      <c r="I830" s="113">
        <v>8637.45</v>
      </c>
      <c r="J830" s="113">
        <v>0</v>
      </c>
      <c r="K830" s="114">
        <f t="shared" si="63"/>
        <v>27730.69</v>
      </c>
      <c r="L830" s="113">
        <v>2303.32</v>
      </c>
      <c r="M830" s="115"/>
      <c r="N830" s="116"/>
      <c r="O830" s="117">
        <f t="shared" si="64"/>
        <v>47514</v>
      </c>
      <c r="P830" s="118">
        <f t="shared" si="65"/>
        <v>4</v>
      </c>
      <c r="Q830" s="119">
        <f t="shared" si="66"/>
        <v>2303.31553333333</v>
      </c>
      <c r="R830" s="119">
        <f t="shared" si="67"/>
        <v>-0.0044666666667581</v>
      </c>
      <c r="S830" s="120" t="s">
        <v>106</v>
      </c>
      <c r="U830" s="67"/>
      <c r="V830" s="121"/>
      <c r="W830" s="122"/>
      <c r="X830" s="63"/>
      <c r="Y830" s="63"/>
      <c r="Z830" s="63"/>
      <c r="AA830" s="63"/>
    </row>
    <row r="831" s="59" customFormat="1" ht="16.5" outlineLevel="7" spans="1:27">
      <c r="A831" s="79"/>
      <c r="B831" s="123" t="s">
        <v>196</v>
      </c>
      <c r="C831" s="124">
        <v>200070</v>
      </c>
      <c r="D831" s="125" t="s">
        <v>822</v>
      </c>
      <c r="E831" s="126">
        <v>45705</v>
      </c>
      <c r="F831" s="111">
        <v>60</v>
      </c>
      <c r="G831" s="127">
        <v>0.05</v>
      </c>
      <c r="H831" s="128">
        <v>36191.15</v>
      </c>
      <c r="I831" s="113">
        <v>8022.42</v>
      </c>
      <c r="J831" s="113">
        <v>0</v>
      </c>
      <c r="K831" s="114">
        <f t="shared" si="63"/>
        <v>28168.73</v>
      </c>
      <c r="L831" s="128">
        <v>2292.12</v>
      </c>
      <c r="M831" s="115"/>
      <c r="N831" s="116"/>
      <c r="O831" s="117">
        <f t="shared" si="64"/>
        <v>47542</v>
      </c>
      <c r="P831" s="118">
        <f t="shared" si="65"/>
        <v>4</v>
      </c>
      <c r="Q831" s="119">
        <f t="shared" si="66"/>
        <v>2292.10616666667</v>
      </c>
      <c r="R831" s="119">
        <f t="shared" si="67"/>
        <v>-0.0138333333334231</v>
      </c>
      <c r="S831" s="120" t="s">
        <v>106</v>
      </c>
      <c r="U831" s="67"/>
      <c r="V831" s="121"/>
      <c r="W831" s="122"/>
      <c r="X831" s="63"/>
      <c r="Y831" s="63"/>
      <c r="Z831" s="63"/>
      <c r="AA831" s="63"/>
    </row>
    <row r="832" s="59" customFormat="1" ht="16.5" outlineLevel="7" spans="1:27">
      <c r="A832" s="79"/>
      <c r="B832" s="123" t="s">
        <v>196</v>
      </c>
      <c r="C832" s="124">
        <v>200073</v>
      </c>
      <c r="D832" s="125" t="s">
        <v>823</v>
      </c>
      <c r="E832" s="126">
        <v>45736</v>
      </c>
      <c r="F832" s="111">
        <v>60</v>
      </c>
      <c r="G832" s="127">
        <v>0.05</v>
      </c>
      <c r="H832" s="128">
        <v>25599.12</v>
      </c>
      <c r="I832" s="113">
        <v>5269.16</v>
      </c>
      <c r="J832" s="113">
        <v>0</v>
      </c>
      <c r="K832" s="114">
        <f t="shared" si="63"/>
        <v>20329.96</v>
      </c>
      <c r="L832" s="128">
        <v>1621.28</v>
      </c>
      <c r="M832" s="115"/>
      <c r="N832" s="116"/>
      <c r="O832" s="117">
        <f t="shared" si="64"/>
        <v>47573</v>
      </c>
      <c r="P832" s="118">
        <f t="shared" si="65"/>
        <v>4</v>
      </c>
      <c r="Q832" s="119">
        <f t="shared" si="66"/>
        <v>1621.2776</v>
      </c>
      <c r="R832" s="119">
        <f t="shared" si="67"/>
        <v>-0.00240000000007967</v>
      </c>
      <c r="S832" s="120" t="s">
        <v>106</v>
      </c>
      <c r="U832" s="67"/>
      <c r="V832" s="121"/>
      <c r="W832" s="122"/>
      <c r="X832" s="63"/>
      <c r="Y832" s="63"/>
      <c r="Z832" s="63"/>
      <c r="AA832" s="63"/>
    </row>
    <row r="833" s="59" customFormat="1" ht="16.5" outlineLevel="7" spans="1:27">
      <c r="A833" s="79"/>
      <c r="B833" s="123" t="s">
        <v>196</v>
      </c>
      <c r="C833" s="124">
        <v>200074</v>
      </c>
      <c r="D833" s="125" t="s">
        <v>825</v>
      </c>
      <c r="E833" s="126">
        <v>45726</v>
      </c>
      <c r="F833" s="111">
        <v>60</v>
      </c>
      <c r="G833" s="127">
        <v>0.05</v>
      </c>
      <c r="H833" s="128">
        <v>2699.12</v>
      </c>
      <c r="I833" s="113">
        <v>555.62</v>
      </c>
      <c r="J833" s="113">
        <v>0</v>
      </c>
      <c r="K833" s="114">
        <f t="shared" si="63"/>
        <v>2143.5</v>
      </c>
      <c r="L833" s="128">
        <v>170.96</v>
      </c>
      <c r="M833" s="115"/>
      <c r="N833" s="116"/>
      <c r="O833" s="117">
        <f t="shared" si="64"/>
        <v>47573</v>
      </c>
      <c r="P833" s="118">
        <f t="shared" si="65"/>
        <v>4</v>
      </c>
      <c r="Q833" s="119">
        <f t="shared" si="66"/>
        <v>170.944266666667</v>
      </c>
      <c r="R833" s="119">
        <f t="shared" si="67"/>
        <v>-0.015733333333344</v>
      </c>
      <c r="S833" s="120" t="s">
        <v>106</v>
      </c>
      <c r="U833" s="67"/>
      <c r="V833" s="121"/>
      <c r="W833" s="122"/>
      <c r="X833" s="63"/>
      <c r="Y833" s="63"/>
      <c r="Z833" s="63"/>
      <c r="AA833" s="63"/>
    </row>
    <row r="834" s="59" customFormat="1" ht="16.5" outlineLevel="7" spans="1:27">
      <c r="A834" s="79"/>
      <c r="B834" s="123" t="s">
        <v>196</v>
      </c>
      <c r="C834" s="124">
        <v>200075</v>
      </c>
      <c r="D834" s="125" t="s">
        <v>734</v>
      </c>
      <c r="E834" s="126">
        <v>45754</v>
      </c>
      <c r="F834" s="111">
        <v>60</v>
      </c>
      <c r="G834" s="127">
        <v>0.05</v>
      </c>
      <c r="H834" s="128">
        <v>102654.87</v>
      </c>
      <c r="I834" s="113">
        <v>19504.44</v>
      </c>
      <c r="J834" s="113">
        <v>0</v>
      </c>
      <c r="K834" s="114">
        <f t="shared" si="63"/>
        <v>83150.43</v>
      </c>
      <c r="L834" s="128">
        <v>6501.48</v>
      </c>
      <c r="M834" s="115"/>
      <c r="N834" s="116"/>
      <c r="O834" s="117">
        <f t="shared" si="64"/>
        <v>47603</v>
      </c>
      <c r="P834" s="118">
        <f t="shared" si="65"/>
        <v>4</v>
      </c>
      <c r="Q834" s="119">
        <f t="shared" si="66"/>
        <v>6501.4751</v>
      </c>
      <c r="R834" s="119">
        <f t="shared" si="67"/>
        <v>-0.00490000000081636</v>
      </c>
      <c r="S834" s="120" t="s">
        <v>106</v>
      </c>
      <c r="U834" s="67"/>
      <c r="V834" s="121"/>
      <c r="W834" s="122"/>
      <c r="X834" s="63"/>
      <c r="Y834" s="63"/>
      <c r="Z834" s="63"/>
      <c r="AA834" s="63"/>
    </row>
    <row r="835" s="59" customFormat="1" ht="16.5" outlineLevel="7" spans="1:27">
      <c r="A835" s="79"/>
      <c r="B835" s="123" t="s">
        <v>196</v>
      </c>
      <c r="C835" s="124">
        <v>200076</v>
      </c>
      <c r="D835" s="125" t="s">
        <v>734</v>
      </c>
      <c r="E835" s="126">
        <v>45754</v>
      </c>
      <c r="F835" s="111">
        <v>60</v>
      </c>
      <c r="G835" s="127">
        <v>0.05</v>
      </c>
      <c r="H835" s="128">
        <v>102654.86</v>
      </c>
      <c r="I835" s="113">
        <v>19504.44</v>
      </c>
      <c r="J835" s="113">
        <v>0</v>
      </c>
      <c r="K835" s="114">
        <f t="shared" si="63"/>
        <v>83150.42</v>
      </c>
      <c r="L835" s="128">
        <v>6501.48</v>
      </c>
      <c r="M835" s="115"/>
      <c r="N835" s="116"/>
      <c r="O835" s="117">
        <f t="shared" si="64"/>
        <v>47603</v>
      </c>
      <c r="P835" s="118">
        <f t="shared" si="65"/>
        <v>4</v>
      </c>
      <c r="Q835" s="119">
        <f t="shared" si="66"/>
        <v>6501.47446666667</v>
      </c>
      <c r="R835" s="119">
        <f t="shared" si="67"/>
        <v>-0.00553333333300543</v>
      </c>
      <c r="S835" s="120" t="s">
        <v>106</v>
      </c>
      <c r="U835" s="67"/>
      <c r="V835" s="121"/>
      <c r="W835" s="122"/>
      <c r="X835" s="63"/>
      <c r="Y835" s="63"/>
      <c r="Z835" s="63"/>
      <c r="AA835" s="63"/>
    </row>
    <row r="836" s="59" customFormat="1" ht="16.5" outlineLevel="7" spans="1:27">
      <c r="A836" s="79"/>
      <c r="B836" s="107" t="s">
        <v>196</v>
      </c>
      <c r="C836" s="108">
        <v>200077</v>
      </c>
      <c r="D836" s="109" t="s">
        <v>585</v>
      </c>
      <c r="E836" s="110">
        <v>45770</v>
      </c>
      <c r="F836" s="111">
        <v>60</v>
      </c>
      <c r="G836" s="112">
        <v>0.05</v>
      </c>
      <c r="H836" s="113">
        <v>92831.86</v>
      </c>
      <c r="I836" s="113">
        <v>17638.08</v>
      </c>
      <c r="J836" s="113">
        <v>0</v>
      </c>
      <c r="K836" s="114">
        <f t="shared" si="63"/>
        <v>75193.78</v>
      </c>
      <c r="L836" s="113">
        <v>5879.36</v>
      </c>
      <c r="M836" s="115"/>
      <c r="N836" s="116"/>
      <c r="O836" s="117">
        <f t="shared" si="64"/>
        <v>47603</v>
      </c>
      <c r="P836" s="118">
        <f t="shared" si="65"/>
        <v>4</v>
      </c>
      <c r="Q836" s="119">
        <f t="shared" si="66"/>
        <v>5879.35113333333</v>
      </c>
      <c r="R836" s="119">
        <f t="shared" si="67"/>
        <v>-0.00886666666701785</v>
      </c>
      <c r="S836" s="120" t="s">
        <v>106</v>
      </c>
      <c r="U836" s="67"/>
      <c r="V836" s="121"/>
      <c r="W836" s="122"/>
      <c r="X836" s="63"/>
      <c r="Y836" s="63"/>
      <c r="Z836" s="63"/>
      <c r="AA836" s="63"/>
    </row>
    <row r="837" s="59" customFormat="1" ht="16.5" outlineLevel="7" spans="1:27">
      <c r="A837" s="79"/>
      <c r="B837" s="107" t="s">
        <v>196</v>
      </c>
      <c r="C837" s="108">
        <v>200078</v>
      </c>
      <c r="D837" s="109" t="s">
        <v>828</v>
      </c>
      <c r="E837" s="110">
        <v>45809</v>
      </c>
      <c r="F837" s="111">
        <v>60</v>
      </c>
      <c r="G837" s="112">
        <v>0.05</v>
      </c>
      <c r="H837" s="113">
        <v>7900</v>
      </c>
      <c r="I837" s="113">
        <v>1250.8</v>
      </c>
      <c r="J837" s="113">
        <v>0</v>
      </c>
      <c r="K837" s="114">
        <f t="shared" si="63"/>
        <v>6649.2</v>
      </c>
      <c r="L837" s="113">
        <v>500.32</v>
      </c>
      <c r="M837" s="115"/>
      <c r="N837" s="116"/>
      <c r="O837" s="117">
        <f t="shared" si="64"/>
        <v>47664</v>
      </c>
      <c r="P837" s="118">
        <f t="shared" si="65"/>
        <v>4</v>
      </c>
      <c r="Q837" s="119">
        <f t="shared" si="66"/>
        <v>500.333333333333</v>
      </c>
      <c r="R837" s="119">
        <f t="shared" si="67"/>
        <v>0.0133333333333212</v>
      </c>
      <c r="S837" s="120" t="s">
        <v>106</v>
      </c>
      <c r="U837" s="67"/>
      <c r="V837" s="121"/>
      <c r="W837" s="122"/>
      <c r="X837" s="63"/>
      <c r="Y837" s="63"/>
      <c r="Z837" s="63"/>
      <c r="AA837" s="63"/>
    </row>
    <row r="838" s="59" customFormat="1" ht="16.5" outlineLevel="7" spans="1:27">
      <c r="A838" s="79"/>
      <c r="B838" s="123" t="s">
        <v>196</v>
      </c>
      <c r="C838" s="124">
        <v>200079</v>
      </c>
      <c r="D838" s="125" t="s">
        <v>828</v>
      </c>
      <c r="E838" s="126">
        <v>45809</v>
      </c>
      <c r="F838" s="111">
        <v>60</v>
      </c>
      <c r="G838" s="127">
        <v>0.05</v>
      </c>
      <c r="H838" s="128">
        <v>7899.99</v>
      </c>
      <c r="I838" s="113">
        <v>1250.8</v>
      </c>
      <c r="J838" s="113">
        <v>0</v>
      </c>
      <c r="K838" s="114">
        <f t="shared" si="63"/>
        <v>6649.19</v>
      </c>
      <c r="L838" s="128">
        <v>500.32</v>
      </c>
      <c r="M838" s="115"/>
      <c r="N838" s="116"/>
      <c r="O838" s="117">
        <f t="shared" si="64"/>
        <v>47664</v>
      </c>
      <c r="P838" s="118">
        <f t="shared" si="65"/>
        <v>4</v>
      </c>
      <c r="Q838" s="119">
        <f t="shared" si="66"/>
        <v>500.3327</v>
      </c>
      <c r="R838" s="119">
        <f t="shared" si="67"/>
        <v>0.0126999999999953</v>
      </c>
      <c r="S838" s="120" t="s">
        <v>106</v>
      </c>
      <c r="U838" s="67"/>
      <c r="V838" s="121"/>
      <c r="W838" s="122"/>
      <c r="X838" s="63"/>
      <c r="Y838" s="63"/>
      <c r="Z838" s="63"/>
      <c r="AA838" s="63"/>
    </row>
    <row r="839" s="59" customFormat="1" ht="16.5" outlineLevel="7" spans="1:27">
      <c r="A839" s="79"/>
      <c r="B839" s="123" t="s">
        <v>196</v>
      </c>
      <c r="C839" s="124">
        <v>200080</v>
      </c>
      <c r="D839" s="125" t="s">
        <v>829</v>
      </c>
      <c r="E839" s="126">
        <v>45870</v>
      </c>
      <c r="F839" s="111">
        <v>60</v>
      </c>
      <c r="G839" s="127">
        <v>0.05</v>
      </c>
      <c r="H839" s="128">
        <v>152212.39</v>
      </c>
      <c r="I839" s="113">
        <v>19280.24</v>
      </c>
      <c r="J839" s="113">
        <v>0</v>
      </c>
      <c r="K839" s="114">
        <f t="shared" si="63"/>
        <v>132932.15</v>
      </c>
      <c r="L839" s="128">
        <v>9640.12</v>
      </c>
      <c r="M839" s="115"/>
      <c r="N839" s="116"/>
      <c r="O839" s="117">
        <f t="shared" si="64"/>
        <v>47726</v>
      </c>
      <c r="P839" s="118">
        <f t="shared" si="65"/>
        <v>4</v>
      </c>
      <c r="Q839" s="119">
        <f t="shared" si="66"/>
        <v>9640.11803333333</v>
      </c>
      <c r="R839" s="119">
        <f t="shared" si="67"/>
        <v>-0.00196666666670353</v>
      </c>
      <c r="S839" s="120" t="s">
        <v>106</v>
      </c>
      <c r="U839" s="67"/>
      <c r="V839" s="121"/>
      <c r="W839" s="122"/>
      <c r="X839" s="63"/>
      <c r="Y839" s="63"/>
      <c r="Z839" s="63"/>
      <c r="AA839" s="63"/>
    </row>
    <row r="840" s="59" customFormat="1" ht="16.5" outlineLevel="7" spans="1:27">
      <c r="A840" s="79"/>
      <c r="B840" s="123" t="s">
        <v>196</v>
      </c>
      <c r="C840" s="124">
        <v>200081</v>
      </c>
      <c r="D840" s="125" t="s">
        <v>828</v>
      </c>
      <c r="E840" s="126">
        <v>45899</v>
      </c>
      <c r="F840" s="111">
        <v>60</v>
      </c>
      <c r="G840" s="127">
        <v>0.05</v>
      </c>
      <c r="H840" s="128">
        <v>15799.99</v>
      </c>
      <c r="I840" s="113">
        <v>2001.36</v>
      </c>
      <c r="J840" s="113">
        <v>0</v>
      </c>
      <c r="K840" s="114">
        <f t="shared" si="63"/>
        <v>13798.63</v>
      </c>
      <c r="L840" s="128">
        <v>1000.68</v>
      </c>
      <c r="M840" s="115"/>
      <c r="N840" s="116"/>
      <c r="O840" s="117">
        <f t="shared" si="64"/>
        <v>47726</v>
      </c>
      <c r="P840" s="118">
        <f t="shared" si="65"/>
        <v>4</v>
      </c>
      <c r="Q840" s="119">
        <f t="shared" si="66"/>
        <v>1000.66603333333</v>
      </c>
      <c r="R840" s="119">
        <f t="shared" si="67"/>
        <v>-0.0139666666666471</v>
      </c>
      <c r="S840" s="120" t="s">
        <v>106</v>
      </c>
      <c r="U840" s="67"/>
      <c r="V840" s="121"/>
      <c r="W840" s="122"/>
      <c r="X840" s="63"/>
      <c r="Y840" s="63"/>
      <c r="Z840" s="63"/>
      <c r="AA840" s="63"/>
    </row>
    <row r="841" s="59" customFormat="1" ht="16.5" outlineLevel="7" spans="1:27">
      <c r="A841" s="79"/>
      <c r="B841" s="123" t="s">
        <v>196</v>
      </c>
      <c r="C841" s="124">
        <v>200082</v>
      </c>
      <c r="D841" s="125" t="s">
        <v>832</v>
      </c>
      <c r="E841" s="126">
        <v>45917</v>
      </c>
      <c r="F841" s="111">
        <v>60</v>
      </c>
      <c r="G841" s="127">
        <v>0.05</v>
      </c>
      <c r="H841" s="128">
        <v>121238.94</v>
      </c>
      <c r="I841" s="113">
        <v>13437.34</v>
      </c>
      <c r="J841" s="113">
        <v>0</v>
      </c>
      <c r="K841" s="114">
        <f t="shared" ref="K841:K904" si="68">H841-I841-J841</f>
        <v>107801.6</v>
      </c>
      <c r="L841" s="128">
        <v>7678.48</v>
      </c>
      <c r="M841" s="115"/>
      <c r="N841" s="116"/>
      <c r="O841" s="117">
        <f t="shared" ref="O841:O904" si="69">IFERROR(EOMONTH(E841,F841),"")</f>
        <v>47756</v>
      </c>
      <c r="P841" s="118">
        <f t="shared" ref="P841:P904" si="70">IFERROR(IF(OR(AND(M841&lt;&gt;"",YEAR(M841)&lt;YEAR($L$6)),AND(O841&lt;&gt;"",YEAR(O841)&lt;YEAR($L$6))),0,IF(YEAR(E841)&gt;YEAR($L$6),0,IF(OR((IF(YEAR(E841)&lt;YEAR($L$6),1,IF(MONTH(E841)=12,99,MONTH(E841)+1))&gt;12),(IF(YEAR(E841)&lt;YEAR($L$6),1,IF(MONTH(E841)=12,99,MONTH(E841)+1))&gt;MIN(MONTH($L$6),IF(AND(M841&lt;&gt;"",YEAR(M841)=YEAR($L$6)),MONTH(M841),99),IF(AND(O841&lt;&gt;"",YEAR(O841)=YEAR($L$6)),MONTH(O841),99)))),0,MIN(MONTH($L$6),IF(AND(M841&lt;&gt;"",YEAR(M841)=YEAR($L$6)),MONTH(M841),99),IF(AND(O841&lt;&gt;"",YEAR(O841)=YEAR($L$6)),MONTH(O841),99))-IF(YEAR(E841)&lt;YEAR($L$6),1,IF(MONTH(E841)=12,99,MONTH(E841)+1))+1))),0)</f>
        <v>4</v>
      </c>
      <c r="Q841" s="119">
        <f t="shared" si="66"/>
        <v>7678.4662</v>
      </c>
      <c r="R841" s="119">
        <f t="shared" si="67"/>
        <v>-0.0137999999997191</v>
      </c>
      <c r="S841" s="120" t="s">
        <v>106</v>
      </c>
      <c r="U841" s="67"/>
      <c r="V841" s="121"/>
      <c r="W841" s="122"/>
      <c r="X841" s="63"/>
      <c r="Y841" s="63"/>
      <c r="Z841" s="63"/>
      <c r="AA841" s="63"/>
    </row>
    <row r="842" s="59" customFormat="1" ht="16.5" outlineLevel="7" spans="1:27">
      <c r="A842" s="79"/>
      <c r="B842" s="123" t="s">
        <v>196</v>
      </c>
      <c r="C842" s="124">
        <v>200083</v>
      </c>
      <c r="D842" s="125" t="s">
        <v>834</v>
      </c>
      <c r="E842" s="126">
        <v>45964</v>
      </c>
      <c r="F842" s="111">
        <v>60</v>
      </c>
      <c r="G842" s="127">
        <v>0.05</v>
      </c>
      <c r="H842" s="128">
        <v>1304.6</v>
      </c>
      <c r="I842" s="113">
        <v>103.3</v>
      </c>
      <c r="J842" s="113">
        <v>0</v>
      </c>
      <c r="K842" s="114">
        <f t="shared" si="68"/>
        <v>1201.3</v>
      </c>
      <c r="L842" s="128">
        <v>82.64</v>
      </c>
      <c r="M842" s="115"/>
      <c r="N842" s="116"/>
      <c r="O842" s="117">
        <f t="shared" si="69"/>
        <v>47817</v>
      </c>
      <c r="P842" s="118">
        <f t="shared" si="70"/>
        <v>4</v>
      </c>
      <c r="Q842" s="119">
        <f t="shared" si="66"/>
        <v>82.6246666666667</v>
      </c>
      <c r="R842" s="119">
        <f t="shared" si="67"/>
        <v>-0.015333333333345</v>
      </c>
      <c r="S842" s="120" t="s">
        <v>106</v>
      </c>
      <c r="U842" s="67"/>
      <c r="V842" s="121"/>
      <c r="W842" s="122"/>
      <c r="X842" s="63"/>
      <c r="Y842" s="63"/>
      <c r="Z842" s="63"/>
      <c r="AA842" s="63"/>
    </row>
    <row r="843" s="59" customFormat="1" ht="16.5" outlineLevel="7" spans="1:27">
      <c r="A843" s="79"/>
      <c r="B843" s="107" t="s">
        <v>196</v>
      </c>
      <c r="C843" s="108">
        <v>200084</v>
      </c>
      <c r="D843" s="109" t="s">
        <v>837</v>
      </c>
      <c r="E843" s="110">
        <v>46048</v>
      </c>
      <c r="F843" s="109">
        <v>60</v>
      </c>
      <c r="G843" s="112">
        <v>0.05</v>
      </c>
      <c r="H843" s="113">
        <v>60176.99</v>
      </c>
      <c r="I843" s="113">
        <v>2858.4</v>
      </c>
      <c r="J843" s="113">
        <v>0</v>
      </c>
      <c r="K843" s="114">
        <f t="shared" si="68"/>
        <v>57318.59</v>
      </c>
      <c r="L843" s="113">
        <v>2858.4</v>
      </c>
      <c r="M843" s="115"/>
      <c r="N843" s="116"/>
      <c r="O843" s="117">
        <f t="shared" si="69"/>
        <v>47879</v>
      </c>
      <c r="P843" s="118">
        <f t="shared" si="70"/>
        <v>3</v>
      </c>
      <c r="Q843" s="119">
        <f t="shared" si="66"/>
        <v>2858.407025</v>
      </c>
      <c r="R843" s="119">
        <f t="shared" si="67"/>
        <v>0.00702499999988504</v>
      </c>
      <c r="S843" s="120" t="s">
        <v>106</v>
      </c>
      <c r="U843" s="67"/>
      <c r="V843" s="121"/>
      <c r="W843" s="122"/>
      <c r="X843" s="63"/>
      <c r="Y843" s="63"/>
      <c r="Z843" s="63"/>
      <c r="AA843" s="63"/>
    </row>
    <row r="844" s="59" customFormat="1" ht="16.5" outlineLevel="7" spans="1:27">
      <c r="A844" s="79"/>
      <c r="B844" s="107" t="s">
        <v>196</v>
      </c>
      <c r="C844" s="108">
        <v>200085</v>
      </c>
      <c r="D844" s="109" t="s">
        <v>839</v>
      </c>
      <c r="E844" s="110">
        <v>46055</v>
      </c>
      <c r="F844" s="109">
        <v>60</v>
      </c>
      <c r="G844" s="112">
        <v>0.05</v>
      </c>
      <c r="H844" s="113">
        <v>3389.38</v>
      </c>
      <c r="I844" s="113">
        <v>107.34</v>
      </c>
      <c r="J844" s="113">
        <v>0</v>
      </c>
      <c r="K844" s="114">
        <f t="shared" si="68"/>
        <v>3282.04</v>
      </c>
      <c r="L844" s="113">
        <v>107.34</v>
      </c>
      <c r="M844" s="115"/>
      <c r="N844" s="116"/>
      <c r="O844" s="117">
        <f t="shared" si="69"/>
        <v>47907</v>
      </c>
      <c r="P844" s="118">
        <f t="shared" si="70"/>
        <v>2</v>
      </c>
      <c r="Q844" s="119">
        <f t="shared" si="66"/>
        <v>107.330366666667</v>
      </c>
      <c r="R844" s="119">
        <f t="shared" si="67"/>
        <v>-0.00963333333334049</v>
      </c>
      <c r="S844" s="120" t="s">
        <v>106</v>
      </c>
      <c r="U844" s="67"/>
      <c r="V844" s="121"/>
      <c r="W844" s="122"/>
      <c r="X844" s="63"/>
      <c r="Y844" s="63"/>
      <c r="Z844" s="63"/>
      <c r="AA844" s="63"/>
    </row>
    <row r="845" s="59" customFormat="1" ht="16.5" outlineLevel="7" spans="1:27">
      <c r="A845" s="79"/>
      <c r="B845" s="123" t="s">
        <v>196</v>
      </c>
      <c r="C845" s="124">
        <v>200086</v>
      </c>
      <c r="D845" s="125" t="s">
        <v>842</v>
      </c>
      <c r="E845" s="126">
        <v>46062</v>
      </c>
      <c r="F845" s="125">
        <v>60</v>
      </c>
      <c r="G845" s="127">
        <v>0.05</v>
      </c>
      <c r="H845" s="128">
        <v>57743.36</v>
      </c>
      <c r="I845" s="113">
        <v>2742.81</v>
      </c>
      <c r="J845" s="113">
        <v>0</v>
      </c>
      <c r="K845" s="114">
        <f t="shared" si="68"/>
        <v>55000.55</v>
      </c>
      <c r="L845" s="128">
        <v>2742.81</v>
      </c>
      <c r="M845" s="115"/>
      <c r="N845" s="116"/>
      <c r="O845" s="117">
        <f t="shared" si="69"/>
        <v>47907</v>
      </c>
      <c r="P845" s="118">
        <f t="shared" si="70"/>
        <v>2</v>
      </c>
      <c r="Q845" s="119">
        <f t="shared" si="66"/>
        <v>1828.53973333333</v>
      </c>
      <c r="R845" s="119">
        <f t="shared" si="67"/>
        <v>-914.270266666667</v>
      </c>
      <c r="S845" s="120" t="s">
        <v>106</v>
      </c>
      <c r="U845" s="67"/>
      <c r="V845" s="121"/>
      <c r="W845" s="122"/>
      <c r="X845" s="63"/>
      <c r="Y845" s="63"/>
      <c r="Z845" s="63"/>
      <c r="AA845" s="63"/>
    </row>
    <row r="846" s="59" customFormat="1" ht="16.5" outlineLevel="7" spans="1:27">
      <c r="A846" s="79"/>
      <c r="B846" s="123" t="s">
        <v>196</v>
      </c>
      <c r="C846" s="124">
        <v>200087</v>
      </c>
      <c r="D846" s="125" t="s">
        <v>842</v>
      </c>
      <c r="E846" s="126">
        <v>46062</v>
      </c>
      <c r="F846" s="125">
        <v>60</v>
      </c>
      <c r="G846" s="127">
        <v>0.05</v>
      </c>
      <c r="H846" s="128">
        <v>27433.63</v>
      </c>
      <c r="I846" s="113">
        <v>1303.11</v>
      </c>
      <c r="J846" s="113">
        <v>0</v>
      </c>
      <c r="K846" s="114">
        <f t="shared" si="68"/>
        <v>26130.52</v>
      </c>
      <c r="L846" s="128">
        <v>1303.11</v>
      </c>
      <c r="M846" s="115"/>
      <c r="N846" s="116"/>
      <c r="O846" s="117">
        <f t="shared" si="69"/>
        <v>47907</v>
      </c>
      <c r="P846" s="118">
        <f t="shared" si="70"/>
        <v>2</v>
      </c>
      <c r="Q846" s="119">
        <f t="shared" si="66"/>
        <v>868.731616666667</v>
      </c>
      <c r="R846" s="119">
        <f t="shared" si="67"/>
        <v>-434.378383333333</v>
      </c>
      <c r="S846" s="120" t="s">
        <v>106</v>
      </c>
      <c r="U846" s="67"/>
      <c r="V846" s="121"/>
      <c r="W846" s="122"/>
      <c r="X846" s="63"/>
      <c r="Y846" s="63"/>
      <c r="Z846" s="63"/>
      <c r="AA846" s="63"/>
    </row>
    <row r="847" s="59" customFormat="1" ht="16.5" outlineLevel="7" spans="1:27">
      <c r="A847" s="79"/>
      <c r="B847" s="123" t="s">
        <v>196</v>
      </c>
      <c r="C847" s="124">
        <v>200088</v>
      </c>
      <c r="D847" s="125" t="s">
        <v>846</v>
      </c>
      <c r="E847" s="126">
        <v>46062</v>
      </c>
      <c r="F847" s="125">
        <v>60</v>
      </c>
      <c r="G847" s="127">
        <v>0.05</v>
      </c>
      <c r="H847" s="128">
        <v>94911.5</v>
      </c>
      <c r="I847" s="113">
        <v>4508.31</v>
      </c>
      <c r="J847" s="113">
        <v>0</v>
      </c>
      <c r="K847" s="114">
        <f t="shared" si="68"/>
        <v>90403.19</v>
      </c>
      <c r="L847" s="128">
        <v>4508.31</v>
      </c>
      <c r="M847" s="115"/>
      <c r="N847" s="116"/>
      <c r="O847" s="117">
        <f t="shared" si="69"/>
        <v>47907</v>
      </c>
      <c r="P847" s="118">
        <f t="shared" si="70"/>
        <v>2</v>
      </c>
      <c r="Q847" s="119">
        <f t="shared" si="66"/>
        <v>3005.53083333333</v>
      </c>
      <c r="R847" s="119">
        <f t="shared" si="67"/>
        <v>-1502.77916666667</v>
      </c>
      <c r="S847" s="120" t="s">
        <v>106</v>
      </c>
      <c r="U847" s="67"/>
      <c r="V847" s="121"/>
      <c r="W847" s="122"/>
      <c r="X847" s="63"/>
      <c r="Y847" s="63"/>
      <c r="Z847" s="63"/>
      <c r="AA847" s="63"/>
    </row>
    <row r="848" s="59" customFormat="1" ht="16.5" outlineLevel="7" spans="1:27">
      <c r="A848" s="79"/>
      <c r="B848" s="123" t="s">
        <v>196</v>
      </c>
      <c r="C848" s="124">
        <v>200089</v>
      </c>
      <c r="D848" s="125" t="s">
        <v>742</v>
      </c>
      <c r="E848" s="126">
        <v>46062</v>
      </c>
      <c r="F848" s="125">
        <v>60</v>
      </c>
      <c r="G848" s="127">
        <v>0.05</v>
      </c>
      <c r="H848" s="128">
        <v>1964.6</v>
      </c>
      <c r="I848" s="113">
        <v>93.33</v>
      </c>
      <c r="J848" s="113">
        <v>0</v>
      </c>
      <c r="K848" s="114">
        <f t="shared" si="68"/>
        <v>1871.27</v>
      </c>
      <c r="L848" s="128">
        <v>93.33</v>
      </c>
      <c r="M848" s="115"/>
      <c r="N848" s="116"/>
      <c r="O848" s="117">
        <f t="shared" si="69"/>
        <v>47907</v>
      </c>
      <c r="P848" s="118">
        <f t="shared" si="70"/>
        <v>2</v>
      </c>
      <c r="Q848" s="119">
        <f t="shared" si="66"/>
        <v>62.2123333333333</v>
      </c>
      <c r="R848" s="119">
        <f t="shared" si="67"/>
        <v>-31.1176666666667</v>
      </c>
      <c r="S848" s="120" t="s">
        <v>106</v>
      </c>
      <c r="U848" s="67"/>
      <c r="V848" s="121"/>
      <c r="W848" s="122"/>
      <c r="X848" s="63"/>
      <c r="Y848" s="63"/>
      <c r="Z848" s="63"/>
      <c r="AA848" s="63"/>
    </row>
    <row r="849" s="59" customFormat="1" ht="16.5" outlineLevel="7" spans="1:27">
      <c r="A849" s="79"/>
      <c r="B849" s="123" t="s">
        <v>196</v>
      </c>
      <c r="C849" s="124">
        <v>200090</v>
      </c>
      <c r="D849" s="125" t="s">
        <v>849</v>
      </c>
      <c r="E849" s="126">
        <v>46062</v>
      </c>
      <c r="F849" s="125">
        <v>60</v>
      </c>
      <c r="G849" s="127">
        <v>0.05</v>
      </c>
      <c r="H849" s="128">
        <v>5575.22</v>
      </c>
      <c r="I849" s="113">
        <v>264.81</v>
      </c>
      <c r="J849" s="113">
        <v>0</v>
      </c>
      <c r="K849" s="114">
        <f t="shared" si="68"/>
        <v>5310.41</v>
      </c>
      <c r="L849" s="128">
        <v>264.81</v>
      </c>
      <c r="M849" s="115"/>
      <c r="N849" s="116"/>
      <c r="O849" s="117">
        <f t="shared" si="69"/>
        <v>47907</v>
      </c>
      <c r="P849" s="118">
        <f t="shared" si="70"/>
        <v>2</v>
      </c>
      <c r="Q849" s="119">
        <f t="shared" si="66"/>
        <v>176.548633333333</v>
      </c>
      <c r="R849" s="119">
        <f t="shared" si="67"/>
        <v>-88.2613666666667</v>
      </c>
      <c r="S849" s="120" t="s">
        <v>106</v>
      </c>
      <c r="U849" s="67"/>
      <c r="V849" s="121"/>
      <c r="W849" s="122"/>
      <c r="X849" s="63"/>
      <c r="Y849" s="63"/>
      <c r="Z849" s="63"/>
      <c r="AA849" s="63"/>
    </row>
    <row r="850" s="59" customFormat="1" ht="16.5" outlineLevel="7" spans="1:27">
      <c r="A850" s="79"/>
      <c r="B850" s="107" t="s">
        <v>196</v>
      </c>
      <c r="C850" s="108">
        <v>200091</v>
      </c>
      <c r="D850" s="109" t="s">
        <v>851</v>
      </c>
      <c r="E850" s="110">
        <v>46062</v>
      </c>
      <c r="F850" s="109">
        <v>60</v>
      </c>
      <c r="G850" s="112">
        <v>0.05</v>
      </c>
      <c r="H850" s="113">
        <v>3451.33</v>
      </c>
      <c r="I850" s="113">
        <v>163.95</v>
      </c>
      <c r="J850" s="113">
        <v>0</v>
      </c>
      <c r="K850" s="114">
        <f t="shared" si="68"/>
        <v>3287.38</v>
      </c>
      <c r="L850" s="113">
        <v>163.95</v>
      </c>
      <c r="M850" s="115"/>
      <c r="N850" s="116"/>
      <c r="O850" s="117">
        <f t="shared" si="69"/>
        <v>47907</v>
      </c>
      <c r="P850" s="118">
        <f t="shared" si="70"/>
        <v>2</v>
      </c>
      <c r="Q850" s="119">
        <f t="shared" si="66"/>
        <v>109.292116666667</v>
      </c>
      <c r="R850" s="119">
        <f t="shared" si="67"/>
        <v>-54.6578833333333</v>
      </c>
      <c r="S850" s="120" t="s">
        <v>106</v>
      </c>
      <c r="U850" s="67"/>
      <c r="V850" s="121"/>
      <c r="W850" s="122"/>
      <c r="X850" s="63"/>
      <c r="Y850" s="63"/>
      <c r="Z850" s="63"/>
      <c r="AA850" s="63"/>
    </row>
    <row r="851" s="59" customFormat="1" ht="16.5" outlineLevel="7" spans="1:27">
      <c r="A851" s="79"/>
      <c r="B851" s="107" t="s">
        <v>196</v>
      </c>
      <c r="C851" s="108">
        <v>200092</v>
      </c>
      <c r="D851" s="109" t="s">
        <v>853</v>
      </c>
      <c r="E851" s="110">
        <v>46107</v>
      </c>
      <c r="F851" s="109">
        <v>60</v>
      </c>
      <c r="G851" s="112">
        <v>0.05</v>
      </c>
      <c r="H851" s="113">
        <v>3539.82</v>
      </c>
      <c r="I851" s="113">
        <v>56.05</v>
      </c>
      <c r="J851" s="113">
        <v>0</v>
      </c>
      <c r="K851" s="114">
        <f t="shared" si="68"/>
        <v>3483.77</v>
      </c>
      <c r="L851" s="113">
        <v>56.05</v>
      </c>
      <c r="M851" s="115"/>
      <c r="N851" s="116"/>
      <c r="O851" s="117">
        <f t="shared" si="69"/>
        <v>47938</v>
      </c>
      <c r="P851" s="118">
        <f t="shared" si="70"/>
        <v>1</v>
      </c>
      <c r="Q851" s="119">
        <f t="shared" si="66"/>
        <v>56.04715</v>
      </c>
      <c r="R851" s="119">
        <f t="shared" si="67"/>
        <v>-0.00284999999999513</v>
      </c>
      <c r="S851" s="120" t="s">
        <v>106</v>
      </c>
      <c r="U851" s="67"/>
      <c r="V851" s="121"/>
      <c r="W851" s="122"/>
      <c r="X851" s="63"/>
      <c r="Y851" s="63"/>
      <c r="Z851" s="63"/>
      <c r="AA851" s="63"/>
    </row>
    <row r="852" s="59" customFormat="1" ht="16.5" outlineLevel="7" spans="1:27">
      <c r="A852" s="79"/>
      <c r="B852" s="123" t="s">
        <v>196</v>
      </c>
      <c r="C852" s="124">
        <v>200093</v>
      </c>
      <c r="D852" s="125" t="s">
        <v>856</v>
      </c>
      <c r="E852" s="126">
        <v>46107</v>
      </c>
      <c r="F852" s="125">
        <v>60</v>
      </c>
      <c r="G852" s="127">
        <v>0.05</v>
      </c>
      <c r="H852" s="128">
        <v>3539.82</v>
      </c>
      <c r="I852" s="113">
        <v>56.05</v>
      </c>
      <c r="J852" s="113">
        <v>0</v>
      </c>
      <c r="K852" s="114">
        <f t="shared" si="68"/>
        <v>3483.77</v>
      </c>
      <c r="L852" s="128">
        <v>56.05</v>
      </c>
      <c r="M852" s="115"/>
      <c r="N852" s="116"/>
      <c r="O852" s="117">
        <f t="shared" si="69"/>
        <v>47938</v>
      </c>
      <c r="P852" s="118">
        <f t="shared" si="70"/>
        <v>1</v>
      </c>
      <c r="Q852" s="119">
        <f t="shared" si="66"/>
        <v>56.04715</v>
      </c>
      <c r="R852" s="119">
        <f t="shared" si="67"/>
        <v>-0.00284999999999513</v>
      </c>
      <c r="S852" s="120" t="s">
        <v>106</v>
      </c>
      <c r="U852" s="67"/>
      <c r="V852" s="121"/>
      <c r="W852" s="122"/>
      <c r="X852" s="63"/>
      <c r="Y852" s="63"/>
      <c r="Z852" s="63"/>
      <c r="AA852" s="63"/>
    </row>
    <row r="853" s="59" customFormat="1" ht="16.5" outlineLevel="7" spans="1:27">
      <c r="A853" s="79"/>
      <c r="B853" s="123" t="s">
        <v>196</v>
      </c>
      <c r="C853" s="124">
        <v>200094</v>
      </c>
      <c r="D853" s="125" t="s">
        <v>856</v>
      </c>
      <c r="E853" s="126">
        <v>46107</v>
      </c>
      <c r="F853" s="125">
        <v>60</v>
      </c>
      <c r="G853" s="127">
        <v>0.05</v>
      </c>
      <c r="H853" s="128">
        <v>3539.82</v>
      </c>
      <c r="I853" s="113">
        <v>56.05</v>
      </c>
      <c r="J853" s="113">
        <v>0</v>
      </c>
      <c r="K853" s="114">
        <f t="shared" si="68"/>
        <v>3483.77</v>
      </c>
      <c r="L853" s="128">
        <v>56.05</v>
      </c>
      <c r="M853" s="115"/>
      <c r="N853" s="116"/>
      <c r="O853" s="117">
        <f t="shared" si="69"/>
        <v>47938</v>
      </c>
      <c r="P853" s="118">
        <f t="shared" si="70"/>
        <v>1</v>
      </c>
      <c r="Q853" s="119">
        <f t="shared" si="66"/>
        <v>56.04715</v>
      </c>
      <c r="R853" s="119">
        <f t="shared" si="67"/>
        <v>-0.00284999999999513</v>
      </c>
      <c r="S853" s="120" t="s">
        <v>106</v>
      </c>
      <c r="U853" s="67"/>
      <c r="V853" s="121"/>
      <c r="W853" s="122"/>
      <c r="X853" s="63"/>
      <c r="Y853" s="63"/>
      <c r="Z853" s="63"/>
      <c r="AA853" s="63"/>
    </row>
    <row r="854" s="59" customFormat="1" ht="16.5" outlineLevel="7" spans="1:27">
      <c r="A854" s="79"/>
      <c r="B854" s="123" t="s">
        <v>196</v>
      </c>
      <c r="C854" s="124">
        <v>200095</v>
      </c>
      <c r="D854" s="125" t="s">
        <v>856</v>
      </c>
      <c r="E854" s="126">
        <v>46107</v>
      </c>
      <c r="F854" s="125">
        <v>60</v>
      </c>
      <c r="G854" s="127">
        <v>0.05</v>
      </c>
      <c r="H854" s="128">
        <v>3539.83</v>
      </c>
      <c r="I854" s="113">
        <v>56.05</v>
      </c>
      <c r="J854" s="113">
        <v>0</v>
      </c>
      <c r="K854" s="114">
        <f t="shared" si="68"/>
        <v>3483.78</v>
      </c>
      <c r="L854" s="128">
        <v>56.05</v>
      </c>
      <c r="M854" s="115"/>
      <c r="N854" s="116"/>
      <c r="O854" s="117">
        <f t="shared" si="69"/>
        <v>47938</v>
      </c>
      <c r="P854" s="118">
        <f t="shared" si="70"/>
        <v>1</v>
      </c>
      <c r="Q854" s="119">
        <f t="shared" si="66"/>
        <v>56.0473083333333</v>
      </c>
      <c r="R854" s="119">
        <f t="shared" si="67"/>
        <v>-0.00269166666666365</v>
      </c>
      <c r="S854" s="120" t="s">
        <v>106</v>
      </c>
      <c r="U854" s="67"/>
      <c r="V854" s="121"/>
      <c r="W854" s="122"/>
      <c r="X854" s="63"/>
      <c r="Y854" s="63"/>
      <c r="Z854" s="63"/>
      <c r="AA854" s="63"/>
    </row>
    <row r="855" s="59" customFormat="1" ht="16.5" outlineLevel="7" spans="1:27">
      <c r="A855" s="79"/>
      <c r="B855" s="123" t="s">
        <v>196</v>
      </c>
      <c r="C855" s="124">
        <v>200096</v>
      </c>
      <c r="D855" s="125" t="s">
        <v>857</v>
      </c>
      <c r="E855" s="126">
        <v>46122</v>
      </c>
      <c r="F855" s="125">
        <v>60</v>
      </c>
      <c r="G855" s="127">
        <v>0.05</v>
      </c>
      <c r="H855" s="128">
        <v>63582.17</v>
      </c>
      <c r="I855" s="113">
        <v>0</v>
      </c>
      <c r="J855" s="113">
        <v>0</v>
      </c>
      <c r="K855" s="114">
        <f t="shared" si="68"/>
        <v>63582.17</v>
      </c>
      <c r="L855" s="128">
        <v>0</v>
      </c>
      <c r="M855" s="115"/>
      <c r="N855" s="116"/>
      <c r="O855" s="117">
        <f t="shared" si="69"/>
        <v>47968</v>
      </c>
      <c r="P855" s="118">
        <f t="shared" si="70"/>
        <v>0</v>
      </c>
      <c r="Q855" s="119">
        <f t="shared" ref="Q855:Q918" si="71">IFERROR(IF(N855=0,(H855*(1-G855))/F855*P855,(N855*(1-G855))/F855*P855),0)</f>
        <v>0</v>
      </c>
      <c r="R855" s="119">
        <f t="shared" ref="R855:R918" si="72">Q855-L855</f>
        <v>0</v>
      </c>
      <c r="S855" s="120" t="s">
        <v>106</v>
      </c>
      <c r="U855" s="67"/>
      <c r="V855" s="121"/>
      <c r="W855" s="122"/>
      <c r="X855" s="63"/>
      <c r="Y855" s="63"/>
      <c r="Z855" s="63"/>
      <c r="AA855" s="63"/>
    </row>
    <row r="856" s="59" customFormat="1" ht="16.5" outlineLevel="7" spans="1:27">
      <c r="A856" s="79"/>
      <c r="B856" s="123" t="s">
        <v>196</v>
      </c>
      <c r="C856" s="124">
        <v>200097</v>
      </c>
      <c r="D856" s="125" t="s">
        <v>857</v>
      </c>
      <c r="E856" s="126">
        <v>46122</v>
      </c>
      <c r="F856" s="125">
        <v>60</v>
      </c>
      <c r="G856" s="127">
        <v>0.05</v>
      </c>
      <c r="H856" s="128">
        <v>63582.17</v>
      </c>
      <c r="I856" s="113">
        <v>0</v>
      </c>
      <c r="J856" s="113">
        <v>0</v>
      </c>
      <c r="K856" s="114">
        <f t="shared" si="68"/>
        <v>63582.17</v>
      </c>
      <c r="L856" s="128">
        <v>0</v>
      </c>
      <c r="M856" s="115"/>
      <c r="N856" s="116"/>
      <c r="O856" s="117">
        <f t="shared" si="69"/>
        <v>47968</v>
      </c>
      <c r="P856" s="118">
        <f t="shared" si="70"/>
        <v>0</v>
      </c>
      <c r="Q856" s="119">
        <f t="shared" si="71"/>
        <v>0</v>
      </c>
      <c r="R856" s="119">
        <f t="shared" si="72"/>
        <v>0</v>
      </c>
      <c r="S856" s="120" t="s">
        <v>106</v>
      </c>
      <c r="U856" s="67"/>
      <c r="V856" s="121"/>
      <c r="W856" s="122"/>
      <c r="X856" s="63"/>
      <c r="Y856" s="63"/>
      <c r="Z856" s="63"/>
      <c r="AA856" s="63"/>
    </row>
    <row r="857" s="59" customFormat="1" ht="16.5" outlineLevel="7" spans="1:27">
      <c r="A857" s="79"/>
      <c r="B857" s="107" t="s">
        <v>196</v>
      </c>
      <c r="C857" s="108">
        <v>200098</v>
      </c>
      <c r="D857" s="109" t="s">
        <v>857</v>
      </c>
      <c r="E857" s="110">
        <v>46122</v>
      </c>
      <c r="F857" s="109">
        <v>60</v>
      </c>
      <c r="G857" s="112">
        <v>0.05</v>
      </c>
      <c r="H857" s="113">
        <v>63582.17</v>
      </c>
      <c r="I857" s="113">
        <v>0</v>
      </c>
      <c r="J857" s="113">
        <v>0</v>
      </c>
      <c r="K857" s="114">
        <f t="shared" si="68"/>
        <v>63582.17</v>
      </c>
      <c r="L857" s="113">
        <v>0</v>
      </c>
      <c r="M857" s="115"/>
      <c r="N857" s="116"/>
      <c r="O857" s="117">
        <f t="shared" si="69"/>
        <v>47968</v>
      </c>
      <c r="P857" s="118">
        <f t="shared" si="70"/>
        <v>0</v>
      </c>
      <c r="Q857" s="119">
        <f t="shared" si="71"/>
        <v>0</v>
      </c>
      <c r="R857" s="119">
        <f t="shared" si="72"/>
        <v>0</v>
      </c>
      <c r="S857" s="120" t="s">
        <v>106</v>
      </c>
      <c r="U857" s="67"/>
      <c r="V857" s="121"/>
      <c r="W857" s="122"/>
      <c r="X857" s="63"/>
      <c r="Y857" s="63"/>
      <c r="Z857" s="63"/>
      <c r="AA857" s="63"/>
    </row>
    <row r="858" s="59" customFormat="1" ht="16.5" outlineLevel="7" spans="1:27">
      <c r="A858" s="79"/>
      <c r="B858" s="107" t="s">
        <v>196</v>
      </c>
      <c r="C858" s="108">
        <v>200099</v>
      </c>
      <c r="D858" s="109" t="s">
        <v>857</v>
      </c>
      <c r="E858" s="110">
        <v>46122</v>
      </c>
      <c r="F858" s="109">
        <v>60</v>
      </c>
      <c r="G858" s="112">
        <v>0.05</v>
      </c>
      <c r="H858" s="113">
        <v>63582.17</v>
      </c>
      <c r="I858" s="113">
        <v>0</v>
      </c>
      <c r="J858" s="113">
        <v>0</v>
      </c>
      <c r="K858" s="114">
        <f t="shared" si="68"/>
        <v>63582.17</v>
      </c>
      <c r="L858" s="113">
        <v>0</v>
      </c>
      <c r="M858" s="115"/>
      <c r="N858" s="116"/>
      <c r="O858" s="117">
        <f t="shared" si="69"/>
        <v>47968</v>
      </c>
      <c r="P858" s="118">
        <f t="shared" si="70"/>
        <v>0</v>
      </c>
      <c r="Q858" s="119">
        <f t="shared" si="71"/>
        <v>0</v>
      </c>
      <c r="R858" s="119">
        <f t="shared" si="72"/>
        <v>0</v>
      </c>
      <c r="S858" s="120" t="s">
        <v>106</v>
      </c>
      <c r="U858" s="67"/>
      <c r="V858" s="121"/>
      <c r="W858" s="122"/>
      <c r="X858" s="63"/>
      <c r="Y858" s="63"/>
      <c r="Z858" s="63"/>
      <c r="AA858" s="63"/>
    </row>
    <row r="859" s="59" customFormat="1" ht="16.5" outlineLevel="7" spans="1:27">
      <c r="A859" s="79"/>
      <c r="B859" s="123" t="s">
        <v>196</v>
      </c>
      <c r="C859" s="124">
        <v>300082</v>
      </c>
      <c r="D859" s="125" t="s">
        <v>863</v>
      </c>
      <c r="E859" s="126">
        <v>45152</v>
      </c>
      <c r="F859" s="111">
        <v>60</v>
      </c>
      <c r="G859" s="127">
        <v>0.05</v>
      </c>
      <c r="H859" s="128">
        <v>2275.23</v>
      </c>
      <c r="I859" s="113">
        <v>1188.8</v>
      </c>
      <c r="J859" s="113">
        <v>0</v>
      </c>
      <c r="K859" s="114">
        <f t="shared" si="68"/>
        <v>1086.43</v>
      </c>
      <c r="L859" s="128">
        <v>144.1</v>
      </c>
      <c r="M859" s="115"/>
      <c r="N859" s="116"/>
      <c r="O859" s="117">
        <f t="shared" si="69"/>
        <v>46996</v>
      </c>
      <c r="P859" s="118">
        <f t="shared" si="70"/>
        <v>4</v>
      </c>
      <c r="Q859" s="119">
        <f t="shared" si="71"/>
        <v>144.0979</v>
      </c>
      <c r="R859" s="119">
        <f t="shared" si="72"/>
        <v>-0.00209999999998445</v>
      </c>
      <c r="S859" s="120" t="s">
        <v>106</v>
      </c>
      <c r="U859" s="67"/>
      <c r="V859" s="121"/>
      <c r="W859" s="122"/>
      <c r="X859" s="63"/>
      <c r="Y859" s="63"/>
      <c r="Z859" s="63"/>
      <c r="AA859" s="63"/>
    </row>
    <row r="860" s="59" customFormat="1" ht="16.5" outlineLevel="7" spans="1:27">
      <c r="A860" s="79"/>
      <c r="B860" s="123" t="s">
        <v>193</v>
      </c>
      <c r="C860" s="124">
        <v>100038</v>
      </c>
      <c r="D860" s="125" t="s">
        <v>865</v>
      </c>
      <c r="E860" s="126">
        <v>44288</v>
      </c>
      <c r="F860" s="111">
        <v>36</v>
      </c>
      <c r="G860" s="127">
        <v>0.05</v>
      </c>
      <c r="H860" s="128">
        <v>2880</v>
      </c>
      <c r="I860" s="113">
        <v>2736</v>
      </c>
      <c r="J860" s="113">
        <v>0</v>
      </c>
      <c r="K860" s="114">
        <f t="shared" si="68"/>
        <v>144</v>
      </c>
      <c r="L860" s="128">
        <v>0</v>
      </c>
      <c r="M860" s="115"/>
      <c r="N860" s="116"/>
      <c r="O860" s="117">
        <f t="shared" si="69"/>
        <v>45412</v>
      </c>
      <c r="P860" s="118">
        <f t="shared" si="70"/>
        <v>0</v>
      </c>
      <c r="Q860" s="119">
        <f t="shared" si="71"/>
        <v>0</v>
      </c>
      <c r="R860" s="119">
        <f t="shared" si="72"/>
        <v>0</v>
      </c>
      <c r="S860" s="120" t="s">
        <v>106</v>
      </c>
      <c r="U860" s="67"/>
      <c r="V860" s="121"/>
      <c r="W860" s="122"/>
      <c r="X860" s="63"/>
      <c r="Y860" s="63"/>
      <c r="Z860" s="63"/>
      <c r="AA860" s="63"/>
    </row>
    <row r="861" s="59" customFormat="1" ht="16.5" outlineLevel="7" spans="1:27">
      <c r="A861" s="79"/>
      <c r="B861" s="123" t="s">
        <v>193</v>
      </c>
      <c r="C861" s="124">
        <v>300001</v>
      </c>
      <c r="D861" s="125" t="s">
        <v>866</v>
      </c>
      <c r="E861" s="126">
        <v>43932</v>
      </c>
      <c r="F861" s="111">
        <v>60</v>
      </c>
      <c r="G861" s="127">
        <v>0.05</v>
      </c>
      <c r="H861" s="128">
        <v>3000</v>
      </c>
      <c r="I861" s="113">
        <v>2850</v>
      </c>
      <c r="J861" s="113">
        <v>0</v>
      </c>
      <c r="K861" s="114">
        <f t="shared" si="68"/>
        <v>150</v>
      </c>
      <c r="L861" s="128">
        <v>0</v>
      </c>
      <c r="M861" s="115"/>
      <c r="N861" s="116"/>
      <c r="O861" s="117">
        <f t="shared" si="69"/>
        <v>45777</v>
      </c>
      <c r="P861" s="118">
        <f t="shared" si="70"/>
        <v>0</v>
      </c>
      <c r="Q861" s="119">
        <f t="shared" si="71"/>
        <v>0</v>
      </c>
      <c r="R861" s="119">
        <f t="shared" si="72"/>
        <v>0</v>
      </c>
      <c r="S861" s="120" t="s">
        <v>106</v>
      </c>
      <c r="U861" s="67"/>
      <c r="V861" s="121"/>
      <c r="W861" s="122"/>
      <c r="X861" s="63"/>
      <c r="Y861" s="63"/>
      <c r="Z861" s="63"/>
      <c r="AA861" s="63"/>
    </row>
    <row r="862" s="59" customFormat="1" ht="16.5" outlineLevel="7" spans="1:27">
      <c r="A862" s="79"/>
      <c r="B862" s="123" t="s">
        <v>193</v>
      </c>
      <c r="C862" s="124">
        <v>300002</v>
      </c>
      <c r="D862" s="125" t="s">
        <v>867</v>
      </c>
      <c r="E862" s="126">
        <v>43932</v>
      </c>
      <c r="F862" s="111">
        <v>60</v>
      </c>
      <c r="G862" s="127">
        <v>0.05</v>
      </c>
      <c r="H862" s="128">
        <v>850</v>
      </c>
      <c r="I862" s="113">
        <v>807.5</v>
      </c>
      <c r="J862" s="113">
        <v>0</v>
      </c>
      <c r="K862" s="114">
        <f t="shared" si="68"/>
        <v>42.5</v>
      </c>
      <c r="L862" s="128">
        <v>0</v>
      </c>
      <c r="M862" s="115"/>
      <c r="N862" s="116"/>
      <c r="O862" s="117">
        <f t="shared" si="69"/>
        <v>45777</v>
      </c>
      <c r="P862" s="118">
        <f t="shared" si="70"/>
        <v>0</v>
      </c>
      <c r="Q862" s="119">
        <f t="shared" si="71"/>
        <v>0</v>
      </c>
      <c r="R862" s="119">
        <f t="shared" si="72"/>
        <v>0</v>
      </c>
      <c r="S862" s="120" t="s">
        <v>106</v>
      </c>
      <c r="U862" s="67"/>
      <c r="V862" s="121"/>
      <c r="W862" s="122"/>
      <c r="X862" s="63"/>
      <c r="Y862" s="63"/>
      <c r="Z862" s="63"/>
      <c r="AA862" s="63"/>
    </row>
    <row r="863" s="59" customFormat="1" ht="16.5" outlineLevel="7" spans="1:27">
      <c r="A863" s="79"/>
      <c r="B863" s="123" t="s">
        <v>193</v>
      </c>
      <c r="C863" s="124">
        <v>300003</v>
      </c>
      <c r="D863" s="125" t="s">
        <v>868</v>
      </c>
      <c r="E863" s="126">
        <v>43932</v>
      </c>
      <c r="F863" s="111">
        <v>60</v>
      </c>
      <c r="G863" s="127">
        <v>0.05</v>
      </c>
      <c r="H863" s="128">
        <v>900</v>
      </c>
      <c r="I863" s="113">
        <v>855</v>
      </c>
      <c r="J863" s="113">
        <v>0</v>
      </c>
      <c r="K863" s="114">
        <f t="shared" si="68"/>
        <v>45</v>
      </c>
      <c r="L863" s="128">
        <v>0</v>
      </c>
      <c r="M863" s="115"/>
      <c r="N863" s="116"/>
      <c r="O863" s="117">
        <f t="shared" si="69"/>
        <v>45777</v>
      </c>
      <c r="P863" s="118">
        <f t="shared" si="70"/>
        <v>0</v>
      </c>
      <c r="Q863" s="119">
        <f t="shared" si="71"/>
        <v>0</v>
      </c>
      <c r="R863" s="119">
        <f t="shared" si="72"/>
        <v>0</v>
      </c>
      <c r="S863" s="120" t="s">
        <v>106</v>
      </c>
      <c r="U863" s="67"/>
      <c r="V863" s="121"/>
      <c r="W863" s="122"/>
      <c r="X863" s="63"/>
      <c r="Y863" s="63"/>
      <c r="Z863" s="63"/>
      <c r="AA863" s="63"/>
    </row>
    <row r="864" s="59" customFormat="1" ht="16.5" outlineLevel="7" spans="1:27">
      <c r="A864" s="79"/>
      <c r="B864" s="107" t="s">
        <v>193</v>
      </c>
      <c r="C864" s="108">
        <v>300004</v>
      </c>
      <c r="D864" s="109" t="s">
        <v>869</v>
      </c>
      <c r="E864" s="110">
        <v>43932</v>
      </c>
      <c r="F864" s="111">
        <v>60</v>
      </c>
      <c r="G864" s="112">
        <v>0.05</v>
      </c>
      <c r="H864" s="113">
        <v>300</v>
      </c>
      <c r="I864" s="113">
        <v>285</v>
      </c>
      <c r="J864" s="113">
        <v>0</v>
      </c>
      <c r="K864" s="114">
        <f t="shared" si="68"/>
        <v>15</v>
      </c>
      <c r="L864" s="113">
        <v>0</v>
      </c>
      <c r="M864" s="115"/>
      <c r="N864" s="116"/>
      <c r="O864" s="117">
        <f t="shared" si="69"/>
        <v>45777</v>
      </c>
      <c r="P864" s="118">
        <f t="shared" si="70"/>
        <v>0</v>
      </c>
      <c r="Q864" s="119">
        <f t="shared" si="71"/>
        <v>0</v>
      </c>
      <c r="R864" s="119">
        <f t="shared" si="72"/>
        <v>0</v>
      </c>
      <c r="S864" s="120" t="s">
        <v>106</v>
      </c>
      <c r="U864" s="67"/>
      <c r="V864" s="121"/>
      <c r="W864" s="122"/>
      <c r="X864" s="63"/>
      <c r="Y864" s="63"/>
      <c r="Z864" s="63"/>
      <c r="AA864" s="63"/>
    </row>
    <row r="865" s="59" customFormat="1" ht="16.5" outlineLevel="7" spans="1:27">
      <c r="A865" s="79"/>
      <c r="B865" s="107" t="s">
        <v>193</v>
      </c>
      <c r="C865" s="108">
        <v>300005</v>
      </c>
      <c r="D865" s="109" t="s">
        <v>870</v>
      </c>
      <c r="E865" s="110">
        <v>44194</v>
      </c>
      <c r="F865" s="111">
        <v>60</v>
      </c>
      <c r="G865" s="112">
        <v>0.05</v>
      </c>
      <c r="H865" s="113">
        <v>1598</v>
      </c>
      <c r="I865" s="113">
        <v>1518.1</v>
      </c>
      <c r="J865" s="113">
        <v>0</v>
      </c>
      <c r="K865" s="114">
        <f t="shared" si="68"/>
        <v>79.9000000000001</v>
      </c>
      <c r="L865" s="113">
        <v>0</v>
      </c>
      <c r="M865" s="115"/>
      <c r="N865" s="116"/>
      <c r="O865" s="117">
        <f t="shared" si="69"/>
        <v>46022</v>
      </c>
      <c r="P865" s="118">
        <f t="shared" si="70"/>
        <v>0</v>
      </c>
      <c r="Q865" s="119">
        <f t="shared" si="71"/>
        <v>0</v>
      </c>
      <c r="R865" s="119">
        <f t="shared" si="72"/>
        <v>0</v>
      </c>
      <c r="S865" s="120" t="s">
        <v>106</v>
      </c>
      <c r="U865" s="67"/>
      <c r="V865" s="121"/>
      <c r="W865" s="122"/>
      <c r="X865" s="63"/>
      <c r="Y865" s="63"/>
      <c r="Z865" s="63"/>
      <c r="AA865" s="63"/>
    </row>
    <row r="866" s="59" customFormat="1" ht="16.5" outlineLevel="7" spans="1:27">
      <c r="A866" s="79"/>
      <c r="B866" s="123" t="s">
        <v>193</v>
      </c>
      <c r="C866" s="124">
        <v>300006</v>
      </c>
      <c r="D866" s="125" t="s">
        <v>193</v>
      </c>
      <c r="E866" s="126">
        <v>44194</v>
      </c>
      <c r="F866" s="111">
        <v>60</v>
      </c>
      <c r="G866" s="127">
        <v>0.05</v>
      </c>
      <c r="H866" s="128">
        <v>1050</v>
      </c>
      <c r="I866" s="113">
        <v>997.5</v>
      </c>
      <c r="J866" s="113">
        <v>0</v>
      </c>
      <c r="K866" s="114">
        <f t="shared" si="68"/>
        <v>52.5</v>
      </c>
      <c r="L866" s="128">
        <v>0</v>
      </c>
      <c r="M866" s="115"/>
      <c r="N866" s="116"/>
      <c r="O866" s="117">
        <f t="shared" si="69"/>
        <v>46022</v>
      </c>
      <c r="P866" s="118">
        <f t="shared" si="70"/>
        <v>0</v>
      </c>
      <c r="Q866" s="119">
        <f t="shared" si="71"/>
        <v>0</v>
      </c>
      <c r="R866" s="119">
        <f t="shared" si="72"/>
        <v>0</v>
      </c>
      <c r="S866" s="120" t="s">
        <v>106</v>
      </c>
      <c r="U866" s="67"/>
      <c r="V866" s="121"/>
      <c r="W866" s="122"/>
      <c r="X866" s="63"/>
      <c r="Y866" s="63"/>
      <c r="Z866" s="63"/>
      <c r="AA866" s="63"/>
    </row>
    <row r="867" s="59" customFormat="1" ht="16.5" outlineLevel="7" spans="1:27">
      <c r="A867" s="79"/>
      <c r="B867" s="123" t="s">
        <v>193</v>
      </c>
      <c r="C867" s="124">
        <v>300007</v>
      </c>
      <c r="D867" s="125" t="s">
        <v>871</v>
      </c>
      <c r="E867" s="126">
        <v>44194</v>
      </c>
      <c r="F867" s="111">
        <v>60</v>
      </c>
      <c r="G867" s="127">
        <v>0.05</v>
      </c>
      <c r="H867" s="128">
        <v>1080</v>
      </c>
      <c r="I867" s="113">
        <v>1026</v>
      </c>
      <c r="J867" s="113">
        <v>0</v>
      </c>
      <c r="K867" s="114">
        <f t="shared" si="68"/>
        <v>54</v>
      </c>
      <c r="L867" s="128">
        <v>0</v>
      </c>
      <c r="M867" s="115"/>
      <c r="N867" s="116"/>
      <c r="O867" s="117">
        <f t="shared" si="69"/>
        <v>46022</v>
      </c>
      <c r="P867" s="118">
        <f t="shared" si="70"/>
        <v>0</v>
      </c>
      <c r="Q867" s="119">
        <f t="shared" si="71"/>
        <v>0</v>
      </c>
      <c r="R867" s="119">
        <f t="shared" si="72"/>
        <v>0</v>
      </c>
      <c r="S867" s="120" t="s">
        <v>106</v>
      </c>
      <c r="U867" s="67"/>
      <c r="V867" s="121"/>
      <c r="W867" s="122"/>
      <c r="X867" s="63"/>
      <c r="Y867" s="63"/>
      <c r="Z867" s="63"/>
      <c r="AA867" s="63"/>
    </row>
    <row r="868" s="59" customFormat="1" ht="16.5" outlineLevel="7" spans="1:27">
      <c r="A868" s="79"/>
      <c r="B868" s="123" t="s">
        <v>193</v>
      </c>
      <c r="C868" s="124">
        <v>300008</v>
      </c>
      <c r="D868" s="125" t="s">
        <v>872</v>
      </c>
      <c r="E868" s="126">
        <v>44196</v>
      </c>
      <c r="F868" s="111">
        <v>60</v>
      </c>
      <c r="G868" s="127">
        <v>0.05</v>
      </c>
      <c r="H868" s="128">
        <v>9617</v>
      </c>
      <c r="I868" s="113">
        <v>9136.15</v>
      </c>
      <c r="J868" s="113">
        <v>0</v>
      </c>
      <c r="K868" s="114">
        <f t="shared" si="68"/>
        <v>480.85</v>
      </c>
      <c r="L868" s="128">
        <v>0</v>
      </c>
      <c r="M868" s="115"/>
      <c r="N868" s="116"/>
      <c r="O868" s="117">
        <f t="shared" si="69"/>
        <v>46022</v>
      </c>
      <c r="P868" s="118">
        <f t="shared" si="70"/>
        <v>0</v>
      </c>
      <c r="Q868" s="119">
        <f t="shared" si="71"/>
        <v>0</v>
      </c>
      <c r="R868" s="119">
        <f t="shared" si="72"/>
        <v>0</v>
      </c>
      <c r="S868" s="120" t="s">
        <v>106</v>
      </c>
      <c r="U868" s="67"/>
      <c r="V868" s="121"/>
      <c r="W868" s="122"/>
      <c r="X868" s="63"/>
      <c r="Y868" s="63"/>
      <c r="Z868" s="63"/>
      <c r="AA868" s="63"/>
    </row>
    <row r="869" s="59" customFormat="1" ht="16.5" outlineLevel="7" spans="1:27">
      <c r="A869" s="79"/>
      <c r="B869" s="123" t="s">
        <v>193</v>
      </c>
      <c r="C869" s="124">
        <v>300009</v>
      </c>
      <c r="D869" s="125" t="s">
        <v>873</v>
      </c>
      <c r="E869" s="126">
        <v>44203</v>
      </c>
      <c r="F869" s="111">
        <v>60</v>
      </c>
      <c r="G869" s="127">
        <v>0.05</v>
      </c>
      <c r="H869" s="128">
        <v>8900</v>
      </c>
      <c r="I869" s="113">
        <v>8455</v>
      </c>
      <c r="J869" s="113">
        <v>0</v>
      </c>
      <c r="K869" s="114">
        <f t="shared" si="68"/>
        <v>445</v>
      </c>
      <c r="L869" s="128">
        <v>140.91</v>
      </c>
      <c r="M869" s="115"/>
      <c r="N869" s="116"/>
      <c r="O869" s="117">
        <f t="shared" si="69"/>
        <v>46053</v>
      </c>
      <c r="P869" s="118">
        <f t="shared" si="70"/>
        <v>1</v>
      </c>
      <c r="Q869" s="119">
        <f t="shared" si="71"/>
        <v>140.916666666667</v>
      </c>
      <c r="R869" s="119">
        <f t="shared" si="72"/>
        <v>0.0066666666666606</v>
      </c>
      <c r="S869" s="120" t="s">
        <v>106</v>
      </c>
      <c r="U869" s="67"/>
      <c r="V869" s="121"/>
      <c r="W869" s="122"/>
      <c r="X869" s="63"/>
      <c r="Y869" s="63"/>
      <c r="Z869" s="63"/>
      <c r="AA869" s="63"/>
    </row>
    <row r="870" s="59" customFormat="1" ht="16.5" outlineLevel="7" spans="1:27">
      <c r="A870" s="79"/>
      <c r="B870" s="123" t="s">
        <v>193</v>
      </c>
      <c r="C870" s="124">
        <v>300010</v>
      </c>
      <c r="D870" s="125" t="s">
        <v>874</v>
      </c>
      <c r="E870" s="126">
        <v>44203</v>
      </c>
      <c r="F870" s="111">
        <v>60</v>
      </c>
      <c r="G870" s="127">
        <v>0.05</v>
      </c>
      <c r="H870" s="128">
        <v>2860</v>
      </c>
      <c r="I870" s="113">
        <v>2717</v>
      </c>
      <c r="J870" s="113">
        <v>0</v>
      </c>
      <c r="K870" s="114">
        <f t="shared" si="68"/>
        <v>143</v>
      </c>
      <c r="L870" s="128">
        <v>45.28</v>
      </c>
      <c r="M870" s="115"/>
      <c r="N870" s="116"/>
      <c r="O870" s="117">
        <f t="shared" si="69"/>
        <v>46053</v>
      </c>
      <c r="P870" s="118">
        <f t="shared" si="70"/>
        <v>1</v>
      </c>
      <c r="Q870" s="119">
        <f t="shared" si="71"/>
        <v>45.2833333333333</v>
      </c>
      <c r="R870" s="119">
        <f t="shared" si="72"/>
        <v>0.0033333333333303</v>
      </c>
      <c r="S870" s="120" t="s">
        <v>106</v>
      </c>
      <c r="U870" s="67"/>
      <c r="V870" s="121"/>
      <c r="W870" s="122"/>
      <c r="X870" s="63"/>
      <c r="Y870" s="63"/>
      <c r="Z870" s="63"/>
      <c r="AA870" s="63"/>
    </row>
    <row r="871" s="59" customFormat="1" ht="16.5" outlineLevel="7" spans="1:27">
      <c r="A871" s="79"/>
      <c r="B871" s="107" t="s">
        <v>193</v>
      </c>
      <c r="C871" s="108">
        <v>300011</v>
      </c>
      <c r="D871" s="109" t="s">
        <v>875</v>
      </c>
      <c r="E871" s="110">
        <v>44203</v>
      </c>
      <c r="F871" s="111">
        <v>60</v>
      </c>
      <c r="G871" s="112">
        <v>0.05</v>
      </c>
      <c r="H871" s="113">
        <v>14500</v>
      </c>
      <c r="I871" s="113">
        <v>13775</v>
      </c>
      <c r="J871" s="113">
        <v>0</v>
      </c>
      <c r="K871" s="114">
        <f t="shared" si="68"/>
        <v>725</v>
      </c>
      <c r="L871" s="113">
        <v>229.58</v>
      </c>
      <c r="M871" s="115"/>
      <c r="N871" s="116"/>
      <c r="O871" s="117">
        <f t="shared" si="69"/>
        <v>46053</v>
      </c>
      <c r="P871" s="118">
        <f t="shared" si="70"/>
        <v>1</v>
      </c>
      <c r="Q871" s="119">
        <f t="shared" si="71"/>
        <v>229.583333333333</v>
      </c>
      <c r="R871" s="119">
        <f t="shared" si="72"/>
        <v>0.0033333333333303</v>
      </c>
      <c r="S871" s="120" t="s">
        <v>106</v>
      </c>
      <c r="U871" s="67"/>
      <c r="V871" s="121"/>
      <c r="W871" s="122"/>
      <c r="X871" s="63"/>
      <c r="Y871" s="63"/>
      <c r="Z871" s="63"/>
      <c r="AA871" s="63"/>
    </row>
    <row r="872" s="59" customFormat="1" ht="16.5" outlineLevel="7" spans="1:27">
      <c r="A872" s="79"/>
      <c r="B872" s="107" t="s">
        <v>193</v>
      </c>
      <c r="C872" s="108">
        <v>300012</v>
      </c>
      <c r="D872" s="109" t="s">
        <v>876</v>
      </c>
      <c r="E872" s="110">
        <v>44203</v>
      </c>
      <c r="F872" s="111">
        <v>60</v>
      </c>
      <c r="G872" s="112">
        <v>0.05</v>
      </c>
      <c r="H872" s="113">
        <v>2600</v>
      </c>
      <c r="I872" s="113">
        <v>2470</v>
      </c>
      <c r="J872" s="113">
        <v>0</v>
      </c>
      <c r="K872" s="114">
        <f t="shared" si="68"/>
        <v>130</v>
      </c>
      <c r="L872" s="113">
        <v>41.16</v>
      </c>
      <c r="M872" s="115"/>
      <c r="N872" s="116"/>
      <c r="O872" s="117">
        <f t="shared" si="69"/>
        <v>46053</v>
      </c>
      <c r="P872" s="118">
        <f t="shared" si="70"/>
        <v>1</v>
      </c>
      <c r="Q872" s="119">
        <f t="shared" si="71"/>
        <v>41.1666666666667</v>
      </c>
      <c r="R872" s="119">
        <f t="shared" si="72"/>
        <v>0.00666666666666771</v>
      </c>
      <c r="S872" s="120" t="s">
        <v>106</v>
      </c>
      <c r="U872" s="67"/>
      <c r="V872" s="121"/>
      <c r="W872" s="122"/>
      <c r="X872" s="63"/>
      <c r="Y872" s="63"/>
      <c r="Z872" s="63"/>
      <c r="AA872" s="63"/>
    </row>
    <row r="873" s="59" customFormat="1" ht="16.5" outlineLevel="7" spans="1:27">
      <c r="A873" s="79"/>
      <c r="B873" s="123" t="s">
        <v>193</v>
      </c>
      <c r="C873" s="124">
        <v>300013</v>
      </c>
      <c r="D873" s="125" t="s">
        <v>877</v>
      </c>
      <c r="E873" s="126">
        <v>44203</v>
      </c>
      <c r="F873" s="111">
        <v>60</v>
      </c>
      <c r="G873" s="127">
        <v>0.05</v>
      </c>
      <c r="H873" s="128">
        <v>7800</v>
      </c>
      <c r="I873" s="113">
        <v>7410</v>
      </c>
      <c r="J873" s="113">
        <v>0</v>
      </c>
      <c r="K873" s="114">
        <f t="shared" si="68"/>
        <v>390</v>
      </c>
      <c r="L873" s="128">
        <v>123.5</v>
      </c>
      <c r="M873" s="115"/>
      <c r="N873" s="116"/>
      <c r="O873" s="117">
        <f t="shared" si="69"/>
        <v>46053</v>
      </c>
      <c r="P873" s="118">
        <f t="shared" si="70"/>
        <v>1</v>
      </c>
      <c r="Q873" s="119">
        <f t="shared" si="71"/>
        <v>123.5</v>
      </c>
      <c r="R873" s="119">
        <f t="shared" si="72"/>
        <v>0</v>
      </c>
      <c r="S873" s="120" t="s">
        <v>106</v>
      </c>
      <c r="U873" s="67"/>
      <c r="V873" s="121"/>
      <c r="W873" s="122"/>
      <c r="X873" s="63"/>
      <c r="Y873" s="63"/>
      <c r="Z873" s="63"/>
      <c r="AA873" s="63"/>
    </row>
    <row r="874" s="59" customFormat="1" ht="16.5" outlineLevel="7" spans="1:27">
      <c r="A874" s="79"/>
      <c r="B874" s="123" t="s">
        <v>193</v>
      </c>
      <c r="C874" s="124">
        <v>300014</v>
      </c>
      <c r="D874" s="125" t="s">
        <v>878</v>
      </c>
      <c r="E874" s="126">
        <v>44203</v>
      </c>
      <c r="F874" s="111">
        <v>60</v>
      </c>
      <c r="G874" s="127">
        <v>0.05</v>
      </c>
      <c r="H874" s="128">
        <v>3900</v>
      </c>
      <c r="I874" s="113">
        <v>3705</v>
      </c>
      <c r="J874" s="113">
        <v>0</v>
      </c>
      <c r="K874" s="114">
        <f t="shared" si="68"/>
        <v>195</v>
      </c>
      <c r="L874" s="128">
        <v>61.75</v>
      </c>
      <c r="M874" s="115"/>
      <c r="N874" s="116"/>
      <c r="O874" s="117">
        <f t="shared" si="69"/>
        <v>46053</v>
      </c>
      <c r="P874" s="118">
        <f t="shared" si="70"/>
        <v>1</v>
      </c>
      <c r="Q874" s="119">
        <f t="shared" si="71"/>
        <v>61.75</v>
      </c>
      <c r="R874" s="119">
        <f t="shared" si="72"/>
        <v>0</v>
      </c>
      <c r="S874" s="120" t="s">
        <v>106</v>
      </c>
      <c r="U874" s="67"/>
      <c r="V874" s="121"/>
      <c r="W874" s="122"/>
      <c r="X874" s="63"/>
      <c r="Y874" s="63"/>
      <c r="Z874" s="63"/>
      <c r="AA874" s="63"/>
    </row>
    <row r="875" s="59" customFormat="1" ht="16.5" outlineLevel="7" spans="1:27">
      <c r="A875" s="79"/>
      <c r="B875" s="123" t="s">
        <v>193</v>
      </c>
      <c r="C875" s="124">
        <v>300015</v>
      </c>
      <c r="D875" s="125" t="s">
        <v>879</v>
      </c>
      <c r="E875" s="126">
        <v>44203</v>
      </c>
      <c r="F875" s="111">
        <v>60</v>
      </c>
      <c r="G875" s="127">
        <v>0.05</v>
      </c>
      <c r="H875" s="128">
        <v>2900</v>
      </c>
      <c r="I875" s="113">
        <v>2755</v>
      </c>
      <c r="J875" s="113">
        <v>0</v>
      </c>
      <c r="K875" s="114">
        <f t="shared" si="68"/>
        <v>145</v>
      </c>
      <c r="L875" s="128">
        <v>45.91</v>
      </c>
      <c r="M875" s="115"/>
      <c r="N875" s="116"/>
      <c r="O875" s="117">
        <f t="shared" si="69"/>
        <v>46053</v>
      </c>
      <c r="P875" s="118">
        <f t="shared" si="70"/>
        <v>1</v>
      </c>
      <c r="Q875" s="119">
        <f t="shared" si="71"/>
        <v>45.9166666666667</v>
      </c>
      <c r="R875" s="119">
        <f t="shared" si="72"/>
        <v>0.00666666666666771</v>
      </c>
      <c r="S875" s="120" t="s">
        <v>106</v>
      </c>
      <c r="U875" s="67"/>
      <c r="V875" s="121"/>
      <c r="W875" s="122"/>
      <c r="X875" s="63"/>
      <c r="Y875" s="63"/>
      <c r="Z875" s="63"/>
      <c r="AA875" s="63"/>
    </row>
    <row r="876" s="59" customFormat="1" ht="16.5" outlineLevel="7" spans="1:27">
      <c r="A876" s="79"/>
      <c r="B876" s="123" t="s">
        <v>193</v>
      </c>
      <c r="C876" s="124">
        <v>300016</v>
      </c>
      <c r="D876" s="125" t="s">
        <v>395</v>
      </c>
      <c r="E876" s="126">
        <v>44203</v>
      </c>
      <c r="F876" s="111">
        <v>60</v>
      </c>
      <c r="G876" s="127">
        <v>0.05</v>
      </c>
      <c r="H876" s="128">
        <v>5700</v>
      </c>
      <c r="I876" s="113">
        <v>5415</v>
      </c>
      <c r="J876" s="113">
        <v>0</v>
      </c>
      <c r="K876" s="114">
        <f t="shared" si="68"/>
        <v>285</v>
      </c>
      <c r="L876" s="128">
        <v>90.25</v>
      </c>
      <c r="M876" s="115"/>
      <c r="N876" s="116"/>
      <c r="O876" s="117">
        <f t="shared" si="69"/>
        <v>46053</v>
      </c>
      <c r="P876" s="118">
        <f t="shared" si="70"/>
        <v>1</v>
      </c>
      <c r="Q876" s="119">
        <f t="shared" si="71"/>
        <v>90.25</v>
      </c>
      <c r="R876" s="119">
        <f t="shared" si="72"/>
        <v>0</v>
      </c>
      <c r="S876" s="120" t="s">
        <v>106</v>
      </c>
      <c r="U876" s="67"/>
      <c r="V876" s="121"/>
      <c r="W876" s="122"/>
      <c r="X876" s="63"/>
      <c r="Y876" s="63"/>
      <c r="Z876" s="63"/>
      <c r="AA876" s="63"/>
    </row>
    <row r="877" s="59" customFormat="1" ht="16.5" outlineLevel="7" spans="1:27">
      <c r="A877" s="79"/>
      <c r="B877" s="123" t="s">
        <v>193</v>
      </c>
      <c r="C877" s="124">
        <v>300017</v>
      </c>
      <c r="D877" s="125" t="s">
        <v>880</v>
      </c>
      <c r="E877" s="126">
        <v>44203</v>
      </c>
      <c r="F877" s="111">
        <v>60</v>
      </c>
      <c r="G877" s="127">
        <v>0.05</v>
      </c>
      <c r="H877" s="128">
        <v>550</v>
      </c>
      <c r="I877" s="113">
        <v>522.5</v>
      </c>
      <c r="J877" s="113">
        <v>0</v>
      </c>
      <c r="K877" s="114">
        <f t="shared" si="68"/>
        <v>27.5</v>
      </c>
      <c r="L877" s="128">
        <v>8.7</v>
      </c>
      <c r="M877" s="115"/>
      <c r="N877" s="116"/>
      <c r="O877" s="117">
        <f t="shared" si="69"/>
        <v>46053</v>
      </c>
      <c r="P877" s="118">
        <f t="shared" si="70"/>
        <v>1</v>
      </c>
      <c r="Q877" s="119">
        <f t="shared" si="71"/>
        <v>8.70833333333333</v>
      </c>
      <c r="R877" s="119">
        <f t="shared" si="72"/>
        <v>0.00833333333333464</v>
      </c>
      <c r="S877" s="120" t="s">
        <v>106</v>
      </c>
      <c r="U877" s="67"/>
      <c r="V877" s="121"/>
      <c r="W877" s="122"/>
      <c r="X877" s="63"/>
      <c r="Y877" s="63"/>
      <c r="Z877" s="63"/>
      <c r="AA877" s="63"/>
    </row>
    <row r="878" s="59" customFormat="1" ht="16.5" outlineLevel="7" spans="1:27">
      <c r="A878" s="79"/>
      <c r="B878" s="107" t="s">
        <v>193</v>
      </c>
      <c r="C878" s="108">
        <v>300018</v>
      </c>
      <c r="D878" s="109" t="s">
        <v>402</v>
      </c>
      <c r="E878" s="110">
        <v>44203</v>
      </c>
      <c r="F878" s="111">
        <v>60</v>
      </c>
      <c r="G878" s="112">
        <v>0.05</v>
      </c>
      <c r="H878" s="113">
        <v>740</v>
      </c>
      <c r="I878" s="113">
        <v>703</v>
      </c>
      <c r="J878" s="113">
        <v>0</v>
      </c>
      <c r="K878" s="114">
        <f t="shared" si="68"/>
        <v>37</v>
      </c>
      <c r="L878" s="113">
        <v>11.71</v>
      </c>
      <c r="M878" s="115"/>
      <c r="N878" s="116"/>
      <c r="O878" s="117">
        <f t="shared" si="69"/>
        <v>46053</v>
      </c>
      <c r="P878" s="118">
        <f t="shared" si="70"/>
        <v>1</v>
      </c>
      <c r="Q878" s="119">
        <f t="shared" si="71"/>
        <v>11.7166666666667</v>
      </c>
      <c r="R878" s="119">
        <f t="shared" si="72"/>
        <v>0.00666666666666593</v>
      </c>
      <c r="S878" s="120" t="s">
        <v>106</v>
      </c>
      <c r="U878" s="67"/>
      <c r="V878" s="121"/>
      <c r="W878" s="122"/>
      <c r="X878" s="63"/>
      <c r="Y878" s="63"/>
      <c r="Z878" s="63"/>
      <c r="AA878" s="63"/>
    </row>
    <row r="879" s="59" customFormat="1" ht="16.5" outlineLevel="7" spans="1:27">
      <c r="A879" s="79"/>
      <c r="B879" s="107" t="s">
        <v>193</v>
      </c>
      <c r="C879" s="108">
        <v>300019</v>
      </c>
      <c r="D879" s="109" t="s">
        <v>881</v>
      </c>
      <c r="E879" s="110">
        <v>44203</v>
      </c>
      <c r="F879" s="111">
        <v>60</v>
      </c>
      <c r="G879" s="112">
        <v>0.05</v>
      </c>
      <c r="H879" s="113">
        <v>13530</v>
      </c>
      <c r="I879" s="113">
        <v>12853.5</v>
      </c>
      <c r="J879" s="113">
        <v>0</v>
      </c>
      <c r="K879" s="114">
        <f t="shared" si="68"/>
        <v>676.5</v>
      </c>
      <c r="L879" s="113">
        <v>214.22</v>
      </c>
      <c r="M879" s="115"/>
      <c r="N879" s="116"/>
      <c r="O879" s="117">
        <f t="shared" si="69"/>
        <v>46053</v>
      </c>
      <c r="P879" s="118">
        <f t="shared" si="70"/>
        <v>1</v>
      </c>
      <c r="Q879" s="119">
        <f t="shared" si="71"/>
        <v>214.225</v>
      </c>
      <c r="R879" s="119">
        <f t="shared" si="72"/>
        <v>0.00499999999999545</v>
      </c>
      <c r="S879" s="120" t="s">
        <v>106</v>
      </c>
      <c r="U879" s="67"/>
      <c r="V879" s="121"/>
      <c r="W879" s="122"/>
      <c r="X879" s="63"/>
      <c r="Y879" s="63"/>
      <c r="Z879" s="63"/>
      <c r="AA879" s="63"/>
    </row>
    <row r="880" s="59" customFormat="1" ht="16.5" outlineLevel="7" spans="1:27">
      <c r="A880" s="79"/>
      <c r="B880" s="123" t="s">
        <v>193</v>
      </c>
      <c r="C880" s="124">
        <v>300020</v>
      </c>
      <c r="D880" s="125" t="s">
        <v>761</v>
      </c>
      <c r="E880" s="126">
        <v>44232</v>
      </c>
      <c r="F880" s="111">
        <v>60</v>
      </c>
      <c r="G880" s="127">
        <v>0.05</v>
      </c>
      <c r="H880" s="128">
        <v>1646.02</v>
      </c>
      <c r="I880" s="113">
        <v>1563.72</v>
      </c>
      <c r="J880" s="113">
        <v>0</v>
      </c>
      <c r="K880" s="114">
        <f t="shared" si="68"/>
        <v>82.3</v>
      </c>
      <c r="L880" s="128">
        <v>52.13</v>
      </c>
      <c r="M880" s="115"/>
      <c r="N880" s="116"/>
      <c r="O880" s="117">
        <f t="shared" si="69"/>
        <v>46081</v>
      </c>
      <c r="P880" s="118">
        <f t="shared" si="70"/>
        <v>2</v>
      </c>
      <c r="Q880" s="119">
        <f t="shared" si="71"/>
        <v>52.1239666666667</v>
      </c>
      <c r="R880" s="119">
        <f t="shared" si="72"/>
        <v>-0.00603333333334177</v>
      </c>
      <c r="S880" s="120" t="s">
        <v>106</v>
      </c>
      <c r="U880" s="67"/>
      <c r="V880" s="121"/>
      <c r="W880" s="122"/>
      <c r="X880" s="63"/>
      <c r="Y880" s="63"/>
      <c r="Z880" s="63"/>
      <c r="AA880" s="63"/>
    </row>
    <row r="881" s="59" customFormat="1" ht="16.5" outlineLevel="7" spans="1:27">
      <c r="A881" s="79"/>
      <c r="B881" s="123" t="s">
        <v>193</v>
      </c>
      <c r="C881" s="124">
        <v>300021</v>
      </c>
      <c r="D881" s="125" t="s">
        <v>757</v>
      </c>
      <c r="E881" s="126">
        <v>44232</v>
      </c>
      <c r="F881" s="111">
        <v>60</v>
      </c>
      <c r="G881" s="127">
        <v>0.05</v>
      </c>
      <c r="H881" s="128">
        <v>929.2</v>
      </c>
      <c r="I881" s="113">
        <v>882.74</v>
      </c>
      <c r="J881" s="113">
        <v>0</v>
      </c>
      <c r="K881" s="114">
        <f t="shared" si="68"/>
        <v>46.46</v>
      </c>
      <c r="L881" s="128">
        <v>29.43</v>
      </c>
      <c r="M881" s="115"/>
      <c r="N881" s="116"/>
      <c r="O881" s="117">
        <f t="shared" si="69"/>
        <v>46081</v>
      </c>
      <c r="P881" s="118">
        <f t="shared" si="70"/>
        <v>2</v>
      </c>
      <c r="Q881" s="119">
        <f t="shared" si="71"/>
        <v>29.4246666666667</v>
      </c>
      <c r="R881" s="119">
        <f t="shared" si="72"/>
        <v>-0.00533333333333275</v>
      </c>
      <c r="S881" s="120" t="s">
        <v>106</v>
      </c>
      <c r="U881" s="67"/>
      <c r="V881" s="121"/>
      <c r="W881" s="122"/>
      <c r="X881" s="63"/>
      <c r="Y881" s="63"/>
      <c r="Z881" s="63"/>
      <c r="AA881" s="63"/>
    </row>
    <row r="882" s="59" customFormat="1" ht="16.5" outlineLevel="7" spans="1:27">
      <c r="A882" s="79"/>
      <c r="B882" s="123" t="s">
        <v>193</v>
      </c>
      <c r="C882" s="124">
        <v>300022</v>
      </c>
      <c r="D882" s="125" t="s">
        <v>395</v>
      </c>
      <c r="E882" s="126">
        <v>44232</v>
      </c>
      <c r="F882" s="111">
        <v>60</v>
      </c>
      <c r="G882" s="127">
        <v>0.05</v>
      </c>
      <c r="H882" s="128">
        <v>722.12</v>
      </c>
      <c r="I882" s="113">
        <v>686.01</v>
      </c>
      <c r="J882" s="113">
        <v>0</v>
      </c>
      <c r="K882" s="114">
        <f t="shared" si="68"/>
        <v>36.11</v>
      </c>
      <c r="L882" s="128">
        <v>22.87</v>
      </c>
      <c r="M882" s="115"/>
      <c r="N882" s="116"/>
      <c r="O882" s="117">
        <f t="shared" si="69"/>
        <v>46081</v>
      </c>
      <c r="P882" s="118">
        <f t="shared" si="70"/>
        <v>2</v>
      </c>
      <c r="Q882" s="119">
        <f t="shared" si="71"/>
        <v>22.8671333333333</v>
      </c>
      <c r="R882" s="119">
        <f t="shared" si="72"/>
        <v>-0.00286666666666591</v>
      </c>
      <c r="S882" s="120" t="s">
        <v>106</v>
      </c>
      <c r="U882" s="67"/>
      <c r="V882" s="121"/>
      <c r="W882" s="122"/>
      <c r="X882" s="63"/>
      <c r="Y882" s="63"/>
      <c r="Z882" s="63"/>
      <c r="AA882" s="63"/>
    </row>
    <row r="883" s="59" customFormat="1" ht="16.5" outlineLevel="7" spans="1:27">
      <c r="A883" s="79"/>
      <c r="B883" s="123" t="s">
        <v>193</v>
      </c>
      <c r="C883" s="124">
        <v>300023</v>
      </c>
      <c r="D883" s="125" t="s">
        <v>882</v>
      </c>
      <c r="E883" s="126">
        <v>44232</v>
      </c>
      <c r="F883" s="111">
        <v>60</v>
      </c>
      <c r="G883" s="127">
        <v>0.05</v>
      </c>
      <c r="H883" s="128">
        <v>3557.52</v>
      </c>
      <c r="I883" s="113">
        <v>3379.64</v>
      </c>
      <c r="J883" s="113">
        <v>0</v>
      </c>
      <c r="K883" s="114">
        <f t="shared" si="68"/>
        <v>177.88</v>
      </c>
      <c r="L883" s="128">
        <v>112.65</v>
      </c>
      <c r="M883" s="115"/>
      <c r="N883" s="116"/>
      <c r="O883" s="117">
        <f t="shared" si="69"/>
        <v>46081</v>
      </c>
      <c r="P883" s="118">
        <f t="shared" si="70"/>
        <v>2</v>
      </c>
      <c r="Q883" s="119">
        <f t="shared" si="71"/>
        <v>112.6548</v>
      </c>
      <c r="R883" s="119">
        <f t="shared" si="72"/>
        <v>0.00479999999998881</v>
      </c>
      <c r="S883" s="120" t="s">
        <v>106</v>
      </c>
      <c r="U883" s="67"/>
      <c r="V883" s="121"/>
      <c r="W883" s="122"/>
      <c r="X883" s="63"/>
      <c r="Y883" s="63"/>
      <c r="Z883" s="63"/>
      <c r="AA883" s="63"/>
    </row>
    <row r="884" s="59" customFormat="1" ht="16.5" outlineLevel="7" spans="1:27">
      <c r="A884" s="79"/>
      <c r="B884" s="123" t="s">
        <v>193</v>
      </c>
      <c r="C884" s="124">
        <v>300026</v>
      </c>
      <c r="D884" s="125" t="s">
        <v>757</v>
      </c>
      <c r="E884" s="126">
        <v>44232</v>
      </c>
      <c r="F884" s="111">
        <v>60</v>
      </c>
      <c r="G884" s="127">
        <v>0.05</v>
      </c>
      <c r="H884" s="128">
        <v>12654.87</v>
      </c>
      <c r="I884" s="113">
        <v>12022.13</v>
      </c>
      <c r="J884" s="113">
        <v>0</v>
      </c>
      <c r="K884" s="114">
        <f t="shared" si="68"/>
        <v>632.740000000002</v>
      </c>
      <c r="L884" s="128">
        <v>400.73</v>
      </c>
      <c r="M884" s="115"/>
      <c r="N884" s="116"/>
      <c r="O884" s="117">
        <f t="shared" si="69"/>
        <v>46081</v>
      </c>
      <c r="P884" s="118">
        <f t="shared" si="70"/>
        <v>2</v>
      </c>
      <c r="Q884" s="119">
        <f t="shared" si="71"/>
        <v>400.73755</v>
      </c>
      <c r="R884" s="119">
        <f t="shared" si="72"/>
        <v>0.00754999999998063</v>
      </c>
      <c r="S884" s="120" t="s">
        <v>106</v>
      </c>
      <c r="U884" s="67"/>
      <c r="V884" s="121"/>
      <c r="W884" s="122"/>
      <c r="X884" s="63"/>
      <c r="Y884" s="63"/>
      <c r="Z884" s="63"/>
      <c r="AA884" s="63"/>
    </row>
    <row r="885" s="59" customFormat="1" ht="16.5" outlineLevel="7" spans="1:27">
      <c r="A885" s="79"/>
      <c r="B885" s="107" t="s">
        <v>193</v>
      </c>
      <c r="C885" s="108">
        <v>300027</v>
      </c>
      <c r="D885" s="109" t="s">
        <v>883</v>
      </c>
      <c r="E885" s="110">
        <v>44232</v>
      </c>
      <c r="F885" s="111">
        <v>60</v>
      </c>
      <c r="G885" s="112">
        <v>0.05</v>
      </c>
      <c r="H885" s="113">
        <v>1254.87</v>
      </c>
      <c r="I885" s="113">
        <v>1192.13</v>
      </c>
      <c r="J885" s="113">
        <v>0</v>
      </c>
      <c r="K885" s="114">
        <f t="shared" si="68"/>
        <v>62.7399999999998</v>
      </c>
      <c r="L885" s="113">
        <v>39.73</v>
      </c>
      <c r="M885" s="115"/>
      <c r="N885" s="116"/>
      <c r="O885" s="117">
        <f t="shared" si="69"/>
        <v>46081</v>
      </c>
      <c r="P885" s="118">
        <f t="shared" si="70"/>
        <v>2</v>
      </c>
      <c r="Q885" s="119">
        <f t="shared" si="71"/>
        <v>39.73755</v>
      </c>
      <c r="R885" s="119">
        <f t="shared" si="72"/>
        <v>0.00754999999999484</v>
      </c>
      <c r="S885" s="120" t="s">
        <v>106</v>
      </c>
      <c r="U885" s="67"/>
      <c r="V885" s="121"/>
      <c r="W885" s="122"/>
      <c r="X885" s="63"/>
      <c r="Y885" s="63"/>
      <c r="Z885" s="63"/>
      <c r="AA885" s="63"/>
    </row>
    <row r="886" s="59" customFormat="1" ht="16.5" outlineLevel="7" spans="1:27">
      <c r="A886" s="79"/>
      <c r="B886" s="107" t="s">
        <v>193</v>
      </c>
      <c r="C886" s="108">
        <v>300028</v>
      </c>
      <c r="D886" s="109" t="s">
        <v>395</v>
      </c>
      <c r="E886" s="110">
        <v>44232</v>
      </c>
      <c r="F886" s="111">
        <v>60</v>
      </c>
      <c r="G886" s="112">
        <v>0.05</v>
      </c>
      <c r="H886" s="113">
        <v>2888.5</v>
      </c>
      <c r="I886" s="113">
        <v>2744.07</v>
      </c>
      <c r="J886" s="113">
        <v>0</v>
      </c>
      <c r="K886" s="114">
        <f t="shared" si="68"/>
        <v>144.43</v>
      </c>
      <c r="L886" s="113">
        <v>91.47</v>
      </c>
      <c r="M886" s="115"/>
      <c r="N886" s="116"/>
      <c r="O886" s="117">
        <f t="shared" si="69"/>
        <v>46081</v>
      </c>
      <c r="P886" s="118">
        <f t="shared" si="70"/>
        <v>2</v>
      </c>
      <c r="Q886" s="119">
        <f t="shared" si="71"/>
        <v>91.4691666666667</v>
      </c>
      <c r="R886" s="119">
        <f t="shared" si="72"/>
        <v>-0.000833333333332575</v>
      </c>
      <c r="S886" s="120" t="s">
        <v>106</v>
      </c>
      <c r="U886" s="67"/>
      <c r="V886" s="121"/>
      <c r="W886" s="122"/>
      <c r="X886" s="63"/>
      <c r="Y886" s="63"/>
      <c r="Z886" s="63"/>
      <c r="AA886" s="63"/>
    </row>
    <row r="887" s="59" customFormat="1" ht="16.5" outlineLevel="7" spans="1:27">
      <c r="A887" s="79"/>
      <c r="B887" s="123" t="s">
        <v>193</v>
      </c>
      <c r="C887" s="124">
        <v>300030</v>
      </c>
      <c r="D887" s="125" t="s">
        <v>755</v>
      </c>
      <c r="E887" s="126">
        <v>44256</v>
      </c>
      <c r="F887" s="111">
        <v>60</v>
      </c>
      <c r="G887" s="127">
        <v>0.05</v>
      </c>
      <c r="H887" s="128">
        <v>1700</v>
      </c>
      <c r="I887" s="113">
        <v>1615</v>
      </c>
      <c r="J887" s="113">
        <v>0</v>
      </c>
      <c r="K887" s="114">
        <f t="shared" si="68"/>
        <v>85</v>
      </c>
      <c r="L887" s="128">
        <v>80.74</v>
      </c>
      <c r="M887" s="115"/>
      <c r="N887" s="116"/>
      <c r="O887" s="117">
        <f t="shared" si="69"/>
        <v>46112</v>
      </c>
      <c r="P887" s="118">
        <f t="shared" si="70"/>
        <v>3</v>
      </c>
      <c r="Q887" s="119">
        <f t="shared" si="71"/>
        <v>80.75</v>
      </c>
      <c r="R887" s="119">
        <f t="shared" si="72"/>
        <v>0.0100000000000051</v>
      </c>
      <c r="S887" s="120" t="s">
        <v>106</v>
      </c>
      <c r="U887" s="67"/>
      <c r="V887" s="121"/>
      <c r="W887" s="122"/>
      <c r="X887" s="63"/>
      <c r="Y887" s="63"/>
      <c r="Z887" s="63"/>
      <c r="AA887" s="63"/>
    </row>
    <row r="888" s="59" customFormat="1" ht="16.5" outlineLevel="7" spans="1:27">
      <c r="A888" s="79"/>
      <c r="B888" s="123" t="s">
        <v>193</v>
      </c>
      <c r="C888" s="124">
        <v>300032</v>
      </c>
      <c r="D888" s="125" t="s">
        <v>757</v>
      </c>
      <c r="E888" s="126">
        <v>44294</v>
      </c>
      <c r="F888" s="111">
        <v>60</v>
      </c>
      <c r="G888" s="127">
        <v>0.05</v>
      </c>
      <c r="H888" s="128">
        <v>2866.73</v>
      </c>
      <c r="I888" s="113">
        <v>2723.39</v>
      </c>
      <c r="J888" s="113">
        <v>0</v>
      </c>
      <c r="K888" s="114">
        <f t="shared" si="68"/>
        <v>143.34</v>
      </c>
      <c r="L888" s="128">
        <v>181.55</v>
      </c>
      <c r="M888" s="115"/>
      <c r="N888" s="116"/>
      <c r="O888" s="117">
        <f t="shared" si="69"/>
        <v>46142</v>
      </c>
      <c r="P888" s="118">
        <f t="shared" si="70"/>
        <v>4</v>
      </c>
      <c r="Q888" s="119">
        <f t="shared" si="71"/>
        <v>181.559566666667</v>
      </c>
      <c r="R888" s="119">
        <f t="shared" si="72"/>
        <v>0.00956666666664319</v>
      </c>
      <c r="S888" s="120" t="s">
        <v>106</v>
      </c>
      <c r="U888" s="67"/>
      <c r="V888" s="121"/>
      <c r="W888" s="122"/>
      <c r="X888" s="63"/>
      <c r="Y888" s="63"/>
      <c r="Z888" s="63"/>
      <c r="AA888" s="63"/>
    </row>
    <row r="889" s="59" customFormat="1" ht="16.5" outlineLevel="7" spans="1:27">
      <c r="A889" s="79"/>
      <c r="B889" s="123" t="s">
        <v>193</v>
      </c>
      <c r="C889" s="124">
        <v>300033</v>
      </c>
      <c r="D889" s="125" t="s">
        <v>882</v>
      </c>
      <c r="E889" s="126">
        <v>44294</v>
      </c>
      <c r="F889" s="111">
        <v>60</v>
      </c>
      <c r="G889" s="127">
        <v>0.05</v>
      </c>
      <c r="H889" s="128">
        <v>1394.78</v>
      </c>
      <c r="I889" s="113">
        <v>1325.04</v>
      </c>
      <c r="J889" s="113">
        <v>0</v>
      </c>
      <c r="K889" s="114">
        <f t="shared" si="68"/>
        <v>69.74</v>
      </c>
      <c r="L889" s="128">
        <v>88.34</v>
      </c>
      <c r="M889" s="115"/>
      <c r="N889" s="116"/>
      <c r="O889" s="117">
        <f t="shared" si="69"/>
        <v>46142</v>
      </c>
      <c r="P889" s="118">
        <f t="shared" si="70"/>
        <v>4</v>
      </c>
      <c r="Q889" s="119">
        <f t="shared" si="71"/>
        <v>88.3360666666667</v>
      </c>
      <c r="R889" s="119">
        <f t="shared" si="72"/>
        <v>-0.00393333333333601</v>
      </c>
      <c r="S889" s="120" t="s">
        <v>106</v>
      </c>
      <c r="U889" s="67"/>
      <c r="V889" s="121"/>
      <c r="W889" s="122"/>
      <c r="X889" s="63"/>
      <c r="Y889" s="63"/>
      <c r="Z889" s="63"/>
      <c r="AA889" s="63"/>
    </row>
    <row r="890" s="59" customFormat="1" ht="16.5" outlineLevel="7" spans="1:27">
      <c r="A890" s="79"/>
      <c r="B890" s="123" t="s">
        <v>193</v>
      </c>
      <c r="C890" s="124">
        <v>300034</v>
      </c>
      <c r="D890" s="125" t="s">
        <v>882</v>
      </c>
      <c r="E890" s="126">
        <v>44294</v>
      </c>
      <c r="F890" s="111">
        <v>60</v>
      </c>
      <c r="G890" s="127">
        <v>0.05</v>
      </c>
      <c r="H890" s="128">
        <v>1289.53</v>
      </c>
      <c r="I890" s="113">
        <v>1225.05</v>
      </c>
      <c r="J890" s="113">
        <v>0</v>
      </c>
      <c r="K890" s="114">
        <f t="shared" si="68"/>
        <v>64.48</v>
      </c>
      <c r="L890" s="128">
        <v>81.66</v>
      </c>
      <c r="M890" s="115"/>
      <c r="N890" s="116"/>
      <c r="O890" s="117">
        <f t="shared" si="69"/>
        <v>46142</v>
      </c>
      <c r="P890" s="118">
        <f t="shared" si="70"/>
        <v>4</v>
      </c>
      <c r="Q890" s="119">
        <f t="shared" si="71"/>
        <v>81.6702333333333</v>
      </c>
      <c r="R890" s="119">
        <f t="shared" si="72"/>
        <v>0.010233333333332</v>
      </c>
      <c r="S890" s="120" t="s">
        <v>106</v>
      </c>
      <c r="U890" s="67"/>
      <c r="V890" s="121"/>
      <c r="W890" s="122"/>
      <c r="X890" s="63"/>
      <c r="Y890" s="63"/>
      <c r="Z890" s="63"/>
      <c r="AA890" s="63"/>
    </row>
    <row r="891" s="59" customFormat="1" ht="16.5" outlineLevel="7" spans="1:27">
      <c r="A891" s="79"/>
      <c r="B891" s="123" t="s">
        <v>193</v>
      </c>
      <c r="C891" s="124">
        <v>300037</v>
      </c>
      <c r="D891" s="125" t="s">
        <v>377</v>
      </c>
      <c r="E891" s="126">
        <v>44536</v>
      </c>
      <c r="F891" s="111">
        <v>60</v>
      </c>
      <c r="G891" s="127">
        <v>0.05</v>
      </c>
      <c r="H891" s="128">
        <v>4389.38</v>
      </c>
      <c r="I891" s="113">
        <v>3613.95</v>
      </c>
      <c r="J891" s="113">
        <v>0</v>
      </c>
      <c r="K891" s="114">
        <f t="shared" si="68"/>
        <v>775.43</v>
      </c>
      <c r="L891" s="128">
        <v>277.98</v>
      </c>
      <c r="M891" s="115"/>
      <c r="N891" s="116"/>
      <c r="O891" s="117">
        <f t="shared" si="69"/>
        <v>46387</v>
      </c>
      <c r="P891" s="118">
        <f t="shared" si="70"/>
        <v>4</v>
      </c>
      <c r="Q891" s="119">
        <f t="shared" si="71"/>
        <v>277.994066666667</v>
      </c>
      <c r="R891" s="119">
        <f t="shared" si="72"/>
        <v>0.0140666666666789</v>
      </c>
      <c r="S891" s="120" t="s">
        <v>106</v>
      </c>
      <c r="U891" s="67"/>
      <c r="V891" s="121"/>
      <c r="W891" s="122"/>
      <c r="X891" s="63"/>
      <c r="Y891" s="63"/>
      <c r="Z891" s="63"/>
      <c r="AA891" s="63"/>
    </row>
    <row r="892" s="59" customFormat="1" ht="16.5" outlineLevel="7" spans="1:27">
      <c r="A892" s="79"/>
      <c r="B892" s="107" t="s">
        <v>193</v>
      </c>
      <c r="C892" s="108">
        <v>300038</v>
      </c>
      <c r="D892" s="109" t="s">
        <v>884</v>
      </c>
      <c r="E892" s="110">
        <v>44536</v>
      </c>
      <c r="F892" s="111">
        <v>60</v>
      </c>
      <c r="G892" s="112">
        <v>0.05</v>
      </c>
      <c r="H892" s="113">
        <v>11160.18</v>
      </c>
      <c r="I892" s="113">
        <v>9188.53</v>
      </c>
      <c r="J892" s="113">
        <v>0</v>
      </c>
      <c r="K892" s="114">
        <f t="shared" si="68"/>
        <v>1971.65</v>
      </c>
      <c r="L892" s="113">
        <v>706.82</v>
      </c>
      <c r="M892" s="115"/>
      <c r="N892" s="116"/>
      <c r="O892" s="117">
        <f t="shared" si="69"/>
        <v>46387</v>
      </c>
      <c r="P892" s="118">
        <f t="shared" si="70"/>
        <v>4</v>
      </c>
      <c r="Q892" s="119">
        <f t="shared" si="71"/>
        <v>706.8114</v>
      </c>
      <c r="R892" s="119">
        <f t="shared" si="72"/>
        <v>-0.00860000000000127</v>
      </c>
      <c r="S892" s="120" t="s">
        <v>106</v>
      </c>
      <c r="U892" s="67"/>
      <c r="V892" s="121"/>
      <c r="W892" s="122"/>
      <c r="X892" s="63"/>
      <c r="Y892" s="63"/>
      <c r="Z892" s="63"/>
      <c r="AA892" s="63"/>
    </row>
    <row r="893" s="59" customFormat="1" ht="16.5" outlineLevel="7" spans="1:27">
      <c r="A893" s="79"/>
      <c r="B893" s="107" t="s">
        <v>193</v>
      </c>
      <c r="C893" s="108">
        <v>300039</v>
      </c>
      <c r="D893" s="109" t="s">
        <v>885</v>
      </c>
      <c r="E893" s="110">
        <v>44536</v>
      </c>
      <c r="F893" s="111">
        <v>60</v>
      </c>
      <c r="G893" s="112">
        <v>0.05</v>
      </c>
      <c r="H893" s="113">
        <v>1561.06</v>
      </c>
      <c r="I893" s="113">
        <v>1285.29</v>
      </c>
      <c r="J893" s="113">
        <v>0</v>
      </c>
      <c r="K893" s="114">
        <f t="shared" si="68"/>
        <v>275.77</v>
      </c>
      <c r="L893" s="113">
        <v>98.86</v>
      </c>
      <c r="M893" s="115"/>
      <c r="N893" s="116"/>
      <c r="O893" s="117">
        <f t="shared" si="69"/>
        <v>46387</v>
      </c>
      <c r="P893" s="118">
        <f t="shared" si="70"/>
        <v>4</v>
      </c>
      <c r="Q893" s="119">
        <f t="shared" si="71"/>
        <v>98.8671333333333</v>
      </c>
      <c r="R893" s="119">
        <f t="shared" si="72"/>
        <v>0.00713333333332855</v>
      </c>
      <c r="S893" s="120" t="s">
        <v>106</v>
      </c>
      <c r="U893" s="67"/>
      <c r="V893" s="121"/>
      <c r="W893" s="122"/>
      <c r="X893" s="63"/>
      <c r="Y893" s="63"/>
      <c r="Z893" s="63"/>
      <c r="AA893" s="63"/>
    </row>
    <row r="894" s="59" customFormat="1" ht="16.5" outlineLevel="7" spans="1:27">
      <c r="A894" s="79"/>
      <c r="B894" s="123" t="s">
        <v>193</v>
      </c>
      <c r="C894" s="124">
        <v>300040</v>
      </c>
      <c r="D894" s="125" t="s">
        <v>886</v>
      </c>
      <c r="E894" s="126">
        <v>44536</v>
      </c>
      <c r="F894" s="111">
        <v>60</v>
      </c>
      <c r="G894" s="127">
        <v>0.05</v>
      </c>
      <c r="H894" s="128">
        <v>1150.44</v>
      </c>
      <c r="I894" s="113">
        <v>947.2</v>
      </c>
      <c r="J894" s="113">
        <v>0</v>
      </c>
      <c r="K894" s="114">
        <f t="shared" si="68"/>
        <v>203.24</v>
      </c>
      <c r="L894" s="128">
        <v>72.86</v>
      </c>
      <c r="M894" s="115"/>
      <c r="N894" s="116"/>
      <c r="O894" s="117">
        <f t="shared" si="69"/>
        <v>46387</v>
      </c>
      <c r="P894" s="118">
        <f t="shared" si="70"/>
        <v>4</v>
      </c>
      <c r="Q894" s="119">
        <f t="shared" si="71"/>
        <v>72.8612</v>
      </c>
      <c r="R894" s="119">
        <f t="shared" si="72"/>
        <v>0.0011999999999972</v>
      </c>
      <c r="S894" s="120" t="s">
        <v>106</v>
      </c>
      <c r="U894" s="67"/>
      <c r="V894" s="121"/>
      <c r="W894" s="122"/>
      <c r="X894" s="63"/>
      <c r="Y894" s="63"/>
      <c r="Z894" s="63"/>
      <c r="AA894" s="63"/>
    </row>
    <row r="895" s="59" customFormat="1" ht="16.5" outlineLevel="7" spans="1:27">
      <c r="A895" s="79"/>
      <c r="B895" s="123" t="s">
        <v>193</v>
      </c>
      <c r="C895" s="124">
        <v>300041</v>
      </c>
      <c r="D895" s="125" t="s">
        <v>887</v>
      </c>
      <c r="E895" s="126">
        <v>44536</v>
      </c>
      <c r="F895" s="111">
        <v>60</v>
      </c>
      <c r="G895" s="127">
        <v>0.05</v>
      </c>
      <c r="H895" s="128">
        <v>1663.72</v>
      </c>
      <c r="I895" s="113">
        <v>1369.77</v>
      </c>
      <c r="J895" s="113">
        <v>0</v>
      </c>
      <c r="K895" s="114">
        <f t="shared" si="68"/>
        <v>293.95</v>
      </c>
      <c r="L895" s="128">
        <v>105.38</v>
      </c>
      <c r="M895" s="115"/>
      <c r="N895" s="116"/>
      <c r="O895" s="117">
        <f t="shared" si="69"/>
        <v>46387</v>
      </c>
      <c r="P895" s="118">
        <f t="shared" si="70"/>
        <v>4</v>
      </c>
      <c r="Q895" s="119">
        <f t="shared" si="71"/>
        <v>105.368933333333</v>
      </c>
      <c r="R895" s="119">
        <f t="shared" si="72"/>
        <v>-0.0110666666666646</v>
      </c>
      <c r="S895" s="120" t="s">
        <v>106</v>
      </c>
      <c r="U895" s="67"/>
      <c r="V895" s="121"/>
      <c r="W895" s="122"/>
      <c r="X895" s="63"/>
      <c r="Y895" s="63"/>
      <c r="Z895" s="63"/>
      <c r="AA895" s="63"/>
    </row>
    <row r="896" s="59" customFormat="1" ht="16.5" outlineLevel="7" spans="1:27">
      <c r="A896" s="79"/>
      <c r="B896" s="123" t="s">
        <v>193</v>
      </c>
      <c r="C896" s="124">
        <v>300042</v>
      </c>
      <c r="D896" s="125" t="s">
        <v>888</v>
      </c>
      <c r="E896" s="126">
        <v>44536</v>
      </c>
      <c r="F896" s="111">
        <v>60</v>
      </c>
      <c r="G896" s="127">
        <v>0.05</v>
      </c>
      <c r="H896" s="128">
        <v>4814.16</v>
      </c>
      <c r="I896" s="113">
        <v>3963.65</v>
      </c>
      <c r="J896" s="113">
        <v>0</v>
      </c>
      <c r="K896" s="114">
        <f t="shared" si="68"/>
        <v>850.51</v>
      </c>
      <c r="L896" s="128">
        <v>304.9</v>
      </c>
      <c r="M896" s="115"/>
      <c r="N896" s="116"/>
      <c r="O896" s="117">
        <f t="shared" si="69"/>
        <v>46387</v>
      </c>
      <c r="P896" s="118">
        <f t="shared" si="70"/>
        <v>4</v>
      </c>
      <c r="Q896" s="119">
        <f t="shared" si="71"/>
        <v>304.8968</v>
      </c>
      <c r="R896" s="119">
        <f t="shared" si="72"/>
        <v>-0.00320000000004939</v>
      </c>
      <c r="S896" s="120" t="s">
        <v>106</v>
      </c>
      <c r="U896" s="67"/>
      <c r="V896" s="121"/>
      <c r="W896" s="122"/>
      <c r="X896" s="63"/>
      <c r="Y896" s="63"/>
      <c r="Z896" s="63"/>
      <c r="AA896" s="63"/>
    </row>
    <row r="897" s="59" customFormat="1" ht="16.5" outlineLevel="7" spans="1:27">
      <c r="A897" s="79"/>
      <c r="B897" s="123" t="s">
        <v>193</v>
      </c>
      <c r="C897" s="124">
        <v>300043</v>
      </c>
      <c r="D897" s="125" t="s">
        <v>889</v>
      </c>
      <c r="E897" s="126">
        <v>44536</v>
      </c>
      <c r="F897" s="111">
        <v>60</v>
      </c>
      <c r="G897" s="127">
        <v>0.05</v>
      </c>
      <c r="H897" s="128">
        <v>1592.92</v>
      </c>
      <c r="I897" s="113">
        <v>1311.47</v>
      </c>
      <c r="J897" s="113">
        <v>0</v>
      </c>
      <c r="K897" s="114">
        <f t="shared" si="68"/>
        <v>281.45</v>
      </c>
      <c r="L897" s="128">
        <v>100.9</v>
      </c>
      <c r="M897" s="115"/>
      <c r="N897" s="116"/>
      <c r="O897" s="117">
        <f t="shared" si="69"/>
        <v>46387</v>
      </c>
      <c r="P897" s="118">
        <f t="shared" si="70"/>
        <v>4</v>
      </c>
      <c r="Q897" s="119">
        <f t="shared" si="71"/>
        <v>100.884933333333</v>
      </c>
      <c r="R897" s="119">
        <f t="shared" si="72"/>
        <v>-0.0150666666666837</v>
      </c>
      <c r="S897" s="120" t="s">
        <v>106</v>
      </c>
      <c r="U897" s="67"/>
      <c r="V897" s="121"/>
      <c r="W897" s="122"/>
      <c r="X897" s="63"/>
      <c r="Y897" s="63"/>
      <c r="Z897" s="63"/>
      <c r="AA897" s="63"/>
    </row>
    <row r="898" s="59" customFormat="1" ht="16.5" outlineLevel="7" spans="1:27">
      <c r="A898" s="79"/>
      <c r="B898" s="123" t="s">
        <v>193</v>
      </c>
      <c r="C898" s="124">
        <v>300044</v>
      </c>
      <c r="D898" s="125" t="s">
        <v>890</v>
      </c>
      <c r="E898" s="126">
        <v>44536</v>
      </c>
      <c r="F898" s="111">
        <v>60</v>
      </c>
      <c r="G898" s="127">
        <v>0.05</v>
      </c>
      <c r="H898" s="128">
        <v>3369.91</v>
      </c>
      <c r="I898" s="113">
        <v>2774.57</v>
      </c>
      <c r="J898" s="113">
        <v>0</v>
      </c>
      <c r="K898" s="114">
        <f t="shared" si="68"/>
        <v>595.34</v>
      </c>
      <c r="L898" s="128">
        <v>213.42</v>
      </c>
      <c r="M898" s="115"/>
      <c r="N898" s="116"/>
      <c r="O898" s="117">
        <f t="shared" si="69"/>
        <v>46387</v>
      </c>
      <c r="P898" s="118">
        <f t="shared" si="70"/>
        <v>4</v>
      </c>
      <c r="Q898" s="119">
        <f t="shared" si="71"/>
        <v>213.427633333333</v>
      </c>
      <c r="R898" s="119">
        <f t="shared" si="72"/>
        <v>0.00763333333333094</v>
      </c>
      <c r="S898" s="120" t="s">
        <v>106</v>
      </c>
      <c r="U898" s="67"/>
      <c r="V898" s="121"/>
      <c r="W898" s="122"/>
      <c r="X898" s="63"/>
      <c r="Y898" s="63"/>
      <c r="Z898" s="63"/>
      <c r="AA898" s="63"/>
    </row>
    <row r="899" s="59" customFormat="1" ht="16.5" outlineLevel="7" spans="1:27">
      <c r="A899" s="79"/>
      <c r="B899" s="107" t="s">
        <v>193</v>
      </c>
      <c r="C899" s="108">
        <v>300045</v>
      </c>
      <c r="D899" s="109" t="s">
        <v>887</v>
      </c>
      <c r="E899" s="110">
        <v>44536</v>
      </c>
      <c r="F899" s="111">
        <v>60</v>
      </c>
      <c r="G899" s="112">
        <v>0.05</v>
      </c>
      <c r="H899" s="113">
        <v>1592.92</v>
      </c>
      <c r="I899" s="113">
        <v>1311.47</v>
      </c>
      <c r="J899" s="113">
        <v>0</v>
      </c>
      <c r="K899" s="114">
        <f t="shared" si="68"/>
        <v>281.45</v>
      </c>
      <c r="L899" s="113">
        <v>100.9</v>
      </c>
      <c r="M899" s="115"/>
      <c r="N899" s="116"/>
      <c r="O899" s="117">
        <f t="shared" si="69"/>
        <v>46387</v>
      </c>
      <c r="P899" s="118">
        <f t="shared" si="70"/>
        <v>4</v>
      </c>
      <c r="Q899" s="119">
        <f t="shared" si="71"/>
        <v>100.884933333333</v>
      </c>
      <c r="R899" s="119">
        <f t="shared" si="72"/>
        <v>-0.0150666666666837</v>
      </c>
      <c r="S899" s="120" t="s">
        <v>106</v>
      </c>
      <c r="U899" s="67"/>
      <c r="V899" s="121"/>
      <c r="W899" s="122"/>
      <c r="X899" s="63"/>
      <c r="Y899" s="63"/>
      <c r="Z899" s="63"/>
      <c r="AA899" s="63"/>
    </row>
    <row r="900" s="59" customFormat="1" ht="16.5" outlineLevel="7" spans="1:27">
      <c r="A900" s="79"/>
      <c r="B900" s="107" t="s">
        <v>193</v>
      </c>
      <c r="C900" s="108">
        <v>300046</v>
      </c>
      <c r="D900" s="109" t="s">
        <v>891</v>
      </c>
      <c r="E900" s="110">
        <v>44536</v>
      </c>
      <c r="F900" s="111">
        <v>60</v>
      </c>
      <c r="G900" s="112">
        <v>0.05</v>
      </c>
      <c r="H900" s="113">
        <v>6902.66</v>
      </c>
      <c r="I900" s="113">
        <v>5683.17</v>
      </c>
      <c r="J900" s="113">
        <v>0</v>
      </c>
      <c r="K900" s="114">
        <f t="shared" si="68"/>
        <v>1219.49</v>
      </c>
      <c r="L900" s="113">
        <v>437.18</v>
      </c>
      <c r="M900" s="115"/>
      <c r="N900" s="116"/>
      <c r="O900" s="117">
        <f t="shared" si="69"/>
        <v>46387</v>
      </c>
      <c r="P900" s="118">
        <f t="shared" si="70"/>
        <v>4</v>
      </c>
      <c r="Q900" s="119">
        <f t="shared" si="71"/>
        <v>437.168466666667</v>
      </c>
      <c r="R900" s="119">
        <f t="shared" si="72"/>
        <v>-0.0115333333333751</v>
      </c>
      <c r="S900" s="120" t="s">
        <v>106</v>
      </c>
      <c r="U900" s="67"/>
      <c r="V900" s="121"/>
      <c r="W900" s="122"/>
      <c r="X900" s="63"/>
      <c r="Y900" s="63"/>
      <c r="Z900" s="63"/>
      <c r="AA900" s="63"/>
    </row>
    <row r="901" s="59" customFormat="1" ht="16.5" outlineLevel="7" spans="1:27">
      <c r="A901" s="79"/>
      <c r="B901" s="123" t="s">
        <v>193</v>
      </c>
      <c r="C901" s="124">
        <v>300047</v>
      </c>
      <c r="D901" s="125" t="s">
        <v>892</v>
      </c>
      <c r="E901" s="126">
        <v>44536</v>
      </c>
      <c r="F901" s="111">
        <v>60</v>
      </c>
      <c r="G901" s="127">
        <v>0.05</v>
      </c>
      <c r="H901" s="128">
        <v>1592.92</v>
      </c>
      <c r="I901" s="113">
        <v>1311.47</v>
      </c>
      <c r="J901" s="113">
        <v>0</v>
      </c>
      <c r="K901" s="114">
        <f t="shared" si="68"/>
        <v>281.45</v>
      </c>
      <c r="L901" s="128">
        <v>100.9</v>
      </c>
      <c r="M901" s="115"/>
      <c r="N901" s="116"/>
      <c r="O901" s="117">
        <f t="shared" si="69"/>
        <v>46387</v>
      </c>
      <c r="P901" s="118">
        <f t="shared" si="70"/>
        <v>4</v>
      </c>
      <c r="Q901" s="119">
        <f t="shared" si="71"/>
        <v>100.884933333333</v>
      </c>
      <c r="R901" s="119">
        <f t="shared" si="72"/>
        <v>-0.0150666666666837</v>
      </c>
      <c r="S901" s="120" t="s">
        <v>106</v>
      </c>
      <c r="U901" s="67"/>
      <c r="V901" s="121"/>
      <c r="W901" s="122"/>
      <c r="X901" s="63"/>
      <c r="Y901" s="63"/>
      <c r="Z901" s="63"/>
      <c r="AA901" s="63"/>
    </row>
    <row r="902" s="59" customFormat="1" ht="16.5" outlineLevel="7" spans="1:27">
      <c r="A902" s="79"/>
      <c r="B902" s="123" t="s">
        <v>193</v>
      </c>
      <c r="C902" s="124">
        <v>300048</v>
      </c>
      <c r="D902" s="125" t="s">
        <v>893</v>
      </c>
      <c r="E902" s="126">
        <v>44536</v>
      </c>
      <c r="F902" s="111">
        <v>60</v>
      </c>
      <c r="G902" s="127">
        <v>0.05</v>
      </c>
      <c r="H902" s="128">
        <v>1212.39</v>
      </c>
      <c r="I902" s="113">
        <v>998.21</v>
      </c>
      <c r="J902" s="113">
        <v>0</v>
      </c>
      <c r="K902" s="114">
        <f t="shared" si="68"/>
        <v>214.18</v>
      </c>
      <c r="L902" s="128">
        <v>76.78</v>
      </c>
      <c r="M902" s="115"/>
      <c r="N902" s="116"/>
      <c r="O902" s="117">
        <f t="shared" si="69"/>
        <v>46387</v>
      </c>
      <c r="P902" s="118">
        <f t="shared" si="70"/>
        <v>4</v>
      </c>
      <c r="Q902" s="119">
        <f t="shared" si="71"/>
        <v>76.7847</v>
      </c>
      <c r="R902" s="119">
        <f t="shared" si="72"/>
        <v>0.0046999999999997</v>
      </c>
      <c r="S902" s="120" t="s">
        <v>106</v>
      </c>
      <c r="U902" s="67"/>
      <c r="V902" s="121"/>
      <c r="W902" s="122"/>
      <c r="X902" s="63"/>
      <c r="Y902" s="63"/>
      <c r="Z902" s="63"/>
      <c r="AA902" s="63"/>
    </row>
    <row r="903" s="59" customFormat="1" ht="16.5" outlineLevel="7" spans="1:27">
      <c r="A903" s="79"/>
      <c r="B903" s="123" t="s">
        <v>193</v>
      </c>
      <c r="C903" s="124">
        <v>300049</v>
      </c>
      <c r="D903" s="125" t="s">
        <v>894</v>
      </c>
      <c r="E903" s="126">
        <v>44536</v>
      </c>
      <c r="F903" s="111">
        <v>60</v>
      </c>
      <c r="G903" s="127">
        <v>0.05</v>
      </c>
      <c r="H903" s="128">
        <v>8580.53</v>
      </c>
      <c r="I903" s="113">
        <v>7064.66</v>
      </c>
      <c r="J903" s="113">
        <v>0</v>
      </c>
      <c r="K903" s="114">
        <f t="shared" si="68"/>
        <v>1515.87</v>
      </c>
      <c r="L903" s="128">
        <v>543.42</v>
      </c>
      <c r="M903" s="115"/>
      <c r="N903" s="116"/>
      <c r="O903" s="117">
        <f t="shared" si="69"/>
        <v>46387</v>
      </c>
      <c r="P903" s="118">
        <f t="shared" si="70"/>
        <v>4</v>
      </c>
      <c r="Q903" s="119">
        <f t="shared" si="71"/>
        <v>543.433566666667</v>
      </c>
      <c r="R903" s="119">
        <f t="shared" si="72"/>
        <v>0.0135666666667476</v>
      </c>
      <c r="S903" s="120" t="s">
        <v>106</v>
      </c>
      <c r="U903" s="67"/>
      <c r="V903" s="121"/>
      <c r="W903" s="122"/>
      <c r="X903" s="63"/>
      <c r="Y903" s="63"/>
      <c r="Z903" s="63"/>
      <c r="AA903" s="63"/>
    </row>
    <row r="904" s="59" customFormat="1" ht="16.5" outlineLevel="7" spans="1:27">
      <c r="A904" s="79"/>
      <c r="B904" s="123" t="s">
        <v>193</v>
      </c>
      <c r="C904" s="124">
        <v>300050</v>
      </c>
      <c r="D904" s="125" t="s">
        <v>386</v>
      </c>
      <c r="E904" s="126">
        <v>44536</v>
      </c>
      <c r="F904" s="111">
        <v>60</v>
      </c>
      <c r="G904" s="127">
        <v>0.05</v>
      </c>
      <c r="H904" s="128">
        <v>6437.17</v>
      </c>
      <c r="I904" s="113">
        <v>5299.91</v>
      </c>
      <c r="J904" s="113">
        <v>0</v>
      </c>
      <c r="K904" s="114">
        <f t="shared" si="68"/>
        <v>1137.26</v>
      </c>
      <c r="L904" s="128">
        <v>407.7</v>
      </c>
      <c r="M904" s="115"/>
      <c r="N904" s="116"/>
      <c r="O904" s="117">
        <f t="shared" si="69"/>
        <v>46387</v>
      </c>
      <c r="P904" s="118">
        <f t="shared" si="70"/>
        <v>4</v>
      </c>
      <c r="Q904" s="119">
        <f t="shared" si="71"/>
        <v>407.687433333333</v>
      </c>
      <c r="R904" s="119">
        <f t="shared" si="72"/>
        <v>-0.0125666666666575</v>
      </c>
      <c r="S904" s="120" t="s">
        <v>106</v>
      </c>
      <c r="U904" s="67"/>
      <c r="V904" s="121"/>
      <c r="W904" s="122"/>
      <c r="X904" s="63"/>
      <c r="Y904" s="63"/>
      <c r="Z904" s="63"/>
      <c r="AA904" s="63"/>
    </row>
    <row r="905" s="59" customFormat="1" ht="16.5" outlineLevel="7" spans="1:27">
      <c r="A905" s="79"/>
      <c r="B905" s="123" t="s">
        <v>193</v>
      </c>
      <c r="C905" s="124">
        <v>300051</v>
      </c>
      <c r="D905" s="125" t="s">
        <v>398</v>
      </c>
      <c r="E905" s="126">
        <v>44536</v>
      </c>
      <c r="F905" s="111">
        <v>60</v>
      </c>
      <c r="G905" s="127">
        <v>0.05</v>
      </c>
      <c r="H905" s="128">
        <v>2943.36</v>
      </c>
      <c r="I905" s="113">
        <v>2423.35</v>
      </c>
      <c r="J905" s="113">
        <v>0</v>
      </c>
      <c r="K905" s="114">
        <f t="shared" ref="K905:K934" si="73">H905-I905-J905</f>
        <v>520.01</v>
      </c>
      <c r="L905" s="128">
        <v>186.42</v>
      </c>
      <c r="M905" s="115"/>
      <c r="N905" s="116"/>
      <c r="O905" s="117">
        <f t="shared" ref="O905:O968" si="74">IFERROR(EOMONTH(E905,F905),"")</f>
        <v>46387</v>
      </c>
      <c r="P905" s="118">
        <f t="shared" ref="P905:P968" si="75">IFERROR(IF(OR(AND(M905&lt;&gt;"",YEAR(M905)&lt;YEAR($L$6)),AND(O905&lt;&gt;"",YEAR(O905)&lt;YEAR($L$6))),0,IF(YEAR(E905)&gt;YEAR($L$6),0,IF(OR((IF(YEAR(E905)&lt;YEAR($L$6),1,IF(MONTH(E905)=12,99,MONTH(E905)+1))&gt;12),(IF(YEAR(E905)&lt;YEAR($L$6),1,IF(MONTH(E905)=12,99,MONTH(E905)+1))&gt;MIN(MONTH($L$6),IF(AND(M905&lt;&gt;"",YEAR(M905)=YEAR($L$6)),MONTH(M905),99),IF(AND(O905&lt;&gt;"",YEAR(O905)=YEAR($L$6)),MONTH(O905),99)))),0,MIN(MONTH($L$6),IF(AND(M905&lt;&gt;"",YEAR(M905)=YEAR($L$6)),MONTH(M905),99),IF(AND(O905&lt;&gt;"",YEAR(O905)=YEAR($L$6)),MONTH(O905),99))-IF(YEAR(E905)&lt;YEAR($L$6),1,IF(MONTH(E905)=12,99,MONTH(E905)+1))+1))),0)</f>
        <v>4</v>
      </c>
      <c r="Q905" s="119">
        <f t="shared" si="71"/>
        <v>186.4128</v>
      </c>
      <c r="R905" s="119">
        <f t="shared" si="72"/>
        <v>-0.00719999999998322</v>
      </c>
      <c r="S905" s="120" t="s">
        <v>106</v>
      </c>
      <c r="U905" s="67"/>
      <c r="V905" s="121"/>
      <c r="W905" s="122"/>
      <c r="X905" s="63"/>
      <c r="Y905" s="63"/>
      <c r="Z905" s="63"/>
      <c r="AA905" s="63"/>
    </row>
    <row r="906" s="59" customFormat="1" ht="16.5" outlineLevel="7" spans="1:27">
      <c r="A906" s="79"/>
      <c r="B906" s="107" t="s">
        <v>193</v>
      </c>
      <c r="C906" s="108">
        <v>300052</v>
      </c>
      <c r="D906" s="109" t="s">
        <v>895</v>
      </c>
      <c r="E906" s="110">
        <v>44536</v>
      </c>
      <c r="F906" s="111">
        <v>60</v>
      </c>
      <c r="G906" s="112">
        <v>0.05</v>
      </c>
      <c r="H906" s="113">
        <v>1662.83</v>
      </c>
      <c r="I906" s="113">
        <v>1369.09</v>
      </c>
      <c r="J906" s="113">
        <v>0</v>
      </c>
      <c r="K906" s="114">
        <f t="shared" si="73"/>
        <v>293.74</v>
      </c>
      <c r="L906" s="113">
        <v>105.3</v>
      </c>
      <c r="M906" s="115"/>
      <c r="N906" s="116"/>
      <c r="O906" s="117">
        <f t="shared" si="74"/>
        <v>46387</v>
      </c>
      <c r="P906" s="118">
        <f t="shared" si="75"/>
        <v>4</v>
      </c>
      <c r="Q906" s="119">
        <f t="shared" si="71"/>
        <v>105.312566666667</v>
      </c>
      <c r="R906" s="119">
        <f t="shared" si="72"/>
        <v>0.0125666666666575</v>
      </c>
      <c r="S906" s="120" t="s">
        <v>106</v>
      </c>
      <c r="U906" s="67"/>
      <c r="V906" s="121"/>
      <c r="W906" s="122"/>
      <c r="X906" s="63"/>
      <c r="Y906" s="63"/>
      <c r="Z906" s="63"/>
      <c r="AA906" s="63"/>
    </row>
    <row r="907" s="59" customFormat="1" ht="16.5" outlineLevel="7" spans="1:27">
      <c r="A907" s="79"/>
      <c r="B907" s="107" t="s">
        <v>195</v>
      </c>
      <c r="C907" s="108">
        <v>100705</v>
      </c>
      <c r="D907" s="109" t="s">
        <v>545</v>
      </c>
      <c r="E907" s="110">
        <v>45975</v>
      </c>
      <c r="F907" s="111">
        <v>36</v>
      </c>
      <c r="G907" s="112">
        <v>0.05</v>
      </c>
      <c r="H907" s="113">
        <v>4238.05</v>
      </c>
      <c r="I907" s="113">
        <v>559.2</v>
      </c>
      <c r="J907" s="113">
        <v>0</v>
      </c>
      <c r="K907" s="114">
        <f t="shared" si="73"/>
        <v>3678.85</v>
      </c>
      <c r="L907" s="113">
        <v>447.36</v>
      </c>
      <c r="M907" s="115"/>
      <c r="N907" s="116"/>
      <c r="O907" s="117">
        <f t="shared" si="74"/>
        <v>47087</v>
      </c>
      <c r="P907" s="118">
        <f t="shared" si="75"/>
        <v>4</v>
      </c>
      <c r="Q907" s="119">
        <f t="shared" si="71"/>
        <v>447.349722222222</v>
      </c>
      <c r="R907" s="119">
        <f t="shared" si="72"/>
        <v>-0.0102777777777874</v>
      </c>
      <c r="S907" s="120" t="s">
        <v>106</v>
      </c>
      <c r="U907" s="67"/>
      <c r="V907" s="121"/>
      <c r="W907" s="122"/>
      <c r="X907" s="63"/>
      <c r="Y907" s="63"/>
      <c r="Z907" s="63"/>
      <c r="AA907" s="63"/>
    </row>
    <row r="908" s="59" customFormat="1" ht="16.5" outlineLevel="7" spans="1:27">
      <c r="A908" s="79"/>
      <c r="B908" s="123" t="s">
        <v>195</v>
      </c>
      <c r="C908" s="124">
        <v>100706</v>
      </c>
      <c r="D908" s="125" t="s">
        <v>898</v>
      </c>
      <c r="E908" s="126">
        <v>45966</v>
      </c>
      <c r="F908" s="111">
        <v>36</v>
      </c>
      <c r="G908" s="127">
        <v>0.05</v>
      </c>
      <c r="H908" s="128">
        <v>13274.34</v>
      </c>
      <c r="I908" s="113">
        <v>1751.48</v>
      </c>
      <c r="J908" s="113">
        <v>0</v>
      </c>
      <c r="K908" s="114">
        <f t="shared" si="73"/>
        <v>11522.86</v>
      </c>
      <c r="L908" s="128">
        <v>1401.18</v>
      </c>
      <c r="M908" s="115"/>
      <c r="N908" s="116"/>
      <c r="O908" s="117">
        <f t="shared" si="74"/>
        <v>47087</v>
      </c>
      <c r="P908" s="118">
        <f t="shared" si="75"/>
        <v>4</v>
      </c>
      <c r="Q908" s="119">
        <f t="shared" si="71"/>
        <v>1401.18033333333</v>
      </c>
      <c r="R908" s="119">
        <f t="shared" si="72"/>
        <v>0.000333333333173869</v>
      </c>
      <c r="S908" s="120" t="s">
        <v>106</v>
      </c>
      <c r="U908" s="67"/>
      <c r="V908" s="121"/>
      <c r="W908" s="122"/>
      <c r="X908" s="63"/>
      <c r="Y908" s="63"/>
      <c r="Z908" s="63"/>
      <c r="AA908" s="63"/>
    </row>
    <row r="909" s="59" customFormat="1" ht="16.5" outlineLevel="7" spans="1:27">
      <c r="A909" s="79"/>
      <c r="B909" s="123" t="s">
        <v>195</v>
      </c>
      <c r="C909" s="124">
        <v>100707</v>
      </c>
      <c r="D909" s="125" t="s">
        <v>901</v>
      </c>
      <c r="E909" s="126">
        <v>45967</v>
      </c>
      <c r="F909" s="111">
        <v>36</v>
      </c>
      <c r="G909" s="127">
        <v>0.05</v>
      </c>
      <c r="H909" s="128">
        <v>4012.39</v>
      </c>
      <c r="I909" s="113">
        <v>529.4</v>
      </c>
      <c r="J909" s="113">
        <v>0</v>
      </c>
      <c r="K909" s="114">
        <f t="shared" si="73"/>
        <v>3482.99</v>
      </c>
      <c r="L909" s="128">
        <v>423.52</v>
      </c>
      <c r="M909" s="115"/>
      <c r="N909" s="116"/>
      <c r="O909" s="117">
        <f t="shared" si="74"/>
        <v>47087</v>
      </c>
      <c r="P909" s="118">
        <f t="shared" si="75"/>
        <v>4</v>
      </c>
      <c r="Q909" s="119">
        <f t="shared" si="71"/>
        <v>423.530055555556</v>
      </c>
      <c r="R909" s="119">
        <f t="shared" si="72"/>
        <v>0.0100555555555388</v>
      </c>
      <c r="S909" s="120" t="s">
        <v>106</v>
      </c>
      <c r="U909" s="67"/>
      <c r="V909" s="121"/>
      <c r="W909" s="122"/>
      <c r="X909" s="63"/>
      <c r="Y909" s="63"/>
      <c r="Z909" s="63"/>
      <c r="AA909" s="63"/>
    </row>
    <row r="910" s="59" customFormat="1" ht="16.5" outlineLevel="7" spans="1:27">
      <c r="A910" s="79"/>
      <c r="B910" s="123" t="s">
        <v>195</v>
      </c>
      <c r="C910" s="124">
        <v>100708</v>
      </c>
      <c r="D910" s="125" t="s">
        <v>905</v>
      </c>
      <c r="E910" s="126">
        <v>45974</v>
      </c>
      <c r="F910" s="111">
        <v>36</v>
      </c>
      <c r="G910" s="127">
        <v>0.05</v>
      </c>
      <c r="H910" s="128">
        <v>653.98</v>
      </c>
      <c r="I910" s="113">
        <v>86.3</v>
      </c>
      <c r="J910" s="113">
        <v>0</v>
      </c>
      <c r="K910" s="114">
        <f t="shared" si="73"/>
        <v>567.68</v>
      </c>
      <c r="L910" s="128">
        <v>69.04</v>
      </c>
      <c r="M910" s="115"/>
      <c r="N910" s="116"/>
      <c r="O910" s="117">
        <f t="shared" si="74"/>
        <v>47087</v>
      </c>
      <c r="P910" s="118">
        <f t="shared" si="75"/>
        <v>4</v>
      </c>
      <c r="Q910" s="119">
        <f t="shared" si="71"/>
        <v>69.0312222222222</v>
      </c>
      <c r="R910" s="119">
        <f t="shared" si="72"/>
        <v>-0.00877777777779443</v>
      </c>
      <c r="S910" s="120" t="s">
        <v>106</v>
      </c>
      <c r="U910" s="67"/>
      <c r="V910" s="121"/>
      <c r="W910" s="122"/>
      <c r="X910" s="63"/>
      <c r="Y910" s="63"/>
      <c r="Z910" s="63"/>
      <c r="AA910" s="63"/>
    </row>
    <row r="911" s="59" customFormat="1" ht="16.5" outlineLevel="7" spans="1:27">
      <c r="A911" s="79"/>
      <c r="B911" s="123" t="s">
        <v>195</v>
      </c>
      <c r="C911" s="124">
        <v>100709</v>
      </c>
      <c r="D911" s="125" t="s">
        <v>908</v>
      </c>
      <c r="E911" s="126">
        <v>45981</v>
      </c>
      <c r="F911" s="111">
        <v>36</v>
      </c>
      <c r="G911" s="127">
        <v>0.05</v>
      </c>
      <c r="H911" s="128">
        <v>1097.59</v>
      </c>
      <c r="I911" s="113">
        <v>144.8</v>
      </c>
      <c r="J911" s="113">
        <v>0</v>
      </c>
      <c r="K911" s="114">
        <f t="shared" si="73"/>
        <v>952.79</v>
      </c>
      <c r="L911" s="128">
        <v>115.84</v>
      </c>
      <c r="M911" s="115"/>
      <c r="N911" s="116"/>
      <c r="O911" s="117">
        <f t="shared" si="74"/>
        <v>47087</v>
      </c>
      <c r="P911" s="118">
        <f t="shared" si="75"/>
        <v>4</v>
      </c>
      <c r="Q911" s="119">
        <f t="shared" si="71"/>
        <v>115.856722222222</v>
      </c>
      <c r="R911" s="119">
        <f t="shared" si="72"/>
        <v>0.0167222222222136</v>
      </c>
      <c r="S911" s="120" t="s">
        <v>106</v>
      </c>
      <c r="U911" s="67"/>
      <c r="V911" s="121"/>
      <c r="W911" s="122"/>
      <c r="X911" s="63"/>
      <c r="Y911" s="63"/>
      <c r="Z911" s="63"/>
      <c r="AA911" s="63"/>
    </row>
    <row r="912" s="59" customFormat="1" ht="16.5" outlineLevel="7" spans="1:27">
      <c r="A912" s="79"/>
      <c r="B912" s="123" t="s">
        <v>195</v>
      </c>
      <c r="C912" s="124">
        <v>100711</v>
      </c>
      <c r="D912" s="125" t="s">
        <v>545</v>
      </c>
      <c r="E912" s="126">
        <v>45982</v>
      </c>
      <c r="F912" s="111">
        <v>36</v>
      </c>
      <c r="G912" s="127">
        <v>0.05</v>
      </c>
      <c r="H912" s="128">
        <v>4857.52</v>
      </c>
      <c r="I912" s="113">
        <v>640.91</v>
      </c>
      <c r="J912" s="113">
        <v>0</v>
      </c>
      <c r="K912" s="114">
        <f t="shared" si="73"/>
        <v>4216.61</v>
      </c>
      <c r="L912" s="128">
        <v>512.73</v>
      </c>
      <c r="M912" s="115"/>
      <c r="N912" s="116"/>
      <c r="O912" s="117">
        <f t="shared" si="74"/>
        <v>47087</v>
      </c>
      <c r="P912" s="118">
        <f t="shared" si="75"/>
        <v>4</v>
      </c>
      <c r="Q912" s="119">
        <f t="shared" si="71"/>
        <v>512.738222222222</v>
      </c>
      <c r="R912" s="119">
        <f t="shared" si="72"/>
        <v>0.0082222222222299</v>
      </c>
      <c r="S912" s="120" t="s">
        <v>106</v>
      </c>
      <c r="U912" s="67"/>
      <c r="V912" s="121"/>
      <c r="W912" s="122"/>
      <c r="X912" s="63"/>
      <c r="Y912" s="63"/>
      <c r="Z912" s="63"/>
      <c r="AA912" s="63"/>
    </row>
    <row r="913" s="59" customFormat="1" ht="16.5" outlineLevel="7" spans="1:27">
      <c r="A913" s="79"/>
      <c r="B913" s="107" t="s">
        <v>195</v>
      </c>
      <c r="C913" s="108">
        <v>100712</v>
      </c>
      <c r="D913" s="109" t="s">
        <v>545</v>
      </c>
      <c r="E913" s="110">
        <v>46029</v>
      </c>
      <c r="F913" s="109">
        <v>36</v>
      </c>
      <c r="G913" s="112">
        <v>0.05</v>
      </c>
      <c r="H913" s="113">
        <v>5220.35</v>
      </c>
      <c r="I913" s="113">
        <v>413.28</v>
      </c>
      <c r="J913" s="113">
        <v>0</v>
      </c>
      <c r="K913" s="114">
        <f t="shared" si="73"/>
        <v>4807.07</v>
      </c>
      <c r="L913" s="113">
        <v>413.28</v>
      </c>
      <c r="M913" s="115"/>
      <c r="N913" s="116"/>
      <c r="O913" s="117">
        <f t="shared" si="74"/>
        <v>47149</v>
      </c>
      <c r="P913" s="118">
        <f t="shared" si="75"/>
        <v>3</v>
      </c>
      <c r="Q913" s="119">
        <f t="shared" si="71"/>
        <v>413.277708333333</v>
      </c>
      <c r="R913" s="119">
        <f t="shared" si="72"/>
        <v>-0.00229166666656511</v>
      </c>
      <c r="S913" s="120" t="s">
        <v>106</v>
      </c>
      <c r="U913" s="67"/>
      <c r="V913" s="121"/>
      <c r="W913" s="122"/>
      <c r="X913" s="63"/>
      <c r="Y913" s="63"/>
      <c r="Z913" s="63"/>
      <c r="AA913" s="63"/>
    </row>
    <row r="914" s="59" customFormat="1" ht="16.5" outlineLevel="7" spans="1:27">
      <c r="A914" s="79"/>
      <c r="B914" s="107" t="s">
        <v>195</v>
      </c>
      <c r="C914" s="108">
        <v>100713</v>
      </c>
      <c r="D914" s="109" t="s">
        <v>545</v>
      </c>
      <c r="E914" s="110">
        <v>46029</v>
      </c>
      <c r="F914" s="109">
        <v>36</v>
      </c>
      <c r="G914" s="112">
        <v>0.05</v>
      </c>
      <c r="H914" s="113">
        <v>5220.36</v>
      </c>
      <c r="I914" s="113">
        <v>413.28</v>
      </c>
      <c r="J914" s="113">
        <v>0</v>
      </c>
      <c r="K914" s="114">
        <f t="shared" si="73"/>
        <v>4807.08</v>
      </c>
      <c r="L914" s="113">
        <v>413.28</v>
      </c>
      <c r="M914" s="115"/>
      <c r="N914" s="116"/>
      <c r="O914" s="117">
        <f t="shared" si="74"/>
        <v>47149</v>
      </c>
      <c r="P914" s="118">
        <f t="shared" si="75"/>
        <v>3</v>
      </c>
      <c r="Q914" s="119">
        <f t="shared" si="71"/>
        <v>413.2785</v>
      </c>
      <c r="R914" s="119">
        <f t="shared" si="72"/>
        <v>-0.00149999999996453</v>
      </c>
      <c r="S914" s="120" t="s">
        <v>106</v>
      </c>
      <c r="U914" s="67"/>
      <c r="V914" s="121"/>
      <c r="W914" s="122"/>
      <c r="X914" s="63"/>
      <c r="Y914" s="63"/>
      <c r="Z914" s="63"/>
      <c r="AA914" s="63"/>
    </row>
    <row r="915" s="59" customFormat="1" ht="16.5" outlineLevel="7" spans="1:27">
      <c r="A915" s="79"/>
      <c r="B915" s="123" t="s">
        <v>195</v>
      </c>
      <c r="C915" s="124">
        <v>100714</v>
      </c>
      <c r="D915" s="125" t="s">
        <v>545</v>
      </c>
      <c r="E915" s="126">
        <v>46037</v>
      </c>
      <c r="F915" s="125">
        <v>36</v>
      </c>
      <c r="G915" s="127">
        <v>0.05</v>
      </c>
      <c r="H915" s="128">
        <v>6636.28</v>
      </c>
      <c r="I915" s="113">
        <v>525.36</v>
      </c>
      <c r="J915" s="113">
        <v>0</v>
      </c>
      <c r="K915" s="114">
        <f t="shared" si="73"/>
        <v>6110.92</v>
      </c>
      <c r="L915" s="128">
        <v>525.36</v>
      </c>
      <c r="M915" s="115"/>
      <c r="N915" s="116"/>
      <c r="O915" s="117">
        <f t="shared" si="74"/>
        <v>47149</v>
      </c>
      <c r="P915" s="118">
        <f t="shared" si="75"/>
        <v>3</v>
      </c>
      <c r="Q915" s="119">
        <f t="shared" si="71"/>
        <v>525.372166666667</v>
      </c>
      <c r="R915" s="119">
        <f t="shared" si="72"/>
        <v>0.0121666666666442</v>
      </c>
      <c r="S915" s="120" t="s">
        <v>106</v>
      </c>
      <c r="U915" s="67"/>
      <c r="V915" s="121"/>
      <c r="W915" s="122"/>
      <c r="X915" s="63"/>
      <c r="Y915" s="63"/>
      <c r="Z915" s="63"/>
      <c r="AA915" s="63"/>
    </row>
    <row r="916" s="59" customFormat="1" ht="16.5" outlineLevel="7" spans="1:27">
      <c r="A916" s="79"/>
      <c r="B916" s="123" t="s">
        <v>195</v>
      </c>
      <c r="C916" s="124">
        <v>100715</v>
      </c>
      <c r="D916" s="125" t="s">
        <v>915</v>
      </c>
      <c r="E916" s="126">
        <v>46042</v>
      </c>
      <c r="F916" s="125">
        <v>36</v>
      </c>
      <c r="G916" s="127">
        <v>0.05</v>
      </c>
      <c r="H916" s="128">
        <v>4071.68</v>
      </c>
      <c r="I916" s="113">
        <v>322.35</v>
      </c>
      <c r="J916" s="113">
        <v>0</v>
      </c>
      <c r="K916" s="114">
        <f t="shared" si="73"/>
        <v>3749.33</v>
      </c>
      <c r="L916" s="128">
        <v>322.35</v>
      </c>
      <c r="M916" s="115"/>
      <c r="N916" s="116"/>
      <c r="O916" s="117">
        <f t="shared" si="74"/>
        <v>47149</v>
      </c>
      <c r="P916" s="118">
        <f t="shared" si="75"/>
        <v>3</v>
      </c>
      <c r="Q916" s="119">
        <f t="shared" si="71"/>
        <v>322.341333333333</v>
      </c>
      <c r="R916" s="119">
        <f t="shared" si="72"/>
        <v>-0.008666666666727</v>
      </c>
      <c r="S916" s="120" t="s">
        <v>106</v>
      </c>
      <c r="U916" s="67"/>
      <c r="V916" s="121"/>
      <c r="W916" s="122"/>
      <c r="X916" s="63"/>
      <c r="Y916" s="63"/>
      <c r="Z916" s="63"/>
      <c r="AA916" s="63"/>
    </row>
    <row r="917" s="59" customFormat="1" ht="16.5" outlineLevel="7" spans="1:27">
      <c r="A917" s="79"/>
      <c r="B917" s="123" t="s">
        <v>195</v>
      </c>
      <c r="C917" s="124">
        <v>100716</v>
      </c>
      <c r="D917" s="125" t="s">
        <v>545</v>
      </c>
      <c r="E917" s="126">
        <v>46043</v>
      </c>
      <c r="F917" s="125">
        <v>36</v>
      </c>
      <c r="G917" s="127">
        <v>0.05</v>
      </c>
      <c r="H917" s="128">
        <v>6547.79</v>
      </c>
      <c r="I917" s="113">
        <v>518.37</v>
      </c>
      <c r="J917" s="113">
        <v>0</v>
      </c>
      <c r="K917" s="114">
        <f t="shared" si="73"/>
        <v>6029.42</v>
      </c>
      <c r="L917" s="128">
        <v>518.37</v>
      </c>
      <c r="M917" s="115"/>
      <c r="N917" s="116"/>
      <c r="O917" s="117">
        <f t="shared" si="74"/>
        <v>47149</v>
      </c>
      <c r="P917" s="118">
        <f t="shared" si="75"/>
        <v>3</v>
      </c>
      <c r="Q917" s="119">
        <f t="shared" si="71"/>
        <v>518.366708333333</v>
      </c>
      <c r="R917" s="119">
        <f t="shared" si="72"/>
        <v>-0.00329166666676883</v>
      </c>
      <c r="S917" s="120" t="s">
        <v>106</v>
      </c>
      <c r="U917" s="67"/>
      <c r="V917" s="121"/>
      <c r="W917" s="122"/>
      <c r="X917" s="63"/>
      <c r="Y917" s="63"/>
      <c r="Z917" s="63"/>
      <c r="AA917" s="63"/>
    </row>
    <row r="918" s="59" customFormat="1" ht="16.5" outlineLevel="7" spans="1:27">
      <c r="A918" s="79"/>
      <c r="B918" s="123" t="s">
        <v>195</v>
      </c>
      <c r="C918" s="124">
        <v>100717</v>
      </c>
      <c r="D918" s="125" t="s">
        <v>545</v>
      </c>
      <c r="E918" s="126">
        <v>46048</v>
      </c>
      <c r="F918" s="125">
        <v>36</v>
      </c>
      <c r="G918" s="127">
        <v>0.05</v>
      </c>
      <c r="H918" s="128">
        <v>5752.21</v>
      </c>
      <c r="I918" s="113">
        <v>455.37</v>
      </c>
      <c r="J918" s="113">
        <v>0</v>
      </c>
      <c r="K918" s="114">
        <f t="shared" si="73"/>
        <v>5296.84</v>
      </c>
      <c r="L918" s="128">
        <v>455.37</v>
      </c>
      <c r="M918" s="115"/>
      <c r="N918" s="116"/>
      <c r="O918" s="117">
        <f t="shared" si="74"/>
        <v>47149</v>
      </c>
      <c r="P918" s="118">
        <f t="shared" si="75"/>
        <v>3</v>
      </c>
      <c r="Q918" s="119">
        <f t="shared" si="71"/>
        <v>455.383291666667</v>
      </c>
      <c r="R918" s="119">
        <f t="shared" si="72"/>
        <v>0.0132916666666461</v>
      </c>
      <c r="S918" s="120" t="s">
        <v>106</v>
      </c>
      <c r="U918" s="67"/>
      <c r="V918" s="121"/>
      <c r="W918" s="122"/>
      <c r="X918" s="63"/>
      <c r="Y918" s="63"/>
      <c r="Z918" s="63"/>
      <c r="AA918" s="63"/>
    </row>
    <row r="919" s="59" customFormat="1" ht="16.5" outlineLevel="7" spans="1:27">
      <c r="A919" s="79"/>
      <c r="B919" s="123" t="s">
        <v>195</v>
      </c>
      <c r="C919" s="124">
        <v>100718</v>
      </c>
      <c r="D919" s="125" t="s">
        <v>920</v>
      </c>
      <c r="E919" s="126">
        <v>46049</v>
      </c>
      <c r="F919" s="125">
        <v>36</v>
      </c>
      <c r="G919" s="127">
        <v>0.05</v>
      </c>
      <c r="H919" s="128">
        <v>12419.47</v>
      </c>
      <c r="I919" s="113">
        <v>983.22</v>
      </c>
      <c r="J919" s="113">
        <v>0</v>
      </c>
      <c r="K919" s="114">
        <f t="shared" si="73"/>
        <v>11436.25</v>
      </c>
      <c r="L919" s="128">
        <v>983.22</v>
      </c>
      <c r="M919" s="115"/>
      <c r="N919" s="116"/>
      <c r="O919" s="117">
        <f t="shared" si="74"/>
        <v>47149</v>
      </c>
      <c r="P919" s="118">
        <f t="shared" si="75"/>
        <v>3</v>
      </c>
      <c r="Q919" s="119">
        <f t="shared" ref="Q919:Q982" si="76">IFERROR(IF(N919=0,(H919*(1-G919))/F919*P919,(N919*(1-G919))/F919*P919),0)</f>
        <v>983.208041666667</v>
      </c>
      <c r="R919" s="119">
        <f t="shared" ref="R919:R992" si="77">Q919-L919</f>
        <v>-0.0119583333334958</v>
      </c>
      <c r="S919" s="120" t="s">
        <v>106</v>
      </c>
      <c r="U919" s="67"/>
      <c r="V919" s="121"/>
      <c r="W919" s="122"/>
      <c r="X919" s="63"/>
      <c r="Y919" s="63"/>
      <c r="Z919" s="63"/>
      <c r="AA919" s="63"/>
    </row>
    <row r="920" s="59" customFormat="1" ht="16.5" outlineLevel="7" spans="1:27">
      <c r="A920" s="79"/>
      <c r="B920" s="107" t="s">
        <v>195</v>
      </c>
      <c r="C920" s="108">
        <v>100719</v>
      </c>
      <c r="D920" s="109" t="s">
        <v>545</v>
      </c>
      <c r="E920" s="110">
        <v>46066</v>
      </c>
      <c r="F920" s="109">
        <v>36</v>
      </c>
      <c r="G920" s="112">
        <v>0.05</v>
      </c>
      <c r="H920" s="113">
        <v>5220.35</v>
      </c>
      <c r="I920" s="113">
        <v>275.52</v>
      </c>
      <c r="J920" s="113">
        <v>0</v>
      </c>
      <c r="K920" s="114">
        <f t="shared" si="73"/>
        <v>4944.83</v>
      </c>
      <c r="L920" s="113">
        <v>275.52</v>
      </c>
      <c r="M920" s="115"/>
      <c r="N920" s="116"/>
      <c r="O920" s="117">
        <f t="shared" si="74"/>
        <v>47177</v>
      </c>
      <c r="P920" s="118">
        <f t="shared" si="75"/>
        <v>2</v>
      </c>
      <c r="Q920" s="119">
        <f t="shared" si="76"/>
        <v>275.518472222222</v>
      </c>
      <c r="R920" s="119">
        <f t="shared" si="77"/>
        <v>-0.00152777777771007</v>
      </c>
      <c r="S920" s="120" t="s">
        <v>106</v>
      </c>
      <c r="U920" s="67"/>
      <c r="V920" s="121"/>
      <c r="W920" s="122"/>
      <c r="X920" s="63"/>
      <c r="Y920" s="63"/>
      <c r="Z920" s="63"/>
      <c r="AA920" s="63"/>
    </row>
    <row r="921" s="59" customFormat="1" ht="16.5" outlineLevel="7" spans="1:27">
      <c r="A921" s="79"/>
      <c r="B921" s="107" t="s">
        <v>195</v>
      </c>
      <c r="C921" s="108">
        <v>100720</v>
      </c>
      <c r="D921" s="109" t="s">
        <v>923</v>
      </c>
      <c r="E921" s="110">
        <v>46102</v>
      </c>
      <c r="F921" s="109">
        <v>36</v>
      </c>
      <c r="G921" s="112">
        <v>0.05</v>
      </c>
      <c r="H921" s="113">
        <v>2645.13</v>
      </c>
      <c r="I921" s="113">
        <v>69.8</v>
      </c>
      <c r="J921" s="113">
        <v>0</v>
      </c>
      <c r="K921" s="114">
        <f t="shared" si="73"/>
        <v>2575.33</v>
      </c>
      <c r="L921" s="113">
        <v>69.8</v>
      </c>
      <c r="M921" s="115"/>
      <c r="N921" s="116"/>
      <c r="O921" s="117">
        <f t="shared" si="74"/>
        <v>47208</v>
      </c>
      <c r="P921" s="118">
        <f t="shared" si="75"/>
        <v>1</v>
      </c>
      <c r="Q921" s="119">
        <f t="shared" si="76"/>
        <v>69.8020416666667</v>
      </c>
      <c r="R921" s="119">
        <f t="shared" si="77"/>
        <v>0.00204166666667049</v>
      </c>
      <c r="S921" s="120" t="s">
        <v>106</v>
      </c>
      <c r="U921" s="67"/>
      <c r="V921" s="121"/>
      <c r="W921" s="122"/>
      <c r="X921" s="63"/>
      <c r="Y921" s="63"/>
      <c r="Z921" s="63"/>
      <c r="AA921" s="63"/>
    </row>
    <row r="922" s="59" customFormat="1" ht="16.5" outlineLevel="7" spans="1:27">
      <c r="A922" s="79"/>
      <c r="B922" s="123" t="s">
        <v>195</v>
      </c>
      <c r="C922" s="124">
        <v>100721</v>
      </c>
      <c r="D922" s="125" t="s">
        <v>545</v>
      </c>
      <c r="E922" s="126">
        <v>46100</v>
      </c>
      <c r="F922" s="125">
        <v>36</v>
      </c>
      <c r="G922" s="127">
        <v>0.05</v>
      </c>
      <c r="H922" s="128">
        <v>6193.81</v>
      </c>
      <c r="I922" s="113">
        <v>163.45</v>
      </c>
      <c r="J922" s="113">
        <v>0</v>
      </c>
      <c r="K922" s="114">
        <f t="shared" si="73"/>
        <v>6030.36</v>
      </c>
      <c r="L922" s="128">
        <v>163.45</v>
      </c>
      <c r="M922" s="115"/>
      <c r="N922" s="116"/>
      <c r="O922" s="117">
        <f t="shared" si="74"/>
        <v>47208</v>
      </c>
      <c r="P922" s="118">
        <f t="shared" si="75"/>
        <v>1</v>
      </c>
      <c r="Q922" s="119">
        <f t="shared" si="76"/>
        <v>163.447763888889</v>
      </c>
      <c r="R922" s="119">
        <f t="shared" si="77"/>
        <v>-0.00223611111110245</v>
      </c>
      <c r="S922" s="120" t="s">
        <v>106</v>
      </c>
      <c r="U922" s="67"/>
      <c r="V922" s="121"/>
      <c r="W922" s="122"/>
      <c r="X922" s="63"/>
      <c r="Y922" s="63"/>
      <c r="Z922" s="63"/>
      <c r="AA922" s="63"/>
    </row>
    <row r="923" s="59" customFormat="1" ht="16.5" outlineLevel="7" spans="1:27">
      <c r="A923" s="79"/>
      <c r="B923" s="123" t="s">
        <v>195</v>
      </c>
      <c r="C923" s="124">
        <v>100722</v>
      </c>
      <c r="D923" s="125" t="s">
        <v>928</v>
      </c>
      <c r="E923" s="126">
        <v>46091</v>
      </c>
      <c r="F923" s="125">
        <v>36</v>
      </c>
      <c r="G923" s="127">
        <v>0.05</v>
      </c>
      <c r="H923" s="128">
        <v>2919.47</v>
      </c>
      <c r="I923" s="113">
        <v>77.04</v>
      </c>
      <c r="J923" s="113">
        <v>0</v>
      </c>
      <c r="K923" s="114">
        <f t="shared" si="73"/>
        <v>2842.43</v>
      </c>
      <c r="L923" s="128">
        <v>77.04</v>
      </c>
      <c r="M923" s="115"/>
      <c r="N923" s="116"/>
      <c r="O923" s="117">
        <f t="shared" si="74"/>
        <v>47208</v>
      </c>
      <c r="P923" s="118">
        <f t="shared" si="75"/>
        <v>1</v>
      </c>
      <c r="Q923" s="119">
        <f t="shared" si="76"/>
        <v>77.0415694444444</v>
      </c>
      <c r="R923" s="119">
        <f t="shared" si="77"/>
        <v>0.00156944444442786</v>
      </c>
      <c r="S923" s="120" t="s">
        <v>106</v>
      </c>
      <c r="U923" s="67"/>
      <c r="V923" s="121"/>
      <c r="W923" s="122"/>
      <c r="X923" s="63"/>
      <c r="Y923" s="63"/>
      <c r="Z923" s="63"/>
      <c r="AA923" s="63"/>
    </row>
    <row r="924" s="59" customFormat="1" ht="16.5" outlineLevel="7" spans="1:27">
      <c r="A924" s="79"/>
      <c r="B924" s="123" t="s">
        <v>195</v>
      </c>
      <c r="C924" s="124">
        <v>100723</v>
      </c>
      <c r="D924" s="125" t="s">
        <v>928</v>
      </c>
      <c r="E924" s="126">
        <v>46092</v>
      </c>
      <c r="F924" s="125">
        <v>36</v>
      </c>
      <c r="G924" s="127">
        <v>0.05</v>
      </c>
      <c r="H924" s="128">
        <v>2919.47</v>
      </c>
      <c r="I924" s="113">
        <v>77.04</v>
      </c>
      <c r="J924" s="113">
        <v>0</v>
      </c>
      <c r="K924" s="114">
        <f t="shared" si="73"/>
        <v>2842.43</v>
      </c>
      <c r="L924" s="128">
        <v>77.04</v>
      </c>
      <c r="M924" s="115"/>
      <c r="N924" s="116"/>
      <c r="O924" s="117">
        <f t="shared" si="74"/>
        <v>47208</v>
      </c>
      <c r="P924" s="118">
        <f t="shared" si="75"/>
        <v>1</v>
      </c>
      <c r="Q924" s="119">
        <f t="shared" si="76"/>
        <v>77.0415694444444</v>
      </c>
      <c r="R924" s="119">
        <f t="shared" si="77"/>
        <v>0.00156944444442786</v>
      </c>
      <c r="S924" s="120" t="s">
        <v>106</v>
      </c>
      <c r="U924" s="67"/>
      <c r="V924" s="121"/>
      <c r="W924" s="122"/>
      <c r="X924" s="63"/>
      <c r="Y924" s="63"/>
      <c r="Z924" s="63"/>
      <c r="AA924" s="63"/>
    </row>
    <row r="925" s="59" customFormat="1" ht="16.5" outlineLevel="7" spans="1:27">
      <c r="A925" s="79"/>
      <c r="B925" s="123" t="s">
        <v>195</v>
      </c>
      <c r="C925" s="124">
        <v>100724</v>
      </c>
      <c r="D925" s="125" t="s">
        <v>931</v>
      </c>
      <c r="E925" s="126">
        <v>46092</v>
      </c>
      <c r="F925" s="125">
        <v>36</v>
      </c>
      <c r="G925" s="127">
        <v>0.05</v>
      </c>
      <c r="H925" s="128">
        <v>524.19</v>
      </c>
      <c r="I925" s="113">
        <v>13.83</v>
      </c>
      <c r="J925" s="113">
        <v>0</v>
      </c>
      <c r="K925" s="114">
        <f t="shared" si="73"/>
        <v>510.36</v>
      </c>
      <c r="L925" s="128">
        <v>13.83</v>
      </c>
      <c r="M925" s="115"/>
      <c r="N925" s="116"/>
      <c r="O925" s="117">
        <f t="shared" si="74"/>
        <v>47208</v>
      </c>
      <c r="P925" s="118">
        <f t="shared" si="75"/>
        <v>1</v>
      </c>
      <c r="Q925" s="119">
        <f t="shared" si="76"/>
        <v>13.8327916666667</v>
      </c>
      <c r="R925" s="119">
        <f t="shared" si="77"/>
        <v>0.00279166666666697</v>
      </c>
      <c r="S925" s="120" t="s">
        <v>106</v>
      </c>
      <c r="U925" s="67"/>
      <c r="V925" s="121"/>
      <c r="W925" s="122"/>
      <c r="X925" s="63"/>
      <c r="Y925" s="63"/>
      <c r="Z925" s="63"/>
      <c r="AA925" s="63"/>
    </row>
    <row r="926" s="59" customFormat="1" ht="16.5" outlineLevel="7" spans="1:27">
      <c r="A926" s="79"/>
      <c r="B926" s="123" t="s">
        <v>195</v>
      </c>
      <c r="C926" s="124">
        <v>100725</v>
      </c>
      <c r="D926" s="125" t="s">
        <v>933</v>
      </c>
      <c r="E926" s="126">
        <v>46092</v>
      </c>
      <c r="F926" s="125">
        <v>36</v>
      </c>
      <c r="G926" s="127">
        <v>0.05</v>
      </c>
      <c r="H926" s="128">
        <v>524.19</v>
      </c>
      <c r="I926" s="113">
        <v>13.83</v>
      </c>
      <c r="J926" s="113">
        <v>0</v>
      </c>
      <c r="K926" s="114">
        <f t="shared" si="73"/>
        <v>510.36</v>
      </c>
      <c r="L926" s="128">
        <v>13.83</v>
      </c>
      <c r="M926" s="115"/>
      <c r="N926" s="116"/>
      <c r="O926" s="117">
        <f t="shared" si="74"/>
        <v>47208</v>
      </c>
      <c r="P926" s="118">
        <f t="shared" si="75"/>
        <v>1</v>
      </c>
      <c r="Q926" s="119">
        <f t="shared" si="76"/>
        <v>13.8327916666667</v>
      </c>
      <c r="R926" s="119">
        <f t="shared" si="77"/>
        <v>0.00279166666666697</v>
      </c>
      <c r="S926" s="120" t="s">
        <v>106</v>
      </c>
      <c r="U926" s="67"/>
      <c r="V926" s="121"/>
      <c r="W926" s="122"/>
      <c r="X926" s="63"/>
      <c r="Y926" s="63"/>
      <c r="Z926" s="63"/>
      <c r="AA926" s="63"/>
    </row>
    <row r="927" s="59" customFormat="1" ht="16.5" outlineLevel="7" spans="1:27">
      <c r="A927" s="79"/>
      <c r="B927" s="107" t="s">
        <v>195</v>
      </c>
      <c r="C927" s="108">
        <v>100726</v>
      </c>
      <c r="D927" s="109" t="s">
        <v>933</v>
      </c>
      <c r="E927" s="110">
        <v>46092</v>
      </c>
      <c r="F927" s="109">
        <v>36</v>
      </c>
      <c r="G927" s="112">
        <v>0.05</v>
      </c>
      <c r="H927" s="113">
        <v>524.19</v>
      </c>
      <c r="I927" s="113">
        <v>13.83</v>
      </c>
      <c r="J927" s="113">
        <v>0</v>
      </c>
      <c r="K927" s="114">
        <f t="shared" si="73"/>
        <v>510.36</v>
      </c>
      <c r="L927" s="113">
        <v>13.83</v>
      </c>
      <c r="M927" s="115"/>
      <c r="N927" s="116"/>
      <c r="O927" s="117">
        <f t="shared" si="74"/>
        <v>47208</v>
      </c>
      <c r="P927" s="118">
        <f t="shared" si="75"/>
        <v>1</v>
      </c>
      <c r="Q927" s="119">
        <f t="shared" si="76"/>
        <v>13.8327916666667</v>
      </c>
      <c r="R927" s="119">
        <f t="shared" si="77"/>
        <v>0.00279166666666697</v>
      </c>
      <c r="S927" s="120" t="s">
        <v>106</v>
      </c>
      <c r="U927" s="67"/>
      <c r="V927" s="121"/>
      <c r="W927" s="122"/>
      <c r="X927" s="63"/>
      <c r="Y927" s="63"/>
      <c r="Z927" s="63"/>
      <c r="AA927" s="63"/>
    </row>
    <row r="928" s="59" customFormat="1" ht="16.5" outlineLevel="7" spans="1:27">
      <c r="A928" s="79"/>
      <c r="B928" s="107" t="s">
        <v>195</v>
      </c>
      <c r="C928" s="108">
        <v>100727</v>
      </c>
      <c r="D928" s="109" t="s">
        <v>545</v>
      </c>
      <c r="E928" s="110">
        <v>46116</v>
      </c>
      <c r="F928" s="109">
        <v>36</v>
      </c>
      <c r="G928" s="112">
        <v>0.05</v>
      </c>
      <c r="H928" s="113">
        <v>5211.5</v>
      </c>
      <c r="I928" s="113">
        <v>0</v>
      </c>
      <c r="J928" s="113">
        <v>0</v>
      </c>
      <c r="K928" s="114">
        <f t="shared" si="73"/>
        <v>5211.5</v>
      </c>
      <c r="L928" s="113">
        <v>0</v>
      </c>
      <c r="M928" s="115"/>
      <c r="N928" s="116"/>
      <c r="O928" s="117">
        <f t="shared" si="74"/>
        <v>47238</v>
      </c>
      <c r="P928" s="118">
        <f t="shared" si="75"/>
        <v>0</v>
      </c>
      <c r="Q928" s="119">
        <f t="shared" si="76"/>
        <v>0</v>
      </c>
      <c r="R928" s="119">
        <f t="shared" si="77"/>
        <v>0</v>
      </c>
      <c r="S928" s="120" t="s">
        <v>106</v>
      </c>
      <c r="U928" s="67"/>
      <c r="V928" s="121"/>
      <c r="W928" s="122"/>
      <c r="X928" s="63"/>
      <c r="Y928" s="63"/>
      <c r="Z928" s="63"/>
      <c r="AA928" s="63"/>
    </row>
    <row r="929" s="59" customFormat="1" ht="16.5" outlineLevel="7" spans="1:27">
      <c r="A929" s="79"/>
      <c r="B929" s="123" t="s">
        <v>195</v>
      </c>
      <c r="C929" s="124">
        <v>100728</v>
      </c>
      <c r="D929" s="125" t="s">
        <v>742</v>
      </c>
      <c r="E929" s="126">
        <v>46115</v>
      </c>
      <c r="F929" s="125">
        <v>36</v>
      </c>
      <c r="G929" s="127">
        <v>0.05</v>
      </c>
      <c r="H929" s="128">
        <v>327.43</v>
      </c>
      <c r="I929" s="113">
        <v>0</v>
      </c>
      <c r="J929" s="113">
        <v>0</v>
      </c>
      <c r="K929" s="114">
        <f t="shared" si="73"/>
        <v>327.43</v>
      </c>
      <c r="L929" s="128">
        <v>0</v>
      </c>
      <c r="M929" s="115"/>
      <c r="N929" s="116"/>
      <c r="O929" s="117">
        <f t="shared" si="74"/>
        <v>47238</v>
      </c>
      <c r="P929" s="118">
        <f t="shared" si="75"/>
        <v>0</v>
      </c>
      <c r="Q929" s="119">
        <f t="shared" si="76"/>
        <v>0</v>
      </c>
      <c r="R929" s="119">
        <f t="shared" si="77"/>
        <v>0</v>
      </c>
      <c r="S929" s="120" t="s">
        <v>106</v>
      </c>
      <c r="U929" s="67"/>
      <c r="V929" s="121"/>
      <c r="W929" s="122"/>
      <c r="X929" s="63"/>
      <c r="Y929" s="63"/>
      <c r="Z929" s="63"/>
      <c r="AA929" s="63"/>
    </row>
    <row r="930" s="59" customFormat="1" ht="16.5" outlineLevel="7" spans="1:27">
      <c r="A930" s="79"/>
      <c r="B930" s="123" t="s">
        <v>195</v>
      </c>
      <c r="C930" s="124">
        <v>100729</v>
      </c>
      <c r="D930" s="125" t="s">
        <v>849</v>
      </c>
      <c r="E930" s="126">
        <v>46115</v>
      </c>
      <c r="F930" s="125">
        <v>36</v>
      </c>
      <c r="G930" s="127">
        <v>0.05</v>
      </c>
      <c r="H930" s="128">
        <v>929.2</v>
      </c>
      <c r="I930" s="113">
        <v>0</v>
      </c>
      <c r="J930" s="113">
        <v>0</v>
      </c>
      <c r="K930" s="114">
        <f t="shared" si="73"/>
        <v>929.2</v>
      </c>
      <c r="L930" s="128">
        <v>0</v>
      </c>
      <c r="M930" s="115"/>
      <c r="N930" s="116"/>
      <c r="O930" s="117">
        <f t="shared" si="74"/>
        <v>47238</v>
      </c>
      <c r="P930" s="118">
        <f t="shared" si="75"/>
        <v>0</v>
      </c>
      <c r="Q930" s="119">
        <f t="shared" si="76"/>
        <v>0</v>
      </c>
      <c r="R930" s="119">
        <f t="shared" si="77"/>
        <v>0</v>
      </c>
      <c r="S930" s="120" t="s">
        <v>106</v>
      </c>
      <c r="U930" s="67"/>
      <c r="V930" s="121"/>
      <c r="W930" s="122"/>
      <c r="X930" s="63"/>
      <c r="Y930" s="63"/>
      <c r="Z930" s="63"/>
      <c r="AA930" s="63"/>
    </row>
    <row r="931" s="59" customFormat="1" ht="16.5" outlineLevel="7" spans="1:27">
      <c r="A931" s="79"/>
      <c r="B931" s="123" t="s">
        <v>195</v>
      </c>
      <c r="C931" s="124">
        <v>100730</v>
      </c>
      <c r="D931" s="125" t="s">
        <v>571</v>
      </c>
      <c r="E931" s="126">
        <v>46127</v>
      </c>
      <c r="F931" s="125">
        <v>36</v>
      </c>
      <c r="G931" s="127">
        <v>0.05</v>
      </c>
      <c r="H931" s="128">
        <v>835.4</v>
      </c>
      <c r="I931" s="113">
        <v>0</v>
      </c>
      <c r="J931" s="113">
        <v>0</v>
      </c>
      <c r="K931" s="114">
        <f t="shared" si="73"/>
        <v>835.4</v>
      </c>
      <c r="L931" s="128">
        <v>0</v>
      </c>
      <c r="M931" s="115"/>
      <c r="N931" s="116"/>
      <c r="O931" s="117">
        <f t="shared" si="74"/>
        <v>47238</v>
      </c>
      <c r="P931" s="118">
        <f t="shared" si="75"/>
        <v>0</v>
      </c>
      <c r="Q931" s="119">
        <f t="shared" si="76"/>
        <v>0</v>
      </c>
      <c r="R931" s="119">
        <f t="shared" si="77"/>
        <v>0</v>
      </c>
      <c r="S931" s="120" t="s">
        <v>106</v>
      </c>
      <c r="U931" s="67"/>
      <c r="V931" s="121"/>
      <c r="W931" s="122"/>
      <c r="X931" s="63"/>
      <c r="Y931" s="63"/>
      <c r="Z931" s="63"/>
      <c r="AA931" s="63"/>
    </row>
    <row r="932" s="59" customFormat="1" ht="16.5" outlineLevel="7" spans="1:27">
      <c r="A932" s="79"/>
      <c r="B932" s="123" t="s">
        <v>195</v>
      </c>
      <c r="C932" s="124">
        <v>100731</v>
      </c>
      <c r="D932" s="125" t="s">
        <v>545</v>
      </c>
      <c r="E932" s="126">
        <v>46128</v>
      </c>
      <c r="F932" s="125">
        <v>36</v>
      </c>
      <c r="G932" s="127">
        <v>0.05</v>
      </c>
      <c r="H932" s="128">
        <v>5123</v>
      </c>
      <c r="I932" s="113">
        <v>0</v>
      </c>
      <c r="J932" s="113">
        <v>0</v>
      </c>
      <c r="K932" s="114">
        <f t="shared" si="73"/>
        <v>5123</v>
      </c>
      <c r="L932" s="128">
        <v>0</v>
      </c>
      <c r="M932" s="115"/>
      <c r="N932" s="116"/>
      <c r="O932" s="117">
        <f t="shared" si="74"/>
        <v>47238</v>
      </c>
      <c r="P932" s="118">
        <f t="shared" si="75"/>
        <v>0</v>
      </c>
      <c r="Q932" s="119">
        <f t="shared" si="76"/>
        <v>0</v>
      </c>
      <c r="R932" s="119">
        <f t="shared" si="77"/>
        <v>0</v>
      </c>
      <c r="S932" s="120" t="s">
        <v>106</v>
      </c>
      <c r="U932" s="67"/>
      <c r="V932" s="121"/>
      <c r="W932" s="122"/>
      <c r="X932" s="63"/>
      <c r="Y932" s="63"/>
      <c r="Z932" s="63"/>
      <c r="AA932" s="63"/>
    </row>
    <row r="933" s="59" customFormat="1" ht="16.5" outlineLevel="7" spans="1:27">
      <c r="A933" s="79"/>
      <c r="B933" s="123" t="s">
        <v>195</v>
      </c>
      <c r="C933" s="124">
        <v>100732</v>
      </c>
      <c r="D933" s="125" t="s">
        <v>578</v>
      </c>
      <c r="E933" s="126">
        <v>46135</v>
      </c>
      <c r="F933" s="125">
        <v>36</v>
      </c>
      <c r="G933" s="127">
        <v>0.05</v>
      </c>
      <c r="H933" s="128">
        <v>3503.54</v>
      </c>
      <c r="I933" s="113">
        <v>0</v>
      </c>
      <c r="J933" s="113">
        <v>0</v>
      </c>
      <c r="K933" s="114">
        <f t="shared" si="73"/>
        <v>3503.54</v>
      </c>
      <c r="L933" s="128">
        <v>0</v>
      </c>
      <c r="M933" s="115"/>
      <c r="N933" s="116"/>
      <c r="O933" s="117">
        <f t="shared" si="74"/>
        <v>47238</v>
      </c>
      <c r="P933" s="118">
        <f t="shared" si="75"/>
        <v>0</v>
      </c>
      <c r="Q933" s="119">
        <f t="shared" si="76"/>
        <v>0</v>
      </c>
      <c r="R933" s="119">
        <f t="shared" si="77"/>
        <v>0</v>
      </c>
      <c r="S933" s="120" t="s">
        <v>106</v>
      </c>
      <c r="U933" s="67"/>
      <c r="V933" s="121"/>
      <c r="W933" s="122"/>
      <c r="X933" s="63"/>
      <c r="Y933" s="63"/>
      <c r="Z933" s="63"/>
      <c r="AA933" s="63"/>
    </row>
    <row r="934" s="59" customFormat="1" ht="16.5" outlineLevel="7" spans="1:27">
      <c r="A934" s="79"/>
      <c r="B934" s="107" t="s">
        <v>195</v>
      </c>
      <c r="C934" s="108">
        <v>100733</v>
      </c>
      <c r="D934" s="109" t="s">
        <v>578</v>
      </c>
      <c r="E934" s="110">
        <v>46135</v>
      </c>
      <c r="F934" s="109">
        <v>36</v>
      </c>
      <c r="G934" s="112">
        <v>0.05</v>
      </c>
      <c r="H934" s="113">
        <v>3503.54</v>
      </c>
      <c r="I934" s="113">
        <v>0</v>
      </c>
      <c r="J934" s="113">
        <v>0</v>
      </c>
      <c r="K934" s="114">
        <f t="shared" si="73"/>
        <v>3503.54</v>
      </c>
      <c r="L934" s="113">
        <v>0</v>
      </c>
      <c r="M934" s="115"/>
      <c r="N934" s="116"/>
      <c r="O934" s="117">
        <f t="shared" si="74"/>
        <v>47238</v>
      </c>
      <c r="P934" s="118">
        <f t="shared" si="75"/>
        <v>0</v>
      </c>
      <c r="Q934" s="119">
        <f t="shared" si="76"/>
        <v>0</v>
      </c>
      <c r="R934" s="119">
        <f t="shared" si="77"/>
        <v>0</v>
      </c>
      <c r="S934" s="120" t="s">
        <v>106</v>
      </c>
      <c r="U934" s="67"/>
      <c r="V934" s="121"/>
      <c r="W934" s="122"/>
      <c r="X934" s="63"/>
      <c r="Y934" s="63"/>
      <c r="Z934" s="63"/>
      <c r="AA934" s="63"/>
    </row>
    <row r="935" s="59" customFormat="1" ht="16.5" outlineLevel="7" spans="1:27">
      <c r="A935" s="79"/>
      <c r="B935" s="107" t="s">
        <v>192</v>
      </c>
      <c r="C935" s="108">
        <v>400028</v>
      </c>
      <c r="D935" s="109" t="s">
        <v>941</v>
      </c>
      <c r="E935" s="110">
        <v>44650</v>
      </c>
      <c r="F935" s="111" t="s">
        <v>465</v>
      </c>
      <c r="G935" s="112">
        <v>0.05</v>
      </c>
      <c r="H935" s="113">
        <v>0</v>
      </c>
      <c r="I935" s="113">
        <v>0</v>
      </c>
      <c r="J935" s="113">
        <v>0</v>
      </c>
      <c r="K935" s="114">
        <f t="shared" ref="K935:K991" si="78">H935-I935-J935</f>
        <v>0</v>
      </c>
      <c r="L935" s="113">
        <v>415.92</v>
      </c>
      <c r="M935" s="115">
        <v>46142</v>
      </c>
      <c r="N935" s="116">
        <f>_xlfn.XLOOKUP(C935,处置清单!C:C,处置清单!E:E)</f>
        <v>6567.2</v>
      </c>
      <c r="O935" s="117">
        <f t="shared" si="74"/>
        <v>46477</v>
      </c>
      <c r="P935" s="118">
        <f t="shared" si="75"/>
        <v>4</v>
      </c>
      <c r="Q935" s="119">
        <f t="shared" si="76"/>
        <v>415.922666666667</v>
      </c>
      <c r="R935" s="119">
        <f t="shared" si="77"/>
        <v>0.00266666666658466</v>
      </c>
      <c r="S935" s="120" t="s">
        <v>106</v>
      </c>
      <c r="U935" s="67"/>
      <c r="V935" s="121"/>
      <c r="W935" s="122"/>
      <c r="X935" s="63"/>
      <c r="Y935" s="63"/>
      <c r="Z935" s="63"/>
      <c r="AA935" s="63"/>
    </row>
    <row r="936" s="59" customFormat="1" ht="16.5" outlineLevel="7" spans="1:27">
      <c r="A936" s="79"/>
      <c r="B936" s="107" t="s">
        <v>192</v>
      </c>
      <c r="C936" s="108">
        <v>400029</v>
      </c>
      <c r="D936" s="109" t="s">
        <v>941</v>
      </c>
      <c r="E936" s="110">
        <v>44650</v>
      </c>
      <c r="F936" s="111" t="s">
        <v>465</v>
      </c>
      <c r="G936" s="112">
        <v>0.05</v>
      </c>
      <c r="H936" s="113">
        <v>0</v>
      </c>
      <c r="I936" s="113">
        <v>0</v>
      </c>
      <c r="J936" s="113">
        <v>0</v>
      </c>
      <c r="K936" s="114">
        <f t="shared" si="78"/>
        <v>0</v>
      </c>
      <c r="L936" s="113">
        <v>457.5</v>
      </c>
      <c r="M936" s="115">
        <v>46142</v>
      </c>
      <c r="N936" s="116">
        <f>_xlfn.XLOOKUP(C936,处置清单!C:C,处置清单!E:E)</f>
        <v>7223.92</v>
      </c>
      <c r="O936" s="117">
        <f t="shared" si="74"/>
        <v>46477</v>
      </c>
      <c r="P936" s="118">
        <f t="shared" si="75"/>
        <v>4</v>
      </c>
      <c r="Q936" s="119">
        <f t="shared" si="76"/>
        <v>457.514933333333</v>
      </c>
      <c r="R936" s="119">
        <f t="shared" si="77"/>
        <v>0.0149333333333175</v>
      </c>
      <c r="S936" s="120" t="s">
        <v>106</v>
      </c>
      <c r="U936" s="67"/>
      <c r="V936" s="121"/>
      <c r="W936" s="122"/>
      <c r="X936" s="63"/>
      <c r="Y936" s="63"/>
      <c r="Z936" s="63"/>
      <c r="AA936" s="63"/>
    </row>
    <row r="937" s="59" customFormat="1" ht="16.5" outlineLevel="7" spans="1:27">
      <c r="A937" s="79"/>
      <c r="B937" s="107" t="s">
        <v>192</v>
      </c>
      <c r="C937" s="108">
        <v>400030</v>
      </c>
      <c r="D937" s="109" t="s">
        <v>941</v>
      </c>
      <c r="E937" s="110">
        <v>44650</v>
      </c>
      <c r="F937" s="111" t="s">
        <v>465</v>
      </c>
      <c r="G937" s="112">
        <v>0.05</v>
      </c>
      <c r="H937" s="113">
        <v>0</v>
      </c>
      <c r="I937" s="113">
        <v>0</v>
      </c>
      <c r="J937" s="113">
        <v>0</v>
      </c>
      <c r="K937" s="114">
        <f t="shared" si="78"/>
        <v>0</v>
      </c>
      <c r="L937" s="113">
        <v>415.92</v>
      </c>
      <c r="M937" s="115">
        <v>46142</v>
      </c>
      <c r="N937" s="116">
        <f>_xlfn.XLOOKUP(C937,处置清单!C:C,处置清单!E:E)</f>
        <v>6567.2</v>
      </c>
      <c r="O937" s="117">
        <f t="shared" si="74"/>
        <v>46477</v>
      </c>
      <c r="P937" s="118">
        <f t="shared" si="75"/>
        <v>4</v>
      </c>
      <c r="Q937" s="119">
        <f t="shared" si="76"/>
        <v>415.922666666667</v>
      </c>
      <c r="R937" s="119">
        <f t="shared" si="77"/>
        <v>0.00266666666658466</v>
      </c>
      <c r="S937" s="120" t="s">
        <v>106</v>
      </c>
      <c r="U937" s="67"/>
      <c r="V937" s="121"/>
      <c r="W937" s="122"/>
      <c r="X937" s="63"/>
      <c r="Y937" s="63"/>
      <c r="Z937" s="63"/>
      <c r="AA937" s="63"/>
    </row>
    <row r="938" s="59" customFormat="1" ht="16.5" outlineLevel="7" spans="1:27">
      <c r="A938" s="79"/>
      <c r="B938" s="107" t="s">
        <v>192</v>
      </c>
      <c r="C938" s="108">
        <v>400031</v>
      </c>
      <c r="D938" s="109" t="s">
        <v>941</v>
      </c>
      <c r="E938" s="110">
        <v>44650</v>
      </c>
      <c r="F938" s="111" t="s">
        <v>465</v>
      </c>
      <c r="G938" s="112">
        <v>0.05</v>
      </c>
      <c r="H938" s="113">
        <v>0</v>
      </c>
      <c r="I938" s="113">
        <v>0</v>
      </c>
      <c r="J938" s="113">
        <v>0</v>
      </c>
      <c r="K938" s="114">
        <f t="shared" si="78"/>
        <v>0</v>
      </c>
      <c r="L938" s="113">
        <v>415.92</v>
      </c>
      <c r="M938" s="115">
        <v>46142</v>
      </c>
      <c r="N938" s="116">
        <f>_xlfn.XLOOKUP(C938,处置清单!C:C,处置清单!E:E)</f>
        <v>6567.2</v>
      </c>
      <c r="O938" s="117">
        <f t="shared" si="74"/>
        <v>46477</v>
      </c>
      <c r="P938" s="118">
        <f t="shared" si="75"/>
        <v>4</v>
      </c>
      <c r="Q938" s="119">
        <f t="shared" si="76"/>
        <v>415.922666666667</v>
      </c>
      <c r="R938" s="119">
        <f t="shared" si="77"/>
        <v>0.00266666666658466</v>
      </c>
      <c r="S938" s="120" t="s">
        <v>106</v>
      </c>
      <c r="U938" s="67"/>
      <c r="V938" s="121"/>
      <c r="W938" s="122"/>
      <c r="X938" s="63"/>
      <c r="Y938" s="63"/>
      <c r="Z938" s="63"/>
      <c r="AA938" s="63"/>
    </row>
    <row r="939" s="59" customFormat="1" ht="16.5" outlineLevel="7" spans="1:27">
      <c r="A939" s="79"/>
      <c r="B939" s="107" t="s">
        <v>192</v>
      </c>
      <c r="C939" s="108">
        <v>400032</v>
      </c>
      <c r="D939" s="109" t="s">
        <v>941</v>
      </c>
      <c r="E939" s="110">
        <v>44650</v>
      </c>
      <c r="F939" s="111" t="s">
        <v>465</v>
      </c>
      <c r="G939" s="112">
        <v>0.05</v>
      </c>
      <c r="H939" s="113">
        <v>0</v>
      </c>
      <c r="I939" s="113">
        <v>0</v>
      </c>
      <c r="J939" s="113">
        <v>0</v>
      </c>
      <c r="K939" s="114">
        <f t="shared" si="78"/>
        <v>0</v>
      </c>
      <c r="L939" s="113">
        <v>415.92</v>
      </c>
      <c r="M939" s="115">
        <v>46142</v>
      </c>
      <c r="N939" s="116">
        <f>_xlfn.XLOOKUP(C939,处置清单!C:C,处置清单!E:E)</f>
        <v>6567.2</v>
      </c>
      <c r="O939" s="117">
        <f t="shared" si="74"/>
        <v>46477</v>
      </c>
      <c r="P939" s="118">
        <f t="shared" si="75"/>
        <v>4</v>
      </c>
      <c r="Q939" s="119">
        <f t="shared" si="76"/>
        <v>415.922666666667</v>
      </c>
      <c r="R939" s="119">
        <f t="shared" si="77"/>
        <v>0.00266666666658466</v>
      </c>
      <c r="S939" s="120" t="s">
        <v>106</v>
      </c>
      <c r="U939" s="67"/>
      <c r="V939" s="121"/>
      <c r="W939" s="122"/>
      <c r="X939" s="63"/>
      <c r="Y939" s="63"/>
      <c r="Z939" s="63"/>
      <c r="AA939" s="63"/>
    </row>
    <row r="940" s="59" customFormat="1" ht="16.5" outlineLevel="7" spans="1:27">
      <c r="A940" s="79"/>
      <c r="B940" s="107" t="s">
        <v>192</v>
      </c>
      <c r="C940" s="108">
        <v>400033</v>
      </c>
      <c r="D940" s="109" t="s">
        <v>941</v>
      </c>
      <c r="E940" s="110">
        <v>44650</v>
      </c>
      <c r="F940" s="111" t="s">
        <v>465</v>
      </c>
      <c r="G940" s="112">
        <v>0.05</v>
      </c>
      <c r="H940" s="113">
        <v>0</v>
      </c>
      <c r="I940" s="113">
        <v>0</v>
      </c>
      <c r="J940" s="113">
        <v>0</v>
      </c>
      <c r="K940" s="114">
        <f t="shared" si="78"/>
        <v>0</v>
      </c>
      <c r="L940" s="113">
        <v>415.92</v>
      </c>
      <c r="M940" s="115">
        <v>46142</v>
      </c>
      <c r="N940" s="116">
        <f>_xlfn.XLOOKUP(C940,处置清单!C:C,处置清单!E:E)</f>
        <v>6567.2</v>
      </c>
      <c r="O940" s="117">
        <f t="shared" si="74"/>
        <v>46477</v>
      </c>
      <c r="P940" s="118">
        <f t="shared" si="75"/>
        <v>4</v>
      </c>
      <c r="Q940" s="119">
        <f t="shared" si="76"/>
        <v>415.922666666667</v>
      </c>
      <c r="R940" s="119">
        <f t="shared" si="77"/>
        <v>0.00266666666658466</v>
      </c>
      <c r="S940" s="120" t="s">
        <v>106</v>
      </c>
      <c r="U940" s="67"/>
      <c r="V940" s="121"/>
      <c r="W940" s="122"/>
      <c r="X940" s="63"/>
      <c r="Y940" s="63"/>
      <c r="Z940" s="63"/>
      <c r="AA940" s="63"/>
    </row>
    <row r="941" s="59" customFormat="1" ht="16.5" outlineLevel="7" spans="1:27">
      <c r="A941" s="79"/>
      <c r="B941" s="107" t="s">
        <v>192</v>
      </c>
      <c r="C941" s="108">
        <v>400034</v>
      </c>
      <c r="D941" s="109" t="s">
        <v>941</v>
      </c>
      <c r="E941" s="110">
        <v>44650</v>
      </c>
      <c r="F941" s="111" t="s">
        <v>465</v>
      </c>
      <c r="G941" s="112">
        <v>0.05</v>
      </c>
      <c r="H941" s="113">
        <v>0</v>
      </c>
      <c r="I941" s="113">
        <v>0</v>
      </c>
      <c r="J941" s="113">
        <v>0</v>
      </c>
      <c r="K941" s="114">
        <f t="shared" si="78"/>
        <v>0</v>
      </c>
      <c r="L941" s="113">
        <v>415.92</v>
      </c>
      <c r="M941" s="115">
        <v>46142</v>
      </c>
      <c r="N941" s="116">
        <f>_xlfn.XLOOKUP(C941,处置清单!C:C,处置清单!E:E)</f>
        <v>6567.2</v>
      </c>
      <c r="O941" s="117">
        <f t="shared" si="74"/>
        <v>46477</v>
      </c>
      <c r="P941" s="118">
        <f t="shared" si="75"/>
        <v>4</v>
      </c>
      <c r="Q941" s="119">
        <f t="shared" si="76"/>
        <v>415.922666666667</v>
      </c>
      <c r="R941" s="119">
        <f t="shared" si="77"/>
        <v>0.00266666666658466</v>
      </c>
      <c r="S941" s="120" t="s">
        <v>106</v>
      </c>
      <c r="U941" s="67"/>
      <c r="V941" s="121"/>
      <c r="W941" s="122"/>
      <c r="X941" s="63"/>
      <c r="Y941" s="63"/>
      <c r="Z941" s="63"/>
      <c r="AA941" s="63"/>
    </row>
    <row r="942" s="59" customFormat="1" ht="16.5" outlineLevel="7" spans="1:27">
      <c r="A942" s="79"/>
      <c r="B942" s="107" t="s">
        <v>192</v>
      </c>
      <c r="C942" s="108">
        <v>400035</v>
      </c>
      <c r="D942" s="109" t="s">
        <v>941</v>
      </c>
      <c r="E942" s="110">
        <v>44650</v>
      </c>
      <c r="F942" s="111" t="s">
        <v>465</v>
      </c>
      <c r="G942" s="112">
        <v>0.05</v>
      </c>
      <c r="H942" s="113">
        <v>0</v>
      </c>
      <c r="I942" s="113">
        <v>0</v>
      </c>
      <c r="J942" s="113">
        <v>0</v>
      </c>
      <c r="K942" s="114">
        <f t="shared" si="78"/>
        <v>0</v>
      </c>
      <c r="L942" s="113">
        <v>415.92</v>
      </c>
      <c r="M942" s="115">
        <v>46142</v>
      </c>
      <c r="N942" s="116">
        <f>_xlfn.XLOOKUP(C942,处置清单!C:C,处置清单!E:E)</f>
        <v>6567.2</v>
      </c>
      <c r="O942" s="117">
        <f t="shared" si="74"/>
        <v>46477</v>
      </c>
      <c r="P942" s="118">
        <f t="shared" si="75"/>
        <v>4</v>
      </c>
      <c r="Q942" s="119">
        <f t="shared" si="76"/>
        <v>415.922666666667</v>
      </c>
      <c r="R942" s="119">
        <f t="shared" si="77"/>
        <v>0.00266666666658466</v>
      </c>
      <c r="S942" s="120" t="s">
        <v>106</v>
      </c>
      <c r="U942" s="67"/>
      <c r="V942" s="121"/>
      <c r="W942" s="122"/>
      <c r="X942" s="63"/>
      <c r="Y942" s="63"/>
      <c r="Z942" s="63"/>
      <c r="AA942" s="63"/>
    </row>
    <row r="943" s="59" customFormat="1" ht="16.5" outlineLevel="7" spans="1:27">
      <c r="A943" s="79"/>
      <c r="B943" s="107" t="s">
        <v>192</v>
      </c>
      <c r="C943" s="108">
        <v>400036</v>
      </c>
      <c r="D943" s="109" t="s">
        <v>941</v>
      </c>
      <c r="E943" s="110">
        <v>44650</v>
      </c>
      <c r="F943" s="111" t="s">
        <v>465</v>
      </c>
      <c r="G943" s="112">
        <v>0.05</v>
      </c>
      <c r="H943" s="113">
        <v>0</v>
      </c>
      <c r="I943" s="113">
        <v>0</v>
      </c>
      <c r="J943" s="113">
        <v>0</v>
      </c>
      <c r="K943" s="114">
        <f t="shared" si="78"/>
        <v>0</v>
      </c>
      <c r="L943" s="113">
        <v>415.92</v>
      </c>
      <c r="M943" s="115">
        <v>46142</v>
      </c>
      <c r="N943" s="116">
        <f>_xlfn.XLOOKUP(C943,处置清单!C:C,处置清单!E:E)</f>
        <v>6567.2</v>
      </c>
      <c r="O943" s="117">
        <f t="shared" si="74"/>
        <v>46477</v>
      </c>
      <c r="P943" s="118">
        <f t="shared" si="75"/>
        <v>4</v>
      </c>
      <c r="Q943" s="119">
        <f t="shared" si="76"/>
        <v>415.922666666667</v>
      </c>
      <c r="R943" s="119">
        <f t="shared" si="77"/>
        <v>0.00266666666658466</v>
      </c>
      <c r="S943" s="120" t="s">
        <v>106</v>
      </c>
      <c r="U943" s="67"/>
      <c r="V943" s="121"/>
      <c r="W943" s="122"/>
      <c r="X943" s="63"/>
      <c r="Y943" s="63"/>
      <c r="Z943" s="63"/>
      <c r="AA943" s="63"/>
    </row>
    <row r="944" s="59" customFormat="1" ht="16.5" outlineLevel="7" spans="1:27">
      <c r="A944" s="79"/>
      <c r="B944" s="107" t="s">
        <v>192</v>
      </c>
      <c r="C944" s="108">
        <v>400037</v>
      </c>
      <c r="D944" s="109" t="s">
        <v>941</v>
      </c>
      <c r="E944" s="110">
        <v>44650</v>
      </c>
      <c r="F944" s="111" t="s">
        <v>465</v>
      </c>
      <c r="G944" s="112">
        <v>0.05</v>
      </c>
      <c r="H944" s="113">
        <v>0</v>
      </c>
      <c r="I944" s="113">
        <v>0</v>
      </c>
      <c r="J944" s="113">
        <v>0</v>
      </c>
      <c r="K944" s="114">
        <f t="shared" si="78"/>
        <v>0</v>
      </c>
      <c r="L944" s="113">
        <v>415.92</v>
      </c>
      <c r="M944" s="115">
        <v>46142</v>
      </c>
      <c r="N944" s="116">
        <f>_xlfn.XLOOKUP(C944,处置清单!C:C,处置清单!E:E)</f>
        <v>6567.2</v>
      </c>
      <c r="O944" s="117">
        <f t="shared" si="74"/>
        <v>46477</v>
      </c>
      <c r="P944" s="118">
        <f t="shared" si="75"/>
        <v>4</v>
      </c>
      <c r="Q944" s="119">
        <f t="shared" si="76"/>
        <v>415.922666666667</v>
      </c>
      <c r="R944" s="119">
        <f t="shared" si="77"/>
        <v>0.00266666666658466</v>
      </c>
      <c r="S944" s="120" t="s">
        <v>106</v>
      </c>
      <c r="U944" s="67"/>
      <c r="V944" s="121"/>
      <c r="W944" s="122"/>
      <c r="X944" s="63"/>
      <c r="Y944" s="63"/>
      <c r="Z944" s="63"/>
      <c r="AA944" s="63"/>
    </row>
    <row r="945" s="59" customFormat="1" ht="16.5" outlineLevel="7" spans="1:27">
      <c r="A945" s="79"/>
      <c r="B945" s="107" t="s">
        <v>192</v>
      </c>
      <c r="C945" s="108">
        <v>400038</v>
      </c>
      <c r="D945" s="109" t="s">
        <v>941</v>
      </c>
      <c r="E945" s="110">
        <v>44650</v>
      </c>
      <c r="F945" s="111" t="s">
        <v>465</v>
      </c>
      <c r="G945" s="112">
        <v>0.05</v>
      </c>
      <c r="H945" s="113">
        <v>0</v>
      </c>
      <c r="I945" s="113">
        <v>0</v>
      </c>
      <c r="J945" s="113">
        <v>0</v>
      </c>
      <c r="K945" s="114">
        <f t="shared" si="78"/>
        <v>0</v>
      </c>
      <c r="L945" s="113">
        <v>12477.68</v>
      </c>
      <c r="M945" s="115">
        <v>46142</v>
      </c>
      <c r="N945" s="116">
        <f>_xlfn.XLOOKUP(C945,处置清单!C:C,处置清单!E:E)</f>
        <v>197016</v>
      </c>
      <c r="O945" s="117">
        <f t="shared" si="74"/>
        <v>46477</v>
      </c>
      <c r="P945" s="118">
        <f t="shared" si="75"/>
        <v>4</v>
      </c>
      <c r="Q945" s="119">
        <f t="shared" si="76"/>
        <v>12477.68</v>
      </c>
      <c r="R945" s="119">
        <f t="shared" si="77"/>
        <v>0</v>
      </c>
      <c r="S945" s="120" t="s">
        <v>106</v>
      </c>
      <c r="U945" s="67"/>
      <c r="V945" s="121"/>
      <c r="W945" s="122"/>
      <c r="X945" s="63"/>
      <c r="Y945" s="63"/>
      <c r="Z945" s="63"/>
      <c r="AA945" s="63"/>
    </row>
    <row r="946" s="59" customFormat="1" ht="16.5" outlineLevel="7" spans="1:27">
      <c r="A946" s="79"/>
      <c r="B946" s="107" t="s">
        <v>192</v>
      </c>
      <c r="C946" s="108">
        <v>400039</v>
      </c>
      <c r="D946" s="109" t="s">
        <v>941</v>
      </c>
      <c r="E946" s="110">
        <v>44650</v>
      </c>
      <c r="F946" s="111" t="s">
        <v>465</v>
      </c>
      <c r="G946" s="112">
        <v>0.05</v>
      </c>
      <c r="H946" s="113">
        <v>0</v>
      </c>
      <c r="I946" s="113">
        <v>0</v>
      </c>
      <c r="J946" s="113">
        <v>0</v>
      </c>
      <c r="K946" s="114">
        <f t="shared" si="78"/>
        <v>0</v>
      </c>
      <c r="L946" s="113">
        <v>415.92</v>
      </c>
      <c r="M946" s="115">
        <v>46142</v>
      </c>
      <c r="N946" s="116">
        <f>_xlfn.XLOOKUP(C946,处置清单!C:C,处置清单!E:E)</f>
        <v>6567.2</v>
      </c>
      <c r="O946" s="117">
        <f t="shared" si="74"/>
        <v>46477</v>
      </c>
      <c r="P946" s="118">
        <f t="shared" si="75"/>
        <v>4</v>
      </c>
      <c r="Q946" s="119">
        <f t="shared" si="76"/>
        <v>415.922666666667</v>
      </c>
      <c r="R946" s="119">
        <f t="shared" si="77"/>
        <v>0.00266666666658466</v>
      </c>
      <c r="S946" s="120" t="s">
        <v>106</v>
      </c>
      <c r="U946" s="67"/>
      <c r="V946" s="121"/>
      <c r="W946" s="122"/>
      <c r="X946" s="63"/>
      <c r="Y946" s="63"/>
      <c r="Z946" s="63"/>
      <c r="AA946" s="63"/>
    </row>
    <row r="947" s="59" customFormat="1" ht="16.5" outlineLevel="7" spans="1:27">
      <c r="A947" s="79"/>
      <c r="B947" s="107" t="s">
        <v>192</v>
      </c>
      <c r="C947" s="108">
        <v>400040</v>
      </c>
      <c r="D947" s="109" t="s">
        <v>941</v>
      </c>
      <c r="E947" s="110">
        <v>44650</v>
      </c>
      <c r="F947" s="111" t="s">
        <v>465</v>
      </c>
      <c r="G947" s="112">
        <v>0.05</v>
      </c>
      <c r="H947" s="113">
        <v>0</v>
      </c>
      <c r="I947" s="113">
        <v>0</v>
      </c>
      <c r="J947" s="113">
        <v>0</v>
      </c>
      <c r="K947" s="114">
        <f t="shared" si="78"/>
        <v>0</v>
      </c>
      <c r="L947" s="113">
        <v>415.92</v>
      </c>
      <c r="M947" s="115">
        <v>46142</v>
      </c>
      <c r="N947" s="116">
        <f>_xlfn.XLOOKUP(C947,处置清单!C:C,处置清单!E:E)</f>
        <v>6567.2</v>
      </c>
      <c r="O947" s="117">
        <f t="shared" si="74"/>
        <v>46477</v>
      </c>
      <c r="P947" s="118">
        <f t="shared" si="75"/>
        <v>4</v>
      </c>
      <c r="Q947" s="119">
        <f t="shared" si="76"/>
        <v>415.922666666667</v>
      </c>
      <c r="R947" s="119">
        <f t="shared" si="77"/>
        <v>0.00266666666658466</v>
      </c>
      <c r="S947" s="120" t="s">
        <v>106</v>
      </c>
      <c r="U947" s="67"/>
      <c r="V947" s="121"/>
      <c r="W947" s="122"/>
      <c r="X947" s="63"/>
      <c r="Y947" s="63"/>
      <c r="Z947" s="63"/>
      <c r="AA947" s="63"/>
    </row>
    <row r="948" s="59" customFormat="1" ht="16.5" outlineLevel="7" spans="1:27">
      <c r="A948" s="79"/>
      <c r="B948" s="107" t="s">
        <v>192</v>
      </c>
      <c r="C948" s="108">
        <v>400041</v>
      </c>
      <c r="D948" s="109" t="s">
        <v>941</v>
      </c>
      <c r="E948" s="110">
        <v>44650</v>
      </c>
      <c r="F948" s="111" t="s">
        <v>465</v>
      </c>
      <c r="G948" s="112">
        <v>0.05</v>
      </c>
      <c r="H948" s="113">
        <v>0</v>
      </c>
      <c r="I948" s="113">
        <v>0</v>
      </c>
      <c r="J948" s="113">
        <v>0</v>
      </c>
      <c r="K948" s="114">
        <f t="shared" si="78"/>
        <v>0</v>
      </c>
      <c r="L948" s="113">
        <v>12477.68</v>
      </c>
      <c r="M948" s="115">
        <v>46142</v>
      </c>
      <c r="N948" s="116">
        <f>_xlfn.XLOOKUP(C948,处置清单!C:C,处置清单!E:E)</f>
        <v>197016</v>
      </c>
      <c r="O948" s="117">
        <f t="shared" si="74"/>
        <v>46477</v>
      </c>
      <c r="P948" s="118">
        <f t="shared" si="75"/>
        <v>4</v>
      </c>
      <c r="Q948" s="119">
        <f t="shared" si="76"/>
        <v>12477.68</v>
      </c>
      <c r="R948" s="119">
        <f t="shared" si="77"/>
        <v>0</v>
      </c>
      <c r="S948" s="120" t="s">
        <v>106</v>
      </c>
      <c r="U948" s="67"/>
      <c r="V948" s="121"/>
      <c r="W948" s="122"/>
      <c r="X948" s="63"/>
      <c r="Y948" s="63"/>
      <c r="Z948" s="63"/>
      <c r="AA948" s="63"/>
    </row>
    <row r="949" s="59" customFormat="1" ht="16.5" outlineLevel="7" spans="1:27">
      <c r="A949" s="79"/>
      <c r="B949" s="107" t="s">
        <v>192</v>
      </c>
      <c r="C949" s="108">
        <v>400042</v>
      </c>
      <c r="D949" s="109" t="s">
        <v>941</v>
      </c>
      <c r="E949" s="110">
        <v>44650</v>
      </c>
      <c r="F949" s="111" t="s">
        <v>465</v>
      </c>
      <c r="G949" s="112">
        <v>0.05</v>
      </c>
      <c r="H949" s="113">
        <v>0</v>
      </c>
      <c r="I949" s="113">
        <v>0</v>
      </c>
      <c r="J949" s="113">
        <v>0</v>
      </c>
      <c r="K949" s="114">
        <f t="shared" si="78"/>
        <v>0</v>
      </c>
      <c r="L949" s="113">
        <v>415.92</v>
      </c>
      <c r="M949" s="115">
        <v>46142</v>
      </c>
      <c r="N949" s="116">
        <f>_xlfn.XLOOKUP(C949,处置清单!C:C,处置清单!E:E)</f>
        <v>6567.2</v>
      </c>
      <c r="O949" s="117">
        <f t="shared" si="74"/>
        <v>46477</v>
      </c>
      <c r="P949" s="118">
        <f t="shared" si="75"/>
        <v>4</v>
      </c>
      <c r="Q949" s="119">
        <f t="shared" si="76"/>
        <v>415.922666666667</v>
      </c>
      <c r="R949" s="119">
        <f t="shared" si="77"/>
        <v>0.00266666666658466</v>
      </c>
      <c r="S949" s="120" t="s">
        <v>106</v>
      </c>
      <c r="U949" s="67"/>
      <c r="V949" s="121"/>
      <c r="W949" s="122"/>
      <c r="X949" s="63"/>
      <c r="Y949" s="63"/>
      <c r="Z949" s="63"/>
      <c r="AA949" s="63"/>
    </row>
    <row r="950" s="59" customFormat="1" ht="16.5" outlineLevel="7" spans="1:27">
      <c r="A950" s="79"/>
      <c r="B950" s="107" t="s">
        <v>192</v>
      </c>
      <c r="C950" s="108">
        <v>400043</v>
      </c>
      <c r="D950" s="109" t="s">
        <v>941</v>
      </c>
      <c r="E950" s="110">
        <v>44650</v>
      </c>
      <c r="F950" s="111" t="s">
        <v>465</v>
      </c>
      <c r="G950" s="112">
        <v>0.05</v>
      </c>
      <c r="H950" s="113">
        <v>0</v>
      </c>
      <c r="I950" s="113">
        <v>0</v>
      </c>
      <c r="J950" s="113">
        <v>0</v>
      </c>
      <c r="K950" s="114">
        <f t="shared" si="78"/>
        <v>0</v>
      </c>
      <c r="L950" s="113">
        <v>415.92</v>
      </c>
      <c r="M950" s="115">
        <v>46142</v>
      </c>
      <c r="N950" s="116">
        <f>_xlfn.XLOOKUP(C950,处置清单!C:C,处置清单!E:E)</f>
        <v>6567.2</v>
      </c>
      <c r="O950" s="117">
        <f t="shared" si="74"/>
        <v>46477</v>
      </c>
      <c r="P950" s="118">
        <f t="shared" si="75"/>
        <v>4</v>
      </c>
      <c r="Q950" s="119">
        <f t="shared" si="76"/>
        <v>415.922666666667</v>
      </c>
      <c r="R950" s="119">
        <f t="shared" si="77"/>
        <v>0.00266666666658466</v>
      </c>
      <c r="S950" s="120" t="s">
        <v>106</v>
      </c>
      <c r="U950" s="67"/>
      <c r="V950" s="121"/>
      <c r="W950" s="122"/>
      <c r="X950" s="63"/>
      <c r="Y950" s="63"/>
      <c r="Z950" s="63"/>
      <c r="AA950" s="63"/>
    </row>
    <row r="951" s="59" customFormat="1" ht="16.5" outlineLevel="7" spans="1:27">
      <c r="A951" s="79"/>
      <c r="B951" s="107" t="s">
        <v>192</v>
      </c>
      <c r="C951" s="108">
        <v>400044</v>
      </c>
      <c r="D951" s="109" t="s">
        <v>941</v>
      </c>
      <c r="E951" s="110">
        <v>44650</v>
      </c>
      <c r="F951" s="111" t="s">
        <v>465</v>
      </c>
      <c r="G951" s="112">
        <v>0.05</v>
      </c>
      <c r="H951" s="113">
        <v>0</v>
      </c>
      <c r="I951" s="113">
        <v>0</v>
      </c>
      <c r="J951" s="113">
        <v>0</v>
      </c>
      <c r="K951" s="114">
        <f t="shared" si="78"/>
        <v>0</v>
      </c>
      <c r="L951" s="113">
        <v>415.92</v>
      </c>
      <c r="M951" s="115">
        <v>46142</v>
      </c>
      <c r="N951" s="116">
        <f>_xlfn.XLOOKUP(C951,处置清单!C:C,处置清单!E:E)</f>
        <v>6567.2</v>
      </c>
      <c r="O951" s="117">
        <f t="shared" si="74"/>
        <v>46477</v>
      </c>
      <c r="P951" s="118">
        <f t="shared" si="75"/>
        <v>4</v>
      </c>
      <c r="Q951" s="119">
        <f t="shared" si="76"/>
        <v>415.922666666667</v>
      </c>
      <c r="R951" s="119">
        <f t="shared" si="77"/>
        <v>0.00266666666658466</v>
      </c>
      <c r="S951" s="120" t="s">
        <v>106</v>
      </c>
      <c r="U951" s="67"/>
      <c r="V951" s="121"/>
      <c r="W951" s="122"/>
      <c r="X951" s="63"/>
      <c r="Y951" s="63"/>
      <c r="Z951" s="63"/>
      <c r="AA951" s="63"/>
    </row>
    <row r="952" s="59" customFormat="1" ht="16.5" outlineLevel="7" spans="1:27">
      <c r="A952" s="79"/>
      <c r="B952" s="107" t="s">
        <v>192</v>
      </c>
      <c r="C952" s="108">
        <v>400045</v>
      </c>
      <c r="D952" s="109" t="s">
        <v>941</v>
      </c>
      <c r="E952" s="110">
        <v>44650</v>
      </c>
      <c r="F952" s="111" t="s">
        <v>465</v>
      </c>
      <c r="G952" s="112">
        <v>0.05</v>
      </c>
      <c r="H952" s="113">
        <v>0</v>
      </c>
      <c r="I952" s="113">
        <v>0</v>
      </c>
      <c r="J952" s="113">
        <v>0</v>
      </c>
      <c r="K952" s="114">
        <f t="shared" si="78"/>
        <v>0</v>
      </c>
      <c r="L952" s="113">
        <v>415.92</v>
      </c>
      <c r="M952" s="115">
        <v>46142</v>
      </c>
      <c r="N952" s="116">
        <f>_xlfn.XLOOKUP(C952,处置清单!C:C,处置清单!E:E)</f>
        <v>6567.2</v>
      </c>
      <c r="O952" s="117">
        <f t="shared" si="74"/>
        <v>46477</v>
      </c>
      <c r="P952" s="118">
        <f t="shared" si="75"/>
        <v>4</v>
      </c>
      <c r="Q952" s="119">
        <f t="shared" si="76"/>
        <v>415.922666666667</v>
      </c>
      <c r="R952" s="119">
        <f t="shared" si="77"/>
        <v>0.00266666666658466</v>
      </c>
      <c r="S952" s="120" t="s">
        <v>106</v>
      </c>
      <c r="U952" s="67"/>
      <c r="V952" s="121"/>
      <c r="W952" s="122"/>
      <c r="X952" s="63"/>
      <c r="Y952" s="63"/>
      <c r="Z952" s="63"/>
      <c r="AA952" s="63"/>
    </row>
    <row r="953" s="59" customFormat="1" ht="16.5" outlineLevel="7" spans="1:27">
      <c r="A953" s="79"/>
      <c r="B953" s="107" t="s">
        <v>192</v>
      </c>
      <c r="C953" s="108">
        <v>400046</v>
      </c>
      <c r="D953" s="109" t="s">
        <v>941</v>
      </c>
      <c r="E953" s="110">
        <v>44650</v>
      </c>
      <c r="F953" s="111" t="s">
        <v>465</v>
      </c>
      <c r="G953" s="112">
        <v>0.05</v>
      </c>
      <c r="H953" s="113">
        <v>0</v>
      </c>
      <c r="I953" s="113">
        <v>0</v>
      </c>
      <c r="J953" s="113">
        <v>0</v>
      </c>
      <c r="K953" s="114">
        <f t="shared" si="78"/>
        <v>0</v>
      </c>
      <c r="L953" s="113">
        <v>415.92</v>
      </c>
      <c r="M953" s="115">
        <v>46142</v>
      </c>
      <c r="N953" s="116">
        <f>_xlfn.XLOOKUP(C953,处置清单!C:C,处置清单!E:E)</f>
        <v>6567.2</v>
      </c>
      <c r="O953" s="117">
        <f t="shared" si="74"/>
        <v>46477</v>
      </c>
      <c r="P953" s="118">
        <f t="shared" si="75"/>
        <v>4</v>
      </c>
      <c r="Q953" s="119">
        <f t="shared" si="76"/>
        <v>415.922666666667</v>
      </c>
      <c r="R953" s="119">
        <f t="shared" si="77"/>
        <v>0.00266666666658466</v>
      </c>
      <c r="S953" s="120" t="s">
        <v>106</v>
      </c>
      <c r="U953" s="67"/>
      <c r="V953" s="121"/>
      <c r="W953" s="122"/>
      <c r="X953" s="63"/>
      <c r="Y953" s="63"/>
      <c r="Z953" s="63"/>
      <c r="AA953" s="63"/>
    </row>
    <row r="954" s="59" customFormat="1" ht="16.5" outlineLevel="7" spans="1:27">
      <c r="A954" s="79"/>
      <c r="B954" s="107" t="s">
        <v>192</v>
      </c>
      <c r="C954" s="108">
        <v>400047</v>
      </c>
      <c r="D954" s="109" t="s">
        <v>941</v>
      </c>
      <c r="E954" s="110">
        <v>44650</v>
      </c>
      <c r="F954" s="111" t="s">
        <v>465</v>
      </c>
      <c r="G954" s="112">
        <v>0.05</v>
      </c>
      <c r="H954" s="113">
        <v>0</v>
      </c>
      <c r="I954" s="113">
        <v>0</v>
      </c>
      <c r="J954" s="113">
        <v>0</v>
      </c>
      <c r="K954" s="114">
        <f t="shared" si="78"/>
        <v>0</v>
      </c>
      <c r="L954" s="113">
        <v>415.92</v>
      </c>
      <c r="M954" s="115">
        <v>46142</v>
      </c>
      <c r="N954" s="116">
        <f>_xlfn.XLOOKUP(C954,处置清单!C:C,处置清单!E:E)</f>
        <v>6567.2</v>
      </c>
      <c r="O954" s="117">
        <f t="shared" si="74"/>
        <v>46477</v>
      </c>
      <c r="P954" s="118">
        <f t="shared" si="75"/>
        <v>4</v>
      </c>
      <c r="Q954" s="119">
        <f t="shared" si="76"/>
        <v>415.922666666667</v>
      </c>
      <c r="R954" s="119">
        <f t="shared" si="77"/>
        <v>0.00266666666658466</v>
      </c>
      <c r="S954" s="120" t="s">
        <v>106</v>
      </c>
      <c r="U954" s="67"/>
      <c r="V954" s="121"/>
      <c r="W954" s="122"/>
      <c r="X954" s="63"/>
      <c r="Y954" s="63"/>
      <c r="Z954" s="63"/>
      <c r="AA954" s="63"/>
    </row>
    <row r="955" s="59" customFormat="1" ht="16.5" outlineLevel="7" spans="1:27">
      <c r="A955" s="79"/>
      <c r="B955" s="107" t="s">
        <v>192</v>
      </c>
      <c r="C955" s="108">
        <v>400048</v>
      </c>
      <c r="D955" s="109" t="s">
        <v>941</v>
      </c>
      <c r="E955" s="110">
        <v>44650</v>
      </c>
      <c r="F955" s="111" t="s">
        <v>465</v>
      </c>
      <c r="G955" s="112">
        <v>0.05</v>
      </c>
      <c r="H955" s="113">
        <v>0</v>
      </c>
      <c r="I955" s="113">
        <v>0</v>
      </c>
      <c r="J955" s="113">
        <v>0</v>
      </c>
      <c r="K955" s="114">
        <f t="shared" si="78"/>
        <v>0</v>
      </c>
      <c r="L955" s="113">
        <v>415.92</v>
      </c>
      <c r="M955" s="115">
        <v>46142</v>
      </c>
      <c r="N955" s="116">
        <f>_xlfn.XLOOKUP(C955,处置清单!C:C,处置清单!E:E)</f>
        <v>6567.2</v>
      </c>
      <c r="O955" s="117">
        <f t="shared" si="74"/>
        <v>46477</v>
      </c>
      <c r="P955" s="118">
        <f t="shared" si="75"/>
        <v>4</v>
      </c>
      <c r="Q955" s="119">
        <f t="shared" si="76"/>
        <v>415.922666666667</v>
      </c>
      <c r="R955" s="119">
        <f t="shared" si="77"/>
        <v>0.00266666666658466</v>
      </c>
      <c r="S955" s="120" t="s">
        <v>106</v>
      </c>
      <c r="U955" s="67"/>
      <c r="V955" s="121"/>
      <c r="W955" s="122"/>
      <c r="X955" s="63"/>
      <c r="Y955" s="63"/>
      <c r="Z955" s="63"/>
      <c r="AA955" s="63"/>
    </row>
    <row r="956" s="59" customFormat="1" ht="16.5" outlineLevel="7" spans="1:27">
      <c r="A956" s="79"/>
      <c r="B956" s="107" t="s">
        <v>192</v>
      </c>
      <c r="C956" s="108">
        <v>400049</v>
      </c>
      <c r="D956" s="109" t="s">
        <v>941</v>
      </c>
      <c r="E956" s="110">
        <v>44650</v>
      </c>
      <c r="F956" s="111" t="s">
        <v>465</v>
      </c>
      <c r="G956" s="112">
        <v>0.05</v>
      </c>
      <c r="H956" s="113">
        <v>0</v>
      </c>
      <c r="I956" s="113">
        <v>0</v>
      </c>
      <c r="J956" s="113">
        <v>0</v>
      </c>
      <c r="K956" s="114">
        <f t="shared" si="78"/>
        <v>0</v>
      </c>
      <c r="L956" s="113">
        <v>12477.68</v>
      </c>
      <c r="M956" s="115">
        <v>46142</v>
      </c>
      <c r="N956" s="116">
        <f>_xlfn.XLOOKUP(C956,处置清单!C:C,处置清单!E:E)</f>
        <v>197016</v>
      </c>
      <c r="O956" s="117">
        <f t="shared" si="74"/>
        <v>46477</v>
      </c>
      <c r="P956" s="118">
        <f t="shared" si="75"/>
        <v>4</v>
      </c>
      <c r="Q956" s="119">
        <f t="shared" si="76"/>
        <v>12477.68</v>
      </c>
      <c r="R956" s="119">
        <f t="shared" si="77"/>
        <v>0</v>
      </c>
      <c r="S956" s="120" t="s">
        <v>106</v>
      </c>
      <c r="U956" s="67"/>
      <c r="V956" s="121"/>
      <c r="W956" s="122"/>
      <c r="X956" s="63"/>
      <c r="Y956" s="63"/>
      <c r="Z956" s="63"/>
      <c r="AA956" s="63"/>
    </row>
    <row r="957" s="59" customFormat="1" ht="16.5" outlineLevel="7" spans="1:27">
      <c r="A957" s="79"/>
      <c r="B957" s="107" t="s">
        <v>192</v>
      </c>
      <c r="C957" s="108">
        <v>400050</v>
      </c>
      <c r="D957" s="109" t="s">
        <v>941</v>
      </c>
      <c r="E957" s="110">
        <v>44650</v>
      </c>
      <c r="F957" s="111" t="s">
        <v>465</v>
      </c>
      <c r="G957" s="112">
        <v>0.05</v>
      </c>
      <c r="H957" s="113">
        <v>0</v>
      </c>
      <c r="I957" s="113">
        <v>0</v>
      </c>
      <c r="J957" s="113">
        <v>0</v>
      </c>
      <c r="K957" s="114">
        <f t="shared" si="78"/>
        <v>0</v>
      </c>
      <c r="L957" s="113">
        <v>415.92</v>
      </c>
      <c r="M957" s="115">
        <v>46142</v>
      </c>
      <c r="N957" s="116">
        <f>_xlfn.XLOOKUP(C957,处置清单!C:C,处置清单!E:E)</f>
        <v>6567.2</v>
      </c>
      <c r="O957" s="117">
        <f t="shared" si="74"/>
        <v>46477</v>
      </c>
      <c r="P957" s="118">
        <f t="shared" si="75"/>
        <v>4</v>
      </c>
      <c r="Q957" s="119">
        <f t="shared" si="76"/>
        <v>415.922666666667</v>
      </c>
      <c r="R957" s="119">
        <f t="shared" si="77"/>
        <v>0.00266666666658466</v>
      </c>
      <c r="S957" s="120" t="s">
        <v>106</v>
      </c>
      <c r="U957" s="67"/>
      <c r="V957" s="121"/>
      <c r="W957" s="122"/>
      <c r="X957" s="63"/>
      <c r="Y957" s="63"/>
      <c r="Z957" s="63"/>
      <c r="AA957" s="63"/>
    </row>
    <row r="958" s="59" customFormat="1" ht="16.5" outlineLevel="7" spans="1:27">
      <c r="A958" s="79"/>
      <c r="B958" s="107" t="s">
        <v>192</v>
      </c>
      <c r="C958" s="108">
        <v>400001</v>
      </c>
      <c r="D958" s="109" t="s">
        <v>944</v>
      </c>
      <c r="E958" s="110">
        <v>44641</v>
      </c>
      <c r="F958" s="111" t="s">
        <v>465</v>
      </c>
      <c r="G958" s="112">
        <v>0.05</v>
      </c>
      <c r="H958" s="113">
        <v>0</v>
      </c>
      <c r="I958" s="113">
        <v>0</v>
      </c>
      <c r="J958" s="113">
        <v>0</v>
      </c>
      <c r="K958" s="114">
        <f t="shared" si="78"/>
        <v>0</v>
      </c>
      <c r="L958" s="113">
        <v>31705.82</v>
      </c>
      <c r="M958" s="115">
        <v>46142</v>
      </c>
      <c r="N958" s="116">
        <f>_xlfn.XLOOKUP(C958,处置清单!C:C,处置清单!E:E)</f>
        <v>500617.66</v>
      </c>
      <c r="O958" s="117">
        <f t="shared" si="74"/>
        <v>46477</v>
      </c>
      <c r="P958" s="118">
        <f t="shared" si="75"/>
        <v>4</v>
      </c>
      <c r="Q958" s="119">
        <f t="shared" si="76"/>
        <v>31705.7851333333</v>
      </c>
      <c r="R958" s="119">
        <f t="shared" si="77"/>
        <v>-0.0348666666686768</v>
      </c>
      <c r="S958" s="120" t="s">
        <v>106</v>
      </c>
      <c r="U958" s="67"/>
      <c r="V958" s="121"/>
      <c r="W958" s="122"/>
      <c r="X958" s="63"/>
      <c r="Y958" s="63"/>
      <c r="Z958" s="63"/>
      <c r="AA958" s="63"/>
    </row>
    <row r="959" s="59" customFormat="1" ht="16.5" outlineLevel="7" spans="1:27">
      <c r="A959" s="79"/>
      <c r="B959" s="107" t="s">
        <v>192</v>
      </c>
      <c r="C959" s="108">
        <v>400003</v>
      </c>
      <c r="D959" s="109" t="s">
        <v>941</v>
      </c>
      <c r="E959" s="110">
        <v>44650</v>
      </c>
      <c r="F959" s="111" t="s">
        <v>465</v>
      </c>
      <c r="G959" s="112">
        <v>0.05</v>
      </c>
      <c r="H959" s="113">
        <v>0</v>
      </c>
      <c r="I959" s="113">
        <v>0</v>
      </c>
      <c r="J959" s="113">
        <v>0</v>
      </c>
      <c r="K959" s="114">
        <f t="shared" si="78"/>
        <v>0</v>
      </c>
      <c r="L959" s="113">
        <v>12477.68</v>
      </c>
      <c r="M959" s="115">
        <v>46142</v>
      </c>
      <c r="N959" s="116">
        <f>_xlfn.XLOOKUP(C959,处置清单!C:C,处置清单!E:E)</f>
        <v>197016</v>
      </c>
      <c r="O959" s="117">
        <f t="shared" si="74"/>
        <v>46477</v>
      </c>
      <c r="P959" s="118">
        <f t="shared" si="75"/>
        <v>4</v>
      </c>
      <c r="Q959" s="119">
        <f t="shared" si="76"/>
        <v>12477.68</v>
      </c>
      <c r="R959" s="119">
        <f t="shared" si="77"/>
        <v>0</v>
      </c>
      <c r="S959" s="120" t="s">
        <v>106</v>
      </c>
      <c r="U959" s="67"/>
      <c r="V959" s="121"/>
      <c r="W959" s="122"/>
      <c r="X959" s="63"/>
      <c r="Y959" s="63"/>
      <c r="Z959" s="63"/>
      <c r="AA959" s="63"/>
    </row>
    <row r="960" s="59" customFormat="1" ht="16.5" outlineLevel="7" spans="1:27">
      <c r="A960" s="79"/>
      <c r="B960" s="107" t="s">
        <v>192</v>
      </c>
      <c r="C960" s="108">
        <v>400004</v>
      </c>
      <c r="D960" s="109" t="s">
        <v>941</v>
      </c>
      <c r="E960" s="110">
        <v>44650</v>
      </c>
      <c r="F960" s="111" t="s">
        <v>465</v>
      </c>
      <c r="G960" s="112">
        <v>0.05</v>
      </c>
      <c r="H960" s="113">
        <v>0</v>
      </c>
      <c r="I960" s="113">
        <v>0</v>
      </c>
      <c r="J960" s="113">
        <v>0</v>
      </c>
      <c r="K960" s="114">
        <f t="shared" si="78"/>
        <v>0</v>
      </c>
      <c r="L960" s="113">
        <v>6030.88</v>
      </c>
      <c r="M960" s="115">
        <v>46142</v>
      </c>
      <c r="N960" s="116">
        <f>_xlfn.XLOOKUP(C960,处置清单!C:C,处置清单!E:E)</f>
        <v>95224.4</v>
      </c>
      <c r="O960" s="117">
        <f t="shared" si="74"/>
        <v>46477</v>
      </c>
      <c r="P960" s="118">
        <f t="shared" si="75"/>
        <v>4</v>
      </c>
      <c r="Q960" s="119">
        <f t="shared" si="76"/>
        <v>6030.87866666667</v>
      </c>
      <c r="R960" s="119">
        <f t="shared" si="77"/>
        <v>-0.00133333333360497</v>
      </c>
      <c r="S960" s="120" t="s">
        <v>106</v>
      </c>
      <c r="U960" s="67"/>
      <c r="V960" s="121"/>
      <c r="W960" s="122"/>
      <c r="X960" s="63"/>
      <c r="Y960" s="63"/>
      <c r="Z960" s="63"/>
      <c r="AA960" s="63"/>
    </row>
    <row r="961" s="59" customFormat="1" ht="16.5" outlineLevel="7" spans="1:27">
      <c r="A961" s="79"/>
      <c r="B961" s="107" t="s">
        <v>192</v>
      </c>
      <c r="C961" s="108">
        <v>400005</v>
      </c>
      <c r="D961" s="109" t="s">
        <v>941</v>
      </c>
      <c r="E961" s="110">
        <v>44650</v>
      </c>
      <c r="F961" s="111" t="s">
        <v>465</v>
      </c>
      <c r="G961" s="112">
        <v>0.05</v>
      </c>
      <c r="H961" s="113">
        <v>0</v>
      </c>
      <c r="I961" s="113">
        <v>0</v>
      </c>
      <c r="J961" s="113">
        <v>0</v>
      </c>
      <c r="K961" s="114">
        <f t="shared" si="78"/>
        <v>0</v>
      </c>
      <c r="L961" s="113">
        <v>415.92</v>
      </c>
      <c r="M961" s="115">
        <v>46142</v>
      </c>
      <c r="N961" s="116">
        <f>_xlfn.XLOOKUP(C961,处置清单!C:C,处置清单!E:E)</f>
        <v>6567.2</v>
      </c>
      <c r="O961" s="117">
        <f t="shared" si="74"/>
        <v>46477</v>
      </c>
      <c r="P961" s="118">
        <f t="shared" si="75"/>
        <v>4</v>
      </c>
      <c r="Q961" s="119">
        <f t="shared" si="76"/>
        <v>415.922666666667</v>
      </c>
      <c r="R961" s="119">
        <f t="shared" si="77"/>
        <v>0.00266666666658466</v>
      </c>
      <c r="S961" s="120" t="s">
        <v>106</v>
      </c>
      <c r="U961" s="67"/>
      <c r="V961" s="121"/>
      <c r="W961" s="122"/>
      <c r="X961" s="63"/>
      <c r="Y961" s="63"/>
      <c r="Z961" s="63"/>
      <c r="AA961" s="63"/>
    </row>
    <row r="962" s="59" customFormat="1" ht="16.5" outlineLevel="7" spans="1:27">
      <c r="A962" s="79"/>
      <c r="B962" s="107" t="s">
        <v>192</v>
      </c>
      <c r="C962" s="108">
        <v>400006</v>
      </c>
      <c r="D962" s="109" t="s">
        <v>941</v>
      </c>
      <c r="E962" s="110">
        <v>44650</v>
      </c>
      <c r="F962" s="111" t="s">
        <v>465</v>
      </c>
      <c r="G962" s="112">
        <v>0.05</v>
      </c>
      <c r="H962" s="113">
        <v>0</v>
      </c>
      <c r="I962" s="113">
        <v>0</v>
      </c>
      <c r="J962" s="113">
        <v>0</v>
      </c>
      <c r="K962" s="114">
        <f t="shared" si="78"/>
        <v>0</v>
      </c>
      <c r="L962" s="113">
        <v>12477.68</v>
      </c>
      <c r="M962" s="115">
        <v>46142</v>
      </c>
      <c r="N962" s="116">
        <f>_xlfn.XLOOKUP(C962,处置清单!C:C,处置清单!E:E)</f>
        <v>197016</v>
      </c>
      <c r="O962" s="117">
        <f t="shared" si="74"/>
        <v>46477</v>
      </c>
      <c r="P962" s="118">
        <f t="shared" si="75"/>
        <v>4</v>
      </c>
      <c r="Q962" s="119">
        <f t="shared" si="76"/>
        <v>12477.68</v>
      </c>
      <c r="R962" s="119">
        <f t="shared" si="77"/>
        <v>0</v>
      </c>
      <c r="S962" s="120" t="s">
        <v>106</v>
      </c>
      <c r="U962" s="67"/>
      <c r="V962" s="121"/>
      <c r="W962" s="122"/>
      <c r="X962" s="63"/>
      <c r="Y962" s="63"/>
      <c r="Z962" s="63"/>
      <c r="AA962" s="63"/>
    </row>
    <row r="963" s="59" customFormat="1" ht="16.5" outlineLevel="7" spans="1:27">
      <c r="A963" s="79"/>
      <c r="B963" s="107" t="s">
        <v>192</v>
      </c>
      <c r="C963" s="108">
        <v>400007</v>
      </c>
      <c r="D963" s="109" t="s">
        <v>941</v>
      </c>
      <c r="E963" s="110">
        <v>44650</v>
      </c>
      <c r="F963" s="111" t="s">
        <v>465</v>
      </c>
      <c r="G963" s="112">
        <v>0.05</v>
      </c>
      <c r="H963" s="113">
        <v>0</v>
      </c>
      <c r="I963" s="113">
        <v>0</v>
      </c>
      <c r="J963" s="113">
        <v>0</v>
      </c>
      <c r="K963" s="114">
        <f t="shared" si="78"/>
        <v>0</v>
      </c>
      <c r="L963" s="113">
        <v>12893.6</v>
      </c>
      <c r="M963" s="115">
        <v>46142</v>
      </c>
      <c r="N963" s="116">
        <f>_xlfn.XLOOKUP(C963,处置清单!C:C,处置清单!E:E)</f>
        <v>203583.2</v>
      </c>
      <c r="O963" s="117">
        <f t="shared" si="74"/>
        <v>46477</v>
      </c>
      <c r="P963" s="118">
        <f t="shared" si="75"/>
        <v>4</v>
      </c>
      <c r="Q963" s="119">
        <f t="shared" si="76"/>
        <v>12893.6026666667</v>
      </c>
      <c r="R963" s="119">
        <f t="shared" si="77"/>
        <v>0.00266666666720994</v>
      </c>
      <c r="S963" s="120" t="s">
        <v>106</v>
      </c>
      <c r="U963" s="67"/>
      <c r="V963" s="121"/>
      <c r="W963" s="122"/>
      <c r="X963" s="63"/>
      <c r="Y963" s="63"/>
      <c r="Z963" s="63"/>
      <c r="AA963" s="63"/>
    </row>
    <row r="964" s="59" customFormat="1" ht="16.5" outlineLevel="7" spans="1:27">
      <c r="A964" s="79"/>
      <c r="B964" s="107" t="s">
        <v>192</v>
      </c>
      <c r="C964" s="108">
        <v>400008</v>
      </c>
      <c r="D964" s="109" t="s">
        <v>941</v>
      </c>
      <c r="E964" s="110">
        <v>44650</v>
      </c>
      <c r="F964" s="111" t="s">
        <v>465</v>
      </c>
      <c r="G964" s="112">
        <v>0.05</v>
      </c>
      <c r="H964" s="113">
        <v>0</v>
      </c>
      <c r="I964" s="113">
        <v>0</v>
      </c>
      <c r="J964" s="113">
        <v>0</v>
      </c>
      <c r="K964" s="114">
        <f t="shared" si="78"/>
        <v>0</v>
      </c>
      <c r="L964" s="113">
        <v>415.92</v>
      </c>
      <c r="M964" s="115">
        <v>46142</v>
      </c>
      <c r="N964" s="116">
        <f>_xlfn.XLOOKUP(C964,处置清单!C:C,处置清单!E:E)</f>
        <v>6567.2</v>
      </c>
      <c r="O964" s="117">
        <f t="shared" si="74"/>
        <v>46477</v>
      </c>
      <c r="P964" s="118">
        <f t="shared" si="75"/>
        <v>4</v>
      </c>
      <c r="Q964" s="119">
        <f t="shared" si="76"/>
        <v>415.922666666667</v>
      </c>
      <c r="R964" s="119">
        <f t="shared" si="77"/>
        <v>0.00266666666658466</v>
      </c>
      <c r="S964" s="120" t="s">
        <v>106</v>
      </c>
      <c r="U964" s="67"/>
      <c r="V964" s="121"/>
      <c r="W964" s="122"/>
      <c r="X964" s="63"/>
      <c r="Y964" s="63"/>
      <c r="Z964" s="63"/>
      <c r="AA964" s="63"/>
    </row>
    <row r="965" s="59" customFormat="1" ht="16.5" outlineLevel="7" spans="1:27">
      <c r="A965" s="79"/>
      <c r="B965" s="107" t="s">
        <v>192</v>
      </c>
      <c r="C965" s="108">
        <v>400009</v>
      </c>
      <c r="D965" s="109" t="s">
        <v>941</v>
      </c>
      <c r="E965" s="110">
        <v>44650</v>
      </c>
      <c r="F965" s="111" t="s">
        <v>465</v>
      </c>
      <c r="G965" s="112">
        <v>0.05</v>
      </c>
      <c r="H965" s="113">
        <v>0</v>
      </c>
      <c r="I965" s="113">
        <v>0</v>
      </c>
      <c r="J965" s="113">
        <v>0</v>
      </c>
      <c r="K965" s="114">
        <f t="shared" si="78"/>
        <v>0</v>
      </c>
      <c r="L965" s="113">
        <v>415.92</v>
      </c>
      <c r="M965" s="115">
        <v>46142</v>
      </c>
      <c r="N965" s="116">
        <f>_xlfn.XLOOKUP(C965,处置清单!C:C,处置清单!E:E)</f>
        <v>6567.2</v>
      </c>
      <c r="O965" s="117">
        <f t="shared" si="74"/>
        <v>46477</v>
      </c>
      <c r="P965" s="118">
        <f t="shared" si="75"/>
        <v>4</v>
      </c>
      <c r="Q965" s="119">
        <f t="shared" si="76"/>
        <v>415.922666666667</v>
      </c>
      <c r="R965" s="119">
        <f t="shared" si="77"/>
        <v>0.00266666666658466</v>
      </c>
      <c r="S965" s="120" t="s">
        <v>106</v>
      </c>
      <c r="U965" s="67"/>
      <c r="V965" s="121"/>
      <c r="W965" s="122"/>
      <c r="X965" s="63"/>
      <c r="Y965" s="63"/>
      <c r="Z965" s="63"/>
      <c r="AA965" s="63"/>
    </row>
    <row r="966" s="59" customFormat="1" ht="16.5" outlineLevel="7" spans="1:27">
      <c r="A966" s="79"/>
      <c r="B966" s="107" t="s">
        <v>192</v>
      </c>
      <c r="C966" s="108">
        <v>400010</v>
      </c>
      <c r="D966" s="109" t="s">
        <v>941</v>
      </c>
      <c r="E966" s="110">
        <v>44650</v>
      </c>
      <c r="F966" s="111" t="s">
        <v>465</v>
      </c>
      <c r="G966" s="112">
        <v>0.05</v>
      </c>
      <c r="H966" s="113">
        <v>0</v>
      </c>
      <c r="I966" s="113">
        <v>0</v>
      </c>
      <c r="J966" s="113">
        <v>0</v>
      </c>
      <c r="K966" s="114">
        <f t="shared" si="78"/>
        <v>0</v>
      </c>
      <c r="L966" s="113">
        <v>623.88</v>
      </c>
      <c r="M966" s="115">
        <v>46142</v>
      </c>
      <c r="N966" s="116">
        <f>_xlfn.XLOOKUP(C966,处置清单!C:C,处置清单!E:E)</f>
        <v>9850.8</v>
      </c>
      <c r="O966" s="117">
        <f t="shared" si="74"/>
        <v>46477</v>
      </c>
      <c r="P966" s="118">
        <f t="shared" si="75"/>
        <v>4</v>
      </c>
      <c r="Q966" s="119">
        <f t="shared" si="76"/>
        <v>623.884</v>
      </c>
      <c r="R966" s="119">
        <f t="shared" si="77"/>
        <v>0.00399999999990541</v>
      </c>
      <c r="S966" s="120" t="s">
        <v>106</v>
      </c>
      <c r="U966" s="67"/>
      <c r="V966" s="121"/>
      <c r="W966" s="122"/>
      <c r="X966" s="63"/>
      <c r="Y966" s="63"/>
      <c r="Z966" s="63"/>
      <c r="AA966" s="63"/>
    </row>
    <row r="967" s="59" customFormat="1" ht="16.5" outlineLevel="7" spans="1:27">
      <c r="A967" s="79"/>
      <c r="B967" s="107" t="s">
        <v>192</v>
      </c>
      <c r="C967" s="108">
        <v>400011</v>
      </c>
      <c r="D967" s="109" t="s">
        <v>941</v>
      </c>
      <c r="E967" s="110">
        <v>44650</v>
      </c>
      <c r="F967" s="111" t="s">
        <v>465</v>
      </c>
      <c r="G967" s="112">
        <v>0.05</v>
      </c>
      <c r="H967" s="113">
        <v>0</v>
      </c>
      <c r="I967" s="113">
        <v>0</v>
      </c>
      <c r="J967" s="113">
        <v>0</v>
      </c>
      <c r="K967" s="114">
        <f t="shared" si="78"/>
        <v>0</v>
      </c>
      <c r="L967" s="113">
        <v>415.92</v>
      </c>
      <c r="M967" s="115">
        <v>46142</v>
      </c>
      <c r="N967" s="116">
        <f>_xlfn.XLOOKUP(C967,处置清单!C:C,处置清单!E:E)</f>
        <v>6567.2</v>
      </c>
      <c r="O967" s="117">
        <f t="shared" si="74"/>
        <v>46477</v>
      </c>
      <c r="P967" s="118">
        <f t="shared" si="75"/>
        <v>4</v>
      </c>
      <c r="Q967" s="119">
        <f t="shared" si="76"/>
        <v>415.922666666667</v>
      </c>
      <c r="R967" s="119">
        <f t="shared" si="77"/>
        <v>0.00266666666658466</v>
      </c>
      <c r="S967" s="120" t="s">
        <v>106</v>
      </c>
      <c r="U967" s="67"/>
      <c r="V967" s="121"/>
      <c r="W967" s="122"/>
      <c r="X967" s="63"/>
      <c r="Y967" s="63"/>
      <c r="Z967" s="63"/>
      <c r="AA967" s="63"/>
    </row>
    <row r="968" s="59" customFormat="1" ht="16.5" outlineLevel="7" spans="1:27">
      <c r="A968" s="79"/>
      <c r="B968" s="107" t="s">
        <v>192</v>
      </c>
      <c r="C968" s="108">
        <v>400012</v>
      </c>
      <c r="D968" s="109" t="s">
        <v>941</v>
      </c>
      <c r="E968" s="110">
        <v>44650</v>
      </c>
      <c r="F968" s="111" t="s">
        <v>465</v>
      </c>
      <c r="G968" s="112">
        <v>0.05</v>
      </c>
      <c r="H968" s="113">
        <v>0</v>
      </c>
      <c r="I968" s="113">
        <v>0</v>
      </c>
      <c r="J968" s="113">
        <v>0</v>
      </c>
      <c r="K968" s="114">
        <f t="shared" si="78"/>
        <v>0</v>
      </c>
      <c r="L968" s="113">
        <v>415.92</v>
      </c>
      <c r="M968" s="115">
        <v>46142</v>
      </c>
      <c r="N968" s="116">
        <f>_xlfn.XLOOKUP(C968,处置清单!C:C,处置清单!E:E)</f>
        <v>6567.2</v>
      </c>
      <c r="O968" s="117">
        <f t="shared" si="74"/>
        <v>46477</v>
      </c>
      <c r="P968" s="118">
        <f t="shared" si="75"/>
        <v>4</v>
      </c>
      <c r="Q968" s="119">
        <f t="shared" si="76"/>
        <v>415.922666666667</v>
      </c>
      <c r="R968" s="119">
        <f t="shared" si="77"/>
        <v>0.00266666666658466</v>
      </c>
      <c r="S968" s="120" t="s">
        <v>106</v>
      </c>
      <c r="U968" s="67"/>
      <c r="V968" s="121"/>
      <c r="W968" s="122"/>
      <c r="X968" s="63"/>
      <c r="Y968" s="63"/>
      <c r="Z968" s="63"/>
      <c r="AA968" s="63"/>
    </row>
    <row r="969" s="59" customFormat="1" ht="16.5" outlineLevel="7" spans="1:27">
      <c r="A969" s="79"/>
      <c r="B969" s="107" t="s">
        <v>192</v>
      </c>
      <c r="C969" s="108">
        <v>400013</v>
      </c>
      <c r="D969" s="109" t="s">
        <v>941</v>
      </c>
      <c r="E969" s="110">
        <v>44650</v>
      </c>
      <c r="F969" s="111" t="s">
        <v>465</v>
      </c>
      <c r="G969" s="112">
        <v>0.05</v>
      </c>
      <c r="H969" s="113">
        <v>0</v>
      </c>
      <c r="I969" s="113">
        <v>0</v>
      </c>
      <c r="J969" s="113">
        <v>0</v>
      </c>
      <c r="K969" s="114">
        <f t="shared" si="78"/>
        <v>0</v>
      </c>
      <c r="L969" s="113">
        <v>6238.84</v>
      </c>
      <c r="M969" s="115">
        <v>46142</v>
      </c>
      <c r="N969" s="116">
        <f>_xlfn.XLOOKUP(C969,处置清单!C:C,处置清单!E:E)</f>
        <v>98508</v>
      </c>
      <c r="O969" s="117">
        <f t="shared" ref="O969:O991" si="79">IFERROR(EOMONTH(E969,F969),"")</f>
        <v>46477</v>
      </c>
      <c r="P969" s="118">
        <f t="shared" ref="P969:P991" si="80">IFERROR(IF(OR(AND(M969&lt;&gt;"",YEAR(M969)&lt;YEAR($L$6)),AND(O969&lt;&gt;"",YEAR(O969)&lt;YEAR($L$6))),0,IF(YEAR(E969)&gt;YEAR($L$6),0,IF(OR((IF(YEAR(E969)&lt;YEAR($L$6),1,IF(MONTH(E969)=12,99,MONTH(E969)+1))&gt;12),(IF(YEAR(E969)&lt;YEAR($L$6),1,IF(MONTH(E969)=12,99,MONTH(E969)+1))&gt;MIN(MONTH($L$6),IF(AND(M969&lt;&gt;"",YEAR(M969)=YEAR($L$6)),MONTH(M969),99),IF(AND(O969&lt;&gt;"",YEAR(O969)=YEAR($L$6)),MONTH(O969),99)))),0,MIN(MONTH($L$6),IF(AND(M969&lt;&gt;"",YEAR(M969)=YEAR($L$6)),MONTH(M969),99),IF(AND(O969&lt;&gt;"",YEAR(O969)=YEAR($L$6)),MONTH(O969),99))-IF(YEAR(E969)&lt;YEAR($L$6),1,IF(MONTH(E969)=12,99,MONTH(E969)+1))+1))),0)</f>
        <v>4</v>
      </c>
      <c r="Q969" s="119">
        <f t="shared" si="76"/>
        <v>6238.84</v>
      </c>
      <c r="R969" s="119">
        <f t="shared" si="77"/>
        <v>0</v>
      </c>
      <c r="S969" s="120" t="s">
        <v>106</v>
      </c>
      <c r="U969" s="67"/>
      <c r="V969" s="121"/>
      <c r="W969" s="122"/>
      <c r="X969" s="63"/>
      <c r="Y969" s="63"/>
      <c r="Z969" s="63"/>
      <c r="AA969" s="63"/>
    </row>
    <row r="970" s="59" customFormat="1" ht="16.5" outlineLevel="7" spans="1:27">
      <c r="A970" s="79"/>
      <c r="B970" s="107" t="s">
        <v>192</v>
      </c>
      <c r="C970" s="108">
        <v>400014</v>
      </c>
      <c r="D970" s="109" t="s">
        <v>941</v>
      </c>
      <c r="E970" s="110">
        <v>44650</v>
      </c>
      <c r="F970" s="111" t="s">
        <v>465</v>
      </c>
      <c r="G970" s="112">
        <v>0.05</v>
      </c>
      <c r="H970" s="113">
        <v>0</v>
      </c>
      <c r="I970" s="113">
        <v>0</v>
      </c>
      <c r="J970" s="113">
        <v>0</v>
      </c>
      <c r="K970" s="114">
        <f t="shared" si="78"/>
        <v>0</v>
      </c>
      <c r="L970" s="113">
        <v>2911.48</v>
      </c>
      <c r="M970" s="115">
        <v>46142</v>
      </c>
      <c r="N970" s="116">
        <f>_xlfn.XLOOKUP(C970,处置清单!C:C,处置清单!E:E)</f>
        <v>45970.4</v>
      </c>
      <c r="O970" s="117">
        <f t="shared" si="79"/>
        <v>46477</v>
      </c>
      <c r="P970" s="118">
        <f t="shared" si="80"/>
        <v>4</v>
      </c>
      <c r="Q970" s="119">
        <f t="shared" si="76"/>
        <v>2911.45866666667</v>
      </c>
      <c r="R970" s="119">
        <f t="shared" si="77"/>
        <v>-0.0213333333335868</v>
      </c>
      <c r="S970" s="120" t="s">
        <v>106</v>
      </c>
      <c r="U970" s="67"/>
      <c r="V970" s="121"/>
      <c r="W970" s="122"/>
      <c r="X970" s="63"/>
      <c r="Y970" s="63"/>
      <c r="Z970" s="63"/>
      <c r="AA970" s="63"/>
    </row>
    <row r="971" s="59" customFormat="1" ht="16.5" outlineLevel="7" spans="1:27">
      <c r="A971" s="79"/>
      <c r="B971" s="107" t="s">
        <v>192</v>
      </c>
      <c r="C971" s="108">
        <v>400015</v>
      </c>
      <c r="D971" s="109" t="s">
        <v>941</v>
      </c>
      <c r="E971" s="110">
        <v>44650</v>
      </c>
      <c r="F971" s="111" t="s">
        <v>465</v>
      </c>
      <c r="G971" s="112">
        <v>0.05</v>
      </c>
      <c r="H971" s="113">
        <v>0</v>
      </c>
      <c r="I971" s="113">
        <v>0</v>
      </c>
      <c r="J971" s="113">
        <v>0</v>
      </c>
      <c r="K971" s="114">
        <f t="shared" si="78"/>
        <v>0</v>
      </c>
      <c r="L971" s="113">
        <v>10398.06</v>
      </c>
      <c r="M971" s="115">
        <v>46142</v>
      </c>
      <c r="N971" s="116">
        <f>_xlfn.XLOOKUP(C971,处置清单!C:C,处置清单!E:E)</f>
        <v>164180</v>
      </c>
      <c r="O971" s="117">
        <f t="shared" si="79"/>
        <v>46477</v>
      </c>
      <c r="P971" s="118">
        <f t="shared" si="80"/>
        <v>4</v>
      </c>
      <c r="Q971" s="119">
        <f t="shared" si="76"/>
        <v>10398.0666666667</v>
      </c>
      <c r="R971" s="119">
        <f t="shared" si="77"/>
        <v>0.00666666666802485</v>
      </c>
      <c r="S971" s="120" t="s">
        <v>106</v>
      </c>
      <c r="U971" s="67"/>
      <c r="V971" s="121"/>
      <c r="W971" s="122"/>
      <c r="X971" s="63"/>
      <c r="Y971" s="63"/>
      <c r="Z971" s="63"/>
      <c r="AA971" s="63"/>
    </row>
    <row r="972" s="59" customFormat="1" ht="16.5" outlineLevel="7" spans="1:27">
      <c r="A972" s="79"/>
      <c r="B972" s="107" t="s">
        <v>192</v>
      </c>
      <c r="C972" s="108">
        <v>400016</v>
      </c>
      <c r="D972" s="109" t="s">
        <v>941</v>
      </c>
      <c r="E972" s="110">
        <v>44650</v>
      </c>
      <c r="F972" s="111" t="s">
        <v>465</v>
      </c>
      <c r="G972" s="112">
        <v>0.05</v>
      </c>
      <c r="H972" s="113">
        <v>0</v>
      </c>
      <c r="I972" s="113">
        <v>0</v>
      </c>
      <c r="J972" s="113">
        <v>0</v>
      </c>
      <c r="K972" s="114">
        <f t="shared" si="78"/>
        <v>0</v>
      </c>
      <c r="L972" s="113">
        <v>12477.68</v>
      </c>
      <c r="M972" s="115">
        <v>46142</v>
      </c>
      <c r="N972" s="116">
        <f>_xlfn.XLOOKUP(C972,处置清单!C:C,处置清单!E:E)</f>
        <v>197016</v>
      </c>
      <c r="O972" s="117">
        <f t="shared" si="79"/>
        <v>46477</v>
      </c>
      <c r="P972" s="118">
        <f t="shared" si="80"/>
        <v>4</v>
      </c>
      <c r="Q972" s="119">
        <f t="shared" si="76"/>
        <v>12477.68</v>
      </c>
      <c r="R972" s="119">
        <f t="shared" si="77"/>
        <v>0</v>
      </c>
      <c r="S972" s="120" t="s">
        <v>106</v>
      </c>
      <c r="U972" s="67"/>
      <c r="V972" s="121"/>
      <c r="W972" s="122"/>
      <c r="X972" s="63"/>
      <c r="Y972" s="63"/>
      <c r="Z972" s="63"/>
      <c r="AA972" s="63"/>
    </row>
    <row r="973" s="59" customFormat="1" ht="16.5" outlineLevel="7" spans="1:27">
      <c r="A973" s="79"/>
      <c r="B973" s="107" t="s">
        <v>192</v>
      </c>
      <c r="C973" s="108">
        <v>400017</v>
      </c>
      <c r="D973" s="109" t="s">
        <v>941</v>
      </c>
      <c r="E973" s="110">
        <v>44650</v>
      </c>
      <c r="F973" s="111" t="s">
        <v>465</v>
      </c>
      <c r="G973" s="112">
        <v>0.05</v>
      </c>
      <c r="H973" s="113">
        <v>0</v>
      </c>
      <c r="I973" s="113">
        <v>0</v>
      </c>
      <c r="J973" s="113">
        <v>0</v>
      </c>
      <c r="K973" s="114">
        <f t="shared" si="78"/>
        <v>0</v>
      </c>
      <c r="L973" s="113">
        <v>415.92</v>
      </c>
      <c r="M973" s="115">
        <v>46142</v>
      </c>
      <c r="N973" s="116">
        <f>_xlfn.XLOOKUP(C973,处置清单!C:C,处置清单!E:E)</f>
        <v>6567.2</v>
      </c>
      <c r="O973" s="117">
        <f t="shared" si="79"/>
        <v>46477</v>
      </c>
      <c r="P973" s="118">
        <f t="shared" si="80"/>
        <v>4</v>
      </c>
      <c r="Q973" s="119">
        <f t="shared" si="76"/>
        <v>415.922666666667</v>
      </c>
      <c r="R973" s="119">
        <f t="shared" si="77"/>
        <v>0.00266666666658466</v>
      </c>
      <c r="S973" s="120" t="s">
        <v>106</v>
      </c>
      <c r="U973" s="67"/>
      <c r="V973" s="121"/>
      <c r="W973" s="122"/>
      <c r="X973" s="63"/>
      <c r="Y973" s="63"/>
      <c r="Z973" s="63"/>
      <c r="AA973" s="63"/>
    </row>
    <row r="974" s="59" customFormat="1" ht="16.5" outlineLevel="7" spans="1:27">
      <c r="A974" s="79"/>
      <c r="B974" s="107" t="s">
        <v>192</v>
      </c>
      <c r="C974" s="108">
        <v>400018</v>
      </c>
      <c r="D974" s="109" t="s">
        <v>941</v>
      </c>
      <c r="E974" s="110">
        <v>44650</v>
      </c>
      <c r="F974" s="111" t="s">
        <v>465</v>
      </c>
      <c r="G974" s="112">
        <v>0.05</v>
      </c>
      <c r="H974" s="113">
        <v>0</v>
      </c>
      <c r="I974" s="113">
        <v>0</v>
      </c>
      <c r="J974" s="113">
        <v>0</v>
      </c>
      <c r="K974" s="114">
        <f t="shared" si="78"/>
        <v>0</v>
      </c>
      <c r="L974" s="113">
        <v>415.92</v>
      </c>
      <c r="M974" s="115">
        <v>46142</v>
      </c>
      <c r="N974" s="116">
        <f>_xlfn.XLOOKUP(C974,处置清单!C:C,处置清单!E:E)</f>
        <v>6567.2</v>
      </c>
      <c r="O974" s="117">
        <f t="shared" si="79"/>
        <v>46477</v>
      </c>
      <c r="P974" s="118">
        <f t="shared" si="80"/>
        <v>4</v>
      </c>
      <c r="Q974" s="119">
        <f t="shared" si="76"/>
        <v>415.922666666667</v>
      </c>
      <c r="R974" s="119">
        <f t="shared" si="77"/>
        <v>0.00266666666658466</v>
      </c>
      <c r="S974" s="120" t="s">
        <v>106</v>
      </c>
      <c r="U974" s="67"/>
      <c r="V974" s="121"/>
      <c r="W974" s="122"/>
      <c r="X974" s="63"/>
      <c r="Y974" s="63"/>
      <c r="Z974" s="63"/>
      <c r="AA974" s="63"/>
    </row>
    <row r="975" s="59" customFormat="1" ht="16.5" outlineLevel="7" spans="1:27">
      <c r="A975" s="79"/>
      <c r="B975" s="107" t="s">
        <v>192</v>
      </c>
      <c r="C975" s="108">
        <v>400019</v>
      </c>
      <c r="D975" s="109" t="s">
        <v>941</v>
      </c>
      <c r="E975" s="110">
        <v>44650</v>
      </c>
      <c r="F975" s="111" t="s">
        <v>465</v>
      </c>
      <c r="G975" s="112">
        <v>0.05</v>
      </c>
      <c r="H975" s="113">
        <v>0</v>
      </c>
      <c r="I975" s="113">
        <v>0</v>
      </c>
      <c r="J975" s="113">
        <v>0</v>
      </c>
      <c r="K975" s="114">
        <f t="shared" si="78"/>
        <v>0</v>
      </c>
      <c r="L975" s="113">
        <v>415.92</v>
      </c>
      <c r="M975" s="115">
        <v>46142</v>
      </c>
      <c r="N975" s="116">
        <f>_xlfn.XLOOKUP(C975,处置清单!C:C,处置清单!E:E)</f>
        <v>6567.2</v>
      </c>
      <c r="O975" s="117">
        <f t="shared" si="79"/>
        <v>46477</v>
      </c>
      <c r="P975" s="118">
        <f t="shared" si="80"/>
        <v>4</v>
      </c>
      <c r="Q975" s="119">
        <f t="shared" si="76"/>
        <v>415.922666666667</v>
      </c>
      <c r="R975" s="119">
        <f t="shared" si="77"/>
        <v>0.00266666666658466</v>
      </c>
      <c r="S975" s="120" t="s">
        <v>106</v>
      </c>
      <c r="U975" s="67"/>
      <c r="V975" s="121"/>
      <c r="W975" s="122"/>
      <c r="X975" s="63"/>
      <c r="Y975" s="63"/>
      <c r="Z975" s="63"/>
      <c r="AA975" s="63"/>
    </row>
    <row r="976" s="59" customFormat="1" ht="16.5" outlineLevel="7" spans="1:27">
      <c r="A976" s="79"/>
      <c r="B976" s="107" t="s">
        <v>192</v>
      </c>
      <c r="C976" s="108">
        <v>400020</v>
      </c>
      <c r="D976" s="109" t="s">
        <v>941</v>
      </c>
      <c r="E976" s="110">
        <v>44650</v>
      </c>
      <c r="F976" s="111" t="s">
        <v>465</v>
      </c>
      <c r="G976" s="112">
        <v>0.05</v>
      </c>
      <c r="H976" s="113">
        <v>0</v>
      </c>
      <c r="I976" s="113">
        <v>0</v>
      </c>
      <c r="J976" s="113">
        <v>0</v>
      </c>
      <c r="K976" s="114">
        <f t="shared" si="78"/>
        <v>0</v>
      </c>
      <c r="L976" s="113">
        <v>623.88</v>
      </c>
      <c r="M976" s="115">
        <v>46142</v>
      </c>
      <c r="N976" s="116">
        <f>_xlfn.XLOOKUP(C976,处置清单!C:C,处置清单!E:E)</f>
        <v>9850.8</v>
      </c>
      <c r="O976" s="117">
        <f t="shared" si="79"/>
        <v>46477</v>
      </c>
      <c r="P976" s="118">
        <f t="shared" si="80"/>
        <v>4</v>
      </c>
      <c r="Q976" s="119">
        <f t="shared" si="76"/>
        <v>623.884</v>
      </c>
      <c r="R976" s="119">
        <f t="shared" si="77"/>
        <v>0.00399999999990541</v>
      </c>
      <c r="S976" s="120" t="s">
        <v>106</v>
      </c>
      <c r="U976" s="67"/>
      <c r="V976" s="121"/>
      <c r="W976" s="122"/>
      <c r="X976" s="63"/>
      <c r="Y976" s="63"/>
      <c r="Z976" s="63"/>
      <c r="AA976" s="63"/>
    </row>
    <row r="977" s="59" customFormat="1" ht="16.5" outlineLevel="7" spans="1:27">
      <c r="A977" s="79"/>
      <c r="B977" s="107" t="s">
        <v>192</v>
      </c>
      <c r="C977" s="108">
        <v>400021</v>
      </c>
      <c r="D977" s="109" t="s">
        <v>941</v>
      </c>
      <c r="E977" s="110">
        <v>44650</v>
      </c>
      <c r="F977" s="111" t="s">
        <v>465</v>
      </c>
      <c r="G977" s="112">
        <v>0.05</v>
      </c>
      <c r="H977" s="113">
        <v>0</v>
      </c>
      <c r="I977" s="113">
        <v>0</v>
      </c>
      <c r="J977" s="113">
        <v>0</v>
      </c>
      <c r="K977" s="114">
        <f t="shared" si="78"/>
        <v>0</v>
      </c>
      <c r="L977" s="113">
        <v>415.92</v>
      </c>
      <c r="M977" s="115">
        <v>46142</v>
      </c>
      <c r="N977" s="116">
        <f>_xlfn.XLOOKUP(C977,处置清单!C:C,处置清单!E:E)</f>
        <v>6567.2</v>
      </c>
      <c r="O977" s="117">
        <f t="shared" si="79"/>
        <v>46477</v>
      </c>
      <c r="P977" s="118">
        <f t="shared" si="80"/>
        <v>4</v>
      </c>
      <c r="Q977" s="119">
        <f t="shared" si="76"/>
        <v>415.922666666667</v>
      </c>
      <c r="R977" s="119">
        <f t="shared" si="77"/>
        <v>0.00266666666658466</v>
      </c>
      <c r="S977" s="120" t="s">
        <v>106</v>
      </c>
      <c r="U977" s="67"/>
      <c r="V977" s="121"/>
      <c r="W977" s="122"/>
      <c r="X977" s="63"/>
      <c r="Y977" s="63"/>
      <c r="Z977" s="63"/>
      <c r="AA977" s="63"/>
    </row>
    <row r="978" s="59" customFormat="1" ht="16.5" outlineLevel="7" spans="1:27">
      <c r="A978" s="79"/>
      <c r="B978" s="107" t="s">
        <v>192</v>
      </c>
      <c r="C978" s="108">
        <v>400022</v>
      </c>
      <c r="D978" s="109" t="s">
        <v>941</v>
      </c>
      <c r="E978" s="110">
        <v>44650</v>
      </c>
      <c r="F978" s="111" t="s">
        <v>465</v>
      </c>
      <c r="G978" s="112">
        <v>0.05</v>
      </c>
      <c r="H978" s="113">
        <v>0</v>
      </c>
      <c r="I978" s="113">
        <v>0</v>
      </c>
      <c r="J978" s="113">
        <v>0</v>
      </c>
      <c r="K978" s="114">
        <f t="shared" si="78"/>
        <v>0</v>
      </c>
      <c r="L978" s="113">
        <v>415.92</v>
      </c>
      <c r="M978" s="115">
        <v>46142</v>
      </c>
      <c r="N978" s="116">
        <f>_xlfn.XLOOKUP(C978,处置清单!C:C,处置清单!E:E)</f>
        <v>6567.2</v>
      </c>
      <c r="O978" s="117">
        <f t="shared" si="79"/>
        <v>46477</v>
      </c>
      <c r="P978" s="118">
        <f t="shared" si="80"/>
        <v>4</v>
      </c>
      <c r="Q978" s="119">
        <f t="shared" si="76"/>
        <v>415.922666666667</v>
      </c>
      <c r="R978" s="119">
        <f t="shared" si="77"/>
        <v>0.00266666666658466</v>
      </c>
      <c r="S978" s="120" t="s">
        <v>106</v>
      </c>
      <c r="U978" s="67"/>
      <c r="V978" s="121"/>
      <c r="W978" s="122"/>
      <c r="X978" s="63"/>
      <c r="Y978" s="63"/>
      <c r="Z978" s="63"/>
      <c r="AA978" s="63"/>
    </row>
    <row r="979" s="59" customFormat="1" ht="16.5" outlineLevel="7" spans="1:27">
      <c r="A979" s="79"/>
      <c r="B979" s="107" t="s">
        <v>192</v>
      </c>
      <c r="C979" s="108">
        <v>400023</v>
      </c>
      <c r="D979" s="109" t="s">
        <v>941</v>
      </c>
      <c r="E979" s="110">
        <v>44650</v>
      </c>
      <c r="F979" s="111" t="s">
        <v>465</v>
      </c>
      <c r="G979" s="112">
        <v>0.05</v>
      </c>
      <c r="H979" s="113">
        <v>0</v>
      </c>
      <c r="I979" s="113">
        <v>0</v>
      </c>
      <c r="J979" s="113">
        <v>0</v>
      </c>
      <c r="K979" s="114">
        <f t="shared" si="78"/>
        <v>0</v>
      </c>
      <c r="L979" s="113">
        <v>6238.84</v>
      </c>
      <c r="M979" s="115">
        <v>46142</v>
      </c>
      <c r="N979" s="116">
        <f>_xlfn.XLOOKUP(C979,处置清单!C:C,处置清单!E:E)</f>
        <v>98508</v>
      </c>
      <c r="O979" s="117">
        <f t="shared" si="79"/>
        <v>46477</v>
      </c>
      <c r="P979" s="118">
        <f t="shared" si="80"/>
        <v>4</v>
      </c>
      <c r="Q979" s="119">
        <f t="shared" si="76"/>
        <v>6238.84</v>
      </c>
      <c r="R979" s="119">
        <f t="shared" si="77"/>
        <v>0</v>
      </c>
      <c r="S979" s="120" t="s">
        <v>106</v>
      </c>
      <c r="U979" s="67"/>
      <c r="V979" s="121"/>
      <c r="W979" s="122"/>
      <c r="X979" s="63"/>
      <c r="Y979" s="63"/>
      <c r="Z979" s="63"/>
      <c r="AA979" s="63"/>
    </row>
    <row r="980" s="59" customFormat="1" ht="16.5" outlineLevel="7" spans="1:27">
      <c r="A980" s="79"/>
      <c r="B980" s="107" t="s">
        <v>192</v>
      </c>
      <c r="C980" s="108">
        <v>400024</v>
      </c>
      <c r="D980" s="109" t="s">
        <v>941</v>
      </c>
      <c r="E980" s="110">
        <v>44650</v>
      </c>
      <c r="F980" s="111" t="s">
        <v>465</v>
      </c>
      <c r="G980" s="112">
        <v>0.05</v>
      </c>
      <c r="H980" s="113">
        <v>0</v>
      </c>
      <c r="I980" s="113">
        <v>0</v>
      </c>
      <c r="J980" s="113">
        <v>0</v>
      </c>
      <c r="K980" s="114">
        <f t="shared" si="78"/>
        <v>0</v>
      </c>
      <c r="L980" s="113">
        <v>2911.48</v>
      </c>
      <c r="M980" s="115">
        <v>46142</v>
      </c>
      <c r="N980" s="116">
        <f>_xlfn.XLOOKUP(C980,处置清单!C:C,处置清单!E:E)</f>
        <v>45970.4</v>
      </c>
      <c r="O980" s="117">
        <f t="shared" si="79"/>
        <v>46477</v>
      </c>
      <c r="P980" s="118">
        <f t="shared" si="80"/>
        <v>4</v>
      </c>
      <c r="Q980" s="119">
        <f t="shared" si="76"/>
        <v>2911.45866666667</v>
      </c>
      <c r="R980" s="119">
        <f t="shared" si="77"/>
        <v>-0.0213333333335868</v>
      </c>
      <c r="S980" s="120" t="s">
        <v>106</v>
      </c>
      <c r="U980" s="67"/>
      <c r="V980" s="121"/>
      <c r="W980" s="122"/>
      <c r="X980" s="63"/>
      <c r="Y980" s="63"/>
      <c r="Z980" s="63"/>
      <c r="AA980" s="63"/>
    </row>
    <row r="981" s="59" customFormat="1" ht="16.5" outlineLevel="7" spans="1:27">
      <c r="A981" s="79"/>
      <c r="B981" s="107" t="s">
        <v>192</v>
      </c>
      <c r="C981" s="108">
        <v>400025</v>
      </c>
      <c r="D981" s="109" t="s">
        <v>941</v>
      </c>
      <c r="E981" s="110">
        <v>44650</v>
      </c>
      <c r="F981" s="111" t="s">
        <v>465</v>
      </c>
      <c r="G981" s="112">
        <v>0.05</v>
      </c>
      <c r="H981" s="113">
        <v>0</v>
      </c>
      <c r="I981" s="113">
        <v>0</v>
      </c>
      <c r="J981" s="113">
        <v>0</v>
      </c>
      <c r="K981" s="114">
        <f t="shared" si="78"/>
        <v>0</v>
      </c>
      <c r="L981" s="113">
        <v>9150.28</v>
      </c>
      <c r="M981" s="115">
        <v>46142</v>
      </c>
      <c r="N981" s="116">
        <f>_xlfn.XLOOKUP(C981,处置清单!C:C,处置清单!E:E)</f>
        <v>144478.4</v>
      </c>
      <c r="O981" s="117">
        <f t="shared" si="79"/>
        <v>46477</v>
      </c>
      <c r="P981" s="118">
        <f t="shared" si="80"/>
        <v>4</v>
      </c>
      <c r="Q981" s="119">
        <f t="shared" si="76"/>
        <v>9150.29866666667</v>
      </c>
      <c r="R981" s="119">
        <f t="shared" si="77"/>
        <v>0.0186666666650126</v>
      </c>
      <c r="S981" s="120" t="s">
        <v>106</v>
      </c>
      <c r="U981" s="67"/>
      <c r="V981" s="121"/>
      <c r="W981" s="122"/>
      <c r="X981" s="63"/>
      <c r="Y981" s="63"/>
      <c r="Z981" s="63"/>
      <c r="AA981" s="63"/>
    </row>
    <row r="982" s="59" customFormat="1" ht="16.5" outlineLevel="7" spans="1:27">
      <c r="A982" s="79"/>
      <c r="B982" s="107" t="s">
        <v>192</v>
      </c>
      <c r="C982" s="108">
        <v>400026</v>
      </c>
      <c r="D982" s="109" t="s">
        <v>941</v>
      </c>
      <c r="E982" s="110">
        <v>44650</v>
      </c>
      <c r="F982" s="111" t="s">
        <v>465</v>
      </c>
      <c r="G982" s="112">
        <v>0.05</v>
      </c>
      <c r="H982" s="113">
        <v>0</v>
      </c>
      <c r="I982" s="113">
        <v>0</v>
      </c>
      <c r="J982" s="113">
        <v>0</v>
      </c>
      <c r="K982" s="114">
        <f t="shared" si="78"/>
        <v>0</v>
      </c>
      <c r="L982" s="113">
        <v>415.92</v>
      </c>
      <c r="M982" s="115">
        <v>46142</v>
      </c>
      <c r="N982" s="116">
        <f>_xlfn.XLOOKUP(C982,处置清单!C:C,处置清单!E:E)</f>
        <v>6567.2</v>
      </c>
      <c r="O982" s="117">
        <f t="shared" si="79"/>
        <v>46477</v>
      </c>
      <c r="P982" s="118">
        <f t="shared" si="80"/>
        <v>4</v>
      </c>
      <c r="Q982" s="119">
        <f t="shared" si="76"/>
        <v>415.922666666667</v>
      </c>
      <c r="R982" s="119">
        <f t="shared" si="77"/>
        <v>0.00266666666658466</v>
      </c>
      <c r="S982" s="120" t="s">
        <v>106</v>
      </c>
      <c r="U982" s="67"/>
      <c r="V982" s="121"/>
      <c r="W982" s="122"/>
      <c r="X982" s="63"/>
      <c r="Y982" s="63"/>
      <c r="Z982" s="63"/>
      <c r="AA982" s="63"/>
    </row>
    <row r="983" s="59" customFormat="1" ht="16.5" outlineLevel="7" spans="1:27">
      <c r="A983" s="79"/>
      <c r="B983" s="107" t="s">
        <v>192</v>
      </c>
      <c r="C983" s="108">
        <v>400027</v>
      </c>
      <c r="D983" s="109" t="s">
        <v>941</v>
      </c>
      <c r="E983" s="110">
        <v>44650</v>
      </c>
      <c r="F983" s="111" t="s">
        <v>465</v>
      </c>
      <c r="G983" s="112">
        <v>0.05</v>
      </c>
      <c r="H983" s="113">
        <v>0</v>
      </c>
      <c r="I983" s="113">
        <v>0</v>
      </c>
      <c r="J983" s="113">
        <v>0</v>
      </c>
      <c r="K983" s="114">
        <f t="shared" si="78"/>
        <v>0</v>
      </c>
      <c r="L983" s="113">
        <v>415.92</v>
      </c>
      <c r="M983" s="115">
        <v>46142</v>
      </c>
      <c r="N983" s="116">
        <f>_xlfn.XLOOKUP(C983,处置清单!C:C,处置清单!E:E)</f>
        <v>6567.2</v>
      </c>
      <c r="O983" s="117">
        <f t="shared" si="79"/>
        <v>46477</v>
      </c>
      <c r="P983" s="118">
        <f t="shared" si="80"/>
        <v>4</v>
      </c>
      <c r="Q983" s="119">
        <f t="shared" ref="Q983:Q991" si="81">IFERROR(IF(N983=0,(H983*(1-G983))/F983*P983,(N983*(1-G983))/F983*P983),0)</f>
        <v>415.922666666667</v>
      </c>
      <c r="R983" s="119">
        <f t="shared" si="77"/>
        <v>0.00266666666658466</v>
      </c>
      <c r="S983" s="120" t="s">
        <v>106</v>
      </c>
      <c r="U983" s="67"/>
      <c r="V983" s="121"/>
      <c r="W983" s="122"/>
      <c r="X983" s="63"/>
      <c r="Y983" s="63"/>
      <c r="Z983" s="63"/>
      <c r="AA983" s="63"/>
    </row>
    <row r="984" s="59" customFormat="1" ht="16.5" outlineLevel="7" spans="1:27">
      <c r="A984" s="79"/>
      <c r="B984" s="107" t="s">
        <v>195</v>
      </c>
      <c r="C984" s="108">
        <v>100027</v>
      </c>
      <c r="D984" s="109" t="s">
        <v>545</v>
      </c>
      <c r="E984" s="110">
        <v>44267</v>
      </c>
      <c r="F984" s="111">
        <v>36</v>
      </c>
      <c r="G984" s="112">
        <v>0.05</v>
      </c>
      <c r="H984" s="113">
        <v>0</v>
      </c>
      <c r="I984" s="113">
        <v>0</v>
      </c>
      <c r="J984" s="113">
        <v>0</v>
      </c>
      <c r="K984" s="114">
        <f t="shared" si="78"/>
        <v>0</v>
      </c>
      <c r="L984" s="113">
        <v>0</v>
      </c>
      <c r="M984" s="115">
        <v>46142</v>
      </c>
      <c r="N984" s="116">
        <f>_xlfn.XLOOKUP(C984,处置清单!C:C,处置清单!E:E)</f>
        <v>5131.86</v>
      </c>
      <c r="O984" s="117">
        <f t="shared" si="79"/>
        <v>45382</v>
      </c>
      <c r="P984" s="118">
        <f t="shared" si="80"/>
        <v>0</v>
      </c>
      <c r="Q984" s="119">
        <f t="shared" si="81"/>
        <v>0</v>
      </c>
      <c r="R984" s="119">
        <f t="shared" si="77"/>
        <v>0</v>
      </c>
      <c r="S984" s="120" t="s">
        <v>106</v>
      </c>
      <c r="U984" s="67"/>
      <c r="V984" s="121"/>
      <c r="W984" s="122"/>
      <c r="X984" s="63"/>
      <c r="Y984" s="63"/>
      <c r="Z984" s="63"/>
      <c r="AA984" s="63"/>
    </row>
    <row r="985" s="59" customFormat="1" ht="16.5" outlineLevel="7" spans="1:27">
      <c r="A985" s="79"/>
      <c r="B985" s="107" t="s">
        <v>195</v>
      </c>
      <c r="C985" s="108">
        <v>100055</v>
      </c>
      <c r="D985" s="109" t="s">
        <v>565</v>
      </c>
      <c r="E985" s="110">
        <v>44506</v>
      </c>
      <c r="F985" s="111">
        <v>36</v>
      </c>
      <c r="G985" s="112">
        <v>0.05</v>
      </c>
      <c r="H985" s="113">
        <v>0</v>
      </c>
      <c r="I985" s="113">
        <v>0</v>
      </c>
      <c r="J985" s="113">
        <v>0</v>
      </c>
      <c r="K985" s="114">
        <f t="shared" si="78"/>
        <v>0</v>
      </c>
      <c r="L985" s="113">
        <v>0</v>
      </c>
      <c r="M985" s="115">
        <v>46142</v>
      </c>
      <c r="N985" s="116">
        <f>_xlfn.XLOOKUP(C985,处置清单!C:C,处置清单!E:E)</f>
        <v>4202.65</v>
      </c>
      <c r="O985" s="117">
        <f t="shared" si="79"/>
        <v>45626</v>
      </c>
      <c r="P985" s="118">
        <f t="shared" si="80"/>
        <v>0</v>
      </c>
      <c r="Q985" s="119">
        <f t="shared" si="81"/>
        <v>0</v>
      </c>
      <c r="R985" s="119">
        <f t="shared" si="77"/>
        <v>0</v>
      </c>
      <c r="S985" s="120" t="s">
        <v>106</v>
      </c>
      <c r="U985" s="67"/>
      <c r="V985" s="121"/>
      <c r="W985" s="122"/>
      <c r="X985" s="63"/>
      <c r="Y985" s="63"/>
      <c r="Z985" s="63"/>
      <c r="AA985" s="63"/>
    </row>
    <row r="986" s="59" customFormat="1" ht="16.5" outlineLevel="7" spans="1:27">
      <c r="A986" s="79"/>
      <c r="B986" s="107" t="s">
        <v>195</v>
      </c>
      <c r="C986" s="108">
        <v>100008</v>
      </c>
      <c r="D986" s="109" t="s">
        <v>545</v>
      </c>
      <c r="E986" s="110">
        <v>44153</v>
      </c>
      <c r="F986" s="111">
        <v>36</v>
      </c>
      <c r="G986" s="112">
        <v>0.05</v>
      </c>
      <c r="H986" s="113">
        <v>0</v>
      </c>
      <c r="I986" s="113">
        <v>0</v>
      </c>
      <c r="J986" s="113">
        <v>0</v>
      </c>
      <c r="K986" s="114">
        <f t="shared" si="78"/>
        <v>0</v>
      </c>
      <c r="L986" s="113">
        <v>0</v>
      </c>
      <c r="M986" s="115">
        <v>46142</v>
      </c>
      <c r="N986" s="116">
        <f>_xlfn.XLOOKUP(C986,处置清单!C:C,处置清单!E:E)</f>
        <v>5999</v>
      </c>
      <c r="O986" s="117">
        <f t="shared" si="79"/>
        <v>45260</v>
      </c>
      <c r="P986" s="118">
        <f t="shared" si="80"/>
        <v>0</v>
      </c>
      <c r="Q986" s="119">
        <f t="shared" si="81"/>
        <v>0</v>
      </c>
      <c r="R986" s="119">
        <f t="shared" si="77"/>
        <v>0</v>
      </c>
      <c r="S986" s="120" t="s">
        <v>106</v>
      </c>
      <c r="U986" s="67"/>
      <c r="V986" s="121"/>
      <c r="W986" s="122"/>
      <c r="X986" s="63"/>
      <c r="Y986" s="63"/>
      <c r="Z986" s="63"/>
      <c r="AA986" s="63"/>
    </row>
    <row r="987" s="59" customFormat="1" ht="16.5" outlineLevel="7" spans="1:27">
      <c r="A987" s="79"/>
      <c r="B987" s="107" t="s">
        <v>195</v>
      </c>
      <c r="C987" s="108">
        <v>100065</v>
      </c>
      <c r="D987" s="109" t="s">
        <v>545</v>
      </c>
      <c r="E987" s="110">
        <v>44589</v>
      </c>
      <c r="F987" s="111">
        <v>36</v>
      </c>
      <c r="G987" s="112">
        <v>0.05</v>
      </c>
      <c r="H987" s="113">
        <v>0</v>
      </c>
      <c r="I987" s="113">
        <v>0</v>
      </c>
      <c r="J987" s="113">
        <v>0</v>
      </c>
      <c r="K987" s="114">
        <f t="shared" si="78"/>
        <v>0</v>
      </c>
      <c r="L987" s="113">
        <v>0</v>
      </c>
      <c r="M987" s="115">
        <v>46142</v>
      </c>
      <c r="N987" s="116">
        <f>_xlfn.XLOOKUP(C987,处置清单!C:C,处置清单!E:E)</f>
        <v>5308.85</v>
      </c>
      <c r="O987" s="117">
        <f t="shared" si="79"/>
        <v>45688</v>
      </c>
      <c r="P987" s="118">
        <f t="shared" si="80"/>
        <v>0</v>
      </c>
      <c r="Q987" s="119">
        <f t="shared" si="81"/>
        <v>0</v>
      </c>
      <c r="R987" s="119">
        <f t="shared" si="77"/>
        <v>0</v>
      </c>
      <c r="S987" s="120" t="s">
        <v>106</v>
      </c>
      <c r="U987" s="67"/>
      <c r="V987" s="121"/>
      <c r="W987" s="122"/>
      <c r="X987" s="63"/>
      <c r="Y987" s="63"/>
      <c r="Z987" s="63"/>
      <c r="AA987" s="63"/>
    </row>
    <row r="988" s="59" customFormat="1" ht="16.5" outlineLevel="7" spans="1:27">
      <c r="A988" s="79"/>
      <c r="B988" s="107" t="s">
        <v>196</v>
      </c>
      <c r="C988" s="108">
        <v>200003</v>
      </c>
      <c r="D988" s="109" t="s">
        <v>736</v>
      </c>
      <c r="E988" s="110">
        <v>44200</v>
      </c>
      <c r="F988" s="111">
        <v>60</v>
      </c>
      <c r="G988" s="112">
        <v>0.05</v>
      </c>
      <c r="H988" s="113">
        <v>0</v>
      </c>
      <c r="I988" s="113">
        <v>0</v>
      </c>
      <c r="J988" s="113">
        <v>0</v>
      </c>
      <c r="K988" s="114">
        <f t="shared" si="78"/>
        <v>0</v>
      </c>
      <c r="L988" s="113">
        <v>2175.37</v>
      </c>
      <c r="M988" s="115">
        <v>46142</v>
      </c>
      <c r="N988" s="116">
        <f>_xlfn.XLOOKUP(C988,处置清单!C:C,处置清单!E:E)</f>
        <v>137391.94</v>
      </c>
      <c r="O988" s="117">
        <f t="shared" si="79"/>
        <v>46053</v>
      </c>
      <c r="P988" s="118">
        <f t="shared" si="80"/>
        <v>1</v>
      </c>
      <c r="Q988" s="119">
        <f t="shared" si="81"/>
        <v>2175.37238333333</v>
      </c>
      <c r="R988" s="119">
        <f t="shared" si="77"/>
        <v>0.00238333333800256</v>
      </c>
      <c r="S988" s="120" t="s">
        <v>106</v>
      </c>
      <c r="U988" s="67"/>
      <c r="V988" s="121"/>
      <c r="W988" s="122"/>
      <c r="X988" s="63"/>
      <c r="Y988" s="63"/>
      <c r="Z988" s="63"/>
      <c r="AA988" s="63"/>
    </row>
    <row r="989" s="59" customFormat="1" ht="16.5" outlineLevel="7" spans="1:27">
      <c r="A989" s="79"/>
      <c r="B989" s="107" t="s">
        <v>195</v>
      </c>
      <c r="C989" s="108">
        <v>100001</v>
      </c>
      <c r="D989" s="109" t="s">
        <v>545</v>
      </c>
      <c r="E989" s="110">
        <v>43990</v>
      </c>
      <c r="F989" s="111">
        <v>36</v>
      </c>
      <c r="G989" s="112">
        <v>0.05</v>
      </c>
      <c r="H989" s="113">
        <v>0</v>
      </c>
      <c r="I989" s="113">
        <v>0</v>
      </c>
      <c r="J989" s="113">
        <v>0</v>
      </c>
      <c r="K989" s="114">
        <f t="shared" si="78"/>
        <v>0</v>
      </c>
      <c r="L989" s="113">
        <v>0</v>
      </c>
      <c r="M989" s="115">
        <v>46142</v>
      </c>
      <c r="N989" s="116">
        <f>_xlfn.XLOOKUP(C989,处置清单!C:C,处置清单!E:E)</f>
        <v>6799</v>
      </c>
      <c r="O989" s="117">
        <f t="shared" si="79"/>
        <v>45107</v>
      </c>
      <c r="P989" s="118">
        <f t="shared" si="80"/>
        <v>0</v>
      </c>
      <c r="Q989" s="119">
        <f t="shared" si="81"/>
        <v>0</v>
      </c>
      <c r="R989" s="119">
        <f t="shared" si="77"/>
        <v>0</v>
      </c>
      <c r="S989" s="120" t="s">
        <v>106</v>
      </c>
      <c r="U989" s="67"/>
      <c r="V989" s="121"/>
      <c r="W989" s="122"/>
      <c r="X989" s="63"/>
      <c r="Y989" s="63"/>
      <c r="Z989" s="63"/>
      <c r="AA989" s="63"/>
    </row>
    <row r="990" s="59" customFormat="1" ht="16.5" outlineLevel="7" spans="1:27">
      <c r="A990" s="79"/>
      <c r="B990" s="107" t="s">
        <v>195</v>
      </c>
      <c r="C990" s="108">
        <v>100079</v>
      </c>
      <c r="D990" s="109" t="s">
        <v>535</v>
      </c>
      <c r="E990" s="110">
        <v>44573</v>
      </c>
      <c r="F990" s="111">
        <v>36</v>
      </c>
      <c r="G990" s="112">
        <v>0.05</v>
      </c>
      <c r="H990" s="113">
        <v>0</v>
      </c>
      <c r="I990" s="113">
        <v>0</v>
      </c>
      <c r="J990" s="113">
        <v>0</v>
      </c>
      <c r="K990" s="114">
        <f t="shared" si="78"/>
        <v>0</v>
      </c>
      <c r="L990" s="113">
        <v>0</v>
      </c>
      <c r="M990" s="115">
        <v>46142</v>
      </c>
      <c r="N990" s="116">
        <f>_xlfn.XLOOKUP(C990,处置清单!C:C,处置清单!E:E)</f>
        <v>3273.45</v>
      </c>
      <c r="O990" s="117">
        <f t="shared" si="79"/>
        <v>45688</v>
      </c>
      <c r="P990" s="118">
        <f t="shared" si="80"/>
        <v>0</v>
      </c>
      <c r="Q990" s="119">
        <f t="shared" si="81"/>
        <v>0</v>
      </c>
      <c r="R990" s="119">
        <f t="shared" si="77"/>
        <v>0</v>
      </c>
      <c r="S990" s="120" t="s">
        <v>106</v>
      </c>
      <c r="U990" s="67"/>
      <c r="V990" s="121"/>
      <c r="W990" s="122"/>
      <c r="X990" s="63"/>
      <c r="Y990" s="63"/>
      <c r="Z990" s="63"/>
      <c r="AA990" s="63"/>
    </row>
    <row r="991" s="59" customFormat="1" ht="16.5" outlineLevel="7" spans="1:27">
      <c r="A991" s="79"/>
      <c r="B991" s="107" t="s">
        <v>196</v>
      </c>
      <c r="C991" s="108">
        <v>200006</v>
      </c>
      <c r="D991" s="109" t="s">
        <v>736</v>
      </c>
      <c r="E991" s="110">
        <v>44265</v>
      </c>
      <c r="F991" s="111">
        <v>60</v>
      </c>
      <c r="G991" s="112">
        <v>0.05</v>
      </c>
      <c r="H991" s="113">
        <v>0</v>
      </c>
      <c r="I991" s="113">
        <v>0</v>
      </c>
      <c r="J991" s="113">
        <v>0</v>
      </c>
      <c r="K991" s="114">
        <f t="shared" si="78"/>
        <v>0</v>
      </c>
      <c r="L991" s="113">
        <v>2269.21000000001</v>
      </c>
      <c r="M991" s="115">
        <v>46142</v>
      </c>
      <c r="N991" s="116">
        <f>_xlfn.XLOOKUP(C991,处置清单!C:C,处置清单!E:E)</f>
        <v>143318.72</v>
      </c>
      <c r="O991" s="117">
        <f t="shared" si="79"/>
        <v>46112</v>
      </c>
      <c r="P991" s="118">
        <f t="shared" si="80"/>
        <v>3</v>
      </c>
      <c r="Q991" s="119">
        <f t="shared" si="81"/>
        <v>6807.6392</v>
      </c>
      <c r="R991" s="119">
        <f t="shared" si="77"/>
        <v>4538.42919999999</v>
      </c>
      <c r="S991" s="120" t="s">
        <v>106</v>
      </c>
      <c r="U991" s="67"/>
      <c r="V991" s="121"/>
      <c r="W991" s="122"/>
      <c r="X991" s="63"/>
      <c r="Y991" s="63"/>
      <c r="Z991" s="63"/>
      <c r="AA991" s="63"/>
    </row>
    <row r="992" s="59" customFormat="1" ht="16.5" spans="1:27">
      <c r="A992" s="79"/>
      <c r="B992" s="129" t="s">
        <v>198</v>
      </c>
      <c r="C992" s="130"/>
      <c r="D992" s="36"/>
      <c r="E992" s="130"/>
      <c r="F992" s="36"/>
      <c r="G992" s="131"/>
      <c r="H992" s="132">
        <f>SUM(H8:H991)</f>
        <v>95603187.0199998</v>
      </c>
      <c r="I992" s="132">
        <f t="shared" ref="I992:L992" si="82">SUM(I8:I991)</f>
        <v>16288014.97</v>
      </c>
      <c r="J992" s="132">
        <f t="shared" si="82"/>
        <v>0</v>
      </c>
      <c r="K992" s="132">
        <f t="shared" si="82"/>
        <v>79315172.0500004</v>
      </c>
      <c r="L992" s="132">
        <f t="shared" si="82"/>
        <v>3470440.23</v>
      </c>
      <c r="M992" s="133"/>
      <c r="N992" s="133"/>
      <c r="O992" s="133"/>
      <c r="P992" s="133"/>
      <c r="Q992" s="133">
        <f>SUM(Q8:Q991)</f>
        <v>3471952.16900973</v>
      </c>
      <c r="R992" s="119">
        <f t="shared" si="77"/>
        <v>1511.93900972605</v>
      </c>
      <c r="S992" s="120" t="s">
        <v>106</v>
      </c>
      <c r="U992" s="67"/>
      <c r="V992" s="121"/>
      <c r="W992" s="122"/>
      <c r="X992" s="63"/>
      <c r="Y992" s="63"/>
      <c r="Z992" s="63"/>
      <c r="AA992" s="63"/>
    </row>
    <row r="993" s="56" customFormat="1" spans="1:27">
      <c r="A993" s="79"/>
      <c r="B993" s="134"/>
      <c r="C993" s="135"/>
      <c r="D993" s="135"/>
      <c r="E993" s="135"/>
      <c r="F993" s="134"/>
      <c r="G993" s="136"/>
      <c r="H993" s="137" t="s">
        <v>109</v>
      </c>
      <c r="I993" s="137" t="s">
        <v>109</v>
      </c>
      <c r="J993" s="137" t="s">
        <v>109</v>
      </c>
      <c r="K993" s="137" t="s">
        <v>109</v>
      </c>
      <c r="L993" s="138"/>
      <c r="M993" s="63"/>
      <c r="N993" s="63"/>
      <c r="U993" s="67"/>
      <c r="V993" s="121"/>
      <c r="W993" s="122"/>
      <c r="X993" s="63"/>
      <c r="Y993" s="63"/>
      <c r="Z993" s="63"/>
      <c r="AA993" s="63"/>
    </row>
    <row r="994" customHeight="1" spans="1:27">
      <c r="F994" s="139"/>
      <c r="H994" s="140">
        <f>H992-'K.01 Agree SL to GL'!Z18</f>
        <v>-1.78813934326172e-7</v>
      </c>
      <c r="I994" s="140">
        <f>I992-'K.01 Agree SL to GL'!Z24</f>
        <v>3.91155481338501e-8</v>
      </c>
      <c r="K994" s="140">
        <f>K992-'K.01 Agree SL to GL'!Z32</f>
        <v>3.72529029846191e-7</v>
      </c>
      <c r="L994" s="138">
        <f>L992-'K.01 Agree SL to GL'!Z20</f>
        <v>0</v>
      </c>
      <c r="U994" s="67"/>
      <c r="V994" s="121"/>
      <c r="W994" s="122"/>
    </row>
    <row r="995" customHeight="1" spans="1:27">
      <c r="B995" s="141" t="s">
        <v>156</v>
      </c>
      <c r="C995" s="142"/>
      <c r="D995" s="143"/>
      <c r="E995" s="143"/>
      <c r="F995" s="143"/>
      <c r="G995" s="143"/>
      <c r="H995" s="143"/>
      <c r="I995" s="143"/>
      <c r="J995" s="144"/>
      <c r="K995" s="143"/>
      <c r="N995" s="145"/>
      <c r="U995" s="67"/>
      <c r="V995" s="121"/>
      <c r="W995" s="122"/>
    </row>
    <row r="996" customHeight="1" spans="1:27">
      <c r="B996" s="146" t="s">
        <v>1291</v>
      </c>
      <c r="C996" s="147"/>
      <c r="D996" s="147"/>
      <c r="E996" s="147"/>
      <c r="F996" s="147"/>
      <c r="G996" s="148"/>
      <c r="H996" s="143"/>
      <c r="I996" s="61"/>
      <c r="Q996" s="149"/>
      <c r="U996" s="67"/>
      <c r="V996" s="121"/>
      <c r="W996" s="122"/>
    </row>
    <row r="997" customHeight="1" spans="1:27">
      <c r="A997" s="62"/>
      <c r="B997" s="150"/>
      <c r="C997" s="151"/>
      <c r="D997" s="151"/>
      <c r="E997" s="151"/>
      <c r="F997" s="151"/>
      <c r="G997" s="152"/>
      <c r="H997" s="143"/>
      <c r="I997" s="61"/>
      <c r="J997" s="143"/>
      <c r="K997" s="143"/>
      <c r="U997" s="67"/>
      <c r="V997" s="121"/>
      <c r="W997" s="122"/>
    </row>
    <row r="998" customHeight="1" spans="1:27">
      <c r="A998" s="62"/>
      <c r="B998" s="153"/>
      <c r="C998" s="154"/>
      <c r="D998" s="154"/>
      <c r="E998" s="154"/>
      <c r="F998" s="154"/>
      <c r="G998" s="155"/>
      <c r="I998" s="156"/>
      <c r="K998" s="149"/>
      <c r="U998" s="67"/>
      <c r="V998" s="121"/>
      <c r="W998" s="122"/>
    </row>
    <row r="999" customHeight="1" spans="1:27">
      <c r="U999" s="67"/>
    </row>
    <row r="1000" customHeight="1" spans="1:27">
      <c r="U1000" s="67"/>
    </row>
    <row r="1001" customHeight="1" spans="1:27">
      <c r="U1001" s="67"/>
    </row>
    <row r="1002" customHeight="1" spans="1:27">
      <c r="A1002" s="67"/>
      <c r="B1002" s="67"/>
      <c r="C1002" s="67"/>
      <c r="D1002" s="67"/>
      <c r="E1002" s="67"/>
      <c r="F1002" s="67"/>
      <c r="G1002" s="67"/>
      <c r="H1002" s="67"/>
      <c r="I1002" s="67"/>
      <c r="J1002" s="67"/>
      <c r="K1002" s="67"/>
      <c r="L1002" s="67"/>
      <c r="M1002" s="67"/>
      <c r="N1002" s="67"/>
      <c r="O1002" s="67"/>
      <c r="P1002" s="67"/>
      <c r="Q1002" s="67"/>
      <c r="R1002" s="67"/>
      <c r="S1002" s="67"/>
      <c r="T1002" s="67"/>
      <c r="U1002" s="67"/>
    </row>
    <row r="1005" customHeight="1" spans="1:27">
      <c r="K1005" s="149"/>
    </row>
  </sheetData>
  <autoFilter xmlns:etc="http://www.wps.cn/officeDocument/2017/etCustomData" ref="B7:R998" etc:filterBottomFollowUsedRange="0">
    <extLst/>
  </autoFilter>
  <mergeCells count="3">
    <mergeCell ref="M6:N6"/>
    <mergeCell ref="O6:S6"/>
    <mergeCell ref="B996:G998"/>
  </mergeCells>
  <conditionalFormatting sqref="P7">
    <cfRule type="cellIs" dxfId="2" priority="3" operator="equal">
      <formula>0</formula>
    </cfRule>
  </conditionalFormatting>
  <conditionalFormatting sqref="S8:S992">
    <cfRule type="cellIs" dxfId="3" priority="2" operator="equal">
      <formula>"m"</formula>
    </cfRule>
  </conditionalFormatting>
  <conditionalFormatting sqref="B8:L991 B996">
    <cfRule type="containsBlanks" dxfId="1" priority="1">
      <formula>LEN(TRIM(B8))=0</formula>
    </cfRule>
  </conditionalFormatting>
  <pageMargins left="0.7" right="0.7" top="0.75" bottom="0.75" header="0.3" footer="0.3"/>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14"/>
  <sheetViews>
    <sheetView showGridLines="0" zoomScale="85" zoomScaleNormal="85" topLeftCell="B7" workbookViewId="0">
      <selection activeCell="J19" sqref="J19"/>
    </sheetView>
  </sheetViews>
  <sheetFormatPr defaultColWidth="9" defaultRowHeight="14.25"/>
  <cols>
    <col min="1" max="1" width="2.45" style="4" customWidth="1"/>
    <col min="2" max="3" width="22.45" style="4" customWidth="1"/>
    <col min="4" max="4" width="16.45" style="4" customWidth="1"/>
    <col min="5" max="9" width="22.45" style="4" customWidth="1"/>
    <col min="10" max="10" width="9.26666666666667" style="4" customWidth="1"/>
    <col min="11" max="11" width="8.725" style="4" customWidth="1"/>
    <col min="12" max="12" width="2.45" style="4" customWidth="1"/>
    <col min="13" max="13" width="1.45" style="4" customWidth="1"/>
    <col min="14" max="16384" width="9" style="4"/>
  </cols>
  <sheetData>
    <row r="1" ht="50.15" customHeight="1" spans="1:30">
      <c r="A1" s="5"/>
      <c r="B1" s="6" t="s">
        <v>183</v>
      </c>
      <c r="C1" s="7"/>
      <c r="D1" s="7"/>
      <c r="E1" s="7"/>
      <c r="F1" s="7"/>
      <c r="G1" s="7"/>
      <c r="H1" s="7"/>
      <c r="I1" s="7"/>
      <c r="J1" s="7"/>
      <c r="K1" s="8"/>
      <c r="M1" s="9"/>
    </row>
    <row r="2" s="1" customFormat="1" ht="30" customHeight="1" spans="1:30">
      <c r="A2" s="10"/>
      <c r="B2" s="11" t="s">
        <v>1292</v>
      </c>
      <c r="C2" s="12"/>
      <c r="D2" s="12"/>
      <c r="E2" s="12"/>
      <c r="F2" s="12"/>
      <c r="G2" s="12"/>
      <c r="H2" s="12"/>
      <c r="I2" s="12"/>
      <c r="J2" s="12"/>
      <c r="K2" s="13"/>
      <c r="M2" s="14"/>
    </row>
    <row r="3" spans="1:30">
      <c r="A3" s="5"/>
      <c r="B3" s="15"/>
      <c r="C3" s="15"/>
      <c r="D3" s="5"/>
      <c r="E3" s="15"/>
      <c r="F3" s="16"/>
      <c r="G3" s="16"/>
      <c r="H3" s="15"/>
      <c r="I3" s="5"/>
      <c r="J3" s="17"/>
      <c r="M3" s="9"/>
    </row>
    <row r="4" ht="16.5" spans="1:30">
      <c r="A4" s="5"/>
      <c r="B4" s="18" t="s">
        <v>82</v>
      </c>
      <c r="C4" s="19"/>
      <c r="D4" s="5"/>
      <c r="E4" s="15"/>
      <c r="F4" s="16"/>
      <c r="G4" s="16"/>
      <c r="H4" s="15"/>
      <c r="I4" s="5"/>
      <c r="J4" s="17"/>
      <c r="M4" s="9"/>
      <c r="AD4" s="20" t="s">
        <v>1124</v>
      </c>
    </row>
    <row r="5" spans="1:30">
      <c r="A5" s="5"/>
      <c r="B5" s="21"/>
      <c r="C5" s="19"/>
      <c r="D5" s="5"/>
      <c r="E5" s="15"/>
      <c r="F5" s="16"/>
      <c r="G5" s="16"/>
      <c r="H5" s="15"/>
      <c r="I5" s="5"/>
      <c r="J5" s="17"/>
      <c r="M5" s="9"/>
      <c r="AD5" s="22" t="s">
        <v>1293</v>
      </c>
    </row>
    <row r="6" s="2" customFormat="1" ht="16.5" spans="1:30">
      <c r="B6" s="23" t="s">
        <v>1294</v>
      </c>
      <c r="M6" s="9"/>
      <c r="X6" s="24"/>
      <c r="AD6" s="22" t="s">
        <v>1295</v>
      </c>
    </row>
    <row r="7" s="3" customFormat="1" ht="16.5" spans="1:30">
      <c r="B7" s="25" t="s">
        <v>1296</v>
      </c>
      <c r="H7" s="26"/>
      <c r="M7" s="9"/>
      <c r="X7" s="24"/>
      <c r="AD7" s="22" t="s">
        <v>1297</v>
      </c>
    </row>
    <row r="8" s="3" customFormat="1" spans="1:30">
      <c r="A8" s="27"/>
      <c r="B8" s="28"/>
      <c r="C8" s="29"/>
      <c r="D8" s="29"/>
      <c r="E8" s="29"/>
      <c r="F8" s="29"/>
      <c r="G8" s="29"/>
      <c r="H8" s="29"/>
      <c r="I8" s="27"/>
      <c r="J8" s="27"/>
      <c r="K8" s="27"/>
      <c r="L8" s="27"/>
      <c r="M8" s="9"/>
      <c r="X8" s="24"/>
      <c r="AD8" s="22" t="s">
        <v>1298</v>
      </c>
    </row>
    <row r="9" s="3" customFormat="1" ht="16.5" spans="1:30">
      <c r="B9" s="30" t="s">
        <v>188</v>
      </c>
      <c r="C9" s="31" t="s">
        <v>1299</v>
      </c>
      <c r="D9" s="32"/>
      <c r="E9" s="32"/>
      <c r="F9" s="32"/>
      <c r="G9" s="32"/>
      <c r="H9" s="33"/>
      <c r="M9" s="9"/>
      <c r="X9" s="24"/>
      <c r="AD9" s="22" t="s">
        <v>1300</v>
      </c>
    </row>
    <row r="10" s="3" customFormat="1" ht="14.15" customHeight="1" spans="1:30">
      <c r="B10" s="34"/>
      <c r="C10" s="35">
        <f>'K.00 Lead Sheet'!C3</f>
        <v>46142</v>
      </c>
      <c r="D10" s="35"/>
      <c r="E10" s="35"/>
      <c r="F10" s="35">
        <v>46022</v>
      </c>
      <c r="G10" s="35"/>
      <c r="H10" s="35"/>
      <c r="I10" s="35" t="s">
        <v>270</v>
      </c>
      <c r="J10" s="35"/>
      <c r="K10" s="35"/>
      <c r="L10" s="27"/>
      <c r="M10" s="9"/>
      <c r="X10" s="24"/>
      <c r="AD10" s="22" t="s">
        <v>1301</v>
      </c>
    </row>
    <row r="11" s="3" customFormat="1" ht="14.15" customHeight="1" spans="1:30">
      <c r="B11" s="36" t="s">
        <v>975</v>
      </c>
      <c r="C11" s="37" t="s">
        <v>1302</v>
      </c>
      <c r="D11" s="37"/>
      <c r="E11" s="37"/>
      <c r="F11" s="37" t="s">
        <v>1302</v>
      </c>
      <c r="G11" s="37"/>
      <c r="H11" s="37"/>
      <c r="I11" s="37" t="b">
        <f>C11=F11</f>
        <v>1</v>
      </c>
      <c r="J11" s="37"/>
      <c r="K11" s="37"/>
      <c r="L11" s="27"/>
      <c r="M11" s="9"/>
      <c r="X11" s="24"/>
      <c r="AD11" s="22" t="s">
        <v>1303</v>
      </c>
    </row>
    <row r="12" s="3" customFormat="1" ht="14.15" customHeight="1" spans="1:30">
      <c r="B12" s="37" t="s">
        <v>1304</v>
      </c>
      <c r="C12" s="38" t="s">
        <v>1305</v>
      </c>
      <c r="D12" s="38" t="s">
        <v>1306</v>
      </c>
      <c r="E12" s="38" t="s">
        <v>1307</v>
      </c>
      <c r="F12" s="38" t="s">
        <v>1305</v>
      </c>
      <c r="G12" s="38" t="s">
        <v>1306</v>
      </c>
      <c r="H12" s="38" t="s">
        <v>1307</v>
      </c>
      <c r="I12" s="39" t="s">
        <v>1305</v>
      </c>
      <c r="J12" s="39" t="s">
        <v>1306</v>
      </c>
      <c r="K12" s="39" t="s">
        <v>1308</v>
      </c>
      <c r="L12" s="27"/>
      <c r="M12" s="9"/>
      <c r="X12" s="24"/>
      <c r="AD12" s="22" t="s">
        <v>1309</v>
      </c>
    </row>
    <row r="13" s="3" customFormat="1" ht="14.15" customHeight="1" spans="1:30">
      <c r="B13" s="40" t="s">
        <v>191</v>
      </c>
      <c r="C13" s="37" t="s">
        <v>1310</v>
      </c>
      <c r="D13" s="41">
        <v>0.05</v>
      </c>
      <c r="E13" s="42" t="s">
        <v>1311</v>
      </c>
      <c r="F13" s="37" t="s">
        <v>1310</v>
      </c>
      <c r="G13" s="41">
        <v>0.05</v>
      </c>
      <c r="H13" s="42" t="s">
        <v>1311</v>
      </c>
      <c r="I13" s="43" t="b">
        <f t="shared" ref="I13:I18" si="0">C13=F13</f>
        <v>1</v>
      </c>
      <c r="J13" s="44">
        <f>D13-G13</f>
        <v>0</v>
      </c>
      <c r="K13" s="45"/>
      <c r="L13" s="27"/>
      <c r="M13" s="9"/>
      <c r="X13" s="24"/>
      <c r="AD13" s="22" t="s">
        <v>1312</v>
      </c>
    </row>
    <row r="14" s="3" customFormat="1" spans="1:30">
      <c r="B14" s="40" t="s">
        <v>192</v>
      </c>
      <c r="C14" s="37" t="s">
        <v>1313</v>
      </c>
      <c r="D14" s="41">
        <v>0.05</v>
      </c>
      <c r="E14" s="42" t="s">
        <v>1314</v>
      </c>
      <c r="F14" s="37" t="s">
        <v>1313</v>
      </c>
      <c r="G14" s="41">
        <v>0.05</v>
      </c>
      <c r="H14" s="42" t="s">
        <v>1314</v>
      </c>
      <c r="I14" s="43" t="b">
        <f t="shared" si="0"/>
        <v>1</v>
      </c>
      <c r="J14" s="44">
        <f t="shared" ref="J14:J18" si="1">D14-G14</f>
        <v>0</v>
      </c>
      <c r="K14" s="45"/>
      <c r="L14" s="27"/>
      <c r="M14" s="9"/>
      <c r="X14" s="24"/>
      <c r="AD14" s="22" t="s">
        <v>1315</v>
      </c>
    </row>
    <row r="15" s="3" customFormat="1" spans="1:30">
      <c r="B15" s="40" t="s">
        <v>193</v>
      </c>
      <c r="C15" s="37" t="s">
        <v>1316</v>
      </c>
      <c r="D15" s="41">
        <v>0.05</v>
      </c>
      <c r="E15" s="42" t="s">
        <v>1317</v>
      </c>
      <c r="F15" s="37" t="s">
        <v>1316</v>
      </c>
      <c r="G15" s="41">
        <v>0.05</v>
      </c>
      <c r="H15" s="42" t="s">
        <v>1317</v>
      </c>
      <c r="I15" s="43" t="b">
        <f t="shared" si="0"/>
        <v>1</v>
      </c>
      <c r="J15" s="44">
        <f t="shared" si="1"/>
        <v>0</v>
      </c>
      <c r="K15" s="45"/>
      <c r="L15" s="27"/>
      <c r="M15" s="9"/>
      <c r="X15" s="24"/>
      <c r="AD15" s="22" t="s">
        <v>1318</v>
      </c>
    </row>
    <row r="16" s="3" customFormat="1" spans="1:30">
      <c r="B16" s="40" t="s">
        <v>194</v>
      </c>
      <c r="C16" s="37" t="s">
        <v>1319</v>
      </c>
      <c r="D16" s="41">
        <v>0.05</v>
      </c>
      <c r="E16" s="42" t="s">
        <v>1320</v>
      </c>
      <c r="F16" s="37" t="s">
        <v>1319</v>
      </c>
      <c r="G16" s="41">
        <v>0.05</v>
      </c>
      <c r="H16" s="42" t="s">
        <v>1320</v>
      </c>
      <c r="I16" s="43" t="b">
        <f t="shared" si="0"/>
        <v>1</v>
      </c>
      <c r="J16" s="44">
        <f t="shared" si="1"/>
        <v>0</v>
      </c>
      <c r="K16" s="45"/>
      <c r="L16" s="27"/>
      <c r="M16" s="9"/>
      <c r="X16" s="24"/>
      <c r="AD16" s="22" t="s">
        <v>1321</v>
      </c>
    </row>
    <row r="17" s="3" customFormat="1" spans="1:30">
      <c r="B17" s="40" t="s">
        <v>195</v>
      </c>
      <c r="C17" s="37" t="s">
        <v>1316</v>
      </c>
      <c r="D17" s="41">
        <v>0.05</v>
      </c>
      <c r="E17" s="42" t="s">
        <v>1317</v>
      </c>
      <c r="F17" s="37" t="s">
        <v>1316</v>
      </c>
      <c r="G17" s="41">
        <v>0.05</v>
      </c>
      <c r="H17" s="42" t="s">
        <v>1317</v>
      </c>
      <c r="I17" s="43" t="b">
        <f t="shared" si="0"/>
        <v>1</v>
      </c>
      <c r="J17" s="44">
        <f t="shared" si="1"/>
        <v>0</v>
      </c>
      <c r="K17" s="45"/>
      <c r="L17" s="27"/>
      <c r="M17" s="9"/>
      <c r="X17" s="24"/>
      <c r="AD17" s="22" t="s">
        <v>1322</v>
      </c>
    </row>
    <row r="18" s="3" customFormat="1" spans="1:30">
      <c r="B18" s="40" t="s">
        <v>196</v>
      </c>
      <c r="C18" s="37" t="s">
        <v>1316</v>
      </c>
      <c r="D18" s="41">
        <v>0.05</v>
      </c>
      <c r="E18" s="42" t="s">
        <v>1317</v>
      </c>
      <c r="F18" s="37" t="s">
        <v>1316</v>
      </c>
      <c r="G18" s="41">
        <v>0.05</v>
      </c>
      <c r="H18" s="42" t="s">
        <v>1317</v>
      </c>
      <c r="I18" s="43" t="b">
        <f t="shared" si="0"/>
        <v>1</v>
      </c>
      <c r="J18" s="44">
        <f t="shared" si="1"/>
        <v>0</v>
      </c>
      <c r="K18" s="45"/>
      <c r="L18" s="27"/>
      <c r="M18" s="9"/>
      <c r="X18" s="24"/>
      <c r="AD18" s="22" t="s">
        <v>1323</v>
      </c>
    </row>
    <row r="19" s="2" customFormat="1" ht="16.5" spans="1:30">
      <c r="I19" s="46"/>
      <c r="J19" s="46"/>
      <c r="K19" s="46"/>
      <c r="M19" s="9"/>
      <c r="X19" s="24"/>
      <c r="AD19" s="22" t="s">
        <v>1324</v>
      </c>
    </row>
    <row r="20" s="2" customFormat="1" ht="16.5" spans="1:30">
      <c r="B20" s="47" t="s">
        <v>156</v>
      </c>
      <c r="C20" s="48"/>
      <c r="D20" s="48"/>
      <c r="I20" s="46"/>
      <c r="J20" s="46"/>
      <c r="K20" s="46"/>
      <c r="M20" s="9"/>
      <c r="X20" s="24"/>
      <c r="AD20" s="22" t="s">
        <v>1325</v>
      </c>
    </row>
    <row r="21" s="2" customFormat="1" ht="87" customHeight="1" spans="1:30">
      <c r="B21" s="49" t="s">
        <v>1326</v>
      </c>
      <c r="C21" s="50"/>
      <c r="D21" s="50"/>
      <c r="E21" s="50"/>
      <c r="F21" s="50"/>
      <c r="G21" s="50"/>
      <c r="H21" s="51"/>
      <c r="I21" s="46"/>
      <c r="J21" s="46"/>
      <c r="K21" s="46"/>
      <c r="L21" s="52"/>
      <c r="M21" s="9"/>
      <c r="N21" s="46"/>
      <c r="O21" s="46"/>
      <c r="P21" s="46"/>
      <c r="Q21" s="46"/>
      <c r="R21" s="53"/>
      <c r="S21" s="24"/>
      <c r="T21" s="24"/>
      <c r="X21" s="24"/>
      <c r="AD21" s="22" t="s">
        <v>1327</v>
      </c>
    </row>
    <row r="22" ht="15" customHeight="1" spans="1:30">
      <c r="A22" s="5"/>
      <c r="B22" s="5"/>
      <c r="C22" s="5"/>
      <c r="D22" s="5"/>
      <c r="E22" s="5"/>
      <c r="F22" s="5"/>
      <c r="G22" s="5"/>
      <c r="H22" s="5"/>
      <c r="I22" s="5"/>
      <c r="M22" s="9"/>
      <c r="AD22" s="22" t="s">
        <v>1328</v>
      </c>
    </row>
    <row r="23" ht="7.5" customHeight="1" spans="1:30">
      <c r="A23" s="9"/>
      <c r="B23" s="9"/>
      <c r="C23" s="9"/>
      <c r="D23" s="9"/>
      <c r="E23" s="9"/>
      <c r="F23" s="9"/>
      <c r="G23" s="9"/>
      <c r="H23" s="9"/>
      <c r="I23" s="9"/>
      <c r="J23" s="9"/>
      <c r="K23" s="9"/>
      <c r="L23" s="9"/>
      <c r="M23" s="9"/>
      <c r="AD23" s="22" t="s">
        <v>1329</v>
      </c>
    </row>
    <row r="24" spans="1:30">
      <c r="AD24" s="22" t="s">
        <v>1330</v>
      </c>
    </row>
    <row r="25" spans="1:30">
      <c r="B25" s="54"/>
      <c r="AD25" s="22" t="s">
        <v>1331</v>
      </c>
    </row>
    <row r="26" spans="1:30">
      <c r="AD26" s="22" t="s">
        <v>1332</v>
      </c>
    </row>
    <row r="27" spans="1:30">
      <c r="AD27" s="22" t="s">
        <v>1333</v>
      </c>
    </row>
    <row r="28" spans="1:30">
      <c r="AD28" s="22" t="s">
        <v>1334</v>
      </c>
    </row>
    <row r="29" spans="1:30">
      <c r="AD29" s="22" t="s">
        <v>1335</v>
      </c>
    </row>
    <row r="30" spans="1:30">
      <c r="AD30" s="22" t="s">
        <v>1336</v>
      </c>
    </row>
    <row r="31" spans="1:30">
      <c r="AD31" s="22" t="s">
        <v>1337</v>
      </c>
    </row>
    <row r="32" spans="1:30">
      <c r="AD32" s="22" t="s">
        <v>1338</v>
      </c>
    </row>
    <row r="33" spans="30:30">
      <c r="AD33" s="22" t="s">
        <v>1339</v>
      </c>
    </row>
    <row r="34" spans="30:30">
      <c r="AD34" s="22" t="s">
        <v>1340</v>
      </c>
    </row>
    <row r="35" spans="30:30">
      <c r="AD35" s="22" t="s">
        <v>1341</v>
      </c>
    </row>
    <row r="36" spans="30:30">
      <c r="AD36" s="22" t="s">
        <v>1342</v>
      </c>
    </row>
    <row r="37" spans="30:30">
      <c r="AD37" s="22" t="s">
        <v>1343</v>
      </c>
    </row>
    <row r="38" spans="30:30">
      <c r="AD38" s="22" t="s">
        <v>1344</v>
      </c>
    </row>
    <row r="39" spans="30:30">
      <c r="AD39" s="22" t="s">
        <v>1345</v>
      </c>
    </row>
    <row r="40" spans="30:30">
      <c r="AD40" s="22" t="s">
        <v>1346</v>
      </c>
    </row>
    <row r="41" spans="30:30">
      <c r="AD41" s="22" t="s">
        <v>1347</v>
      </c>
    </row>
    <row r="42" spans="30:30">
      <c r="AD42" s="22" t="s">
        <v>1348</v>
      </c>
    </row>
    <row r="43" spans="30:30">
      <c r="AD43" s="22" t="s">
        <v>1349</v>
      </c>
    </row>
    <row r="44" spans="30:30">
      <c r="AD44" s="22" t="s">
        <v>1350</v>
      </c>
    </row>
    <row r="45" spans="30:30">
      <c r="AD45" s="22" t="s">
        <v>1351</v>
      </c>
    </row>
    <row r="46" spans="30:30">
      <c r="AD46" s="22" t="s">
        <v>1352</v>
      </c>
    </row>
    <row r="47" spans="30:30">
      <c r="AD47" s="22" t="s">
        <v>1353</v>
      </c>
    </row>
    <row r="48" spans="30:30">
      <c r="AD48" s="22" t="s">
        <v>1354</v>
      </c>
    </row>
    <row r="49" spans="30:30">
      <c r="AD49" s="22" t="s">
        <v>1355</v>
      </c>
    </row>
    <row r="50" spans="30:30">
      <c r="AD50" s="22" t="s">
        <v>1356</v>
      </c>
    </row>
    <row r="51" spans="30:30">
      <c r="AD51" s="22" t="s">
        <v>1357</v>
      </c>
    </row>
    <row r="52" spans="30:30">
      <c r="AD52" s="22" t="s">
        <v>1358</v>
      </c>
    </row>
    <row r="53" spans="30:30">
      <c r="AD53" s="22" t="s">
        <v>1359</v>
      </c>
    </row>
    <row r="54" spans="30:30">
      <c r="AD54" s="22" t="s">
        <v>1360</v>
      </c>
    </row>
    <row r="55" spans="30:30">
      <c r="AD55" s="22" t="s">
        <v>1361</v>
      </c>
    </row>
    <row r="56" spans="30:30">
      <c r="AD56" s="22" t="s">
        <v>1362</v>
      </c>
    </row>
    <row r="57" spans="30:30">
      <c r="AD57" s="22" t="s">
        <v>1363</v>
      </c>
    </row>
    <row r="58" spans="30:30">
      <c r="AD58" s="22" t="s">
        <v>1364</v>
      </c>
    </row>
    <row r="59" spans="30:30">
      <c r="AD59" s="22" t="s">
        <v>1365</v>
      </c>
    </row>
    <row r="60" spans="30:30">
      <c r="AD60" s="22" t="s">
        <v>1366</v>
      </c>
    </row>
    <row r="61" spans="30:30">
      <c r="AD61" s="22" t="s">
        <v>1367</v>
      </c>
    </row>
    <row r="62" spans="30:30">
      <c r="AD62" s="22" t="s">
        <v>1368</v>
      </c>
    </row>
    <row r="63" spans="30:30">
      <c r="AD63" s="22" t="s">
        <v>1369</v>
      </c>
    </row>
    <row r="64" spans="30:30">
      <c r="AD64" s="22" t="s">
        <v>1370</v>
      </c>
    </row>
    <row r="65" spans="30:30">
      <c r="AD65" s="22" t="s">
        <v>1371</v>
      </c>
    </row>
    <row r="66" spans="30:30">
      <c r="AD66" s="22" t="s">
        <v>1372</v>
      </c>
    </row>
    <row r="67" spans="30:30">
      <c r="AD67" s="22" t="s">
        <v>1373</v>
      </c>
    </row>
    <row r="68" spans="30:30">
      <c r="AD68" s="22" t="s">
        <v>1374</v>
      </c>
    </row>
    <row r="69" spans="30:30">
      <c r="AD69" s="22" t="s">
        <v>1375</v>
      </c>
    </row>
    <row r="70" spans="30:30">
      <c r="AD70" s="22" t="s">
        <v>1376</v>
      </c>
    </row>
    <row r="71" spans="30:30">
      <c r="AD71" s="22" t="s">
        <v>1377</v>
      </c>
    </row>
    <row r="72" spans="30:30">
      <c r="AD72" s="22" t="s">
        <v>1378</v>
      </c>
    </row>
    <row r="73" spans="30:30">
      <c r="AD73" s="22" t="s">
        <v>1379</v>
      </c>
    </row>
    <row r="74" spans="30:30">
      <c r="AD74" s="22" t="s">
        <v>1380</v>
      </c>
    </row>
    <row r="75" spans="30:30">
      <c r="AD75" s="22" t="s">
        <v>1381</v>
      </c>
    </row>
    <row r="76" spans="30:30">
      <c r="AD76" s="22" t="s">
        <v>1382</v>
      </c>
    </row>
    <row r="77" spans="30:30">
      <c r="AD77" s="22" t="s">
        <v>1383</v>
      </c>
    </row>
    <row r="78" spans="30:30">
      <c r="AD78" s="22" t="s">
        <v>1384</v>
      </c>
    </row>
    <row r="79" spans="30:30">
      <c r="AD79" s="22" t="s">
        <v>1385</v>
      </c>
    </row>
    <row r="80" spans="30:30">
      <c r="AD80" s="22" t="s">
        <v>1386</v>
      </c>
    </row>
    <row r="81" spans="30:30">
      <c r="AD81" s="22" t="s">
        <v>1387</v>
      </c>
    </row>
    <row r="82" spans="30:30">
      <c r="AD82" s="22" t="s">
        <v>1388</v>
      </c>
    </row>
    <row r="83" spans="30:30">
      <c r="AD83" s="22" t="s">
        <v>1389</v>
      </c>
    </row>
    <row r="84" spans="30:30">
      <c r="AD84" s="22" t="s">
        <v>1390</v>
      </c>
    </row>
    <row r="85" spans="30:30">
      <c r="AD85" s="22" t="s">
        <v>1391</v>
      </c>
    </row>
    <row r="86" spans="30:30">
      <c r="AD86" s="22" t="s">
        <v>1392</v>
      </c>
    </row>
    <row r="87" spans="30:30">
      <c r="AD87" s="22" t="s">
        <v>1393</v>
      </c>
    </row>
    <row r="88" spans="30:30">
      <c r="AD88" s="22" t="s">
        <v>1394</v>
      </c>
    </row>
    <row r="89" spans="30:30">
      <c r="AD89" s="22" t="s">
        <v>1395</v>
      </c>
    </row>
    <row r="90" spans="30:30">
      <c r="AD90" s="22" t="s">
        <v>1396</v>
      </c>
    </row>
    <row r="91" spans="30:30">
      <c r="AD91" s="22" t="s">
        <v>1397</v>
      </c>
    </row>
    <row r="92" spans="30:30">
      <c r="AD92" s="22" t="s">
        <v>1398</v>
      </c>
    </row>
    <row r="93" spans="30:30">
      <c r="AD93" s="22" t="s">
        <v>1399</v>
      </c>
    </row>
    <row r="94" spans="30:30">
      <c r="AD94" s="22" t="s">
        <v>1400</v>
      </c>
    </row>
    <row r="95" spans="30:30">
      <c r="AD95" s="22" t="s">
        <v>1401</v>
      </c>
    </row>
    <row r="96" spans="30:30">
      <c r="AD96" s="22" t="s">
        <v>1402</v>
      </c>
    </row>
    <row r="97" spans="30:30">
      <c r="AD97" s="22" t="s">
        <v>1403</v>
      </c>
    </row>
    <row r="98" spans="30:30">
      <c r="AD98" s="22" t="s">
        <v>1404</v>
      </c>
    </row>
    <row r="99" spans="30:30">
      <c r="AD99" s="22" t="s">
        <v>1405</v>
      </c>
    </row>
    <row r="100" spans="30:30">
      <c r="AD100" s="22" t="s">
        <v>1406</v>
      </c>
    </row>
    <row r="101" spans="30:30">
      <c r="AD101" s="22" t="s">
        <v>1407</v>
      </c>
    </row>
    <row r="102" spans="30:30">
      <c r="AD102" s="22" t="s">
        <v>1408</v>
      </c>
    </row>
    <row r="103" spans="30:30">
      <c r="AD103" s="22" t="s">
        <v>1409</v>
      </c>
    </row>
    <row r="104" spans="30:30">
      <c r="AD104" s="22" t="s">
        <v>1410</v>
      </c>
    </row>
    <row r="105" spans="30:30">
      <c r="AD105" s="22" t="s">
        <v>1411</v>
      </c>
    </row>
    <row r="106" spans="30:30">
      <c r="AD106" s="22" t="s">
        <v>1412</v>
      </c>
    </row>
    <row r="107" spans="30:30">
      <c r="AD107" s="22" t="s">
        <v>1413</v>
      </c>
    </row>
    <row r="108" spans="30:30">
      <c r="AD108" s="22" t="s">
        <v>1414</v>
      </c>
    </row>
    <row r="109" spans="30:30">
      <c r="AD109" s="22" t="s">
        <v>1415</v>
      </c>
    </row>
    <row r="110" spans="30:30">
      <c r="AD110" s="22" t="s">
        <v>1416</v>
      </c>
    </row>
    <row r="111" spans="30:30">
      <c r="AD111" s="22" t="s">
        <v>1417</v>
      </c>
    </row>
    <row r="112" spans="30:30">
      <c r="AD112" s="22" t="s">
        <v>1418</v>
      </c>
    </row>
    <row r="113" spans="30:30">
      <c r="AD113" s="22" t="s">
        <v>1419</v>
      </c>
    </row>
    <row r="114" spans="30:30">
      <c r="AD114" s="22" t="s">
        <v>1420</v>
      </c>
    </row>
  </sheetData>
  <mergeCells count="8">
    <mergeCell ref="C9:H9"/>
    <mergeCell ref="C10:E10"/>
    <mergeCell ref="F10:H10"/>
    <mergeCell ref="I10:K10"/>
    <mergeCell ref="C11:E11"/>
    <mergeCell ref="F11:H11"/>
    <mergeCell ref="I11:K11"/>
    <mergeCell ref="B21:H21"/>
  </mergeCells>
  <conditionalFormatting sqref="C11:K11">
    <cfRule type="containsBlanks" dxfId="1" priority="5">
      <formula>LEN(TRIM(C11))=0</formula>
    </cfRule>
  </conditionalFormatting>
  <conditionalFormatting sqref="B21">
    <cfRule type="containsBlanks" dxfId="1" priority="2">
      <formula>LEN(TRIM(B21))=0</formula>
    </cfRule>
  </conditionalFormatting>
  <conditionalFormatting sqref="B13:D18">
    <cfRule type="containsBlanks" dxfId="1" priority="3">
      <formula>LEN(TRIM(B13))=0</formula>
    </cfRule>
  </conditionalFormatting>
  <conditionalFormatting sqref="F13:G18">
    <cfRule type="containsBlanks" dxfId="1" priority="1">
      <formula>LEN(TRIM(F13))=0</formula>
    </cfRule>
  </conditionalFormatting>
  <conditionalFormatting sqref="I13:J18">
    <cfRule type="containsBlanks" dxfId="1" priority="4">
      <formula>LEN(TRIM(I13))=0</formula>
    </cfRule>
  </conditionalFormatting>
  <hyperlinks>
    <hyperlink ref="B4" location="'汇总 '!A1" display="返回汇总页"/>
  </hyperlinks>
  <pageMargins left="0.7" right="0.7" top="0.75" bottom="0.75" header="0.3" footer="0.3"/>
  <headerFooter/>
  <drawing r:id="rId2"/>
  <legacyDrawing r:id="rId3"/>
</worksheet>
</file>

<file path=customUI/_rels/customUI.xml.rels><?xml version="1.0" encoding="UTF-8" standalone="yes"?>
<Relationships xmlns="http://schemas.openxmlformats.org/package/2006/relationships"><Relationship Id="Extract" Type="http://schemas.openxmlformats.org/officeDocument/2006/relationships/image" Target="images/Extract.jpg"/><Relationship Id="DeleteRow" Type="http://schemas.openxmlformats.org/officeDocument/2006/relationships/image" Target="images/DeleteRow.jpg"/><Relationship Id="AddRow" Type="http://schemas.openxmlformats.org/officeDocument/2006/relationships/image" Target="images/AddRow.jpg"/></Relationships>
</file>

<file path=customUI/customUI.xml><?xml version="1.0" encoding="utf-8"?>
<customUI xmlns="http://schemas.microsoft.com/office/2009/07/customui">
  <ribbon>
    <tabs>
      <tab id="Enabler" label="AuditStandardization" visible="true">
        <group id="Func" label="ExcelFunction" visible="true">
          <button description="Extract Data for PPELead" enabled="true" id="Copy_Data" image="Extract" size="large" label="Extract Data For Lead" screentip="Extract Data For PPE Lead" showImage="true" showLabel="true" supertip="Extract Data For PPE Lead" visible="true" onAction="UploadPPEData"/>
          <button description="Extract CRA Data from Canvas" enabled="true" id="Extract_Data" image="Extract" size="large" label="Extract CRA Data From Canvas" screentip="Extract CRA Data From Canvas" showImage="true" showLabel="true" supertip="Extract CRA Data From Canvas" visible="true" onAction="UpdateCRA"/>
          <button description="Generate OSP" enabled="true" id="Generate_OSP" image="Extract" size="large" label="Generate OSP" screentip="Generate OSP Sheet" showImage="true" showLabel="true" supertip="Generate the OSP Sheet" visible="true" onAction="OSPforPPEButton"/>
          <button description="Goto PSP Selection" enabled="true" id="PSP_Selection" image="Extract" size="large" label="Goto PSP Selection" screentip="Goto PSP" showImage="true" showLabel="true" supertip="Goto PSP" visible="true" onAction="GotoPSPSelection"/>
          <button description="Generate New Macro" enabled="true" id="Generate_New" image="Extract" size="large" label="Generate New Macro" screentip="Generate New Macro" showImage="true" showLabel="true" supertip="Generate New Macro" visible="true" onAction="GenerateNewMacro"/>
          <button description="Extact Excel" enabled="true" id="Extract_Excel" image="Extract" size="large" label="Extract Excel" screentip="Saves workbook" showImage="true" showLabel="true" supertip="Save As Workbook" visible="true" onAction="ExtractExcel"/>
        </group>
      </tab>
    </tabs>
  </ribbon>
</customUI>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254" master="" otherUserPermission="visible"/>
  <rangeList sheetStid="217" master="" otherUserPermission="visible"/>
  <rangeList sheetStid="225" master="" otherUserPermission="visible"/>
  <rangeList sheetStid="226" master="" otherUserPermission="visible"/>
  <rangeList sheetStid="252" master="" otherUserPermission="visible"/>
  <rangeList sheetStid="218" master="" otherUserPermission="visible"/>
  <rangeList sheetStid="253" master="" otherUserPermission="visible"/>
  <rangeList sheetStid="221" master="" otherUserPermission="visible"/>
  <rangeList sheetStid="170" master="" otherUserPermission="visible"/>
  <rangeList sheetStid="222" master="" otherUserPermission="visible"/>
  <rangeList sheetStid="242" master="" otherUserPermission="visible"/>
  <rangeList sheetStid="238" master="" otherUserPermission="visible"/>
</allowEditUser>
</file>

<file path=customXml/item2.xml>���ech�e�^�ech0�Q�[{|�Wh��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B31EACC-D18A-4B93-A9AD-038CF374B51D}">
  <ds:schemaRefs/>
</ds:datastoreItem>
</file>

<file path=customXml/itemProps3.xml><?xml version="1.0" encoding="utf-8"?>
<ds:datastoreItem xmlns:ds="http://schemas.openxmlformats.org/officeDocument/2006/customXml" ds:itemID="{634E35E6-5B3F-4278-A13E-A6A53437F838}">
  <ds:schemaRefs/>
</ds:datastoreItem>
</file>

<file path=customXml/itemProps4.xml><?xml version="1.0" encoding="utf-8"?>
<ds:datastoreItem xmlns:ds="http://schemas.openxmlformats.org/officeDocument/2006/customXml" ds:itemID="{F24E9DA6-74DD-488C-9C89-98AE865032C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Comments【归档前删除】</vt:lpstr>
      <vt:lpstr>汇总 </vt:lpstr>
      <vt:lpstr>K.00 Lead Sheet</vt:lpstr>
      <vt:lpstr>K.01 Agree SL to GL</vt:lpstr>
      <vt:lpstr>FA list</vt:lpstr>
      <vt:lpstr>K.02.1 新增测试 </vt:lpstr>
      <vt:lpstr>Skywind抽样底稿</vt:lpstr>
      <vt:lpstr>新增清单</vt:lpstr>
      <vt:lpstr>SkywindSettingSheet</vt:lpstr>
      <vt:lpstr>处置清单</vt:lpstr>
      <vt:lpstr>K.03.2 折旧测试TOD-by item测试</vt:lpstr>
      <vt:lpstr>K.03.3 折旧政策复核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Skywind_K1_固定资产_20201231_sihan13.xlsx</dc:title>
  <dc:creator>Jyothi Prakash A</dc:creator>
  <cp:keywords>Final Audit.V6.K1.0922</cp:keywords>
  <dc:description>8C639849-B002-4EB7-A119-1A38F8B535F1</dc:description>
  <cp:lastModifiedBy>。</cp:lastModifiedBy>
  <dcterms:created xsi:type="dcterms:W3CDTF">2006-09-16T00:00:00Z</dcterms:created>
  <dcterms:modified xsi:type="dcterms:W3CDTF">2026-06-27T15:43:39Z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0x0101006EEA8793B4E4CF489D9818C66A88A6D7</vt:lpwstr>
  </property>
  <property fmtid="{D5CDD505-2E9C-101B-9397-08002B2CF9AE}" pid="3" name="ICV">
    <vt:lpwstr>8853D672B212403697900376B141766A_12</vt:lpwstr>
  </property>
  <property fmtid="{D5CDD505-2E9C-101B-9397-08002B2CF9AE}" pid="4" name="KSOProductBuildVer">
    <vt:lpwstr>2052-12.1.0.26895</vt:lpwstr>
  </property>
  <property fmtid="{D5CDD505-2E9C-101B-9397-08002B2CF9AE}" pid="5" name="CalculationRule">
    <vt:i4>0</vt:i4>
  </property>
</Properties>
</file>