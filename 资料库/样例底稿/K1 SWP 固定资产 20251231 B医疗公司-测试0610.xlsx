
<file path=[Content_Types].xml><?xml version="1.0" encoding="utf-8"?>
<Types xmlns="http://schemas.openxmlformats.org/package/2006/content-types">
  <Default Extension="xml" ContentType="application/xml"/>
  <Default Extension="jpeg" ContentType="image/jpeg"/>
  <Default Extension="JPG" ContentType="image/.jpg"/>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5" Type="http://schemas.microsoft.com/office/2006/relationships/ui/extensibility" Target="customUI/customUI.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10045" tabRatio="898" activeTab="5"/>
  </bookViews>
  <sheets>
    <sheet name="Comments【归档前删除】" sheetId="243" r:id="rId1"/>
    <sheet name="汇总 " sheetId="217" r:id="rId2"/>
    <sheet name="K.00 Lead Sheet" sheetId="225" r:id="rId3"/>
    <sheet name="K.01 Agree SL to GL" sheetId="226" r:id="rId4"/>
    <sheet name="K.01.1a FA list" sheetId="239" r:id="rId5"/>
    <sheet name="K.02.1 新增测试 " sheetId="218" r:id="rId6"/>
    <sheet name="新增清单" sheetId="221" r:id="rId7"/>
    <sheet name="K.02.1a 新增选样输出" sheetId="248" r:id="rId8"/>
    <sheet name="K.02.2 处置测试" sheetId="219" state="hidden" r:id="rId9"/>
    <sheet name="SkywindSettingSheet" sheetId="170" state="veryHidden" r:id="rId10"/>
    <sheet name="处置清单" sheetId="222" r:id="rId11"/>
    <sheet name="K1_400折旧测试" sheetId="241" r:id="rId12"/>
    <sheet name="K.03.1 SAP" sheetId="237" state="hidden" r:id="rId13"/>
    <sheet name="K.03.2 折旧测试TOD" sheetId="28" state="hidden" r:id="rId14"/>
    <sheet name="K.03.3 折旧政策复核" sheetId="238" state="hidden" r:id="rId15"/>
    <sheet name="DS_INTERNAL_DOCUMENT_STORAGE" sheetId="244" state="veryHidden" r:id="rId16"/>
    <sheet name="DS_INTERNAL_SETTINGS_STORAGE" sheetId="245" state="veryHidden" r:id="rId17"/>
    <sheet name="DS_INTERNAL_DOCGROUP_STORAGE" sheetId="246" state="veryHidden" r:id="rId18"/>
    <sheet name="DS_INTERNAL_SNIP_STORAGE" sheetId="247" state="veryHidden" r:id="rId19"/>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xlnm._FilterDatabase" localSheetId="4" hidden="1">'K.01.1a FA list'!$A$16:$AM$337</definedName>
    <definedName name="_xlnm._FilterDatabase" localSheetId="6" hidden="1">新增清单!$A$4:$U$25</definedName>
    <definedName name="_xlnm._FilterDatabase" localSheetId="11" hidden="1">K1_400折旧测试!$A$92:$XP$417</definedName>
    <definedName name="_">#REF!</definedName>
    <definedName name="_.xls">#REF!</definedName>
    <definedName name="_____dod1" localSheetId="2" hidden="1">{#N/A,#N/A,TRUE,"CPRD";#N/A,#N/A,TRUE,"BCCPDR";#N/A,#N/A,TRUE,"EWRD";#N/A,#N/A,TRUE,"5100";#N/A,#N/A,TRUE,"5110"}</definedName>
    <definedName name="_____dod1" localSheetId="3" hidden="1">{#N/A,#N/A,TRUE,"CPRD";#N/A,#N/A,TRUE,"BCCPDR";#N/A,#N/A,TRUE,"EWRD";#N/A,#N/A,TRUE,"5100";#N/A,#N/A,TRUE,"5110"}</definedName>
    <definedName name="_____dod1" localSheetId="4" hidden="1">{#N/A,#N/A,TRUE,"CPRD";#N/A,#N/A,TRUE,"BCCPDR";#N/A,#N/A,TRUE,"EWRD";#N/A,#N/A,TRUE,"5100";#N/A,#N/A,TRUE,"5110"}</definedName>
    <definedName name="_____dod1" localSheetId="12" hidden="1">{#N/A,#N/A,TRUE,"CPRD";#N/A,#N/A,TRUE,"BCCPDR";#N/A,#N/A,TRUE,"EWRD";#N/A,#N/A,TRUE,"5100";#N/A,#N/A,TRUE,"5110"}</definedName>
    <definedName name="_____dod1" localSheetId="14" hidden="1">{#N/A,#N/A,TRUE,"CPRD";#N/A,#N/A,TRUE,"BCCPDR";#N/A,#N/A,TRUE,"EWRD";#N/A,#N/A,TRUE,"5100";#N/A,#N/A,TRUE,"5110"}</definedName>
    <definedName name="_____dod1" localSheetId="11" hidden="1">{#N/A,#N/A,TRUE,"CPRD";#N/A,#N/A,TRUE,"BCCPDR";#N/A,#N/A,TRUE,"EWRD";#N/A,#N/A,TRUE,"5100";#N/A,#N/A,TRUE,"5110"}</definedName>
    <definedName name="_____dod1" localSheetId="10" hidden="1">{#N/A,#N/A,TRUE,"CPRD";#N/A,#N/A,TRUE,"BCCPDR";#N/A,#N/A,TRUE,"EWRD";#N/A,#N/A,TRUE,"5100";#N/A,#N/A,TRUE,"5110"}</definedName>
    <definedName name="_____dod1" localSheetId="6" hidden="1">{#N/A,#N/A,TRUE,"CPRD";#N/A,#N/A,TRUE,"BCCPDR";#N/A,#N/A,TRUE,"EWRD";#N/A,#N/A,TRUE,"5100";#N/A,#N/A,TRUE,"5110"}</definedName>
    <definedName name="_____dod1" hidden="1">{#N/A,#N/A,TRUE,"CPRD";#N/A,#N/A,TRUE,"BCCPDR";#N/A,#N/A,TRUE,"EWRD";#N/A,#N/A,TRUE,"5100";#N/A,#N/A,TRUE,"5110"}</definedName>
    <definedName name="____dod1" localSheetId="2" hidden="1">{#N/A,#N/A,TRUE,"CPRD";#N/A,#N/A,TRUE,"BCCPDR";#N/A,#N/A,TRUE,"EWRD";#N/A,#N/A,TRUE,"5100";#N/A,#N/A,TRUE,"5110"}</definedName>
    <definedName name="____dod1" localSheetId="3" hidden="1">{#N/A,#N/A,TRUE,"CPRD";#N/A,#N/A,TRUE,"BCCPDR";#N/A,#N/A,TRUE,"EWRD";#N/A,#N/A,TRUE,"5100";#N/A,#N/A,TRUE,"5110"}</definedName>
    <definedName name="____dod1" localSheetId="4" hidden="1">{#N/A,#N/A,TRUE,"CPRD";#N/A,#N/A,TRUE,"BCCPDR";#N/A,#N/A,TRUE,"EWRD";#N/A,#N/A,TRUE,"5100";#N/A,#N/A,TRUE,"5110"}</definedName>
    <definedName name="____dod1" localSheetId="12" hidden="1">{#N/A,#N/A,TRUE,"CPRD";#N/A,#N/A,TRUE,"BCCPDR";#N/A,#N/A,TRUE,"EWRD";#N/A,#N/A,TRUE,"5100";#N/A,#N/A,TRUE,"5110"}</definedName>
    <definedName name="____dod1" localSheetId="14" hidden="1">{#N/A,#N/A,TRUE,"CPRD";#N/A,#N/A,TRUE,"BCCPDR";#N/A,#N/A,TRUE,"EWRD";#N/A,#N/A,TRUE,"5100";#N/A,#N/A,TRUE,"5110"}</definedName>
    <definedName name="____dod1" localSheetId="11" hidden="1">{#N/A,#N/A,TRUE,"CPRD";#N/A,#N/A,TRUE,"BCCPDR";#N/A,#N/A,TRUE,"EWRD";#N/A,#N/A,TRUE,"5100";#N/A,#N/A,TRUE,"5110"}</definedName>
    <definedName name="____dod1" localSheetId="10" hidden="1">{#N/A,#N/A,TRUE,"CPRD";#N/A,#N/A,TRUE,"BCCPDR";#N/A,#N/A,TRUE,"EWRD";#N/A,#N/A,TRUE,"5100";#N/A,#N/A,TRUE,"5110"}</definedName>
    <definedName name="____dod1" localSheetId="6" hidden="1">{#N/A,#N/A,TRUE,"CPRD";#N/A,#N/A,TRUE,"BCCPDR";#N/A,#N/A,TRUE,"EWRD";#N/A,#N/A,TRUE,"5100";#N/A,#N/A,TRUE,"5110"}</definedName>
    <definedName name="____dod1" hidden="1">{#N/A,#N/A,TRUE,"CPRD";#N/A,#N/A,TRUE,"BCCPDR";#N/A,#N/A,TRUE,"EWRD";#N/A,#N/A,TRUE,"5100";#N/A,#N/A,TRUE,"5110"}</definedName>
    <definedName name="___dod1" localSheetId="2" hidden="1">{#N/A,#N/A,TRUE,"CPRD";#N/A,#N/A,TRUE,"BCCPDR";#N/A,#N/A,TRUE,"EWRD";#N/A,#N/A,TRUE,"5100";#N/A,#N/A,TRUE,"5110"}</definedName>
    <definedName name="___dod1" localSheetId="3" hidden="1">{#N/A,#N/A,TRUE,"CPRD";#N/A,#N/A,TRUE,"BCCPDR";#N/A,#N/A,TRUE,"EWRD";#N/A,#N/A,TRUE,"5100";#N/A,#N/A,TRUE,"5110"}</definedName>
    <definedName name="___dod1" localSheetId="4" hidden="1">{#N/A,#N/A,TRUE,"CPRD";#N/A,#N/A,TRUE,"BCCPDR";#N/A,#N/A,TRUE,"EWRD";#N/A,#N/A,TRUE,"5100";#N/A,#N/A,TRUE,"5110"}</definedName>
    <definedName name="___dod1" localSheetId="12" hidden="1">{#N/A,#N/A,TRUE,"CPRD";#N/A,#N/A,TRUE,"BCCPDR";#N/A,#N/A,TRUE,"EWRD";#N/A,#N/A,TRUE,"5100";#N/A,#N/A,TRUE,"5110"}</definedName>
    <definedName name="___dod1" localSheetId="14" hidden="1">{#N/A,#N/A,TRUE,"CPRD";#N/A,#N/A,TRUE,"BCCPDR";#N/A,#N/A,TRUE,"EWRD";#N/A,#N/A,TRUE,"5100";#N/A,#N/A,TRUE,"5110"}</definedName>
    <definedName name="___dod1" localSheetId="11" hidden="1">{#N/A,#N/A,TRUE,"CPRD";#N/A,#N/A,TRUE,"BCCPDR";#N/A,#N/A,TRUE,"EWRD";#N/A,#N/A,TRUE,"5100";#N/A,#N/A,TRUE,"5110"}</definedName>
    <definedName name="___dod1" localSheetId="10" hidden="1">{#N/A,#N/A,TRUE,"CPRD";#N/A,#N/A,TRUE,"BCCPDR";#N/A,#N/A,TRUE,"EWRD";#N/A,#N/A,TRUE,"5100";#N/A,#N/A,TRUE,"5110"}</definedName>
    <definedName name="___dod1" localSheetId="6" hidden="1">{#N/A,#N/A,TRUE,"CPRD";#N/A,#N/A,TRUE,"BCCPDR";#N/A,#N/A,TRUE,"EWRD";#N/A,#N/A,TRUE,"5100";#N/A,#N/A,TRUE,"5110"}</definedName>
    <definedName name="___dod1" hidden="1">{#N/A,#N/A,TRUE,"CPRD";#N/A,#N/A,TRUE,"BCCPDR";#N/A,#N/A,TRUE,"EWRD";#N/A,#N/A,TRUE,"5100";#N/A,#N/A,TRUE,"5110"}</definedName>
    <definedName name="___dog1" localSheetId="2" hidden="1">{#N/A,#N/A,TRUE,"CPRD";#N/A,#N/A,TRUE,"BCCPDR";#N/A,#N/A,TRUE,"EWRD";#N/A,#N/A,TRUE,"5100";#N/A,#N/A,TRUE,"5110"}</definedName>
    <definedName name="___dog1" localSheetId="3" hidden="1">{#N/A,#N/A,TRUE,"CPRD";#N/A,#N/A,TRUE,"BCCPDR";#N/A,#N/A,TRUE,"EWRD";#N/A,#N/A,TRUE,"5100";#N/A,#N/A,TRUE,"5110"}</definedName>
    <definedName name="___dog1" localSheetId="4" hidden="1">{#N/A,#N/A,TRUE,"CPRD";#N/A,#N/A,TRUE,"BCCPDR";#N/A,#N/A,TRUE,"EWRD";#N/A,#N/A,TRUE,"5100";#N/A,#N/A,TRUE,"5110"}</definedName>
    <definedName name="___dog1" localSheetId="12" hidden="1">{#N/A,#N/A,TRUE,"CPRD";#N/A,#N/A,TRUE,"BCCPDR";#N/A,#N/A,TRUE,"EWRD";#N/A,#N/A,TRUE,"5100";#N/A,#N/A,TRUE,"5110"}</definedName>
    <definedName name="___dog1" localSheetId="14" hidden="1">{#N/A,#N/A,TRUE,"CPRD";#N/A,#N/A,TRUE,"BCCPDR";#N/A,#N/A,TRUE,"EWRD";#N/A,#N/A,TRUE,"5100";#N/A,#N/A,TRUE,"5110"}</definedName>
    <definedName name="___dog1" localSheetId="11" hidden="1">{#N/A,#N/A,TRUE,"CPRD";#N/A,#N/A,TRUE,"BCCPDR";#N/A,#N/A,TRUE,"EWRD";#N/A,#N/A,TRUE,"5100";#N/A,#N/A,TRUE,"5110"}</definedName>
    <definedName name="___dog1" localSheetId="10" hidden="1">{#N/A,#N/A,TRUE,"CPRD";#N/A,#N/A,TRUE,"BCCPDR";#N/A,#N/A,TRUE,"EWRD";#N/A,#N/A,TRUE,"5100";#N/A,#N/A,TRUE,"5110"}</definedName>
    <definedName name="___dog1" localSheetId="6" hidden="1">{#N/A,#N/A,TRUE,"CPRD";#N/A,#N/A,TRUE,"BCCPDR";#N/A,#N/A,TRUE,"EWRD";#N/A,#N/A,TRUE,"5100";#N/A,#N/A,TRUE,"5110"}</definedName>
    <definedName name="___dog1" hidden="1">{#N/A,#N/A,TRUE,"CPRD";#N/A,#N/A,TRUE,"BCCPDR";#N/A,#N/A,TRUE,"EWRD";#N/A,#N/A,TRUE,"5100";#N/A,#N/A,TRUE,"5110"}</definedName>
    <definedName name="__123Graph_A" localSheetId="4" hidden="1">[1]ProdCompar!#REF!</definedName>
    <definedName name="__123Graph_A" localSheetId="11" hidden="1">[1]ProdCompar!#REF!</definedName>
    <definedName name="__123Graph_A" hidden="1">#REF!</definedName>
    <definedName name="__123Graph_ACURRENT" hidden="1">#REF!</definedName>
    <definedName name="__123Graph_AGraph1" localSheetId="4" hidden="1">[1]ProdCompar!#REF!</definedName>
    <definedName name="__123Graph_AGraph1" localSheetId="11" hidden="1">[1]ProdCompar!#REF!</definedName>
    <definedName name="__123Graph_AGraph1" hidden="1">#REF!</definedName>
    <definedName name="__123Graph_ANETPROFIT2" hidden="1">#REF!</definedName>
    <definedName name="__123Graph_APROJECT" hidden="1">#REF!</definedName>
    <definedName name="__123Graph_B" localSheetId="4" hidden="1">[1]ProdCompar!#REF!</definedName>
    <definedName name="__123Graph_B" localSheetId="11" hidden="1">[1]ProdCompar!#REF!</definedName>
    <definedName name="__123Graph_B" hidden="1">#REF!</definedName>
    <definedName name="__123Graph_BGraph1" localSheetId="4" hidden="1">[1]ProdCompar!#REF!</definedName>
    <definedName name="__123Graph_BGraph1" localSheetId="11" hidden="1">[1]ProdCompar!#REF!</definedName>
    <definedName name="__123Graph_BGraph1" hidden="1">#REF!</definedName>
    <definedName name="__123Graph_C" localSheetId="4" hidden="1">[1]ProdCompar!#REF!</definedName>
    <definedName name="__123Graph_C" localSheetId="11" hidden="1">[1]ProdCompar!#REF!</definedName>
    <definedName name="__123Graph_C" hidden="1">#REF!</definedName>
    <definedName name="__123Graph_CCURRENT" hidden="1">#REF!</definedName>
    <definedName name="__123Graph_CGraph1" localSheetId="4" hidden="1">[1]ProdCompar!#REF!</definedName>
    <definedName name="__123Graph_CGraph1" localSheetId="11" hidden="1">[1]ProdCompar!#REF!</definedName>
    <definedName name="__123Graph_CGraph1" hidden="1">#REF!</definedName>
    <definedName name="__123Graph_D" localSheetId="4" hidden="1">'[2]Lease AP 2008'!#REF!</definedName>
    <definedName name="__123Graph_D" localSheetId="11" hidden="1">'[2]Lease AP 2008'!#REF!</definedName>
    <definedName name="__123Graph_D" hidden="1">#REF!</definedName>
    <definedName name="__123Graph_DCURRENT" hidden="1">#REF!</definedName>
    <definedName name="__123Graph_DGraph1" localSheetId="4" hidden="1">[1]ProdCompar!#REF!</definedName>
    <definedName name="__123Graph_DGraph1" localSheetId="11" hidden="1">[1]ProdCompar!#REF!</definedName>
    <definedName name="__123Graph_DGraph1" hidden="1">#REF!</definedName>
    <definedName name="__123Graph_E" localSheetId="4" hidden="1">[1]ProdCompar!#REF!</definedName>
    <definedName name="__123Graph_E" localSheetId="11" hidden="1">[1]ProdCompar!#REF!</definedName>
    <definedName name="__123Graph_E" hidden="1">#REF!</definedName>
    <definedName name="__123Graph_ECURRENT" hidden="1">#REF!</definedName>
    <definedName name="__123Graph_EGraph1" localSheetId="4" hidden="1">[1]ProdCompar!#REF!</definedName>
    <definedName name="__123Graph_EGraph1" localSheetId="11" hidden="1">[1]ProdCompar!#REF!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localSheetId="4" hidden="1">[1]ProdCompar!$B$3:$M$3</definedName>
    <definedName name="__123Graph_X" localSheetId="11" hidden="1">[1]ProdCompar!$B$3:$M$3</definedName>
    <definedName name="__123Graph_X" hidden="1">#REF!</definedName>
    <definedName name="__123Graph_XGraph1" localSheetId="4" hidden="1">[1]ProdCompar!$B$3:$M$3</definedName>
    <definedName name="__123Graph_XGraph1" localSheetId="11" hidden="1">[1]ProdCompar!$B$3:$M$3</definedName>
    <definedName name="__123Graph_XGraph1" hidden="1">#REF!</definedName>
    <definedName name="__A11" localSheetId="14" hidden="1">{#N/A,#N/A,FALSE,"Umsatz 99";#N/A,#N/A,FALSE,"ER 99 "}</definedName>
    <definedName name="__A11" hidden="1">{#N/A,#N/A,FALSE,"Umsatz 99";#N/A,#N/A,FALSE,"ER 99 "}</definedName>
    <definedName name="__c" localSheetId="14"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dod1" localSheetId="2" hidden="1">{#N/A,#N/A,TRUE,"CPRD";#N/A,#N/A,TRUE,"BCCPDR";#N/A,#N/A,TRUE,"EWRD";#N/A,#N/A,TRUE,"5100";#N/A,#N/A,TRUE,"5110"}</definedName>
    <definedName name="__dod1" localSheetId="3" hidden="1">{#N/A,#N/A,TRUE,"CPRD";#N/A,#N/A,TRUE,"BCCPDR";#N/A,#N/A,TRUE,"EWRD";#N/A,#N/A,TRUE,"5100";#N/A,#N/A,TRUE,"5110"}</definedName>
    <definedName name="__dod1" localSheetId="4" hidden="1">{#N/A,#N/A,TRUE,"CPRD";#N/A,#N/A,TRUE,"BCCPDR";#N/A,#N/A,TRUE,"EWRD";#N/A,#N/A,TRUE,"5100";#N/A,#N/A,TRUE,"5110"}</definedName>
    <definedName name="__dod1" localSheetId="12" hidden="1">{#N/A,#N/A,TRUE,"CPRD";#N/A,#N/A,TRUE,"BCCPDR";#N/A,#N/A,TRUE,"EWRD";#N/A,#N/A,TRUE,"5100";#N/A,#N/A,TRUE,"5110"}</definedName>
    <definedName name="__dod1" localSheetId="14" hidden="1">{#N/A,#N/A,TRUE,"CPRD";#N/A,#N/A,TRUE,"BCCPDR";#N/A,#N/A,TRUE,"EWRD";#N/A,#N/A,TRUE,"5100";#N/A,#N/A,TRUE,"5110"}</definedName>
    <definedName name="__dod1" localSheetId="11" hidden="1">{#N/A,#N/A,TRUE,"CPRD";#N/A,#N/A,TRUE,"BCCPDR";#N/A,#N/A,TRUE,"EWRD";#N/A,#N/A,TRUE,"5100";#N/A,#N/A,TRUE,"5110"}</definedName>
    <definedName name="__dod1" localSheetId="10" hidden="1">{#N/A,#N/A,TRUE,"CPRD";#N/A,#N/A,TRUE,"BCCPDR";#N/A,#N/A,TRUE,"EWRD";#N/A,#N/A,TRUE,"5100";#N/A,#N/A,TRUE,"5110"}</definedName>
    <definedName name="__dod1" localSheetId="6" hidden="1">{#N/A,#N/A,TRUE,"CPRD";#N/A,#N/A,TRUE,"BCCPDR";#N/A,#N/A,TRUE,"EWRD";#N/A,#N/A,TRUE,"5100";#N/A,#N/A,TRUE,"5110"}</definedName>
    <definedName name="__dod1" hidden="1">{#N/A,#N/A,TRUE,"CPRD";#N/A,#N/A,TRUE,"BCCPDR";#N/A,#N/A,TRUE,"EWRD";#N/A,#N/A,TRUE,"5100";#N/A,#N/A,TRUE,"5110"}</definedName>
    <definedName name="__dog1" localSheetId="2" hidden="1">{#N/A,#N/A,TRUE,"CPRD";#N/A,#N/A,TRUE,"BCCPDR";#N/A,#N/A,TRUE,"EWRD";#N/A,#N/A,TRUE,"5100";#N/A,#N/A,TRUE,"5110"}</definedName>
    <definedName name="__dog1" localSheetId="3" hidden="1">{#N/A,#N/A,TRUE,"CPRD";#N/A,#N/A,TRUE,"BCCPDR";#N/A,#N/A,TRUE,"EWRD";#N/A,#N/A,TRUE,"5100";#N/A,#N/A,TRUE,"5110"}</definedName>
    <definedName name="__dog1" localSheetId="4" hidden="1">{#N/A,#N/A,TRUE,"CPRD";#N/A,#N/A,TRUE,"BCCPDR";#N/A,#N/A,TRUE,"EWRD";#N/A,#N/A,TRUE,"5100";#N/A,#N/A,TRUE,"5110"}</definedName>
    <definedName name="__dog1" localSheetId="12" hidden="1">{#N/A,#N/A,TRUE,"CPRD";#N/A,#N/A,TRUE,"BCCPDR";#N/A,#N/A,TRUE,"EWRD";#N/A,#N/A,TRUE,"5100";#N/A,#N/A,TRUE,"5110"}</definedName>
    <definedName name="__dog1" localSheetId="14" hidden="1">{#N/A,#N/A,TRUE,"CPRD";#N/A,#N/A,TRUE,"BCCPDR";#N/A,#N/A,TRUE,"EWRD";#N/A,#N/A,TRUE,"5100";#N/A,#N/A,TRUE,"5110"}</definedName>
    <definedName name="__dog1" localSheetId="11" hidden="1">{#N/A,#N/A,TRUE,"CPRD";#N/A,#N/A,TRUE,"BCCPDR";#N/A,#N/A,TRUE,"EWRD";#N/A,#N/A,TRUE,"5100";#N/A,#N/A,TRUE,"5110"}</definedName>
    <definedName name="__dog1" localSheetId="10" hidden="1">{#N/A,#N/A,TRUE,"CPRD";#N/A,#N/A,TRUE,"BCCPDR";#N/A,#N/A,TRUE,"EWRD";#N/A,#N/A,TRUE,"5100";#N/A,#N/A,TRUE,"5110"}</definedName>
    <definedName name="__dog1" localSheetId="6" hidden="1">{#N/A,#N/A,TRUE,"CPRD";#N/A,#N/A,TRUE,"BCCPDR";#N/A,#N/A,TRUE,"EWRD";#N/A,#N/A,TRUE,"5100";#N/A,#N/A,TRUE,"5110"}</definedName>
    <definedName name="__dog1" hidden="1">{#N/A,#N/A,TRUE,"CPRD";#N/A,#N/A,TRUE,"BCCPDR";#N/A,#N/A,TRUE,"EWRD";#N/A,#N/A,TRUE,"5100";#N/A,#N/A,TRUE,"5110"}</definedName>
    <definedName name="__FDS_HYPERLINK_TOGGLE_STATE__" hidden="1">"ON"</definedName>
    <definedName name="__H200" localSheetId="14" hidden="1">{#N/A,#N/A,FALSE,"ABB HOLDING LTD"}</definedName>
    <definedName name="__H200" hidden="1">{#N/A,#N/A,FALSE,"ABB HOLDING LTD"}</definedName>
    <definedName name="__IntlFixup" hidden="1">TRUE</definedName>
    <definedName name="_00">#REF!</definedName>
    <definedName name="_005">#REF!</definedName>
    <definedName name="_01.xls">#REF!</definedName>
    <definedName name="_02.xls">#REF!</definedName>
    <definedName name="_03.xls">#REF!</definedName>
    <definedName name="_0hlz">#REF!</definedName>
    <definedName name="_0hw">#REF!</definedName>
    <definedName name="_0hz">#REF!</definedName>
    <definedName name="_0HZL">#REF!</definedName>
    <definedName name="_0hzlr">#REF!</definedName>
    <definedName name="_0hzww">#REF!</definedName>
    <definedName name="_1" hidden="1">#REF!</definedName>
    <definedName name="_1_">#REF!</definedName>
    <definedName name="_1__123Graph_ACHART_3" hidden="1">#REF!</definedName>
    <definedName name="_11.xls">#REF!</definedName>
    <definedName name="_11U400_" localSheetId="11">OFFSET(Full_Print,0,0,K1_400折旧测试!Last_Row)</definedName>
    <definedName name="_11U400_">OFFSET(Full_Print,0,0,Last_Row)</definedName>
    <definedName name="_12.xls">#REF!</definedName>
    <definedName name="_121.dbf">#REF!</definedName>
    <definedName name="_1212002.dbf">#REF!</definedName>
    <definedName name="_12c_" localSheetId="14" hidden="1">{"Fiesta Facer Page",#N/A,FALSE,"Q_C_S";"Fiesta Main Page",#N/A,FALSE,"V_L";"Fiesta 95BP Struct",#N/A,FALSE,"StructBP";"Fiesta Post 95BP Struct",#N/A,FALSE,"AdjStructBP"}</definedName>
    <definedName name="_12c_" hidden="1">{"Fiesta Facer Page",#N/A,FALSE,"Q_C_S";"Fiesta Main Page",#N/A,FALSE,"V_L";"Fiesta 95BP Struct",#N/A,FALSE,"StructBP";"Fiesta Post 95BP Struct",#N/A,FALSE,"AdjStructBP"}</definedName>
    <definedName name="_12H200_" localSheetId="14" hidden="1">{#N/A,#N/A,FALSE,"ABB HOLDING LTD"}</definedName>
    <definedName name="_12H200_" hidden="1">{#N/A,#N/A,FALSE,"ABB HOLDING LTD"}</definedName>
    <definedName name="_13U500_" localSheetId="11">IF(K1_400折旧测试!Values_Entered,Header_Row+K1_400折旧测试!Number_of_Payments,Header_Row)</definedName>
    <definedName name="_13U500_">IF(Values_Entered,Header_Row+Number_of_Payments,Header_Row)</definedName>
    <definedName name="_15wrn.²Ä1­Ó¤ë1_Ü20¤H." localSheetId="12" hidden="1">{#N/A,#N/A,FALSE,"²Ä1­Ó¤ë"}</definedName>
    <definedName name="_15wrn.²Ä1­Ó¤ë1_Ü20¤H." localSheetId="14" hidden="1">{#N/A,#N/A,FALSE,"²Ä1­Ó¤ë"}</definedName>
    <definedName name="_15wrn.²Ä1­Ó¤ë1_Ü20¤H." hidden="1">{#N/A,#N/A,FALSE,"²Ä1­Ó¤ë"}</definedName>
    <definedName name="_15其他资产_开办费除外_明细表">#REF!</definedName>
    <definedName name="_16wrn.²Ä1­Ó¤ë1_Ü20¤H." localSheetId="12" hidden="1">{#N/A,#N/A,FALSE,"²Ä1­Ó¤ë"}</definedName>
    <definedName name="_16wrn.²Ä1­Ó¤ë1_Ü20¤H." localSheetId="14" hidden="1">{#N/A,#N/A,FALSE,"²Ä1­Ó¤ë"}</definedName>
    <definedName name="_16wrn.²Ä1­Ó¤ë1_Ü20¤H." hidden="1">{#N/A,#N/A,FALSE,"²Ä1­Ó¤ë"}</definedName>
    <definedName name="_17103.dbf">#REF!</definedName>
    <definedName name="_171032002.dbf">#REF!</definedName>
    <definedName name="_18wrn.²Ä1­Ó¤ë1_Ü20¤H." localSheetId="14" hidden="1">{#N/A,#N/A,FALSE,"²Ä1­Ó¤ë"}</definedName>
    <definedName name="_18wrn.²Ä1­Ó¤ë1_Ü20¤H." hidden="1">{#N/A,#N/A,FALSE,"²Ä1­Ó¤ë"}</definedName>
    <definedName name="_2__123Graph_BCHART_2" hidden="1">#REF!</definedName>
    <definedName name="_2¸ß¼ÛÖÜ×ª¼þ_¨º½²Ä¹ý¶É">#REF!</definedName>
    <definedName name="_23_0_S" hidden="1">#REF!</definedName>
    <definedName name="_24_0_Table2_" hidden="1">#REF!</definedName>
    <definedName name="_25_0_Table2_" hidden="1">#REF!</definedName>
    <definedName name="_3__123Graph_BCHART_3" hidden="1">#REF!</definedName>
    <definedName name="_3hlz">#REF!</definedName>
    <definedName name="_3hw">#REF!</definedName>
    <definedName name="_3hz">#REF!</definedName>
    <definedName name="_4__123Graph_CCHART_3" hidden="1">#REF!</definedName>
    <definedName name="_4¹Ì¶¨×Ê²úÇåµ">#REF!</definedName>
    <definedName name="_4wrn.²Ä1­Ó¤ë1_Ü20¤H." localSheetId="14" hidden="1">{#N/A,#N/A,FALSE,"²Ä1­Ó¤ë"}</definedName>
    <definedName name="_4wrn.²Ä1­Ó¤ë1_Ü20¤H." hidden="1">{#N/A,#N/A,FALSE,"²Ä1­Ó¤ë"}</definedName>
    <definedName name="_5__123Graph_DCHART_2" hidden="1">#REF!</definedName>
    <definedName name="_5hlz">#REF!</definedName>
    <definedName name="_5hw">#REF!</definedName>
    <definedName name="_5hzl">#REF!</definedName>
    <definedName name="_6__123Graph_DCHART_3" hidden="1">#REF!</definedName>
    <definedName name="_6_0_Table2_" hidden="1">#REF!</definedName>
    <definedName name="_6A11_" localSheetId="14" hidden="1">{#N/A,#N/A,FALSE,"Umsatz 99";#N/A,#N/A,FALSE,"ER 99 "}</definedName>
    <definedName name="_6A11_" hidden="1">{#N/A,#N/A,FALSE,"Umsatz 99";#N/A,#N/A,FALSE,"ER 99 "}</definedName>
    <definedName name="_7G100_" localSheetId="11">DATE(YEAR(Loan_Start),MONTH(Loan_Start)+Payment_Number,DAY(Loan_Start))</definedName>
    <definedName name="_7G100_">DATE(YEAR(Loan_Start),MONTH(Loan_Start)+Payment_Number,DAY(Loan_Start))</definedName>
    <definedName name="_8未还DB_查询">#REF!</definedName>
    <definedName name="_9U300_" localSheetId="11">MATCH(0.01,End_Bal,-1)+1</definedName>
    <definedName name="_9U300_">MATCH(0.01,End_Bal,-1)+1</definedName>
    <definedName name="_a1" localSheetId="14" hidden="1">{#N/A,#N/A,FALSE,"Virgin Flightdeck"}</definedName>
    <definedName name="_a1" hidden="1">{#N/A,#N/A,FALSE,"Virgin Flightdeck"}</definedName>
    <definedName name="_A11" localSheetId="14" hidden="1">{#N/A,#N/A,FALSE,"Umsatz 99";#N/A,#N/A,FALSE,"ER 99 "}</definedName>
    <definedName name="_A11" hidden="1">{#N/A,#N/A,FALSE,"Umsatz 99";#N/A,#N/A,FALSE,"ER 99 "}</definedName>
    <definedName name="_a2" localSheetId="14" hidden="1">{#N/A,#N/A,FALSE,"Virgin Flightdeck"}</definedName>
    <definedName name="_a2" hidden="1">{#N/A,#N/A,FALSE,"Virgin Flightdeck"}</definedName>
    <definedName name="_a3" localSheetId="14" hidden="1">{#N/A,#N/A,FALSE,"Virgin Flightdeck"}</definedName>
    <definedName name="_a3" hidden="1">{#N/A,#N/A,FALSE,"Virgin Flightdeck"}</definedName>
    <definedName name="_b2" localSheetId="14" hidden="1">{#N/A,#N/A,FALSE,"Virgin Flightdeck"}</definedName>
    <definedName name="_b2" hidden="1">{#N/A,#N/A,FALSE,"Virgin Flightdeck"}</definedName>
    <definedName name="_b3" localSheetId="14" hidden="1">{#N/A,#N/A,FALSE,"Virgin Flightdeck"}</definedName>
    <definedName name="_b3" hidden="1">{#N/A,#N/A,FALSE,"Virgin Flightdeck"}</definedName>
    <definedName name="_c" localSheetId="14"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DAT1">#REF!</definedName>
    <definedName name="_DAT10">#REF!</definedName>
    <definedName name="_DAT11">#REF!</definedName>
    <definedName name="_DAT12">#REF!</definedName>
    <definedName name="_DAT13">#REF!</definedName>
    <definedName name="_DAT1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st_Bin" hidden="1">#REF!</definedName>
    <definedName name="_DIV01">#REF!</definedName>
    <definedName name="_DIV02">#REF!</definedName>
    <definedName name="_DIV31">#REF!</definedName>
    <definedName name="_DIV32">#REF!</definedName>
    <definedName name="_DIV34">#REF!</definedName>
    <definedName name="_DIV38">#REF!</definedName>
    <definedName name="_DIV93">#REF!</definedName>
    <definedName name="_dod1" localSheetId="2" hidden="1">{#N/A,#N/A,TRUE,"CPRD";#N/A,#N/A,TRUE,"BCCPDR";#N/A,#N/A,TRUE,"EWRD";#N/A,#N/A,TRUE,"5100";#N/A,#N/A,TRUE,"5110"}</definedName>
    <definedName name="_dod1" localSheetId="3" hidden="1">{#N/A,#N/A,TRUE,"CPRD";#N/A,#N/A,TRUE,"BCCPDR";#N/A,#N/A,TRUE,"EWRD";#N/A,#N/A,TRUE,"5100";#N/A,#N/A,TRUE,"5110"}</definedName>
    <definedName name="_dod1" localSheetId="4" hidden="1">{#N/A,#N/A,TRUE,"CPRD";#N/A,#N/A,TRUE,"BCCPDR";#N/A,#N/A,TRUE,"EWRD";#N/A,#N/A,TRUE,"5100";#N/A,#N/A,TRUE,"5110"}</definedName>
    <definedName name="_dod1" localSheetId="12" hidden="1">{#N/A,#N/A,TRUE,"CPRD";#N/A,#N/A,TRUE,"BCCPDR";#N/A,#N/A,TRUE,"EWRD";#N/A,#N/A,TRUE,"5100";#N/A,#N/A,TRUE,"5110"}</definedName>
    <definedName name="_dod1" localSheetId="14" hidden="1">{#N/A,#N/A,TRUE,"CPRD";#N/A,#N/A,TRUE,"BCCPDR";#N/A,#N/A,TRUE,"EWRD";#N/A,#N/A,TRUE,"5100";#N/A,#N/A,TRUE,"5110"}</definedName>
    <definedName name="_dod1" localSheetId="11" hidden="1">{#N/A,#N/A,TRUE,"CPRD";#N/A,#N/A,TRUE,"BCCPDR";#N/A,#N/A,TRUE,"EWRD";#N/A,#N/A,TRUE,"5100";#N/A,#N/A,TRUE,"5110"}</definedName>
    <definedName name="_dod1" localSheetId="10" hidden="1">{#N/A,#N/A,TRUE,"CPRD";#N/A,#N/A,TRUE,"BCCPDR";#N/A,#N/A,TRUE,"EWRD";#N/A,#N/A,TRUE,"5100";#N/A,#N/A,TRUE,"5110"}</definedName>
    <definedName name="_dod1" localSheetId="6" hidden="1">{#N/A,#N/A,TRUE,"CPRD";#N/A,#N/A,TRUE,"BCCPDR";#N/A,#N/A,TRUE,"EWRD";#N/A,#N/A,TRUE,"5100";#N/A,#N/A,TRUE,"5110"}</definedName>
    <definedName name="_dod1" hidden="1">{#N/A,#N/A,TRUE,"CPRD";#N/A,#N/A,TRUE,"BCCPDR";#N/A,#N/A,TRUE,"EWRD";#N/A,#N/A,TRUE,"5100";#N/A,#N/A,TRUE,"5110"}</definedName>
    <definedName name="_dog1" localSheetId="2" hidden="1">{#N/A,#N/A,TRUE,"CPRD";#N/A,#N/A,TRUE,"BCCPDR";#N/A,#N/A,TRUE,"EWRD";#N/A,#N/A,TRUE,"5100";#N/A,#N/A,TRUE,"5110"}</definedName>
    <definedName name="_dog1" localSheetId="3" hidden="1">{#N/A,#N/A,TRUE,"CPRD";#N/A,#N/A,TRUE,"BCCPDR";#N/A,#N/A,TRUE,"EWRD";#N/A,#N/A,TRUE,"5100";#N/A,#N/A,TRUE,"5110"}</definedName>
    <definedName name="_dog1" localSheetId="4" hidden="1">{#N/A,#N/A,TRUE,"CPRD";#N/A,#N/A,TRUE,"BCCPDR";#N/A,#N/A,TRUE,"EWRD";#N/A,#N/A,TRUE,"5100";#N/A,#N/A,TRUE,"5110"}</definedName>
    <definedName name="_dog1" localSheetId="12" hidden="1">{#N/A,#N/A,TRUE,"CPRD";#N/A,#N/A,TRUE,"BCCPDR";#N/A,#N/A,TRUE,"EWRD";#N/A,#N/A,TRUE,"5100";#N/A,#N/A,TRUE,"5110"}</definedName>
    <definedName name="_dog1" localSheetId="14" hidden="1">{#N/A,#N/A,TRUE,"CPRD";#N/A,#N/A,TRUE,"BCCPDR";#N/A,#N/A,TRUE,"EWRD";#N/A,#N/A,TRUE,"5100";#N/A,#N/A,TRUE,"5110"}</definedName>
    <definedName name="_dog1" localSheetId="11" hidden="1">{#N/A,#N/A,TRUE,"CPRD";#N/A,#N/A,TRUE,"BCCPDR";#N/A,#N/A,TRUE,"EWRD";#N/A,#N/A,TRUE,"5100";#N/A,#N/A,TRUE,"5110"}</definedName>
    <definedName name="_dog1" localSheetId="10" hidden="1">{#N/A,#N/A,TRUE,"CPRD";#N/A,#N/A,TRUE,"BCCPDR";#N/A,#N/A,TRUE,"EWRD";#N/A,#N/A,TRUE,"5100";#N/A,#N/A,TRUE,"5110"}</definedName>
    <definedName name="_dog1" localSheetId="6" hidden="1">{#N/A,#N/A,TRUE,"CPRD";#N/A,#N/A,TRUE,"BCCPDR";#N/A,#N/A,TRUE,"EWRD";#N/A,#N/A,TRUE,"5100";#N/A,#N/A,TRUE,"5110"}</definedName>
    <definedName name="_dog1" hidden="1">{#N/A,#N/A,TRUE,"CPRD";#N/A,#N/A,TRUE,"BCCPDR";#N/A,#N/A,TRUE,"EWRD";#N/A,#N/A,TRUE,"5100";#N/A,#N/A,TRUE,"5110"}</definedName>
    <definedName name="_exr99">115</definedName>
    <definedName name="_Fill" localSheetId="2" hidden="1">'K.00 Lead Sheet'!#REF!</definedName>
    <definedName name="_Fill" localSheetId="3" hidden="1">#REF!</definedName>
    <definedName name="_Fill" localSheetId="4" hidden="1">#REF!</definedName>
    <definedName name="_Fill" localSheetId="11" hidden="1">#REF!</definedName>
    <definedName name="_Fill" hidden="1">#REF!</definedName>
    <definedName name="_xlnm._FilterDatabase" localSheetId="2" hidden="1">'K.00 Lead Sheet'!#REF!</definedName>
    <definedName name="_xlnm._FilterDatabase" localSheetId="3" hidden="1">#REF!</definedName>
    <definedName name="_xlnm._FilterDatabase" localSheetId="1" hidden="1">'汇总 '!$B$5:$H$19</definedName>
    <definedName name="_xlnm._FilterDatabase" hidden="1">#REF!</definedName>
    <definedName name="_h2" localSheetId="14" hidden="1">{#N/A,#N/A,FALSE,"Virgin Flightdeck"}</definedName>
    <definedName name="_h2" hidden="1">{#N/A,#N/A,FALSE,"Virgin Flightdeck"}</definedName>
    <definedName name="_H200" localSheetId="14" hidden="1">{#N/A,#N/A,FALSE,"ABB HOLDING LTD"}</definedName>
    <definedName name="_H200" hidden="1">{#N/A,#N/A,FALSE,"ABB HOLDING LTD"}</definedName>
    <definedName name="_h3" localSheetId="14" hidden="1">{#N/A,#N/A,FALSE,"Virgin Flightdeck"}</definedName>
    <definedName name="_h3" hidden="1">{#N/A,#N/A,FALSE,"Virgin Flightdeck"}</definedName>
    <definedName name="_Inv200210">#REF!</definedName>
    <definedName name="_K7" localSheetId="14" hidden="1">{#N/A,#N/A,FALSE,"Sheet1"}</definedName>
    <definedName name="_K7" hidden="1">{#N/A,#N/A,FALSE,"Sheet1"}</definedName>
    <definedName name="_KDK98">#REF!</definedName>
    <definedName name="_KDK99">#REF!</definedName>
    <definedName name="_Key1" localSheetId="2" hidden="1">'K.00 Lead Sheet'!#REF!</definedName>
    <definedName name="_Key1" localSheetId="3" hidden="1">#REF!</definedName>
    <definedName name="_Key1" localSheetId="4" hidden="1">#REF!</definedName>
    <definedName name="_Key1" localSheetId="11" hidden="1">#REF!</definedName>
    <definedName name="_Key1" hidden="1">#REF!</definedName>
    <definedName name="_Key2" hidden="1">#REF!</definedName>
    <definedName name="_Key3" hidden="1">#REF!</definedName>
    <definedName name="_KSK98">#REF!</definedName>
    <definedName name="_KSK99">#REF!</definedName>
    <definedName name="_lib94">6.8</definedName>
    <definedName name="_lib95">5.8</definedName>
    <definedName name="_LIB96">6</definedName>
    <definedName name="_lvc1">#REF!</definedName>
    <definedName name="_lvc2">#REF!</definedName>
    <definedName name="_O1" localSheetId="12" hidden="1">{#N/A,#N/A,FALSE,"970301";#N/A,#N/A,FALSE,"970302";#N/A,#N/A,FALSE,"970303";#N/A,#N/A,FALSE,"970304";#N/A,#N/A,FALSE,"COM1";#N/A,#N/A,FALSE,"COM2"}</definedName>
    <definedName name="_O1" localSheetId="14" hidden="1">{#N/A,#N/A,FALSE,"970301";#N/A,#N/A,FALSE,"970302";#N/A,#N/A,FALSE,"970303";#N/A,#N/A,FALSE,"970304";#N/A,#N/A,FALSE,"COM1";#N/A,#N/A,FALSE,"COM2"}</definedName>
    <definedName name="_O1" hidden="1">{#N/A,#N/A,FALSE,"970301";#N/A,#N/A,FALSE,"970302";#N/A,#N/A,FALSE,"970303";#N/A,#N/A,FALSE,"970304";#N/A,#N/A,FALSE,"COM1";#N/A,#N/A,FALSE,"COM2"}</definedName>
    <definedName name="_OP2" localSheetId="14" hidden="1">{#N/A,#N/A,FALSE,"PLEDGE";#N/A,#N/A,FALSE,"GLADE";#N/A,#N/A,FALSE,"GREEN BIRD";#N/A,#N/A,FALSE,"MR. MUSCLE";#N/A,#N/A,FALSE,"TOILET DUCK";#N/A,#N/A,FALSE,"Other Home Care";#N/A,#N/A,FALSE,"RED BIRD";#N/A,#N/A,FALSE,"SHANGHAI";#N/A,#N/A,FALSE,"RAID";#N/A,#N/A,FALSE,"OFF";#N/A,#N/A,FALSE,"SEAGULL";#N/A,#N/A,FALSE,"HALSA";#N/A,#N/A,FALSE,"SOFT SENSE";#N/A,#N/A,FALSE,"TOTAL"}</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localSheetId="14" hidden="1">{"CSC_1",#N/A,FALSE,"CSC Outputs";"CSC_2",#N/A,FALSE,"CSC Outputs"}</definedName>
    <definedName name="_sd2" hidden="1">{"CSC_1",#N/A,FALSE,"CSC Outputs";"CSC_2",#N/A,FALSE,"CSC Outputs"}</definedName>
    <definedName name="_Sort" localSheetId="2" hidden="1">'K.00 Lead Sheet'!#REF!</definedName>
    <definedName name="_Sort" localSheetId="3" hidden="1">#REF!</definedName>
    <definedName name="_Sort" localSheetId="4" hidden="1">#REF!</definedName>
    <definedName name="_Sort" localSheetId="11"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usd020531">8.2766</definedName>
    <definedName name="_v" hidden="1">#REF!</definedName>
    <definedName name="_wrn2" localSheetId="14" hidden="1">{#N/A,#N/A,FALSE,"Virgin Flightdeck"}</definedName>
    <definedName name="_wrn2" hidden="1">{#N/A,#N/A,FALSE,"Virgin Flightdeck"}</definedName>
    <definedName name="_wrn3" localSheetId="14" hidden="1">{#N/A,#N/A,FALSE,"Virgin Flightdeck"}</definedName>
    <definedName name="_wrn3" hidden="1">{#N/A,#N/A,FALSE,"Virgin Flightdeck"}</definedName>
    <definedName name="_wrn4" localSheetId="14" hidden="1">{#N/A,#N/A,FALSE,"Virgin Flightdeck"}</definedName>
    <definedName name="_wrn4" hidden="1">{#N/A,#N/A,FALSE,"Virgin Flightdeck"}</definedName>
    <definedName name="_YE1">#REF!</definedName>
    <definedName name="_zh6">7.56</definedName>
    <definedName name="_北京">0.8</definedName>
    <definedName name="_策源">0.9</definedName>
    <definedName name="_查询00">#REF!</definedName>
    <definedName name="_担保还款">#REF!</definedName>
    <definedName name="_复锦">0.9</definedName>
    <definedName name="_复铭">0.6</definedName>
    <definedName name="_复瑞">0.49</definedName>
    <definedName name="_复莘">0.9</definedName>
    <definedName name="_复鑫">0.5</definedName>
    <definedName name="_复信">0.8</definedName>
    <definedName name="_豪亭">0.7</definedName>
    <definedName name="_虹桥">0.8</definedName>
    <definedName name="_监理">0.9</definedName>
    <definedName name="_解放">0.3</definedName>
    <definedName name="_巨峰">0.45</definedName>
    <definedName name="_南京">0.38</definedName>
    <definedName name="_浦华">0.4</definedName>
    <definedName name="_武汉">0.6</definedName>
    <definedName name="_新河">0.8</definedName>
    <definedName name="_新远">0.9</definedName>
    <definedName name="_颐华">0.5</definedName>
    <definedName name="_远景">0.6</definedName>
    <definedName name="_置换">0.8</definedName>
    <definedName name="¸ß¼ÛÖÜ×ª¼þ">#REF!</definedName>
    <definedName name="¿ÆÄ¿Óà¶î±í">#REF!</definedName>
    <definedName name="¹Ì¶¨×Ê²úÃ÷Ï¸ÕË">#REF!</definedName>
    <definedName name="A">#REF!</definedName>
    <definedName name="a1.xls">#REF!</definedName>
    <definedName name="a2.xls">#REF!</definedName>
    <definedName name="a3.xls">#REF!</definedName>
    <definedName name="A3\A4\A5\A6\A7">#REF!</definedName>
    <definedName name="AAA_DOCTOPS" hidden="1">"AAA_SET"</definedName>
    <definedName name="AAA_duser" hidden="1">"OFF"</definedName>
    <definedName name="AAAAA">#REF!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c">#REF!</definedName>
    <definedName name="AAMT">#REF!</definedName>
    <definedName name="AAPR">#REF!</definedName>
    <definedName name="AAUG">#REF!</definedName>
    <definedName name="aavbrdf" localSheetId="4" hidden="1">{#N/A,#N/A,FALSE,"OffAdvance";#N/A,#N/A,FALSE,"OffExpRprt";#N/A,#N/A,FALSE,"Travelling";#N/A,#N/A,FALSE,"Entertmnt";#N/A,#N/A,FALSE,"Promotion"}</definedName>
    <definedName name="aavbrdf" localSheetId="12" hidden="1">{#N/A,#N/A,FALSE,"OffAdvance";#N/A,#N/A,FALSE,"OffExpRprt";#N/A,#N/A,FALSE,"Travelling";#N/A,#N/A,FALSE,"Entertmnt";#N/A,#N/A,FALSE,"Promotion"}</definedName>
    <definedName name="aavbrdf" localSheetId="14" hidden="1">{#N/A,#N/A,FALSE,"OffAdvance";#N/A,#N/A,FALSE,"OffExpRprt";#N/A,#N/A,FALSE,"Travelling";#N/A,#N/A,FALSE,"Entertmnt";#N/A,#N/A,FALSE,"Promotion"}</definedName>
    <definedName name="aavbrdf" localSheetId="11"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12" hidden="1">{#N/A,#N/A,FALSE,"资产负债表";#N/A,#N/A,FALSE,"资产负债表"}</definedName>
    <definedName name="aaz" localSheetId="14" hidden="1">{#N/A,#N/A,FALSE,"资产负债表";#N/A,#N/A,FALSE,"资产负债表"}</definedName>
    <definedName name="aaz" hidden="1">{#N/A,#N/A,FALSE,"资产负债表";#N/A,#N/A,FALSE,"资产负债表"}</definedName>
    <definedName name="abc">#REF!</definedName>
    <definedName name="abcdeg" localSheetId="14" hidden="1">{#N/A,#N/A,FALSE,"PLEDGE";#N/A,#N/A,FALSE,"GLADE";#N/A,#N/A,FALSE,"GREEN BIRD";#N/A,#N/A,FALSE,"MR. MUSCLE";#N/A,#N/A,FALSE,"TOILET DUCK";#N/A,#N/A,FALSE,"Other Home Care";#N/A,#N/A,FALSE,"RED BIRD";#N/A,#N/A,FALSE,"SHANGHAI";#N/A,#N/A,FALSE,"RAID";#N/A,#N/A,FALSE,"OFF";#N/A,#N/A,FALSE,"SEAGULL";#N/A,#N/A,FALSE,"HALSA";#N/A,#N/A,FALSE,"SOFT SENSE";#N/A,#N/A,FALSE,"TOTAL"}</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localSheetId="12" hidden="1">{#N/A,#N/A,FALSE,"资产负债表";#N/A,#N/A,FALSE,"资产负债表"}</definedName>
    <definedName name="ada" localSheetId="14" hidden="1">{#N/A,#N/A,FALSE,"资产负债表";#N/A,#N/A,FALSE,"资产负债表"}</definedName>
    <definedName name="ada" hidden="1">{#N/A,#N/A,FALSE,"资产负债表";#N/A,#N/A,FALSE,"资产负债表"}</definedName>
    <definedName name="adaf" localSheetId="12" hidden="1">{#N/A,#N/A,FALSE,"资产负债表";#N/A,#N/A,FALSE,"资产负债表"}</definedName>
    <definedName name="adaf" localSheetId="14" hidden="1">{#N/A,#N/A,FALSE,"资产负债表";#N/A,#N/A,FALSE,"资产负债表"}</definedName>
    <definedName name="adaf"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as" localSheetId="3" hidden="1">{"M1Print",#N/A,TRUE,"M1";"M2Print",#N/A,TRUE,"M2";"M1sPrint",#N/A,TRUE,"M1s";"M2aPrint",#N/A,TRUE,"M2a";"M4Print",#N/A,TRUE,"M4";"M5Print",#N/A,TRUE,"M5";"M6Print",#N/A,TRUE,"M6";"M6_1Print",#N/A,TRUE,"M6_1";"M6_2Print",#N/A,TRUE,"M6_2";"M7_1Print",#N/A,TRUE,"M7_1";"M7_2Print",#N/A,TRUE,"M7_2"}</definedName>
    <definedName name="adas" localSheetId="4" hidden="1">{"M1Print",#N/A,TRUE,"M1";"M2Print",#N/A,TRUE,"M2";"M1sPrint",#N/A,TRUE,"M1s";"M2aPrint",#N/A,TRUE,"M2a";"M4Print",#N/A,TRUE,"M4";"M5Print",#N/A,TRUE,"M5";"M6Print",#N/A,TRUE,"M6";"M6_1Print",#N/A,TRUE,"M6_1";"M6_2Print",#N/A,TRUE,"M6_2";"M7_1Print",#N/A,TRUE,"M7_1";"M7_2Print",#N/A,TRUE,"M7_2"}</definedName>
    <definedName name="adas" localSheetId="12" hidden="1">{"M1Print",#N/A,TRUE,"M1";"M2Print",#N/A,TRUE,"M2";"M1sPrint",#N/A,TRUE,"M1s";"M2aPrint",#N/A,TRUE,"M2a";"M4Print",#N/A,TRUE,"M4";"M5Print",#N/A,TRUE,"M5";"M6Print",#N/A,TRUE,"M6";"M6_1Print",#N/A,TRUE,"M6_1";"M6_2Print",#N/A,TRUE,"M6_2";"M7_1Print",#N/A,TRUE,"M7_1";"M7_2Print",#N/A,TRUE,"M7_2"}</definedName>
    <definedName name="adas" localSheetId="14" hidden="1">{"M1Print",#N/A,TRUE,"M1";"M2Print",#N/A,TRUE,"M2";"M1sPrint",#N/A,TRUE,"M1s";"M2aPrint",#N/A,TRUE,"M2a";"M4Print",#N/A,TRUE,"M4";"M5Print",#N/A,TRUE,"M5";"M6Print",#N/A,TRUE,"M6";"M6_1Print",#N/A,TRUE,"M6_1";"M6_2Print",#N/A,TRUE,"M6_2";"M7_1Print",#N/A,TRUE,"M7_1";"M7_2Print",#N/A,TRUE,"M7_2"}</definedName>
    <definedName name="adas" localSheetId="11" hidden="1">{"M1Print",#N/A,TRUE,"M1";"M2Print",#N/A,TRUE,"M2";"M1sPrint",#N/A,TRUE,"M1s";"M2aPrint",#N/A,TRUE,"M2a";"M4Print",#N/A,TRUE,"M4";"M5Print",#N/A,TRUE,"M5";"M6Print",#N/A,TRUE,"M6";"M6_1Print",#N/A,TRUE,"M6_1";"M6_2Print",#N/A,TRUE,"M6_2";"M7_1Print",#N/A,TRUE,"M7_1";"M7_2Print",#N/A,TRUE,"M7_2"}</definedName>
    <definedName name="adas" localSheetId="10" hidden="1">{"M1Print",#N/A,TRUE,"M1";"M2Print",#N/A,TRUE,"M2";"M1sPrint",#N/A,TRUE,"M1s";"M2aPrint",#N/A,TRUE,"M2a";"M4Print",#N/A,TRUE,"M4";"M5Print",#N/A,TRUE,"M5";"M6Print",#N/A,TRUE,"M6";"M6_1Print",#N/A,TRUE,"M6_1";"M6_2Print",#N/A,TRUE,"M6_2";"M7_1Print",#N/A,TRUE,"M7_1";"M7_2Print",#N/A,TRUE,"M7_2"}</definedName>
    <definedName name="adas" localSheetId="6"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dress">#REF!</definedName>
    <definedName name="ADEC">#REF!</definedName>
    <definedName name="adf" localSheetId="12" hidden="1">{"toptrial",#N/A,TRUE,"toptrial";"adjustment",#N/A,TRUE,"toptrial";"voucher",#N/A,TRUE,"toptrial"}</definedName>
    <definedName name="adf" localSheetId="14" hidden="1">{"toptrial",#N/A,TRUE,"toptrial";"adjustment",#N/A,TRUE,"toptrial";"voucher",#N/A,TRUE,"toptrial"}</definedName>
    <definedName name="adf" hidden="1">{"toptrial",#N/A,TRUE,"toptrial";"adjustment",#N/A,TRUE,"toptrial";"voucher",#N/A,TRUE,"toptrial"}</definedName>
    <definedName name="adfa" localSheetId="14" hidden="1">{"page 1",#N/A,FALSE,"A";"page 2",#N/A,FALSE,"A";"page 3",#N/A,FALSE,"A";"page 4",#N/A,FALSE,"A";"page 5",#N/A,FALSE,"A";"page 6",#N/A,FALSE,"A";"page 7",#N/A,FALSE,"A";"page 8",#N/A,FALSE,"A";"page 9",#N/A,FALSE,"A";"page 10",#N/A,FALSE,"A";"page 11",#N/A,FALSE,"A";"page 12",#N/A,FALSE,"A";"page 13",#N/A,FALSE,"A";"page 14",#N/A,FALSE,"A"}</definedName>
    <definedName name="adfa" hidden="1">{"page 1",#N/A,FALSE,"A";"page 2",#N/A,FALSE,"A";"page 3",#N/A,FALSE,"A";"page 4",#N/A,FALSE,"A";"page 5",#N/A,FALSE,"A";"page 6",#N/A,FALSE,"A";"page 7",#N/A,FALSE,"A";"page 8",#N/A,FALSE,"A";"page 9",#N/A,FALSE,"A";"page 10",#N/A,FALSE,"A";"page 11",#N/A,FALSE,"A";"page 12",#N/A,FALSE,"A";"page 13",#N/A,FALSE,"A";"page 14",#N/A,FALSE,"A"}</definedName>
    <definedName name="adfad"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J">#REF!</definedName>
    <definedName name="Æ÷²Ä²É¹º">#REF!</definedName>
    <definedName name="Æ÷²Ä³É±¾²îÒì">#REF!</definedName>
    <definedName name="afe">#REF!</definedName>
    <definedName name="AFEB">#REF!</definedName>
    <definedName name="AfeCapSpending">#REF!</definedName>
    <definedName name="afhai" localSheetId="12" hidden="1">{#N/A,#N/A,FALSE,"资产负债表";#N/A,#N/A,FALSE,"资产负债表"}</definedName>
    <definedName name="afhai" localSheetId="14" hidden="1">{#N/A,#N/A,FALSE,"资产负债表";#N/A,#N/A,FALSE,"资产负债表"}</definedName>
    <definedName name="afhai" hidden="1">{#N/A,#N/A,FALSE,"资产负债表";#N/A,#N/A,FALSE,"资产负债表"}</definedName>
    <definedName name="afsdavad" hidden="1">#REF!</definedName>
    <definedName name="AGEDDATABASE" localSheetId="4" hidden="1">{#N/A,#N/A,FALSE,"970301";#N/A,#N/A,FALSE,"970302";#N/A,#N/A,FALSE,"970303";#N/A,#N/A,FALSE,"970304";#N/A,#N/A,FALSE,"COM1";#N/A,#N/A,FALSE,"COM2"}</definedName>
    <definedName name="AGEDDATABASE" localSheetId="12" hidden="1">{#N/A,#N/A,FALSE,"970301";#N/A,#N/A,FALSE,"970302";#N/A,#N/A,FALSE,"970303";#N/A,#N/A,FALSE,"970304";#N/A,#N/A,FALSE,"COM1";#N/A,#N/A,FALSE,"COM2"}</definedName>
    <definedName name="AGEDDATABASE" localSheetId="14" hidden="1">{#N/A,#N/A,FALSE,"970301";#N/A,#N/A,FALSE,"970302";#N/A,#N/A,FALSE,"970303";#N/A,#N/A,FALSE,"970304";#N/A,#N/A,FALSE,"COM1";#N/A,#N/A,FALSE,"COM2"}</definedName>
    <definedName name="AGEDDATABASE" localSheetId="11" hidden="1">{#N/A,#N/A,FALSE,"970301";#N/A,#N/A,FALSE,"970302";#N/A,#N/A,FALSE,"970303";#N/A,#N/A,FALSE,"970304";#N/A,#N/A,FALSE,"COM1";#N/A,#N/A,FALSE,"COM2"}</definedName>
    <definedName name="AGEDDATABASE" hidden="1">{#N/A,#N/A,FALSE,"970301";#N/A,#N/A,FALSE,"970302";#N/A,#N/A,FALSE,"970303";#N/A,#N/A,FALSE,"970304";#N/A,#N/A,FALSE,"COM1";#N/A,#N/A,FALSE,"COM2"}</definedName>
    <definedName name="ageing180">#REF!</definedName>
    <definedName name="agmmt">#REF!</definedName>
    <definedName name="agmt">#REF!</definedName>
    <definedName name="agmt1">#REF!</definedName>
    <definedName name="aidhaif" localSheetId="12" hidden="1">{#N/A,#N/A,FALSE,"资产负债表";#N/A,#N/A,FALSE,"资产负债表"}</definedName>
    <definedName name="aidhaif" localSheetId="14" hidden="1">{#N/A,#N/A,FALSE,"资产负债表";#N/A,#N/A,FALSE,"资产负债表"}</definedName>
    <definedName name="aidhaif" hidden="1">{#N/A,#N/A,FALSE,"资产负债表";#N/A,#N/A,FALSE,"资产负债表"}</definedName>
    <definedName name="AJAN">#REF!</definedName>
    <definedName name="AJHFkjDGHF" localSheetId="14"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JUL">#REF!</definedName>
    <definedName name="AJUN">#REF!</definedName>
    <definedName name="al">#REF!</definedName>
    <definedName name="All">#REF!</definedName>
    <definedName name="All_Out">#REF!</definedName>
    <definedName name="ALOC">#REF!</definedName>
    <definedName name="AMAR">#REF!</definedName>
    <definedName name="AMAY">#REF!</definedName>
    <definedName name="amount">#REF!</definedName>
    <definedName name="anakf" localSheetId="12" hidden="1">{#N/A,#N/A,FALSE,"资产负债表";#N/A,#N/A,FALSE,"资产负债表"}</definedName>
    <definedName name="anakf" localSheetId="14" hidden="1">{#N/A,#N/A,FALSE,"资产负债表";#N/A,#N/A,FALSE,"资产负债表"}</definedName>
    <definedName name="anakf" hidden="1">{#N/A,#N/A,FALSE,"资产负债表";#N/A,#N/A,FALSE,"资产负债表"}</definedName>
    <definedName name="ANALSIS._.9511" localSheetId="14" hidden="1">{#N/A,#N/A,FALSE,"ABB HOLDING LTD"}</definedName>
    <definedName name="ANALSIS._.9511" hidden="1">{#N/A,#N/A,FALSE,"ABB HOLDING LTD"}</definedName>
    <definedName name="anna" localSheetId="14" hidden="1">{#N/A,#N/A,FALSE,"ABB HOLDING LTD"}</definedName>
    <definedName name="anna" hidden="1">{#N/A,#N/A,FALSE,"ABB HOLDING LTD"}</definedName>
    <definedName name="ANOV">#REF!</definedName>
    <definedName name="anscount" hidden="1">1</definedName>
    <definedName name="AOCT">#REF!</definedName>
    <definedName name="AP">#REF!</definedName>
    <definedName name="APnotes">#REF!</definedName>
    <definedName name="app0" localSheetId="14" hidden="1">{"M1Print",#N/A,FALSE,"M1"}</definedName>
    <definedName name="app0" hidden="1">{"M1Print",#N/A,FALSE,"M1"}</definedName>
    <definedName name="Apr">#REF!</definedName>
    <definedName name="APYS">#REF!</definedName>
    <definedName name="AR">#REF!</definedName>
    <definedName name="AR_Balance">#REF!</definedName>
    <definedName name="are" localSheetId="14" hidden="1">{"toptrial",#N/A,TRUE,"toptrial";"adjustment",#N/A,TRUE,"toptrial";"voucher",#N/A,TRUE,"toptrial"}</definedName>
    <definedName name="are" hidden="1">{"toptrial",#N/A,TRUE,"toptrial";"adjustment",#N/A,TRUE,"toptrial";"voucher",#N/A,TRUE,"toptrial"}</definedName>
    <definedName name="ARnotes">#REF!</definedName>
    <definedName name="AROMPREP">#REF!</definedName>
    <definedName name="arpA">#REF!</definedName>
    <definedName name="arpB">#REF!</definedName>
    <definedName name="arpp">#REF!</definedName>
    <definedName name="arpp101arpa">#REF!</definedName>
    <definedName name="arpp101arpb">#REF!</definedName>
    <definedName name="arpp101arpc">#REF!</definedName>
    <definedName name="arpp101arpd">#REF!</definedName>
    <definedName name="arpp101arpe">#REF!</definedName>
    <definedName name="arpp101arpf">#REF!</definedName>
    <definedName name="arpp101arpg">#REF!</definedName>
    <definedName name="ars">#REF!</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localSheetId="2" hidden="1">'K.00 Lead Sheet'!#REF!</definedName>
    <definedName name="AS2TickmarkLS" localSheetId="3" hidden="1">#REF!</definedName>
    <definedName name="AS2TickmarkLS" localSheetId="4" hidden="1">#REF!</definedName>
    <definedName name="AS2TickmarkLS" localSheetId="11" hidden="1">#REF!</definedName>
    <definedName name="AS2TickmarkLS" hidden="1">#REF!</definedName>
    <definedName name="AS2VersionLS" hidden="1">300</definedName>
    <definedName name="asda" localSheetId="14" hidden="1">{"CSC_1",#N/A,FALSE,"CSC Outputs";"CSC_2",#N/A,FALSE,"CSC Outputs"}</definedName>
    <definedName name="asda" hidden="1">{"CSC_1",#N/A,FALSE,"CSC Outputs";"CSC_2",#N/A,FALSE,"CSC Outputs"}</definedName>
    <definedName name="asdf" localSheetId="14" hidden="1">{#N/A,#N/A,FALSE,"970301";#N/A,#N/A,FALSE,"970302";#N/A,#N/A,FALSE,"970303";#N/A,#N/A,FALSE,"970304";#N/A,#N/A,FALSE,"COM1";#N/A,#N/A,FALSE,"COM2"}</definedName>
    <definedName name="asdf" hidden="1">{#N/A,#N/A,FALSE,"970301";#N/A,#N/A,FALSE,"970302";#N/A,#N/A,FALSE,"970303";#N/A,#N/A,FALSE,"970304";#N/A,#N/A,FALSE,"COM1";#N/A,#N/A,FALSE,"COM2"}</definedName>
    <definedName name="asdg" localSheetId="12" hidden="1">{#N/A,#N/A,FALSE,"资产负债表";#N/A,#N/A,FALSE,"资产负债表"}</definedName>
    <definedName name="asdg" localSheetId="14" hidden="1">{#N/A,#N/A,FALSE,"资产负债表";#N/A,#N/A,FALSE,"资产负债表"}</definedName>
    <definedName name="asdg" hidden="1">{#N/A,#N/A,FALSE,"资产负债表";#N/A,#N/A,FALSE,"资产负债表"}</definedName>
    <definedName name="ASEP">#REF!</definedName>
    <definedName name="ass" localSheetId="2" hidden="1">{#N/A,#N/A,TRUE,"CPRD";#N/A,#N/A,TRUE,"BCCPDR";#N/A,#N/A,TRUE,"EWRD";#N/A,#N/A,TRUE,"5100";#N/A,#N/A,TRUE,"5110"}</definedName>
    <definedName name="ass" localSheetId="3" hidden="1">{#N/A,#N/A,TRUE,"CPRD";#N/A,#N/A,TRUE,"BCCPDR";#N/A,#N/A,TRUE,"EWRD";#N/A,#N/A,TRUE,"5100";#N/A,#N/A,TRUE,"5110"}</definedName>
    <definedName name="ass" localSheetId="4" hidden="1">{#N/A,#N/A,TRUE,"CPRD";#N/A,#N/A,TRUE,"BCCPDR";#N/A,#N/A,TRUE,"EWRD";#N/A,#N/A,TRUE,"5100";#N/A,#N/A,TRUE,"5110"}</definedName>
    <definedName name="ass" localSheetId="12" hidden="1">{#N/A,#N/A,TRUE,"CPRD";#N/A,#N/A,TRUE,"BCCPDR";#N/A,#N/A,TRUE,"EWRD";#N/A,#N/A,TRUE,"5100";#N/A,#N/A,TRUE,"5110"}</definedName>
    <definedName name="ass" localSheetId="14" hidden="1">{#N/A,#N/A,TRUE,"CPRD";#N/A,#N/A,TRUE,"BCCPDR";#N/A,#N/A,TRUE,"EWRD";#N/A,#N/A,TRUE,"5100";#N/A,#N/A,TRUE,"5110"}</definedName>
    <definedName name="ass" localSheetId="11" hidden="1">{#N/A,#N/A,TRUE,"CPRD";#N/A,#N/A,TRUE,"BCCPDR";#N/A,#N/A,TRUE,"EWRD";#N/A,#N/A,TRUE,"5100";#N/A,#N/A,TRUE,"5110"}</definedName>
    <definedName name="ass" localSheetId="10" hidden="1">{#N/A,#N/A,TRUE,"CPRD";#N/A,#N/A,TRUE,"BCCPDR";#N/A,#N/A,TRUE,"EWRD";#N/A,#N/A,TRUE,"5100";#N/A,#N/A,TRUE,"5110"}</definedName>
    <definedName name="ass" localSheetId="6" hidden="1">{#N/A,#N/A,TRUE,"CPRD";#N/A,#N/A,TRUE,"BCCPDR";#N/A,#N/A,TRUE,"EWRD";#N/A,#N/A,TRUE,"5100";#N/A,#N/A,TRUE,"5110"}</definedName>
    <definedName name="ass" hidden="1">{#N/A,#N/A,TRUE,"CPRD";#N/A,#N/A,TRUE,"BCCPDR";#N/A,#N/A,TRUE,"EWRD";#N/A,#N/A,TRUE,"5100";#N/A,#N/A,TRUE,"5110"}</definedName>
    <definedName name="Assumptions">#REF!</definedName>
    <definedName name="AuraStyleDefaultsReset" hidden="1">#N/A</definedName>
    <definedName name="Aux_Mat_Out">#REF!</definedName>
    <definedName name="b">#REF!</definedName>
    <definedName name="B1S">#REF!</definedName>
    <definedName name="b9_9adj">#REF!,#REF!</definedName>
    <definedName name="balance_type">1</definedName>
    <definedName name="balance011.xls">#REF!</definedName>
    <definedName name="ball">#REF!</definedName>
    <definedName name="BBB">#REF!</definedName>
    <definedName name="Bear" localSheetId="14"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g_Bal">#REF!</definedName>
    <definedName name="Begin">#REF!</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j">#REF!</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localSheetId="4" hidden="1">[3]Sheet1!$O$20:$O$41</definedName>
    <definedName name="BNE_MESSAGES_HIDDEN" localSheetId="11" hidden="1">[3]Sheet1!$O$20:$O$41</definedName>
    <definedName name="BNE_MESSAGES_HIDDEN" hidden="1">#REF!</definedName>
    <definedName name="boc">7.8125</definedName>
    <definedName name="book" localSheetId="12" hidden="1">{#N/A,#N/A,FALSE,"OffAdvance";#N/A,#N/A,FALSE,"OffExpRprt";#N/A,#N/A,FALSE,"Entertmnt";#N/A,#N/A,FALSE,"Promotion";#N/A,#N/A,FALSE,"Travelling"}</definedName>
    <definedName name="book" localSheetId="14"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12" hidden="1">{#N/A,#N/A,FALSE,"OffAdvance";#N/A,#N/A,FALSE,"OffExpRprt";#N/A,#N/A,FALSE,"Travelling";#N/A,#N/A,FALSE,"Entertmnt";#N/A,#N/A,FALSE,"Promotion"}</definedName>
    <definedName name="book.2" localSheetId="14" hidden="1">{#N/A,#N/A,FALSE,"OffAdvance";#N/A,#N/A,FALSE,"OffExpRprt";#N/A,#N/A,FALSE,"Travelling";#N/A,#N/A,FALSE,"Entertmnt";#N/A,#N/A,FALSE,"Promotion"}</definedName>
    <definedName name="book.2" hidden="1">{#N/A,#N/A,FALSE,"OffAdvance";#N/A,#N/A,FALSE,"OffExpRprt";#N/A,#N/A,FALSE,"Travelling";#N/A,#N/A,FALSE,"Entertmnt";#N/A,#N/A,FALSE,"Promotion"}</definedName>
    <definedName name="BS">#REF!</definedName>
    <definedName name="bs_1" localSheetId="14" hidden="1">{#N/A,#N/A,FALSE,"BBPREP"}</definedName>
    <definedName name="bs_1" hidden="1">{#N/A,#N/A,FALSE,"BBPREP"}</definedName>
    <definedName name="BS_6">#REF!</definedName>
    <definedName name="BS_V1">#REF!</definedName>
    <definedName name="BS_V3">#REF!</definedName>
    <definedName name="BSaudited">#REF!</definedName>
    <definedName name="BSopening">#REF!</definedName>
    <definedName name="bzw">#REF!</definedName>
    <definedName name="cable">#REF!</definedName>
    <definedName name="cablelug">#REF!</definedName>
    <definedName name="cablelug1">#REF!</definedName>
    <definedName name="calc">1</definedName>
    <definedName name="Capital_Projects">#REF!</definedName>
    <definedName name="CapRate">#REF!</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ashflow20030930" localSheetId="14" hidden="1">{"M1Print",#N/A,TRUE,"M1";"M2Print",#N/A,TRUE,"M2";"M1sPrint",#N/A,TRUE,"M1s";"M2aPrint",#N/A,TRUE,"M2a";"M4Print",#N/A,TRUE,"M4";"M5Print",#N/A,TRUE,"M5";"M6Print",#N/A,TRUE,"M6";"M6_1Print",#N/A,TRUE,"M6_1";"M6_2Print",#N/A,TRUE,"M6_2";"M7_1Print",#N/A,TRUE,"M7_1";"M7_2Print",#N/A,TRUE,"M7_2"}</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cashflow20030930" localSheetId="6"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U_Out">#REF!</definedName>
    <definedName name="cbx" localSheetId="12" hidden="1">{#N/A,#N/A,FALSE,"M1s Board";#N/A,#N/A,FALSE,"M3 Board";#N/A,#N/A,FALSE,"M6 Board";#N/A,#N/A,FALSE,"M7";#N/A,#N/A,FALSE,"M7B";#N/A,#N/A,FALSE,"M8";#N/A,#N/A,FALSE,"M8A Board";#N/A,#N/A,FALSE,"AF1 Board"}</definedName>
    <definedName name="cbx" localSheetId="14"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#REF!</definedName>
    <definedName name="CC101D">#REF!</definedName>
    <definedName name="CCC">#REF!</definedName>
    <definedName name="cccvb" localSheetId="12" hidden="1">{#N/A,#N/A,FALSE,"资产负债表";#N/A,#N/A,FALSE,"资产负债表"}</definedName>
    <definedName name="cccvb" localSheetId="14" hidden="1">{#N/A,#N/A,FALSE,"资产负债表";#N/A,#N/A,FALSE,"资产负债表"}</definedName>
    <definedName name="cccvb" hidden="1">{#N/A,#N/A,FALSE,"资产负债表";#N/A,#N/A,FALSE,"资产负债表"}</definedName>
    <definedName name="ccp">#REF!</definedName>
    <definedName name="cd">#REF!</definedName>
    <definedName name="cdzc">#REF!</definedName>
    <definedName name="CFLOW">#REF!</definedName>
    <definedName name="CFR41107712420">#REF!</definedName>
    <definedName name="CFVVHH" localSheetId="12" hidden="1">{#N/A,#N/A,FALSE,"资产负债表";#N/A,#N/A,FALSE,"资产负债表"}</definedName>
    <definedName name="CFVVHH" localSheetId="14" hidden="1">{#N/A,#N/A,FALSE,"资产负债表";#N/A,#N/A,FALSE,"资产负债表"}</definedName>
    <definedName name="CFVVHH" hidden="1">{#N/A,#N/A,FALSE,"资产负债表";#N/A,#N/A,FALSE,"资产负债表"}</definedName>
    <definedName name="cfyik" localSheetId="12" hidden="1">{#N/A,#N/A,FALSE,"资产负债表";#N/A,#N/A,FALSE,"资产负债表"}</definedName>
    <definedName name="cfyik" localSheetId="14" hidden="1">{#N/A,#N/A,FALSE,"资产负债表";#N/A,#N/A,FALSE,"资产负债表"}</definedName>
    <definedName name="cfyik" hidden="1">{#N/A,#N/A,FALSE,"资产负债表";#N/A,#N/A,FALSE,"资产负债表"}</definedName>
    <definedName name="cgul" localSheetId="12" hidden="1">{#N/A,#N/A,FALSE,"资产负债表";#N/A,#N/A,FALSE,"资产负债表"}</definedName>
    <definedName name="cgul" localSheetId="14" hidden="1">{#N/A,#N/A,FALSE,"资产负债表";#N/A,#N/A,FALSE,"资产负债表"}</definedName>
    <definedName name="cgul" hidden="1">{#N/A,#N/A,FALSE,"资产负债表";#N/A,#N/A,FALSE,"资产负债表"}</definedName>
    <definedName name="cguocnbnl" localSheetId="12" hidden="1">{#N/A,#N/A,FALSE,"资产负债表";#N/A,#N/A,FALSE,"资产负债表"}</definedName>
    <definedName name="cguocnbnl" localSheetId="14" hidden="1">{#N/A,#N/A,FALSE,"资产负债表";#N/A,#N/A,FALSE,"资产负债表"}</definedName>
    <definedName name="cguocnbnl" hidden="1">{#N/A,#N/A,FALSE,"资产负债表";#N/A,#N/A,FALSE,"资产负债表"}</definedName>
    <definedName name="CH">7.56</definedName>
    <definedName name="Choices_Wrapper" localSheetId="11">K1_400折旧测试!Choices_Wrapper</definedName>
    <definedName name="Choices_Wrapper">Choices_Wrapper</definedName>
    <definedName name="cip">#REF!</definedName>
    <definedName name="CIQWBGuid" hidden="1">"06.2023 - K- PPE Work Program Example.xlsx"</definedName>
    <definedName name="CIQWBInfo" hidden="1">"{ ""CIQVersion"":""9.51.3510.3078"" }"</definedName>
    <definedName name="City">#REF!</definedName>
    <definedName name="ClientName">#REF!</definedName>
    <definedName name="co">100</definedName>
    <definedName name="Code" hidden="1">#REF!</definedName>
    <definedName name="Coll" localSheetId="4" hidden="1">{#N/A,#N/A,FALSE,"970301";#N/A,#N/A,FALSE,"970302";#N/A,#N/A,FALSE,"970303";#N/A,#N/A,FALSE,"970304";#N/A,#N/A,FALSE,"COM1";#N/A,#N/A,FALSE,"COM2"}</definedName>
    <definedName name="Coll" localSheetId="12" hidden="1">{#N/A,#N/A,FALSE,"970301";#N/A,#N/A,FALSE,"970302";#N/A,#N/A,FALSE,"970303";#N/A,#N/A,FALSE,"970304";#N/A,#N/A,FALSE,"COM1";#N/A,#N/A,FALSE,"COM2"}</definedName>
    <definedName name="Coll" localSheetId="14" hidden="1">{#N/A,#N/A,FALSE,"970301";#N/A,#N/A,FALSE,"970302";#N/A,#N/A,FALSE,"970303";#N/A,#N/A,FALSE,"970304";#N/A,#N/A,FALSE,"COM1";#N/A,#N/A,FALSE,"COM2"}</definedName>
    <definedName name="Coll" localSheetId="11" hidden="1">{#N/A,#N/A,FALSE,"970301";#N/A,#N/A,FALSE,"970302";#N/A,#N/A,FALSE,"970303";#N/A,#N/A,FALSE,"970304";#N/A,#N/A,FALSE,"COM1";#N/A,#N/A,FALSE,"COM2"}</definedName>
    <definedName name="Coll" hidden="1">{#N/A,#N/A,FALSE,"970301";#N/A,#N/A,FALSE,"970302";#N/A,#N/A,FALSE,"970303";#N/A,#N/A,FALSE,"970304";#N/A,#N/A,FALSE,"COM1";#N/A,#N/A,FALSE,"COM2"}</definedName>
    <definedName name="collar">#REF!</definedName>
    <definedName name="COMMKE">#REF!</definedName>
    <definedName name="Company">#REF!</definedName>
    <definedName name="COMPTABLE">#REF!</definedName>
    <definedName name="consoltotal">#REF!</definedName>
    <definedName name="copia" localSheetId="14" hidden="1">{#N/A,#N/A,FALSE,"voz corporativa";#N/A,#N/A,FALSE,"Transmisión de datos";#N/A,#N/A,FALSE,"Videoconferencia";#N/A,#N/A,FALSE,"Correo electrónico";#N/A,#N/A,FALSE,"Correo de voz";#N/A,#N/A,FALSE,"Megafax";#N/A,#N/A,FALSE,"Edi";#N/A,#N/A,FALSE,"Internet";#N/A,#N/A,FALSE,"VSAT";#N/A,#N/A,FALSE,"ing ult. milla"}</definedName>
    <definedName name="copia" hidden="1">{#N/A,#N/A,FALSE,"voz corporativa";#N/A,#N/A,FALSE,"Transmisión de datos";#N/A,#N/A,FALSE,"Videoconferencia";#N/A,#N/A,FALSE,"Correo electrónico";#N/A,#N/A,FALSE,"Correo de voz";#N/A,#N/A,FALSE,"Megafax";#N/A,#N/A,FALSE,"Edi";#N/A,#N/A,FALSE,"Internet";#N/A,#N/A,FALSE,"VSAT";#N/A,#N/A,FALSE,"ing ult. milla"}</definedName>
    <definedName name="copper">#REF!</definedName>
    <definedName name="cost200310">#REF!</definedName>
    <definedName name="count">#REF!</definedName>
    <definedName name="Country">#REF!</definedName>
    <definedName name="COVER">#REF!</definedName>
    <definedName name="Cp101.xls">#REF!</definedName>
    <definedName name="Cp102.xls">#REF!</definedName>
    <definedName name="CSCGZ" localSheetId="14" hidden="1">Main.SAPF4Help()</definedName>
    <definedName name="CSCGZ" hidden="1">Main.SAPF4Help()</definedName>
    <definedName name="CUMENE">#REF!</definedName>
    <definedName name="CUMENT">#REF!</definedName>
    <definedName name="data">#REF!</definedName>
    <definedName name="data1" hidden="1">#REF!</definedName>
    <definedName name="data2" hidden="1">#REF!</definedName>
    <definedName name="data3" hidden="1">#REF!</definedName>
    <definedName name="database1">#REF!</definedName>
    <definedName name="DBS" hidden="1">#REF!</definedName>
    <definedName name="dbtel">#REF!</definedName>
    <definedName name="dcca" localSheetId="12" hidden="1">{#N/A,#N/A,FALSE,"资产负债表";#N/A,#N/A,FALSE,"资产负债表"}</definedName>
    <definedName name="dcca" localSheetId="14" hidden="1">{#N/A,#N/A,FALSE,"资产负债表";#N/A,#N/A,FALSE,"资产负债表"}</definedName>
    <definedName name="dcca" hidden="1">{#N/A,#N/A,FALSE,"资产负债表";#N/A,#N/A,FALSE,"资产负债表"}</definedName>
    <definedName name="DCO_Year2">#REF!</definedName>
    <definedName name="DCO_Year3">#REF!</definedName>
    <definedName name="DCO_Years">#REF!</definedName>
    <definedName name="DD">#REF!</definedName>
    <definedName name="DDD">#REF!</definedName>
    <definedName name="DDDD" localSheetId="14" hidden="1">{#N/A,#N/A,FALSE,"Virgin Flightdeck"}</definedName>
    <definedName name="DDDD" hidden="1">{#N/A,#N/A,FALSE,"Virgin Flightdeck"}</definedName>
    <definedName name="DDDDDD" localSheetId="14" hidden="1">{#N/A,#N/A,FALSE,"Virgin Flightdeck"}</definedName>
    <definedName name="DDDDDD" hidden="1">{#N/A,#N/A,FALSE,"Virgin Flightdeck"}</definedName>
    <definedName name="debtor">#REF!</definedName>
    <definedName name="description">#REF!</definedName>
    <definedName name="dfdf"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4" hidden="1">{#N/A,#N/A,FALSE,"OffAdvance";#N/A,#N/A,FALSE,"OffExpRprt";#N/A,#N/A,FALSE,"Travelling";#N/A,#N/A,FALSE,"Entertmnt";#N/A,#N/A,FALSE,"Promotion"}</definedName>
    <definedName name="dfgdafsg" localSheetId="12" hidden="1">{#N/A,#N/A,FALSE,"OffAdvance";#N/A,#N/A,FALSE,"OffExpRprt";#N/A,#N/A,FALSE,"Travelling";#N/A,#N/A,FALSE,"Entertmnt";#N/A,#N/A,FALSE,"Promotion"}</definedName>
    <definedName name="dfgdafsg" localSheetId="14" hidden="1">{#N/A,#N/A,FALSE,"OffAdvance";#N/A,#N/A,FALSE,"OffExpRprt";#N/A,#N/A,FALSE,"Travelling";#N/A,#N/A,FALSE,"Entertmnt";#N/A,#N/A,FALSE,"Promotion"}</definedName>
    <definedName name="dfgdafsg" localSheetId="11" hidden="1">{#N/A,#N/A,FALSE,"OffAdvance";#N/A,#N/A,FALSE,"OffExpRprt";#N/A,#N/A,FALSE,"Travelling";#N/A,#N/A,FALSE,"Entertmnt";#N/A,#N/A,FALSE,"Promotion"}</definedName>
    <definedName name="dfgdafsg" hidden="1">{#N/A,#N/A,FALSE,"OffAdvance";#N/A,#N/A,FALSE,"OffExpRprt";#N/A,#N/A,FALSE,"Travelling";#N/A,#N/A,FALSE,"Entertmnt";#N/A,#N/A,FALSE,"Promotion"}</definedName>
    <definedName name="dfk"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2" hidden="1">{"M1Print",#N/A,TRUE,"M1";"M2Print",#N/A,TRUE,"M2";"M1sPrint",#N/A,TRUE,"M1s";"M2aPrint",#N/A,TRUE,"M2a";"M4Print",#N/A,TRUE,"M4";"M5Print",#N/A,TRUE,"M5";"M6Print",#N/A,TRUE,"M6";"M6_1Print",#N/A,TRUE,"M6_1";"M6_2Print",#N/A,TRUE,"M6_2";"M7_1Print",#N/A,TRUE,"M7_1";"M7_2Print",#N/A,TRUE,"M7_2"}</definedName>
    <definedName name="dfv" localSheetId="14"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12" hidden="1">{"M4Print",#N/A,FALSE,"M4"}</definedName>
    <definedName name="dh" localSheetId="14" hidden="1">{"M4Print",#N/A,FALSE,"M4"}</definedName>
    <definedName name="dh" hidden="1">{"M4Print",#N/A,FALSE,"M4"}</definedName>
    <definedName name="dhp">#REF!</definedName>
    <definedName name="Discount" hidden="1">#REF!</definedName>
    <definedName name="display_area_2" hidden="1">#REF!</definedName>
    <definedName name="Disposal">#REF!</definedName>
    <definedName name="DIVO1">#REF!</definedName>
    <definedName name="dlf" localSheetId="12" hidden="1">{"M4Print",#N/A,FALSE,"M4"}</definedName>
    <definedName name="dlf" localSheetId="14"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2" hidden="1">{#N/A,#N/A,TRUE,"CPRD";#N/A,#N/A,TRUE,"BCCPDR";#N/A,#N/A,TRUE,"EWRD";#N/A,#N/A,TRUE,"5100";#N/A,#N/A,TRUE,"5110"}</definedName>
    <definedName name="doddd" localSheetId="3" hidden="1">{#N/A,#N/A,TRUE,"CPRD";#N/A,#N/A,TRUE,"BCCPDR";#N/A,#N/A,TRUE,"EWRD";#N/A,#N/A,TRUE,"5100";#N/A,#N/A,TRUE,"5110"}</definedName>
    <definedName name="doddd" localSheetId="4" hidden="1">{#N/A,#N/A,TRUE,"CPRD";#N/A,#N/A,TRUE,"BCCPDR";#N/A,#N/A,TRUE,"EWRD";#N/A,#N/A,TRUE,"5100";#N/A,#N/A,TRUE,"5110"}</definedName>
    <definedName name="doddd" localSheetId="12" hidden="1">{#N/A,#N/A,TRUE,"CPRD";#N/A,#N/A,TRUE,"BCCPDR";#N/A,#N/A,TRUE,"EWRD";#N/A,#N/A,TRUE,"5100";#N/A,#N/A,TRUE,"5110"}</definedName>
    <definedName name="doddd" localSheetId="14" hidden="1">{#N/A,#N/A,TRUE,"CPRD";#N/A,#N/A,TRUE,"BCCPDR";#N/A,#N/A,TRUE,"EWRD";#N/A,#N/A,TRUE,"5100";#N/A,#N/A,TRUE,"5110"}</definedName>
    <definedName name="doddd" localSheetId="11" hidden="1">{#N/A,#N/A,TRUE,"CPRD";#N/A,#N/A,TRUE,"BCCPDR";#N/A,#N/A,TRUE,"EWRD";#N/A,#N/A,TRUE,"5100";#N/A,#N/A,TRUE,"5110"}</definedName>
    <definedName name="doddd" localSheetId="10" hidden="1">{#N/A,#N/A,TRUE,"CPRD";#N/A,#N/A,TRUE,"BCCPDR";#N/A,#N/A,TRUE,"EWRD";#N/A,#N/A,TRUE,"5100";#N/A,#N/A,TRUE,"5110"}</definedName>
    <definedName name="doddd" localSheetId="6" hidden="1">{#N/A,#N/A,TRUE,"CPRD";#N/A,#N/A,TRUE,"BCCPDR";#N/A,#N/A,TRUE,"EWRD";#N/A,#N/A,TRUE,"5100";#N/A,#N/A,TRUE,"5110"}</definedName>
    <definedName name="doddd" hidden="1">{#N/A,#N/A,TRUE,"CPRD";#N/A,#N/A,TRUE,"BCCPDR";#N/A,#N/A,TRUE,"EWRD";#N/A,#N/A,TRUE,"5100";#N/A,#N/A,TRUE,"5110"}</definedName>
    <definedName name="dog" localSheetId="2" hidden="1">{#N/A,#N/A,TRUE,"CPRD";#N/A,#N/A,TRUE,"BCCPDR";#N/A,#N/A,TRUE,"EWRD";#N/A,#N/A,TRUE,"5100";#N/A,#N/A,TRUE,"5110"}</definedName>
    <definedName name="dog" localSheetId="3" hidden="1">{#N/A,#N/A,TRUE,"CPRD";#N/A,#N/A,TRUE,"BCCPDR";#N/A,#N/A,TRUE,"EWRD";#N/A,#N/A,TRUE,"5100";#N/A,#N/A,TRUE,"5110"}</definedName>
    <definedName name="dog" localSheetId="4" hidden="1">{#N/A,#N/A,TRUE,"CPRD";#N/A,#N/A,TRUE,"BCCPDR";#N/A,#N/A,TRUE,"EWRD";#N/A,#N/A,TRUE,"5100";#N/A,#N/A,TRUE,"5110"}</definedName>
    <definedName name="dog" localSheetId="12" hidden="1">{#N/A,#N/A,TRUE,"CPRD";#N/A,#N/A,TRUE,"BCCPDR";#N/A,#N/A,TRUE,"EWRD";#N/A,#N/A,TRUE,"5100";#N/A,#N/A,TRUE,"5110"}</definedName>
    <definedName name="dog" localSheetId="14" hidden="1">{#N/A,#N/A,TRUE,"CPRD";#N/A,#N/A,TRUE,"BCCPDR";#N/A,#N/A,TRUE,"EWRD";#N/A,#N/A,TRUE,"5100";#N/A,#N/A,TRUE,"5110"}</definedName>
    <definedName name="dog" localSheetId="11" hidden="1">{#N/A,#N/A,TRUE,"CPRD";#N/A,#N/A,TRUE,"BCCPDR";#N/A,#N/A,TRUE,"EWRD";#N/A,#N/A,TRUE,"5100";#N/A,#N/A,TRUE,"5110"}</definedName>
    <definedName name="dog" localSheetId="10" hidden="1">{#N/A,#N/A,TRUE,"CPRD";#N/A,#N/A,TRUE,"BCCPDR";#N/A,#N/A,TRUE,"EWRD";#N/A,#N/A,TRUE,"5100";#N/A,#N/A,TRUE,"5110"}</definedName>
    <definedName name="dog" localSheetId="6" hidden="1">{#N/A,#N/A,TRUE,"CPRD";#N/A,#N/A,TRUE,"BCCPDR";#N/A,#N/A,TRUE,"EWRD";#N/A,#N/A,TRUE,"5100";#N/A,#N/A,TRUE,"5110"}</definedName>
    <definedName name="dog" hidden="1">{#N/A,#N/A,TRUE,"CPRD";#N/A,#N/A,TRUE,"BCCPDR";#N/A,#N/A,TRUE,"EWRD";#N/A,#N/A,TRUE,"5100";#N/A,#N/A,TRUE,"5110"}</definedName>
    <definedName name="DPL" hidden="1">#REF!</definedName>
    <definedName name="drh">#REF!</definedName>
    <definedName name="drr">#REF!</definedName>
    <definedName name="ds" localSheetId="14" hidden="1">{"CSC_1",#N/A,FALSE,"CSC Outputs";"CSC_2",#N/A,FALSE,"CSC Outputs"}</definedName>
    <definedName name="ds" hidden="1">{"CSC_1",#N/A,FALSE,"CSC Outputs";"CSC_2",#N/A,FALSE,"CSC Outputs"}</definedName>
    <definedName name="dsasafsadf" localSheetId="14" hidden="1">{"page 1",#N/A,FALSE,"A";"page 2",#N/A,FALSE,"A";"page 3",#N/A,FALSE,"A";"page 4",#N/A,FALSE,"A";"page 5",#N/A,FALSE,"A";"page 6",#N/A,FALSE,"A";"page 7",#N/A,FALSE,"A";"page 8",#N/A,FALSE,"A";"page 9",#N/A,FALSE,"A";"page 10",#N/A,FALSE,"A";"page 11",#N/A,FALSE,"A";"page 12",#N/A,FALSE,"A";"page 13",#N/A,FALSE,"A";"page 14",#N/A,FALSE,"A"}</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localSheetId="14" hidden="1">{#N/A,#N/A,FALSE,"Verify at a Glance";#N/A,#N/A,FALSE,"CARMS VS. STAR";#N/A,#N/A,FALSE,"Intel-US";#N/A,#N/A,FALSE,"Intel-PR";#N/A,#N/A,FALSE,"Intel-MISC-6";#N/A,#N/A,FALSE,"Intel-DPA-7";#N/A,#N/A,FALSE,"Intel-IRE";#N/A,#N/A,FALSE,"Intel-HK";#N/A,#N/A,FALSE,"DAILY INPUT";#N/A,#N/A,FALSE,"P5 HK Cash List"}</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SO_Year2">#REF!</definedName>
    <definedName name="DSO_Year3">#REF!</definedName>
    <definedName name="DSO_Years">#REF!</definedName>
    <definedName name="DURENE">#REF!</definedName>
    <definedName name="dvbm" localSheetId="12" hidden="1">{#N/A,#N/A,FALSE,"资产负债表";#N/A,#N/A,FALSE,"资产负债表"}</definedName>
    <definedName name="dvbm" localSheetId="14" hidden="1">{#N/A,#N/A,FALSE,"资产负债表";#N/A,#N/A,FALSE,"资产负债表"}</definedName>
    <definedName name="dvbm" hidden="1">{#N/A,#N/A,FALSE,"资产负债表";#N/A,#N/A,FALSE,"资产负债表"}</definedName>
    <definedName name="DWED" hidden="1">#REF!</definedName>
    <definedName name="dzh">#REF!</definedName>
    <definedName name="dzr">#REF!</definedName>
    <definedName name="EAMT">#REF!</definedName>
    <definedName name="EAPR">#REF!</definedName>
    <definedName name="EAUG">#REF!</definedName>
    <definedName name="EDEC">#REF!</definedName>
    <definedName name="EDEW" hidden="1">#REF!</definedName>
    <definedName name="edispu" localSheetId="14" hidden="1">{#N/A,#N/A,FALSE,"Sheet1"}</definedName>
    <definedName name="edispu" hidden="1">{#N/A,#N/A,FALSE,"Sheet1"}</definedName>
    <definedName name="ee">#REF!</definedName>
    <definedName name="EFEB">#REF!</definedName>
    <definedName name="ehdg" localSheetId="4" hidden="1">{#N/A,#N/A,FALSE,"Jan"}</definedName>
    <definedName name="ehdg" localSheetId="12" hidden="1">{#N/A,#N/A,FALSE,"Jan"}</definedName>
    <definedName name="ehdg" localSheetId="14" hidden="1">{#N/A,#N/A,FALSE,"Jan"}</definedName>
    <definedName name="ehdg" localSheetId="11" hidden="1">{#N/A,#N/A,FALSE,"Jan"}</definedName>
    <definedName name="ehdg" localSheetId="10" hidden="1">{#N/A,#N/A,FALSE,"Jan"}</definedName>
    <definedName name="ehdg" localSheetId="6" hidden="1">{#N/A,#N/A,FALSE,"Jan"}</definedName>
    <definedName name="ehdg" hidden="1">{#N/A,#N/A,FALSE,"Jan"}</definedName>
    <definedName name="EJAN">#REF!</definedName>
    <definedName name="EJUL">#REF!</definedName>
    <definedName name="EJUN">#REF!</definedName>
    <definedName name="ELOC">#REF!</definedName>
    <definedName name="Email">#REF!</definedName>
    <definedName name="EMAR">#REF!</definedName>
    <definedName name="EMAY">#REF!</definedName>
    <definedName name="End_Bal">#REF!</definedName>
    <definedName name="ENOV">#REF!</definedName>
    <definedName name="EOCT">#REF!</definedName>
    <definedName name="EPYS">#REF!</definedName>
    <definedName name="eqwrwer" localSheetId="14" hidden="1">{"Annual_Income",#N/A,FALSE,"Report Page";"Balance_Cash_Flow",#N/A,FALSE,"Report Page";"Quarterly_Income",#N/A,FALSE,"Report Page"}</definedName>
    <definedName name="eqwrwer" hidden="1">{"Annual_Income",#N/A,FALSE,"Report Page";"Balance_Cash_Flow",#N/A,FALSE,"Report Page";"Quarterly_Income",#N/A,FALSE,"Report Page"}</definedName>
    <definedName name="erf" localSheetId="12" hidden="1">{#N/A,#N/A,FALSE,"970301";#N/A,#N/A,FALSE,"970302";#N/A,#N/A,FALSE,"970303";#N/A,#N/A,FALSE,"970304";#N/A,#N/A,FALSE,"COM1";#N/A,#N/A,FALSE,"COM2"}</definedName>
    <definedName name="erf" localSheetId="14" hidden="1">{#N/A,#N/A,FALSE,"970301";#N/A,#N/A,FALSE,"970302";#N/A,#N/A,FALSE,"970303";#N/A,#N/A,FALSE,"970304";#N/A,#N/A,FALSE,"COM1";#N/A,#N/A,FALSE,"COM2"}</definedName>
    <definedName name="erf" hidden="1">{#N/A,#N/A,FALSE,"970301";#N/A,#N/A,FALSE,"970302";#N/A,#N/A,FALSE,"970303";#N/A,#N/A,FALSE,"970304";#N/A,#N/A,FALSE,"COM1";#N/A,#N/A,FALSE,"COM2"}</definedName>
    <definedName name="errrr" localSheetId="14" hidden="1">{"CSC_1",#N/A,FALSE,"CSC Outputs";"CSC_2",#N/A,FALSE,"CSC Outputs"}</definedName>
    <definedName name="errrr" hidden="1">{"CSC_1",#N/A,FALSE,"CSC Outputs";"CSC_2",#N/A,FALSE,"CSC Outputs"}</definedName>
    <definedName name="eryj" localSheetId="12" hidden="1">{#N/A,#N/A,FALSE,"资产负债表";#N/A,#N/A,FALSE,"资产负债表"}</definedName>
    <definedName name="eryj" localSheetId="14" hidden="1">{#N/A,#N/A,FALSE,"资产负债表";#N/A,#N/A,FALSE,"资产负债表"}</definedName>
    <definedName name="eryj" hidden="1">{#N/A,#N/A,FALSE,"资产负债表";#N/A,#N/A,FALSE,"资产负债表"}</definedName>
    <definedName name="ESEP">#REF!</definedName>
    <definedName name="EV__LASTREFTIME__" hidden="1">39274.4724884259</definedName>
    <definedName name="ex">110</definedName>
    <definedName name="ExpenseUpload" localSheetId="2" hidden="1">{#N/A,#N/A,TRUE,"CPRD";#N/A,#N/A,TRUE,"BCCPDR";#N/A,#N/A,TRUE,"EWRD";#N/A,#N/A,TRUE,"5100";#N/A,#N/A,TRUE,"5110"}</definedName>
    <definedName name="ExpenseUpload" localSheetId="3" hidden="1">{#N/A,#N/A,TRUE,"CPRD";#N/A,#N/A,TRUE,"BCCPDR";#N/A,#N/A,TRUE,"EWRD";#N/A,#N/A,TRUE,"5100";#N/A,#N/A,TRUE,"5110"}</definedName>
    <definedName name="ExpenseUpload" localSheetId="4" hidden="1">{#N/A,#N/A,TRUE,"CPRD";#N/A,#N/A,TRUE,"BCCPDR";#N/A,#N/A,TRUE,"EWRD";#N/A,#N/A,TRUE,"5100";#N/A,#N/A,TRUE,"5110"}</definedName>
    <definedName name="ExpenseUpload" localSheetId="12" hidden="1">{#N/A,#N/A,TRUE,"CPRD";#N/A,#N/A,TRUE,"BCCPDR";#N/A,#N/A,TRUE,"EWRD";#N/A,#N/A,TRUE,"5100";#N/A,#N/A,TRUE,"5110"}</definedName>
    <definedName name="ExpenseUpload" localSheetId="14" hidden="1">{#N/A,#N/A,TRUE,"CPRD";#N/A,#N/A,TRUE,"BCCPDR";#N/A,#N/A,TRUE,"EWRD";#N/A,#N/A,TRUE,"5100";#N/A,#N/A,TRUE,"5110"}</definedName>
    <definedName name="ExpenseUpload" localSheetId="11" hidden="1">{#N/A,#N/A,TRUE,"CPRD";#N/A,#N/A,TRUE,"BCCPDR";#N/A,#N/A,TRUE,"EWRD";#N/A,#N/A,TRUE,"5100";#N/A,#N/A,TRUE,"5110"}</definedName>
    <definedName name="ExpenseUpload" localSheetId="10" hidden="1">{#N/A,#N/A,TRUE,"CPRD";#N/A,#N/A,TRUE,"BCCPDR";#N/A,#N/A,TRUE,"EWRD";#N/A,#N/A,TRUE,"5100";#N/A,#N/A,TRUE,"5110"}</definedName>
    <definedName name="ExpenseUpload" localSheetId="6" hidden="1">{#N/A,#N/A,TRUE,"CPRD";#N/A,#N/A,TRUE,"BCCPDR";#N/A,#N/A,TRUE,"EWRD";#N/A,#N/A,TRUE,"5100";#N/A,#N/A,TRUE,"5110"}</definedName>
    <definedName name="ExpenseUpload" hidden="1">{#N/A,#N/A,TRUE,"CPRD";#N/A,#N/A,TRUE,"BCCPDR";#N/A,#N/A,TRUE,"EWRD";#N/A,#N/A,TRUE,"5100";#N/A,#N/A,TRUE,"5110"}</definedName>
    <definedName name="exr">1.1</definedName>
    <definedName name="ExRate">#REF!</definedName>
    <definedName name="exrate1">100</definedName>
    <definedName name="Extra_Pay">#REF!</definedName>
    <definedName name="F.A.breakdown">#REF!</definedName>
    <definedName name="FA_2000_in_use">#REF!</definedName>
    <definedName name="faif" localSheetId="12" hidden="1">{#N/A,#N/A,FALSE,"资产负债表";#N/A,#N/A,FALSE,"资产负债表"}</definedName>
    <definedName name="faif" localSheetId="14" hidden="1">{#N/A,#N/A,FALSE,"资产负债表";#N/A,#N/A,FALSE,"资产负债表"}</definedName>
    <definedName name="faif" hidden="1">{#N/A,#N/A,FALSE,"资产负债表";#N/A,#N/A,FALSE,"资产负债表"}</definedName>
    <definedName name="Fax">#REF!</definedName>
    <definedName name="FCode" hidden="1">#REF!</definedName>
    <definedName name="fd" localSheetId="12" hidden="1">{"M1sPrint",#N/A,FALSE,"M1s"}</definedName>
    <definedName name="fd" localSheetId="14" hidden="1">{"M1sPrint",#N/A,FALSE,"M1s"}</definedName>
    <definedName name="fd" hidden="1">{"M1sPrint",#N/A,FALSE,"M1s"}</definedName>
    <definedName name="FDEFRE" hidden="1">#REF!</definedName>
    <definedName name="FDVV" localSheetId="14" hidden="1">{#N/A,#N/A,FALSE,"Verify at a Glance";#N/A,#N/A,FALSE,"CARMS VS. STAR";#N/A,#N/A,FALSE,"Intel-US";#N/A,#N/A,FALSE,"Intel-PR";#N/A,#N/A,FALSE,"Intel-MISC-6";#N/A,#N/A,FALSE,"Intel-DPA-7";#N/A,#N/A,FALSE,"Intel-IRE";#N/A,#N/A,FALSE,"Intel-HK";#N/A,#N/A,FALSE,"DAILY INPUT";#N/A,#N/A,FALSE,"P5 HK Cash List"}</definedName>
    <definedName name="FDVV" hidden="1">{#N/A,#N/A,FALSE,"Verify at a Glance";#N/A,#N/A,FALSE,"CARMS VS. STAR";#N/A,#N/A,FALSE,"Intel-US";#N/A,#N/A,FALSE,"Intel-PR";#N/A,#N/A,FALSE,"Intel-MISC-6";#N/A,#N/A,FALSE,"Intel-DPA-7";#N/A,#N/A,FALSE,"Intel-IRE";#N/A,#N/A,FALSE,"Intel-HK";#N/A,#N/A,FALSE,"DAILY INPUT";#N/A,#N/A,FALSE,"P5 HK Cash List"}</definedName>
    <definedName name="feed1">#REF!</definedName>
    <definedName name="feed2">#REF!</definedName>
    <definedName name="feed3">#REF!</definedName>
    <definedName name="feedback" localSheetId="12" hidden="1">{#N/A,#N/A,TRUE,"CPRD";#N/A,#N/A,TRUE,"BCCPDR";#N/A,#N/A,TRUE,"EWRD";#N/A,#N/A,TRUE,"5100";#N/A,#N/A,TRUE,"5110"}</definedName>
    <definedName name="feedback" localSheetId="14" hidden="1">{#N/A,#N/A,TRUE,"CPRD";#N/A,#N/A,TRUE,"BCCPDR";#N/A,#N/A,TRUE,"EWRD";#N/A,#N/A,TRUE,"5100";#N/A,#N/A,TRUE,"5110"}</definedName>
    <definedName name="feedback" hidden="1">{#N/A,#N/A,TRUE,"CPRD";#N/A,#N/A,TRUE,"BCCPDR";#N/A,#N/A,TRUE,"EWRD";#N/A,#N/A,TRUE,"5100";#N/A,#N/A,TRUE,"5110"}</definedName>
    <definedName name="fff">#REF!</definedName>
    <definedName name="Ffuming">#REF!</definedName>
    <definedName name="FG_In">#REF!</definedName>
    <definedName name="FG_In_1999">#REF!</definedName>
    <definedName name="fgdg" localSheetId="12" hidden="1">{"M1Print",#N/A,TRUE,"M1";"M2Print",#N/A,TRUE,"M2";"M1sPrint",#N/A,TRUE,"M1s";"M2aPrint",#N/A,TRUE,"M2a";"M4Print",#N/A,TRUE,"M4";"M5Print",#N/A,TRUE,"M5";"M6Print",#N/A,TRUE,"M6";"M6_1Print",#N/A,TRUE,"M6_1";"M6_2Print",#N/A,TRUE,"M6_2";"M7_1Print",#N/A,TRUE,"M7_1";"M7_2Print",#N/A,TRUE,"M7_2"}</definedName>
    <definedName name="fgdg" localSheetId="14"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ggh" localSheetId="14" hidden="1">{#N/A,#N/A,FALSE,"970301";#N/A,#N/A,FALSE,"970302";#N/A,#N/A,FALSE,"970303";#N/A,#N/A,FALSE,"970304";#N/A,#N/A,FALSE,"COM1";#N/A,#N/A,FALSE,"COM2"}</definedName>
    <definedName name="fggh" hidden="1">{#N/A,#N/A,FALSE,"970301";#N/A,#N/A,FALSE,"970302";#N/A,#N/A,FALSE,"970303";#N/A,#N/A,FALSE,"970304";#N/A,#N/A,FALSE,"COM1";#N/A,#N/A,FALSE,"COM2"}</definedName>
    <definedName name="fggh1" localSheetId="14" hidden="1">{#N/A,#N/A,FALSE,"970301";#N/A,#N/A,FALSE,"970302";#N/A,#N/A,FALSE,"970303";#N/A,#N/A,FALSE,"970304";#N/A,#N/A,FALSE,"COM1";#N/A,#N/A,FALSE,"COM2"}</definedName>
    <definedName name="fggh1" hidden="1">{#N/A,#N/A,FALSE,"970301";#N/A,#N/A,FALSE,"970302";#N/A,#N/A,FALSE,"970303";#N/A,#N/A,FALSE,"970304";#N/A,#N/A,FALSE,"COM1";#N/A,#N/A,FALSE,"COM2"}</definedName>
    <definedName name="fixasset">#REF!</definedName>
    <definedName name="fixassets">#REF!</definedName>
    <definedName name="fl">#REF!</definedName>
    <definedName name="foot">#REF!</definedName>
    <definedName name="Formula_Descriptions">#REF!</definedName>
    <definedName name="fp">#REF!</definedName>
    <definedName name="FUELS">#REF!</definedName>
    <definedName name="FUELS_SGA">#REF!</definedName>
    <definedName name="FUELS_TERM">#REF!</definedName>
    <definedName name="FUELSKE">#REF!</definedName>
    <definedName name="Full_Print">#REF!</definedName>
    <definedName name="fvb" localSheetId="12" hidden="1">{#N/A,#N/A,FALSE,"资产负债表";#N/A,#N/A,FALSE,"资产负债表"}</definedName>
    <definedName name="fvb" localSheetId="14" hidden="1">{#N/A,#N/A,FALSE,"资产负债表";#N/A,#N/A,FALSE,"资产负债表"}</definedName>
    <definedName name="fvb" hidden="1">{#N/A,#N/A,FALSE,"资产负债表";#N/A,#N/A,FALSE,"资产负债表"}</definedName>
    <definedName name="FY">1999</definedName>
    <definedName name="G201arpe">#REF!</definedName>
    <definedName name="G201arpf">#REF!</definedName>
    <definedName name="G201B">#REF!</definedName>
    <definedName name="G300arpa">#REF!</definedName>
    <definedName name="G300arpb">#REF!</definedName>
    <definedName name="G300arpc">#REF!</definedName>
    <definedName name="G300arpd">#REF!</definedName>
    <definedName name="G300arpe">#REF!</definedName>
    <definedName name="G301arpe">#REF!</definedName>
    <definedName name="G301arpf">#REF!</definedName>
    <definedName name="G301arpg">#REF!</definedName>
    <definedName name="G301arph">#REF!</definedName>
    <definedName name="G9IJGF" localSheetId="12" hidden="1">{#N/A,#N/A,FALSE,"资产负债表";#N/A,#N/A,FALSE,"资产负债表"}</definedName>
    <definedName name="G9IJGF" localSheetId="14" hidden="1">{#N/A,#N/A,FALSE,"资产负债表";#N/A,#N/A,FALSE,"资产负债表"}</definedName>
    <definedName name="G9IJGF" hidden="1">{#N/A,#N/A,FALSE,"资产负债表";#N/A,#N/A,FALSE,"资产负债表"}</definedName>
    <definedName name="gdzc">#REF!</definedName>
    <definedName name="gggg" localSheetId="4">#REF!</definedName>
    <definedName name="gggg" localSheetId="14" hidden="1">{#N/A,#N/A,FALSE,"OffAdvance";#N/A,#N/A,FALSE,"OffExpRprt";#N/A,#N/A,FALSE,"Travelling";#N/A,#N/A,FALSE,"Entertmnt";#N/A,#N/A,FALSE,"Promotion"}</definedName>
    <definedName name="gggg" localSheetId="11">#REF!</definedName>
    <definedName name="gggg" hidden="1">{#N/A,#N/A,FALSE,"OffAdvance";#N/A,#N/A,FALSE,"OffExpRprt";#N/A,#N/A,FALSE,"Travelling";#N/A,#N/A,FALSE,"Entertmnt";#N/A,#N/A,FALSE,"Promotion"}</definedName>
    <definedName name="gggg1" localSheetId="14" hidden="1">{#N/A,#N/A,FALSE,"OffAdvance";#N/A,#N/A,FALSE,"OffExpRprt";#N/A,#N/A,FALSE,"Travelling";#N/A,#N/A,FALSE,"Entertmnt";#N/A,#N/A,FALSE,"Promotion"}</definedName>
    <definedName name="gggg1" hidden="1">{#N/A,#N/A,FALSE,"OffAdvance";#N/A,#N/A,FALSE,"OffExpRprt";#N/A,#N/A,FALSE,"Travelling";#N/A,#N/A,FALSE,"Entertmnt";#N/A,#N/A,FALSE,"Promotion"}</definedName>
    <definedName name="ggggggg">#REF!</definedName>
    <definedName name="glue">#REF!</definedName>
    <definedName name="GRANDTOT">#REF!</definedName>
    <definedName name="GSEstAnnlNOI">#REF!</definedName>
    <definedName name="gule">#REF!</definedName>
    <definedName name="GWG_Out">#REF!</definedName>
    <definedName name="GZN_1005">#REF!</definedName>
    <definedName name="h">#REF!</definedName>
    <definedName name="hadiah" localSheetId="12" hidden="1">{#N/A,#N/A,FALSE,"资产负债表";#N/A,#N/A,FALSE,"资产负债表"}</definedName>
    <definedName name="hadiah" localSheetId="14" hidden="1">{#N/A,#N/A,FALSE,"资产负债表";#N/A,#N/A,FALSE,"资产负债表"}</definedName>
    <definedName name="hadiah" hidden="1">{#N/A,#N/A,FALSE,"资产负债表";#N/A,#N/A,FALSE,"资产负债表"}</definedName>
    <definedName name="HdctTrnd" localSheetId="2" hidden="1">{#N/A,#N/A,TRUE,"CPRD";#N/A,#N/A,TRUE,"BCCPDR";#N/A,#N/A,TRUE,"EWRD";#N/A,#N/A,TRUE,"5100";#N/A,#N/A,TRUE,"5110"}</definedName>
    <definedName name="HdctTrnd" localSheetId="3" hidden="1">{#N/A,#N/A,TRUE,"CPRD";#N/A,#N/A,TRUE,"BCCPDR";#N/A,#N/A,TRUE,"EWRD";#N/A,#N/A,TRUE,"5100";#N/A,#N/A,TRUE,"5110"}</definedName>
    <definedName name="HdctTrnd" localSheetId="4" hidden="1">{#N/A,#N/A,TRUE,"CPRD";#N/A,#N/A,TRUE,"BCCPDR";#N/A,#N/A,TRUE,"EWRD";#N/A,#N/A,TRUE,"5100";#N/A,#N/A,TRUE,"5110"}</definedName>
    <definedName name="HdctTrnd" localSheetId="12" hidden="1">{#N/A,#N/A,TRUE,"CPRD";#N/A,#N/A,TRUE,"BCCPDR";#N/A,#N/A,TRUE,"EWRD";#N/A,#N/A,TRUE,"5100";#N/A,#N/A,TRUE,"5110"}</definedName>
    <definedName name="HdctTrnd" localSheetId="14" hidden="1">{#N/A,#N/A,TRUE,"CPRD";#N/A,#N/A,TRUE,"BCCPDR";#N/A,#N/A,TRUE,"EWRD";#N/A,#N/A,TRUE,"5100";#N/A,#N/A,TRUE,"5110"}</definedName>
    <definedName name="HdctTrnd" localSheetId="11" hidden="1">{#N/A,#N/A,TRUE,"CPRD";#N/A,#N/A,TRUE,"BCCPDR";#N/A,#N/A,TRUE,"EWRD";#N/A,#N/A,TRUE,"5100";#N/A,#N/A,TRUE,"5110"}</definedName>
    <definedName name="HdctTrnd" localSheetId="10" hidden="1">{#N/A,#N/A,TRUE,"CPRD";#N/A,#N/A,TRUE,"BCCPDR";#N/A,#N/A,TRUE,"EWRD";#N/A,#N/A,TRUE,"5100";#N/A,#N/A,TRUE,"5110"}</definedName>
    <definedName name="HdctTrnd" localSheetId="6" hidden="1">{#N/A,#N/A,TRUE,"CPRD";#N/A,#N/A,TRUE,"BCCPDR";#N/A,#N/A,TRUE,"EWRD";#N/A,#N/A,TRUE,"5100";#N/A,#N/A,TRUE,"5110"}</definedName>
    <definedName name="HdctTrnd" hidden="1">{#N/A,#N/A,TRUE,"CPRD";#N/A,#N/A,TRUE,"BCCPDR";#N/A,#N/A,TRUE,"EWRD";#N/A,#N/A,TRUE,"5100";#N/A,#N/A,TRUE,"5110"}</definedName>
    <definedName name="Header_Row">ROW(#REF!)</definedName>
    <definedName name="HiddenRows" hidden="1">#REF!</definedName>
    <definedName name="hod" localSheetId="14"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uy" localSheetId="14" hidden="1">{#N/A,#N/A,FALSE,"AD_Purchase";#N/A,#N/A,FALSE,"Credit";#N/A,#N/A,FALSE,"PF Acquisition";#N/A,#N/A,FALSE,"PF Offering"}</definedName>
    <definedName name="houy" hidden="1">{#N/A,#N/A,FALSE,"AD_Purchase";#N/A,#N/A,FALSE,"Credit";#N/A,#N/A,FALSE,"PF Acquisition";#N/A,#N/A,FALSE,"PF Offering"}</definedName>
    <definedName name="HTL_Cotrol1" localSheetId="12" hidden="1">{"'Sheet3'!$A$47:$M$47"}</definedName>
    <definedName name="HTL_Cotrol1" localSheetId="14" hidden="1">{"'Sheet3'!$A$47:$M$47"}</definedName>
    <definedName name="HTL_Cotrol1" hidden="1">{"'Sheet3'!$A$47:$M$47"}</definedName>
    <definedName name="HTML_CodePage" hidden="1">1252</definedName>
    <definedName name="HTML_Control" localSheetId="2" hidden="1">{"'Vxxe_times_J750 (2)'!$A$3:$E$14"}</definedName>
    <definedName name="HTML_Control" localSheetId="3" hidden="1">{"'Vxxe_times_J750 (2)'!$A$3:$E$14"}</definedName>
    <definedName name="HTML_Control" localSheetId="4" hidden="1">{"'Vxxe_times_J750 (2)'!$A$3:$E$14"}</definedName>
    <definedName name="HTML_Control" localSheetId="12" hidden="1">{"'Vxxe_times_J750 (2)'!$A$3:$E$14"}</definedName>
    <definedName name="HTML_Control" localSheetId="14" hidden="1">{"'Vxxe_times_J750 (2)'!$A$3:$E$14"}</definedName>
    <definedName name="HTML_Control" localSheetId="11" hidden="1">{"'Vxxe_times_J750 (2)'!$A$3:$E$14"}</definedName>
    <definedName name="HTML_Control" localSheetId="10" hidden="1">{"'Vxxe_times_J750 (2)'!$A$3:$E$14"}</definedName>
    <definedName name="HTML_Control" localSheetId="6"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localSheetId="12" hidden="1">{#N/A,#N/A,FALSE,"资产负债表";#N/A,#N/A,FALSE,"资产负债表"}</definedName>
    <definedName name="hueoa" localSheetId="14" hidden="1">{#N/A,#N/A,FALSE,"资产负债表";#N/A,#N/A,FALSE,"资产负债表"}</definedName>
    <definedName name="hueoa" hidden="1">{#N/A,#N/A,FALSE,"资产负债表";#N/A,#N/A,FALSE,"资产负债表"}</definedName>
    <definedName name="i">#REF!</definedName>
    <definedName name="I101arpb">#REF!</definedName>
    <definedName name="ieji" localSheetId="12" hidden="1">{#N/A,#N/A,FALSE,"970301";#N/A,#N/A,FALSE,"970302";#N/A,#N/A,FALSE,"970303";#N/A,#N/A,FALSE,"970304";#N/A,#N/A,FALSE,"COM1";#N/A,#N/A,FALSE,"COM2"}</definedName>
    <definedName name="ieji" localSheetId="14" hidden="1">{#N/A,#N/A,FALSE,"970301";#N/A,#N/A,FALSE,"970302";#N/A,#N/A,FALSE,"970303";#N/A,#N/A,FALSE,"970304";#N/A,#N/A,FALSE,"COM1";#N/A,#N/A,FALSE,"COM2"}</definedName>
    <definedName name="ieji" hidden="1">{#N/A,#N/A,FALSE,"970301";#N/A,#N/A,FALSE,"970302";#N/A,#N/A,FALSE,"970303";#N/A,#N/A,FALSE,"970304";#N/A,#N/A,FALSE,"COM1";#N/A,#N/A,FALSE,"COM2"}</definedName>
    <definedName name="iiiiii" localSheetId="14" hidden="1">{#N/A,#N/A,FALSE,"PERSONAL";#N/A,#N/A,FALSE,"explotación";#N/A,#N/A,FALSE,"generales"}</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nt">#REF!</definedName>
    <definedName name="Interest_Rate">#REF!</definedName>
    <definedName name="investment">#REF!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localSheetId="12" hidden="1">{"M4Print",#N/A,FALSE,"M4"}</definedName>
    <definedName name="jdda" localSheetId="14" hidden="1">{"M4Print",#N/A,FALSE,"M4"}</definedName>
    <definedName name="jdda" hidden="1">{"M4Print",#N/A,FALSE,"M4"}</definedName>
    <definedName name="jdfslsajdflasdkjpf" localSheetId="4" hidden="1">{#N/A,#N/A,FALSE,"OffAdvance";#N/A,#N/A,FALSE,"OffExpRprt";#N/A,#N/A,FALSE,"Entertmnt";#N/A,#N/A,FALSE,"Promotion";#N/A,#N/A,FALSE,"Travelling"}</definedName>
    <definedName name="jdfslsajdflasdkjpf" localSheetId="12" hidden="1">{#N/A,#N/A,FALSE,"OffAdvance";#N/A,#N/A,FALSE,"OffExpRprt";#N/A,#N/A,FALSE,"Entertmnt";#N/A,#N/A,FALSE,"Promotion";#N/A,#N/A,FALSE,"Travelling"}</definedName>
    <definedName name="jdfslsajdflasdkjpf" localSheetId="14" hidden="1">{#N/A,#N/A,FALSE,"OffAdvance";#N/A,#N/A,FALSE,"OffExpRprt";#N/A,#N/A,FALSE,"Entertmnt";#N/A,#N/A,FALSE,"Promotion";#N/A,#N/A,FALSE,"Travelling"}</definedName>
    <definedName name="jdfslsajdflasdkjpf" localSheetId="11"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12" hidden="1">{"M1sPrint",#N/A,FALSE,"M1s"}</definedName>
    <definedName name="jfgh" localSheetId="14" hidden="1">{"M1sPrint",#N/A,FALSE,"M1s"}</definedName>
    <definedName name="jfgh" hidden="1">{"M1sPrint",#N/A,FALSE,"M1s"}</definedName>
    <definedName name="jgfhfg" localSheetId="12" hidden="1">{"M1sPrint",#N/A,FALSE,"M1s"}</definedName>
    <definedName name="jgfhfg" localSheetId="14" hidden="1">{"M1sPrint",#N/A,FALSE,"M1s"}</definedName>
    <definedName name="jgfhfg" hidden="1">{"M1sPrint",#N/A,FALSE,"M1s"}</definedName>
    <definedName name="jishanggongyingpin1">#REF!</definedName>
    <definedName name="jishanggongyingpin2">#REF!</definedName>
    <definedName name="JL">#REF!</definedName>
    <definedName name="jlj" localSheetId="12" hidden="1">{"M2aPrint",#N/A,FALSE,"M2a"}</definedName>
    <definedName name="jlj" localSheetId="14" hidden="1">{"M2aPrint",#N/A,FALSE,"M2a"}</definedName>
    <definedName name="jlj" hidden="1">{"M2aPrint",#N/A,FALSE,"M2a"}</definedName>
    <definedName name="jughn" localSheetId="12" hidden="1">{"M7_1Print",#N/A,TRUE,"M7_1";"M7_2Print",#N/A,TRUE,"M7_2"}</definedName>
    <definedName name="jughn" localSheetId="14" hidden="1">{"M7_1Print",#N/A,TRUE,"M7_1";"M7_2Print",#N/A,TRUE,"M7_2"}</definedName>
    <definedName name="jughn" hidden="1">{"M7_1Print",#N/A,TRUE,"M7_1";"M7_2Print",#N/A,TRUE,"M7_2"}</definedName>
    <definedName name="jytj" localSheetId="12" hidden="1">{"M7_1Print",#N/A,TRUE,"M7_1";"M7_2Print",#N/A,TRUE,"M7_2"}</definedName>
    <definedName name="jytj" localSheetId="14" hidden="1">{"M7_1Print",#N/A,TRUE,"M7_1";"M7_2Print",#N/A,TRUE,"M7_2"}</definedName>
    <definedName name="jytj" hidden="1">{"M7_1Print",#N/A,TRUE,"M7_1";"M7_2Print",#N/A,TRUE,"M7_2"}</definedName>
    <definedName name="k_fa_adj">#REF!</definedName>
    <definedName name="k_fa_brd">#REF!</definedName>
    <definedName name="k_inves_pro_brd">#REF!</definedName>
    <definedName name="K2_WBEVMODE" hidden="1">-1</definedName>
    <definedName name="KA_1">#REF!</definedName>
    <definedName name="KA_2">#REF!</definedName>
    <definedName name="KDK00">#REF!</definedName>
    <definedName name="kk">#REF!</definedName>
    <definedName name="kl">#REF!</definedName>
    <definedName name="klj" localSheetId="14" hidden="1">{#N/A,#N/A,FALSE,"OffAdvance";#N/A,#N/A,FALSE,"OffExpRprt";#N/A,#N/A,FALSE,"Travelling";#N/A,#N/A,FALSE,"Entertmnt";#N/A,#N/A,FALSE,"Promotion"}</definedName>
    <definedName name="klj" hidden="1">{#N/A,#N/A,FALSE,"OffAdvance";#N/A,#N/A,FALSE,"OffExpRprt";#N/A,#N/A,FALSE,"Travelling";#N/A,#N/A,FALSE,"Entertmnt";#N/A,#N/A,FALSE,"Promotion"}</definedName>
    <definedName name="kljik" localSheetId="12" hidden="1">{#N/A,#N/A,FALSE,"OffAdvance";#N/A,#N/A,FALSE,"OffExpRprt";#N/A,#N/A,FALSE,"Entertmnt";#N/A,#N/A,FALSE,"Promotion";#N/A,#N/A,FALSE,"Travelling"}</definedName>
    <definedName name="kljik" localSheetId="14" hidden="1">{#N/A,#N/A,FALSE,"OffAdvance";#N/A,#N/A,FALSE,"OffExpRprt";#N/A,#N/A,FALSE,"Entertmnt";#N/A,#N/A,FALSE,"Promotion";#N/A,#N/A,FALSE,"Travelling"}</definedName>
    <definedName name="kljik" hidden="1">{#N/A,#N/A,FALSE,"OffAdvance";#N/A,#N/A,FALSE,"OffExpRprt";#N/A,#N/A,FALSE,"Entertmnt";#N/A,#N/A,FALSE,"Promotion";#N/A,#N/A,FALSE,"Travelling"}</definedName>
    <definedName name="kmk" localSheetId="14" hidden="1">{#N/A,#N/A,FALSE,"Marketing";#N/A,#N/A,FALSE,"Selling";#N/A,#N/A,FALSE,"Promotional";#N/A,#N/A,FALSE,"Advertising"}</definedName>
    <definedName name="kmk" hidden="1">{#N/A,#N/A,FALSE,"Marketing";#N/A,#N/A,FALSE,"Selling";#N/A,#N/A,FALSE,"Promotional";#N/A,#N/A,FALSE,"Advertising"}</definedName>
    <definedName name="KSK00">#REF!</definedName>
    <definedName name="kuj" localSheetId="12" hidden="1">{"M6Print",#N/A,FALSE,"M6";"M6_1Print",#N/A,FALSE,"M6_1";"M6_2Print",#N/A,FALSE,"M6_2"}</definedName>
    <definedName name="kuj" localSheetId="14" hidden="1">{"M6Print",#N/A,FALSE,"M6";"M6_1Print",#N/A,FALSE,"M6_1";"M6_2Print",#N/A,FALSE,"M6_2"}</definedName>
    <definedName name="kuj" hidden="1">{"M6Print",#N/A,FALSE,"M6";"M6_1Print",#N/A,FALSE,"M6_1";"M6_2Print",#N/A,FALSE,"M6_2"}</definedName>
    <definedName name="L">6</definedName>
    <definedName name="last">#REF!</definedName>
    <definedName name="Last_Row" localSheetId="11">IF(K1_400折旧测试!Values_Entered,Header_Row+K1_400折旧测试!Number_of_Payments,Header_Row)</definedName>
    <definedName name="Last_Row">IF(Values_Entered,Header_Row+Number_of_Payments,Header_Row)</definedName>
    <definedName name="lbo" localSheetId="14"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I">5.3</definedName>
    <definedName name="Lib">5.8</definedName>
    <definedName name="ListOffset" hidden="1">1</definedName>
    <definedName name="lm" localSheetId="14" hidden="1">{#N/A,#N/A,FALSE,"970301";#N/A,#N/A,FALSE,"970302";#N/A,#N/A,FALSE,"970303";#N/A,#N/A,FALSE,"970304";#N/A,#N/A,FALSE,"COM1";#N/A,#N/A,FALSE,"COM2"}</definedName>
    <definedName name="lm" hidden="1">{#N/A,#N/A,FALSE,"970301";#N/A,#N/A,FALSE,"970302";#N/A,#N/A,FALSE,"970303";#N/A,#N/A,FALSE,"970304";#N/A,#N/A,FALSE,"COM1";#N/A,#N/A,FALSE,"COM2"}</definedName>
    <definedName name="Loan_Amount">#REF!</definedName>
    <definedName name="Loan_Start">#REF!</definedName>
    <definedName name="Loan_Years">#REF!</definedName>
    <definedName name="lola" localSheetId="14" hidden="1">{#N/A,#N/A,FALSE,"PERSONAL";#N/A,#N/A,FALSE,"explotación";#N/A,#N/A,FALSE,"generales"}</definedName>
    <definedName name="lola" hidden="1">{#N/A,#N/A,FALSE,"PERSONAL";#N/A,#N/A,FALSE,"explotación";#N/A,#N/A,FALSE,"generales"}</definedName>
    <definedName name="lolal" localSheetId="1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4" hidden="1">{#N/A,#N/A,FALSE,"voz corporativa";#N/A,#N/A,FALSE,"Transmisión de datos";#N/A,#N/A,FALSE,"Videoconferencia";#N/A,#N/A,FALSE,"Correo electrónico";#N/A,#N/A,FALSE,"Correo de voz";#N/A,#N/A,FALSE,"Megafax";#N/A,#N/A,FALSE,"Edi";#N/A,#N/A,FALSE,"Internet";#N/A,#N/A,FALSE,"VSAT";#N/A,#N/A,FALSE,"ing ult. milla"}</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localSheetId="1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localSheetId="4" hidden="1">{"M1sPrint",#N/A,FALSE,"M1s"}</definedName>
    <definedName name="lu" localSheetId="12" hidden="1">{"M1sPrint",#N/A,FALSE,"M1s"}</definedName>
    <definedName name="lu" localSheetId="14" hidden="1">{"M1sPrint",#N/A,FALSE,"M1s"}</definedName>
    <definedName name="lu" localSheetId="11" hidden="1">{"M1sPrint",#N/A,FALSE,"M1s"}</definedName>
    <definedName name="lu" hidden="1">{"M1sPrint",#N/A,FALSE,"M1s"}</definedName>
    <definedName name="m" localSheetId="14" hidden="1">{#N/A,#N/A,FALSE,"Virgin Flightdeck"}</definedName>
    <definedName name="m" hidden="1">{#N/A,#N/A,FALSE,"Virgin Flightdeck"}</definedName>
    <definedName name="MiLa_Brewing_Co.">#REF!</definedName>
    <definedName name="MILL">#REF!</definedName>
    <definedName name="Month_End_Valuation">#REF!</definedName>
    <definedName name="n" localSheetId="12" hidden="1">{"M2Print",#N/A,FALSE,"M2"}</definedName>
    <definedName name="n" localSheetId="14" hidden="1">{"M2Print",#N/A,FALSE,"M2"}</definedName>
    <definedName name="n" hidden="1">{"M2Print",#N/A,FALSE,"M2"}</definedName>
    <definedName name="N101arpa">#REF!</definedName>
    <definedName name="N101arpb">#REF!</definedName>
    <definedName name="N101arpc">#REF!</definedName>
    <definedName name="N101arpd">#REF!</definedName>
    <definedName name="nameplate">#REF!</definedName>
    <definedName name="nck"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#REF!</definedName>
    <definedName name="newI">#REF!</definedName>
    <definedName name="ngn" localSheetId="12" hidden="1">{"M1Print",#N/A,TRUE,"M1";"M2Print",#N/A,TRUE,"M2";"M1sPrint",#N/A,TRUE,"M1s";"M2aPrint",#N/A,TRUE,"M2a";"M4Print",#N/A,TRUE,"M4";"M5Print",#N/A,TRUE,"M5";"M6Print",#N/A,TRUE,"M6";"M6_1Print",#N/A,TRUE,"M6_1";"M6_2Print",#N/A,TRUE,"M6_2";"M7_1Print",#N/A,TRUE,"M7_1";"M7_2Print",#N/A,TRUE,"M7_2"}</definedName>
    <definedName name="ngn" localSheetId="14"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jb">#REF!</definedName>
    <definedName name="nmm" localSheetId="14" hidden="1">{#N/A,#N/A,FALSE,"Marketing";#N/A,#N/A,FALSE,"Selling";#N/A,#N/A,FALSE,"Promotional";#N/A,#N/A,FALSE,"Advertising"}</definedName>
    <definedName name="nmm" hidden="1">{#N/A,#N/A,FALSE,"Marketing";#N/A,#N/A,FALSE,"Selling";#N/A,#N/A,FALSE,"Promotional";#N/A,#N/A,FALSE,"Advertising"}</definedName>
    <definedName name="Note___Idealy_all_prices_should_be_quote_ex_VAT_with_freight_and_packaging_separately_negotiated_and_invoiced.">#REF!</definedName>
    <definedName name="note3">#REF!,#REF!</definedName>
    <definedName name="note4">#REF!</definedName>
    <definedName name="notes_status">#REF!</definedName>
    <definedName name="notused" localSheetId="2" hidden="1">{#N/A,#N/A,TRUE,"CPRD";#N/A,#N/A,TRUE,"BCCPDR";#N/A,#N/A,TRUE,"EWRD";#N/A,#N/A,TRUE,"5100";#N/A,#N/A,TRUE,"5110"}</definedName>
    <definedName name="notused" localSheetId="3" hidden="1">{#N/A,#N/A,TRUE,"CPRD";#N/A,#N/A,TRUE,"BCCPDR";#N/A,#N/A,TRUE,"EWRD";#N/A,#N/A,TRUE,"5100";#N/A,#N/A,TRUE,"5110"}</definedName>
    <definedName name="notused" localSheetId="4" hidden="1">{#N/A,#N/A,TRUE,"CPRD";#N/A,#N/A,TRUE,"BCCPDR";#N/A,#N/A,TRUE,"EWRD";#N/A,#N/A,TRUE,"5100";#N/A,#N/A,TRUE,"5110"}</definedName>
    <definedName name="notused" localSheetId="12" hidden="1">{#N/A,#N/A,TRUE,"CPRD";#N/A,#N/A,TRUE,"BCCPDR";#N/A,#N/A,TRUE,"EWRD";#N/A,#N/A,TRUE,"5100";#N/A,#N/A,TRUE,"5110"}</definedName>
    <definedName name="notused" localSheetId="14" hidden="1">{#N/A,#N/A,TRUE,"CPRD";#N/A,#N/A,TRUE,"BCCPDR";#N/A,#N/A,TRUE,"EWRD";#N/A,#N/A,TRUE,"5100";#N/A,#N/A,TRUE,"5110"}</definedName>
    <definedName name="notused" localSheetId="11" hidden="1">{#N/A,#N/A,TRUE,"CPRD";#N/A,#N/A,TRUE,"BCCPDR";#N/A,#N/A,TRUE,"EWRD";#N/A,#N/A,TRUE,"5100";#N/A,#N/A,TRUE,"5110"}</definedName>
    <definedName name="notused" localSheetId="10" hidden="1">{#N/A,#N/A,TRUE,"CPRD";#N/A,#N/A,TRUE,"BCCPDR";#N/A,#N/A,TRUE,"EWRD";#N/A,#N/A,TRUE,"5100";#N/A,#N/A,TRUE,"5110"}</definedName>
    <definedName name="notused" localSheetId="6" hidden="1">{#N/A,#N/A,TRUE,"CPRD";#N/A,#N/A,TRUE,"BCCPDR";#N/A,#N/A,TRUE,"EWRD";#N/A,#N/A,TRUE,"5100";#N/A,#N/A,TRUE,"5110"}</definedName>
    <definedName name="notused" hidden="1">{#N/A,#N/A,TRUE,"CPRD";#N/A,#N/A,TRUE,"BCCPDR";#N/A,#N/A,TRUE,"EWRD";#N/A,#N/A,TRUE,"5100";#N/A,#N/A,TRUE,"5110"}</definedName>
    <definedName name="Num_Pmt_Per_Year">#REF!</definedName>
    <definedName name="Number_of_Payments" localSheetId="11">MATCH(0.01,End_Bal,-1)+1</definedName>
    <definedName name="Number_of_Payments">MATCH(0.01,End_Bal,-1)+1</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#REF!</definedName>
    <definedName name="O1_2">#REF!</definedName>
    <definedName name="O1_2_1">#REF!</definedName>
    <definedName name="OAMT">#REF!</definedName>
    <definedName name="OAPR">#REF!</definedName>
    <definedName name="OAUG">#REF!</definedName>
    <definedName name="ODEC">#REF!</definedName>
    <definedName name="OFEB">#REF!</definedName>
    <definedName name="OILMOVE">#REF!</definedName>
    <definedName name="OILMOVEKE">#REF!</definedName>
    <definedName name="OJAN">#REF!</definedName>
    <definedName name="OJUL">#REF!</definedName>
    <definedName name="OJUN">#REF!</definedName>
    <definedName name="old">#REF!</definedName>
    <definedName name="OLOC">#REF!</definedName>
    <definedName name="OMAR">#REF!</definedName>
    <definedName name="OMAY">#REF!</definedName>
    <definedName name="ONOV">#REF!</definedName>
    <definedName name="OOCT">#REF!</definedName>
    <definedName name="ooiuy" localSheetId="14" hidden="1">{#N/A,#N/A,FALSE,"ABB HOLDING LTD"}</definedName>
    <definedName name="ooiuy" hidden="1">{#N/A,#N/A,FALSE,"ABB HOLDING LTD"}</definedName>
    <definedName name="OPYS">#REF!</definedName>
    <definedName name="OrderTable" hidden="1">#REF!</definedName>
    <definedName name="OSEP">#REF!</definedName>
    <definedName name="others" hidden="1">#REF!</definedName>
    <definedName name="P">#REF!</definedName>
    <definedName name="p.1">#REF!</definedName>
    <definedName name="p.2">#REF!</definedName>
    <definedName name="P101arpa">#REF!</definedName>
    <definedName name="P101arpb">#REF!</definedName>
    <definedName name="P101arpc">#REF!</definedName>
    <definedName name="P101arpd">#REF!</definedName>
    <definedName name="P101arpe">#REF!</definedName>
    <definedName name="P201arpa">#REF!</definedName>
    <definedName name="P201arpb">#REF!</definedName>
    <definedName name="P201arpc">#REF!</definedName>
    <definedName name="p401aprm">#REF!</definedName>
    <definedName name="P401arpa">#REF!</definedName>
    <definedName name="P401arpb">#REF!</definedName>
    <definedName name="P401arpc">#REF!</definedName>
    <definedName name="P401arpd">#REF!</definedName>
    <definedName name="P401arpe">#REF!</definedName>
    <definedName name="P401arpf">#REF!</definedName>
    <definedName name="P401arpg">#REF!</definedName>
    <definedName name="P401arph">#REF!</definedName>
    <definedName name="P401arpi">#REF!</definedName>
    <definedName name="P401arpj">#REF!</definedName>
    <definedName name="P401arpk">#REF!</definedName>
    <definedName name="P401arpl">#REF!</definedName>
    <definedName name="P401arpn">#REF!</definedName>
    <definedName name="P401arpo">#REF!</definedName>
    <definedName name="Pa">#REF!</definedName>
    <definedName name="Package">#REF!</definedName>
    <definedName name="paint">#REF!</definedName>
    <definedName name="Part_Out">#REF!</definedName>
    <definedName name="part2">#REF!</definedName>
    <definedName name="parts">#REF!</definedName>
    <definedName name="Pay_Date">#REF!</definedName>
    <definedName name="Pay_Num">#REF!</definedName>
    <definedName name="Payment_Date" localSheetId="11">DATE(YEAR(Loan_Start),MONTH(Loan_Start)+Payment_Number,DAY(Loan_Start))</definedName>
    <definedName name="Payment_Date">DATE(YEAR(Loan_Start),MONTH(Loan_Start)+Payment_Number,DAY(Loan_Start))</definedName>
    <definedName name="PB">#REF!</definedName>
    <definedName name="PB_SGA">#REF!</definedName>
    <definedName name="PG_3">#REF!</definedName>
    <definedName name="Phone">#REF!</definedName>
    <definedName name="PL">#REF!</definedName>
    <definedName name="PL_6">#REF!</definedName>
    <definedName name="PL_Summary">#REF!</definedName>
    <definedName name="PL_V1">#REF!</definedName>
    <definedName name="PL_V3">#REF!</definedName>
    <definedName name="PLaudited">#REF!</definedName>
    <definedName name="PLopening">#REF!</definedName>
    <definedName name="polyurethane">#REF!</definedName>
    <definedName name="pressboard">#REF!</definedName>
    <definedName name="PRESSBOARD_______________________________________________________2.0X2100X3200">#REF!</definedName>
    <definedName name="PRESSBOARD2">#REF!</definedName>
    <definedName name="prh">#REF!</definedName>
    <definedName name="price">#REF!</definedName>
    <definedName name="Princ">#REF!</definedName>
    <definedName name="_xlnm.Print_Area">#REF!</definedName>
    <definedName name="Print_Area_MI">#REF!</definedName>
    <definedName name="Print_Area_Reset" localSheetId="11">OFFSET(Full_Print,0,0,K1_400折旧测试!Last_Row)</definedName>
    <definedName name="Print_Area_Reset">OFFSET(Full_Print,0,0,Last_Row)</definedName>
    <definedName name="Print_area1">#REF!</definedName>
    <definedName name="Print_CSC_Report_2" localSheetId="14" hidden="1">{"CSC_1",#N/A,FALSE,"CSC Outputs";"CSC_2",#N/A,FALSE,"CSC Outputs"}</definedName>
    <definedName name="Print_CSC_Report_2" hidden="1">{"CSC_1",#N/A,FALSE,"CSC Outputs";"CSC_2",#N/A,FALSE,"CSC Outputs"}</definedName>
    <definedName name="print_CSC_Report_22" localSheetId="14" hidden="1">{"CSC_1",#N/A,FALSE,"CSC Outputs";"CSC_2",#N/A,FALSE,"CSC Outputs"}</definedName>
    <definedName name="print_CSC_Report_22" hidden="1">{"CSC_1",#N/A,FALSE,"CSC Outputs";"CSC_2",#N/A,FALSE,"CSC Outputs"}</definedName>
    <definedName name="Print_CSC_Report_3" localSheetId="14" hidden="1">{"CSC_1",#N/A,FALSE,"CSC Outputs";"CSC_2",#N/A,FALSE,"CSC Outputs"}</definedName>
    <definedName name="Print_CSC_Report_3" hidden="1">{"CSC_1",#N/A,FALSE,"CSC Outputs";"CSC_2",#N/A,FALSE,"CSC Outputs"}</definedName>
    <definedName name="_xlnm.Print_Titles">#N/A</definedName>
    <definedName name="Print_Titles_MI">#REF!,#REF!</definedName>
    <definedName name="prior">0</definedName>
    <definedName name="ProdForm" hidden="1">#REF!</definedName>
    <definedName name="Product" hidden="1">#REF!</definedName>
    <definedName name="PSUEDO">#REF!</definedName>
    <definedName name="Purchase_In">#REF!</definedName>
    <definedName name="Purchase_In_1999">#REF!</definedName>
    <definedName name="pzh">#REF!</definedName>
    <definedName name="pzr">#REF!</definedName>
    <definedName name="q">#REF!</definedName>
    <definedName name="qwertyuiopasdfghjkl" localSheetId="2" hidden="1">{"M2aPrint",#N/A,FALSE,"M2a"}</definedName>
    <definedName name="qwertyuiopasdfghjkl" localSheetId="3" hidden="1">{"M2aPrint",#N/A,FALSE,"M2a"}</definedName>
    <definedName name="qwertyuiopasdfghjkl" localSheetId="4" hidden="1">{"M2aPrint",#N/A,FALSE,"M2a"}</definedName>
    <definedName name="qwertyuiopasdfghjkl" localSheetId="12" hidden="1">{"M2aPrint",#N/A,FALSE,"M2a"}</definedName>
    <definedName name="qwertyuiopasdfghjkl" localSheetId="14" hidden="1">{"M2aPrint",#N/A,FALSE,"M2a"}</definedName>
    <definedName name="qwertyuiopasdfghjkl" localSheetId="11" hidden="1">{"M2aPrint",#N/A,FALSE,"M2a"}</definedName>
    <definedName name="qwertyuiopasdfghjkl" localSheetId="10" hidden="1">{"M2aPrint",#N/A,FALSE,"M2a"}</definedName>
    <definedName name="qwertyuiopasdfghjkl" localSheetId="6" hidden="1">{"M2aPrint",#N/A,FALSE,"M2a"}</definedName>
    <definedName name="qwertyuiopasdfghjkl" hidden="1">{"M2aPrint",#N/A,FALSE,"M2a"}</definedName>
    <definedName name="qwwertyuiop" localSheetId="2" hidden="1">{"M2Print",#N/A,FALSE,"M2"}</definedName>
    <definedName name="qwwertyuiop" localSheetId="3" hidden="1">{"M2Print",#N/A,FALSE,"M2"}</definedName>
    <definedName name="qwwertyuiop" localSheetId="4" hidden="1">{"M2Print",#N/A,FALSE,"M2"}</definedName>
    <definedName name="qwwertyuiop" localSheetId="12" hidden="1">{"M2Print",#N/A,FALSE,"M2"}</definedName>
    <definedName name="qwwertyuiop" localSheetId="14" hidden="1">{"M2Print",#N/A,FALSE,"M2"}</definedName>
    <definedName name="qwwertyuiop" localSheetId="11" hidden="1">{"M2Print",#N/A,FALSE,"M2"}</definedName>
    <definedName name="qwwertyuiop" localSheetId="10" hidden="1">{"M2Print",#N/A,FALSE,"M2"}</definedName>
    <definedName name="qwwertyuiop" localSheetId="6" hidden="1">{"M2Print",#N/A,FALSE,"M2"}</definedName>
    <definedName name="qwwertyuiop" hidden="1">{"M2Print",#N/A,FALSE,"M2"}</definedName>
    <definedName name="RCArea" hidden="1">#REF!</definedName>
    <definedName name="ReportPage1" localSheetId="14"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esultsAECN11">#REF!</definedName>
    <definedName name="rfsd" localSheetId="14" hidden="1">{#N/A,#N/A,FALSE,"ABB HOLDING LTD"}</definedName>
    <definedName name="rfsd" hidden="1">{#N/A,#N/A,FALSE,"ABB HOLDING LTD"}</definedName>
    <definedName name="ring">#REF!</definedName>
    <definedName name="RJE" localSheetId="12" hidden="1">{"toptrial",#N/A,TRUE,"toptrial";"adjustment",#N/A,TRUE,"toptrial";"voucher",#N/A,TRUE,"toptrial"}</definedName>
    <definedName name="RJE" localSheetId="14" hidden="1">{"toptrial",#N/A,TRUE,"toptrial";"adjustment",#N/A,TRUE,"toptrial";"voucher",#N/A,TRUE,"toptrial"}</definedName>
    <definedName name="RJE" hidden="1">{"toptrial",#N/A,TRUE,"toptrial";"adjustment",#N/A,TRUE,"toptrial";"voucher",#N/A,TRUE,"toptrial"}</definedName>
    <definedName name="RM">#REF!</definedName>
    <definedName name="ROUND">1</definedName>
    <definedName name="rweqrerqw" localSheetId="14" hidden="1">{"CSC_1",#N/A,FALSE,"CSC Outputs";"CSC_2",#N/A,FALSE,"CSC Outputs"}</definedName>
    <definedName name="rweqrerqw" hidden="1">{"CSC_1",#N/A,FALSE,"CSC Outputs";"CSC_2",#N/A,FALSE,"CSC Outputs"}</definedName>
    <definedName name="s">#REF!</definedName>
    <definedName name="sa">#N/A</definedName>
    <definedName name="SALES_TRANSACTION_TEST_DETAILS">#REF!</definedName>
    <definedName name="SAMT">#REF!</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localSheetId="14" hidden="1">Main.SAPF4Help()</definedName>
    <definedName name="SAPFuncF4Help" hidden="1">Main.SAPF4Help()</definedName>
    <definedName name="SAPR">#REF!</definedName>
    <definedName name="SAUG">#REF!</definedName>
    <definedName name="Sched_Pay">#REF!</definedName>
    <definedName name="Scheduled_Extra_Payments">#REF!</definedName>
    <definedName name="Scheduled_Interest_Rate">#REF!</definedName>
    <definedName name="Scheduled_Monthly_Payment">#REF!</definedName>
    <definedName name="SDEC">#REF!</definedName>
    <definedName name="sdfs" localSheetId="12" hidden="1">{"M1sPrint",#N/A,FALSE,"M1s"}</definedName>
    <definedName name="sdfs" localSheetId="14" hidden="1">{"M1sPrint",#N/A,FALSE,"M1s"}</definedName>
    <definedName name="sdfs" hidden="1">{"M1sPrint",#N/A,FALSE,"M1s"}</definedName>
    <definedName name="SEMI">#REF!</definedName>
    <definedName name="SERVICE">#REF!</definedName>
    <definedName name="SERVKE">#REF!</definedName>
    <definedName name="SFEB">#REF!</definedName>
    <definedName name="sh">#REF!</definedName>
    <definedName name="shadeB9">#REF!,#REF!,#REF!</definedName>
    <definedName name="shanghai">#REF!</definedName>
    <definedName name="Sheet1">#REF!</definedName>
    <definedName name="Sheet1_BNE_MESSAGES" localSheetId="2" hidden="1">'K.00 Lead Sheet'!#REF!</definedName>
    <definedName name="Sheet1_BNE_MESSAGES" localSheetId="3" hidden="1">#REF!</definedName>
    <definedName name="Sheet1_BNE_MESSAGES" localSheetId="4" hidden="1">#REF!</definedName>
    <definedName name="Sheet1_BNE_MESSAGES" localSheetId="11"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eet10">#REF!</definedName>
    <definedName name="Sheet11">#REF!</definedName>
    <definedName name="Sheet12">#REF!</definedName>
    <definedName name="Sheet2">#REF!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HOA" localSheetId="14" hidden="1">{#N/A,#N/A,FALSE,"Virgin Flightdeck"}</definedName>
    <definedName name="SHOA" hidden="1">{#N/A,#N/A,FALSE,"Virgin Flightdeck"}</definedName>
    <definedName name="sing">#REF!</definedName>
    <definedName name="SJAN">#REF!</definedName>
    <definedName name="SJUL">#REF!</definedName>
    <definedName name="SJUN">#REF!</definedName>
    <definedName name="Slide1a">#REF!</definedName>
    <definedName name="Slide2">#REF!</definedName>
    <definedName name="Slide2a">#REF!</definedName>
    <definedName name="Slide3">#REF!</definedName>
    <definedName name="Slide4">#REF!</definedName>
    <definedName name="Slide5">#REF!</definedName>
    <definedName name="Slide6">#REF!</definedName>
    <definedName name="Slide7">#REF!</definedName>
    <definedName name="Slide7a">#REF!</definedName>
    <definedName name="Slide9">#REF!</definedName>
    <definedName name="SLOC">#REF!</definedName>
    <definedName name="SMAR">#REF!</definedName>
    <definedName name="SMAY">#REF!</definedName>
    <definedName name="SNOV">#REF!</definedName>
    <definedName name="Snow" localSheetId="14" hidden="1">{#N/A,#N/A,FALSE,"Virgin Flightdeck"}</definedName>
    <definedName name="Snow" hidden="1">{#N/A,#N/A,FALSE,"Virgin Flightdeck"}</definedName>
    <definedName name="SOCT">#REF!</definedName>
    <definedName name="SOLDURENE">#REF!</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#REF!</definedName>
    <definedName name="SpecialPrice" hidden="1">#REF!</definedName>
    <definedName name="SPYS">#REF!</definedName>
    <definedName name="src">#REF!</definedName>
    <definedName name="SSEP">#REF!</definedName>
    <definedName name="sssz" localSheetId="12" hidden="1">{#N/A,#N/A,FALSE,"资产负债表";#N/A,#N/A,FALSE,"资产负债表"}</definedName>
    <definedName name="sssz" localSheetId="14" hidden="1">{#N/A,#N/A,FALSE,"资产负债表";#N/A,#N/A,FALSE,"资产负债表"}</definedName>
    <definedName name="sssz" hidden="1">{#N/A,#N/A,FALSE,"资产负债表";#N/A,#N/A,FALSE,"资产负债表"}</definedName>
    <definedName name="State">#REF!</definedName>
    <definedName name="ste" localSheetId="14" hidden="1">{#N/A,#N/A,FALSE,"Virgin Flightdeck"}</definedName>
    <definedName name="ste" hidden="1">{#N/A,#N/A,FALSE,"Virgin Flightdeck"}</definedName>
    <definedName name="Stockpro">#REF!</definedName>
    <definedName name="SULFUR">#REF!</definedName>
    <definedName name="summary">#REF!</definedName>
    <definedName name="Summary2" localSheetId="14" hidden="1">{#N/A,#N/A,FALSE,"FACTSHEETS";#N/A,#N/A,FALSE,"pump";#N/A,#N/A,FALSE,"filter"}</definedName>
    <definedName name="Summary2" hidden="1">{#N/A,#N/A,FALSE,"FACTSHEETS";#N/A,#N/A,FALSE,"pump";#N/A,#N/A,FALSE,"filter"}</definedName>
    <definedName name="summary3" localSheetId="14" hidden="1">{#N/A,#N/A,FALSE,"Virgin Flightdeck"}</definedName>
    <definedName name="summary3" hidden="1">{#N/A,#N/A,FALSE,"Virgin Flightdeck"}</definedName>
    <definedName name="szh">#REF!</definedName>
    <definedName name="szr">#REF!</definedName>
    <definedName name="T101n">#REF!</definedName>
    <definedName name="tbl_ProdInfo" hidden="1">#REF!</definedName>
    <definedName name="terh" localSheetId="12" hidden="1">{#N/A,#N/A,FALSE,"OffAdvance";#N/A,#N/A,FALSE,"OffExpRprt";#N/A,#N/A,FALSE,"Entertmnt";#N/A,#N/A,FALSE,"Promotion";#N/A,#N/A,FALSE,"Travelling"}</definedName>
    <definedName name="terh" localSheetId="14" hidden="1">{#N/A,#N/A,FALSE,"OffAdvance";#N/A,#N/A,FALSE,"OffExpRprt";#N/A,#N/A,FALSE,"Entertmnt";#N/A,#N/A,FALSE,"Promotion";#N/A,#N/A,FALSE,"Travelling"}</definedName>
    <definedName name="terh" hidden="1">{#N/A,#N/A,FALSE,"OffAdvance";#N/A,#N/A,FALSE,"OffExpRprt";#N/A,#N/A,FALSE,"Entertmnt";#N/A,#N/A,FALSE,"Promotion";#N/A,#N/A,FALSE,"Travelling"}</definedName>
    <definedName name="TERM_C8">#REF!</definedName>
    <definedName name="TERM_PB">#REF!</definedName>
    <definedName name="test\">#REF!</definedName>
    <definedName name="TEST0">#REF!</definedName>
    <definedName name="TESTHKEY">#REF!</definedName>
    <definedName name="TESTKEYS">#REF!</definedName>
    <definedName name="TESTVKEY">#REF!</definedName>
    <definedName name="TextRefCopy1">#REF!</definedName>
    <definedName name="TextRefCopy10">#REF!</definedName>
    <definedName name="TextRefCopy15">#REF!</definedName>
    <definedName name="TextRefCopy16">#REF!</definedName>
    <definedName name="TextRefCopy17">#REF!</definedName>
    <definedName name="TextRefCopy2">#REF!</definedName>
    <definedName name="TextRefCopy20">#REF!</definedName>
    <definedName name="TextRefCopy21">#REF!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4</definedName>
    <definedName name="tfhg" localSheetId="12" hidden="1">{"M1Print",#N/A,FALSE,"M1"}</definedName>
    <definedName name="tfhg" localSheetId="14" hidden="1">{"M1Print",#N/A,FALSE,"M1"}</definedName>
    <definedName name="tfhg" hidden="1">{"M1Print",#N/A,FALSE,"M1"}</definedName>
    <definedName name="the" localSheetId="12" hidden="1">{#N/A,#N/A,FALSE,"Marketing";#N/A,#N/A,FALSE,"Selling";#N/A,#N/A,FALSE,"Promotional";#N/A,#N/A,FALSE,"Advertising"}</definedName>
    <definedName name="the" localSheetId="14" hidden="1">{#N/A,#N/A,FALSE,"Marketing";#N/A,#N/A,FALSE,"Selling";#N/A,#N/A,FALSE,"Promotional";#N/A,#N/A,FALSE,"Advertising"}</definedName>
    <definedName name="the" hidden="1">{#N/A,#N/A,FALSE,"Marketing";#N/A,#N/A,FALSE,"Selling";#N/A,#N/A,FALSE,"Promotional";#N/A,#N/A,FALSE,"Advertising"}</definedName>
    <definedName name="Title">#REF!</definedName>
    <definedName name="total_by_afe">#REF!</definedName>
    <definedName name="Total_Interest">#REF!</definedName>
    <definedName name="Total_Pay">#REF!</definedName>
    <definedName name="Total_Payment" localSheetId="11">Scheduled_Payment+Extra_Payment</definedName>
    <definedName name="Total_Payment">Scheduled_Payment+Extra_Payment</definedName>
    <definedName name="TPL">#REF!</definedName>
    <definedName name="TR">#REF!</definedName>
    <definedName name="treeList" hidden="1">"00000000000000000000000000000000000000000000000000000000000000000000000000000000000000000000000000000000000000000000000000000000000000000000000000000000000000000000000000000000000000000000000000000000"</definedName>
    <definedName name="tri_p_intere_pay_new">#REF!</definedName>
    <definedName name="tta" localSheetId="14" hidden="1">{#N/A,#N/A,FALSE,"Virgin Flightdeck"}</definedName>
    <definedName name="tta" hidden="1">{#N/A,#N/A,FALSE,"Virgin Flightdeck"}</definedName>
    <definedName name="Turns_Year2">#REF!</definedName>
    <definedName name="Turns_Year3">#REF!</definedName>
    <definedName name="Turns_Years">#REF!</definedName>
    <definedName name="U101apra">#REF!</definedName>
    <definedName name="U311arpa">#REF!</definedName>
    <definedName name="U311arpb">#REF!</definedName>
    <definedName name="U311arpc">#REF!</definedName>
    <definedName name="U321arpa">#REF!</definedName>
    <definedName name="U321arpb">#REF!</definedName>
    <definedName name="U321arpc">#REF!</definedName>
    <definedName name="U321arpd">#REF!</definedName>
    <definedName name="U331arpa">#REF!</definedName>
    <definedName name="U331arpb">#REF!</definedName>
    <definedName name="U331arpc">#REF!</definedName>
    <definedName name="U331arpd">#REF!</definedName>
    <definedName name="U331arpe">#REF!</definedName>
    <definedName name="U341ARPA">#REF!</definedName>
    <definedName name="U341ARPB">#REF!</definedName>
    <definedName name="U341ARPC">#REF!</definedName>
    <definedName name="U341ARPD">#REF!</definedName>
    <definedName name="U341ARPE">#REF!</definedName>
    <definedName name="U341ARPF">#REF!</definedName>
    <definedName name="U341ARPG">#REF!</definedName>
    <definedName name="U401ARPE">#REF!</definedName>
    <definedName name="U411ARPA">#REF!</definedName>
    <definedName name="U411ARPB">#REF!</definedName>
    <definedName name="U411ARPC">#REF!</definedName>
    <definedName name="U411ARPD">#REF!</definedName>
    <definedName name="U411ARPE">#REF!</definedName>
    <definedName name="U501ARPA">#REF!</definedName>
    <definedName name="U501ARPB">#REF!</definedName>
    <definedName name="U501ARPC">#REF!</definedName>
    <definedName name="U501ARPD">#REF!</definedName>
    <definedName name="U501ARPDV">#REF!</definedName>
    <definedName name="U501ARPE">#REF!</definedName>
    <definedName name="U501ARPF">#REF!</definedName>
    <definedName name="U501ARPI">#REF!</definedName>
    <definedName name="U501ARPJ">#REF!</definedName>
    <definedName name="U501ARPK">#REF!</definedName>
    <definedName name="U501ARPL">#REF!</definedName>
    <definedName name="U501ARPM">#REF!</definedName>
    <definedName name="U501ARPN">#REF!</definedName>
    <definedName name="U501ARPO">#REF!</definedName>
    <definedName name="U501ARPP">#REF!</definedName>
    <definedName name="U501ARPQ">#REF!</definedName>
    <definedName name="U501ARPR">#REF!</definedName>
    <definedName name="U501ARPS">#REF!</definedName>
    <definedName name="U501ARPT">#REF!</definedName>
    <definedName name="U501ARPU">#REF!</definedName>
    <definedName name="U501ARPV">#REF!</definedName>
    <definedName name="U501ARPW">#REF!</definedName>
    <definedName name="U601arpa">#REF!</definedName>
    <definedName name="ufliuf" localSheetId="14" hidden="1">{#N/A,#N/A,FALSE,"Virgin Flightdeck"}</definedName>
    <definedName name="ufliuf" hidden="1">{#N/A,#N/A,FALSE,"Virgin Flightdeck"}</definedName>
    <definedName name="ufp">#REF!</definedName>
    <definedName name="UFPrn19991231165647">#REF!</definedName>
    <definedName name="UFPrn20000313111847">#REF!</definedName>
    <definedName name="UFPrn20000313111932">#REF!</definedName>
    <definedName name="UFPrn20000313111958">#REF!</definedName>
    <definedName name="UFPrn20000313112054">#REF!</definedName>
    <definedName name="UFPrn20000313112135">#REF!</definedName>
    <definedName name="UFPrn20001127150923">#REF!</definedName>
    <definedName name="UFPrn20010301092424">#REF!</definedName>
    <definedName name="UFPrn20010329162024">#REF!</definedName>
    <definedName name="UFPrn20010427131525">#REF!</definedName>
    <definedName name="UFPrn20010627140408">#REF!</definedName>
    <definedName name="UFPrn20010731125819">#REF!</definedName>
    <definedName name="UFPrn20020716170643">#REF!</definedName>
    <definedName name="UFPrn20020729182854">#REF!</definedName>
    <definedName name="UFPrn20021216091554">#REF!</definedName>
    <definedName name="UFPrn20021217113109">#REF!</definedName>
    <definedName name="UFPrn20021217113550">#REF!</definedName>
    <definedName name="UFPrn20021217145908">#REF!</definedName>
    <definedName name="UFPrn20030113091906">#REF!</definedName>
    <definedName name="UFPrn20030113135659">#REF!</definedName>
    <definedName name="UFPrn20030505131153">#REF!</definedName>
    <definedName name="UFPrn20030506143846">#REF!</definedName>
    <definedName name="UFPrn20030506144119">#REF!</definedName>
    <definedName name="UFPrn20030604083415">#REF!</definedName>
    <definedName name="UFPrn20030625090333">#REF!</definedName>
    <definedName name="UFPrn20030716161056">#REF!</definedName>
    <definedName name="UFPrn20030716161228">#REF!</definedName>
    <definedName name="UFPrn20030716163050">#REF!</definedName>
    <definedName name="UFPrn20030717105554">#REF!</definedName>
    <definedName name="UFPrn20030717144946">#REF!</definedName>
    <definedName name="UFPrn20031009130545">#REF!</definedName>
    <definedName name="UFPrn20031105212339">#REF!</definedName>
    <definedName name="UFPrn20031121105227">#REF!</definedName>
    <definedName name="UFPrn20031121105541">#REF!</definedName>
    <definedName name="UFPrn20031121110720">#REF!</definedName>
    <definedName name="UFPrn20031121110758">#REF!</definedName>
    <definedName name="UFPrn20031121110820">#REF!</definedName>
    <definedName name="UFPrn20031121110845">#REF!</definedName>
    <definedName name="UFPrn20031121110903">#REF!</definedName>
    <definedName name="UFPrn20031121110924">#REF!</definedName>
    <definedName name="UFPrn20031121112839">#REF!</definedName>
    <definedName name="UFPrn20031121112913">#REF!</definedName>
    <definedName name="UFPrn20031121112930">#REF!</definedName>
    <definedName name="UFPrn20031121112952">#REF!</definedName>
    <definedName name="UFPrn20031126104105">#REF!</definedName>
    <definedName name="UFPrn20031126104632">#REF!</definedName>
    <definedName name="UFPrn20031201093057">#REF!</definedName>
    <definedName name="UFPrn20031203042307">#REF!</definedName>
    <definedName name="UFPrn20031203171241">#REF!</definedName>
    <definedName name="UFPrn20031212152707">#REF!</definedName>
    <definedName name="UFPrn20031219195424">#REF!</definedName>
    <definedName name="UFPrn20040106191540">#REF!</definedName>
    <definedName name="UFPrn20040106192022">#REF!</definedName>
    <definedName name="UFPrn20040202092156">#REF!</definedName>
    <definedName name="UFPrn20040202092848">#REF!</definedName>
    <definedName name="UFPrn20040211093543">#REF!</definedName>
    <definedName name="UFPrn20040211145235">#REF!</definedName>
    <definedName name="UFPrn20040211152158">#REF!</definedName>
    <definedName name="UFPrn20040213223236">#REF!</definedName>
    <definedName name="UFPrn20040213223349">#REF!</definedName>
    <definedName name="UFPrn20040213223429">#REF!</definedName>
    <definedName name="UFPrn20040215114306">#REF!</definedName>
    <definedName name="UFPrn20040217160453">#REF!</definedName>
    <definedName name="UFPrn20040217183729">#REF!</definedName>
    <definedName name="UFPrn20040305085828">#REF!</definedName>
    <definedName name="UFPrn20040305085920">#REF!</definedName>
    <definedName name="UFPrn20040318094421">#REF!</definedName>
    <definedName name="UFPrn20040319152128">#REF!</definedName>
    <definedName name="UFPrn20040405190841">#REF!</definedName>
    <definedName name="UFPrn20040405190858">#REF!</definedName>
    <definedName name="UFPrn20040518082659">#REF!</definedName>
    <definedName name="UFPrn20040518113519">#REF!</definedName>
    <definedName name="UFPrn20040518113603">#REF!</definedName>
    <definedName name="UFPrn20040518144728">#REF!</definedName>
    <definedName name="UFPrn20040614154753">#REF!</definedName>
    <definedName name="UFPrn20040614154811">#REF!</definedName>
    <definedName name="UFPrn20040903115841">#REF!</definedName>
    <definedName name="UFPrn20040903120418">#REF!</definedName>
    <definedName name="UFPrn20041028114145">#REF!</definedName>
    <definedName name="UFPrn20041028114322">#REF!</definedName>
    <definedName name="UFPrn20041028114421">#REF!</definedName>
    <definedName name="UFPrn20041028114559">#REF!</definedName>
    <definedName name="UFPrn20041028114803">#REF!</definedName>
    <definedName name="UFPrn20041028114900">#REF!</definedName>
    <definedName name="UFPrn20041101134802">#REF!</definedName>
    <definedName name="UFPrn20041117103817">#REF!</definedName>
    <definedName name="UFPrn20041122101252">#REF!</definedName>
    <definedName name="UFPrn20041122101714">#REF!</definedName>
    <definedName name="UFPrn20041122105222">#REF!</definedName>
    <definedName name="UFPrn20041122113253">#REF!</definedName>
    <definedName name="UFPrn20041122113514">#REF!</definedName>
    <definedName name="UFPrn20041122132203">#REF!</definedName>
    <definedName name="UFPrn20041124105328">#REF!</definedName>
    <definedName name="UFPrn20041124132535">#REF!</definedName>
    <definedName name="UFPrn20041124152358">#REF!</definedName>
    <definedName name="UFPrn20041125112613">#REF!</definedName>
    <definedName name="UFPrn20041125140416">#REF!</definedName>
    <definedName name="UFPrn20041125140503">#REF!</definedName>
    <definedName name="UFPrn20041125141420">#REF!</definedName>
    <definedName name="UFPrn20041125172434">#REF!</definedName>
    <definedName name="UFPrn20041126100947">#REF!</definedName>
    <definedName name="UFPrn20041129101001">#REF!</definedName>
    <definedName name="UFPrn20041129144357">#REF!</definedName>
    <definedName name="UFPrn20041129144542">#REF!</definedName>
    <definedName name="UFPrn20041130135209">#REF!</definedName>
    <definedName name="UFPrn20041130135437">#REF!</definedName>
    <definedName name="UFPrn20041130150903">#REF!</definedName>
    <definedName name="UFPrn20041201144838">#REF!</definedName>
    <definedName name="UFPrn20041206151529">#REF!</definedName>
    <definedName name="UFPrn20041207151614">#REF!</definedName>
    <definedName name="UFPrn20041207151733">#REF!</definedName>
    <definedName name="UFPrn20041208125517">#REF!</definedName>
    <definedName name="UFPrn20041208135529">#REF!</definedName>
    <definedName name="UFPrn20041208135954">#REF!</definedName>
    <definedName name="UFPrn20041209151103">#REF!</definedName>
    <definedName name="UFPrn20041215153837">#REF!</definedName>
    <definedName name="UFPrn20050107104448">#REF!</definedName>
    <definedName name="UFPrn20050107142817">#REF!</definedName>
    <definedName name="UFPrn20050107142907">#REF!</definedName>
    <definedName name="UFPrn20050107142922">#REF!</definedName>
    <definedName name="UFPrn20050107143004">#REF!</definedName>
    <definedName name="UFPrn20050108154153">#REF!</definedName>
    <definedName name="UFPrn20050108165405">#REF!</definedName>
    <definedName name="UFPrn20050110111946">#REF!</definedName>
    <definedName name="UFPrn20050110112023">#REF!</definedName>
    <definedName name="UFPrn20050110112225">#REF!</definedName>
    <definedName name="UFPrn20050110112536">#REF!</definedName>
    <definedName name="UFPrn20050110132618">#REF!</definedName>
    <definedName name="UFPrn20050110151337">#REF!</definedName>
    <definedName name="UFPrn20050110170225">#REF!</definedName>
    <definedName name="UFPrn20050117104516">#REF!</definedName>
    <definedName name="UFPrn20050117104550">#REF!</definedName>
    <definedName name="UFPrn20050117134902">#REF!</definedName>
    <definedName name="UFPrn20050117135247">#REF!</definedName>
    <definedName name="UFPrn20050117152913">#REF!</definedName>
    <definedName name="UFPrn20050118101522">#REF!</definedName>
    <definedName name="UFPrn20050118101959">#REF!</definedName>
    <definedName name="UFPrn20050118152446">#REF!</definedName>
    <definedName name="UFPrn20050118172343">#REF!</definedName>
    <definedName name="UFPrn20050118185715">#REF!</definedName>
    <definedName name="UFPrn20050119105510">#REF!</definedName>
    <definedName name="UFPrn20050119105534">#REF!</definedName>
    <definedName name="UFPrn20050119105702">#REF!</definedName>
    <definedName name="UFPrn20050119165659">#REF!</definedName>
    <definedName name="UFPrn20050119200949">#REF!</definedName>
    <definedName name="UFPrn20050119202644">#REF!</definedName>
    <definedName name="UFPrn20050119202929">#REF!</definedName>
    <definedName name="UFPrn20050120105827">#REF!</definedName>
    <definedName name="UFPrn20050120110202">#REF!</definedName>
    <definedName name="UFPrn20050120191810">#REF!</definedName>
    <definedName name="UFPrn20050120192643">#REF!</definedName>
    <definedName name="UFPrn20050122112211">#REF!</definedName>
    <definedName name="UFPrn20050122141835">#REF!</definedName>
    <definedName name="UFPrn20050126140657">#REF!</definedName>
    <definedName name="UFPrn20050709103415">#REF!</definedName>
    <definedName name="UFPrn20050709173941">#REF!</definedName>
    <definedName name="UFPrn20050716173904">#REF!</definedName>
    <definedName name="UFPrn20050716173946">#REF!</definedName>
    <definedName name="UFPrn20050716174020">#REF!</definedName>
    <definedName name="UFPrn20050718105012">#REF!</definedName>
    <definedName name="UFPrn20050720103256">#REF!</definedName>
    <definedName name="UFPrn20050720183410">#REF!</definedName>
    <definedName name="UFPrn20051107145415">#REF!</definedName>
    <definedName name="UFPrn20051108100145">#REF!</definedName>
    <definedName name="UFPrn20051109111603">#REF!</definedName>
    <definedName name="UFPrn20051202095826">#REF!</definedName>
    <definedName name="ulead" localSheetId="4" hidden="1">{#N/A,#N/A,FALSE,"970301";#N/A,#N/A,FALSE,"970302";#N/A,#N/A,FALSE,"970303";#N/A,#N/A,FALSE,"970304";#N/A,#N/A,FALSE,"COM1";#N/A,#N/A,FALSE,"COM2"}</definedName>
    <definedName name="ulead" localSheetId="12" hidden="1">{#N/A,#N/A,FALSE,"970301";#N/A,#N/A,FALSE,"970302";#N/A,#N/A,FALSE,"970303";#N/A,#N/A,FALSE,"970304";#N/A,#N/A,FALSE,"COM1";#N/A,#N/A,FALSE,"COM2"}</definedName>
    <definedName name="ulead" localSheetId="14" hidden="1">{#N/A,#N/A,FALSE,"970301";#N/A,#N/A,FALSE,"970302";#N/A,#N/A,FALSE,"970303";#N/A,#N/A,FALSE,"970304";#N/A,#N/A,FALSE,"COM1";#N/A,#N/A,FALSE,"COM2"}</definedName>
    <definedName name="ulead" localSheetId="11" hidden="1">{#N/A,#N/A,FALSE,"970301";#N/A,#N/A,FALSE,"970302";#N/A,#N/A,FALSE,"970303";#N/A,#N/A,FALSE,"970304";#N/A,#N/A,FALSE,"COM1";#N/A,#N/A,FALSE,"COM2"}</definedName>
    <definedName name="ulead" hidden="1">{#N/A,#N/A,FALSE,"970301";#N/A,#N/A,FALSE,"970302";#N/A,#N/A,FALSE,"970303";#N/A,#N/A,FALSE,"970304";#N/A,#N/A,FALSE,"COM1";#N/A,#N/A,FALSE,"COM2"}</definedName>
    <definedName name="unew">#N/A</definedName>
    <definedName name="unewnew">#N/A</definedName>
    <definedName name="Untitled">#REF!</definedName>
    <definedName name="uuuuuuuu" localSheetId="14" hidden="1">Main.SAPF4Help()</definedName>
    <definedName name="uuuuuuuu" hidden="1">Main.SAPF4Help()</definedName>
    <definedName name="uygh" localSheetId="12" hidden="1">{"M6Print",#N/A,FALSE,"M6";"M6_1Print",#N/A,FALSE,"M6_1";"M6_2Print",#N/A,FALSE,"M6_2"}</definedName>
    <definedName name="uygh" localSheetId="14" hidden="1">{"M6Print",#N/A,FALSE,"M6";"M6_1Print",#N/A,FALSE,"M6_1";"M6_2Print",#N/A,FALSE,"M6_2"}</definedName>
    <definedName name="uygh" hidden="1">{"M6Print",#N/A,FALSE,"M6";"M6_1Print",#N/A,FALSE,"M6_1";"M6_2Print",#N/A,FALSE,"M6_2"}</definedName>
    <definedName name="value">3</definedName>
    <definedName name="Values_Entered" localSheetId="11">IF(Loan_Amount*Interest_Rate*Loan_Years*Loan_Start&gt;0,1,0)</definedName>
    <definedName name="Values_Entered">IF(Loan_Amount*Interest_Rate*Loan_Years*Loan_Start&gt;0,1,0)</definedName>
    <definedName name="vamt">#REF!</definedName>
    <definedName name="vapr">#REF!</definedName>
    <definedName name="vaug">#REF!</definedName>
    <definedName name="vavle">#REF!</definedName>
    <definedName name="vdec">#REF!</definedName>
    <definedName name="vendor">#REF!</definedName>
    <definedName name="versionno">1</definedName>
    <definedName name="vfeb">#REF!</definedName>
    <definedName name="vhvkb" localSheetId="12" hidden="1">{#N/A,#N/A,FALSE,"资产负债表";#N/A,#N/A,FALSE,"资产负债表"}</definedName>
    <definedName name="vhvkb" localSheetId="14" hidden="1">{#N/A,#N/A,FALSE,"资产负债表";#N/A,#N/A,FALSE,"资产负债表"}</definedName>
    <definedName name="vhvkb" hidden="1">{#N/A,#N/A,FALSE,"资产负债表";#N/A,#N/A,FALSE,"资产负债表"}</definedName>
    <definedName name="vjan">#REF!</definedName>
    <definedName name="vjul">#REF!</definedName>
    <definedName name="vjun">#REF!</definedName>
    <definedName name="vloc">#REF!</definedName>
    <definedName name="vmar">#REF!</definedName>
    <definedName name="VMAR.">#REF!</definedName>
    <definedName name="vmay">#REF!</definedName>
    <definedName name="vnov">#REF!</definedName>
    <definedName name="voct">#REF!</definedName>
    <definedName name="VPYS">#REF!</definedName>
    <definedName name="vpys.">#REF!</definedName>
    <definedName name="vs">1</definedName>
    <definedName name="vsep">#REF!</definedName>
    <definedName name="wacc" localSheetId="14" hidden="1">{#N/A,#N/A,FALSE,"Virgin Flightdeck"}</definedName>
    <definedName name="wacc" hidden="1">{#N/A,#N/A,FALSE,"Virgin Flightdeck"}</definedName>
    <definedName name="WACC_new" localSheetId="14" hidden="1">{#N/A,#N/A,FALSE,"Virgin Flightdeck"}</definedName>
    <definedName name="WACC_new" hidden="1">{#N/A,#N/A,FALSE,"Virgin Flightdeck"}</definedName>
    <definedName name="wacc1" localSheetId="14" hidden="1">{#N/A,#N/A,FALSE,"voz corporativa";#N/A,#N/A,FALSE,"Transmisión de datos";#N/A,#N/A,FALSE,"Videoconferencia";#N/A,#N/A,FALSE,"Correo electrónico";#N/A,#N/A,FALSE,"Correo de voz";#N/A,#N/A,FALSE,"Megafax";#N/A,#N/A,FALSE,"Edi";#N/A,#N/A,FALSE,"Internet";#N/A,#N/A,FALSE,"VSAT";#N/A,#N/A,FALSE,"ing ult. milla"}</definedName>
    <definedName name="wacc1" hidden="1">{#N/A,#N/A,FALSE,"voz corporativa";#N/A,#N/A,FALSE,"Transmisión de datos";#N/A,#N/A,FALSE,"Videoconferencia";#N/A,#N/A,FALSE,"Correo electrónico";#N/A,#N/A,FALSE,"Correo de voz";#N/A,#N/A,FALSE,"Megafax";#N/A,#N/A,FALSE,"Edi";#N/A,#N/A,FALSE,"Internet";#N/A,#N/A,FALSE,"VSAT";#N/A,#N/A,FALSE,"ing ult. milla"}</definedName>
    <definedName name="washer">#REF!</definedName>
    <definedName name="washer1">#REF!</definedName>
    <definedName name="WC_2001">#REF!</definedName>
    <definedName name="WC_2002">#REF!</definedName>
    <definedName name="WC_2003">#REF!</definedName>
    <definedName name="WC_2004">#REF!</definedName>
    <definedName name="WDEWED" hidden="1">#REF!</definedName>
    <definedName name="weqrerqwe" localSheetId="14" hidden="1">{"page 1",#N/A,FALSE,"A";"page 2",#N/A,FALSE,"A";"page 3",#N/A,FALSE,"A";"page 4",#N/A,FALSE,"A";"page 5",#N/A,FALSE,"A";"page 6",#N/A,FALSE,"A";"page 7",#N/A,FALSE,"A";"page 8",#N/A,FALSE,"A";"page 9",#N/A,FALSE,"A";"page 10",#N/A,FALSE,"A";"page 11",#N/A,FALSE,"A";"page 12",#N/A,FALSE,"A";"page 13",#N/A,FALSE,"A";"page 14",#N/A,FALSE,"A"}</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EZHPR">#REF!</definedName>
    <definedName name="whatisthis" localSheetId="14" hidden="1">{#N/A,#N/A,FALSE,"Summary";#N/A,#N/A,FALSE,"Projections";#N/A,#N/A,FALSE,"Mkt Mults";#N/A,#N/A,FALSE,"DCF";#N/A,#N/A,FALSE,"Accr Dil";#N/A,#N/A,FALSE,"PIC LBO";#N/A,#N/A,FALSE,"MULT10_4";#N/A,#N/A,FALSE,"CBI LBO"}</definedName>
    <definedName name="whatisthis" hidden="1">{#N/A,#N/A,FALSE,"Summary";#N/A,#N/A,FALSE,"Projections";#N/A,#N/A,FALSE,"Mkt Mults";#N/A,#N/A,FALSE,"DCF";#N/A,#N/A,FALSE,"Accr Dil";#N/A,#N/A,FALSE,"PIC LBO";#N/A,#N/A,FALSE,"MULT10_4";#N/A,#N/A,FALSE,"CBI LBO"}</definedName>
    <definedName name="whatisthissss" localSheetId="14"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14"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indingfoot">#REF!</definedName>
    <definedName name="WPL">#REF!</definedName>
    <definedName name="wq" localSheetId="14" hidden="1">{#N/A,#N/A,FALSE,"OffAdvance";#N/A,#N/A,FALSE,"OffExpRprt";#N/A,#N/A,FALSE,"Entertmnt";#N/A,#N/A,FALSE,"Promotion";#N/A,#N/A,FALSE,"Travelling"}</definedName>
    <definedName name="wq" hidden="1">{#N/A,#N/A,FALSE,"OffAdvance";#N/A,#N/A,FALSE,"OffExpRprt";#N/A,#N/A,FALSE,"Entertmnt";#N/A,#N/A,FALSE,"Promotion";#N/A,#N/A,FALSE,"Travelling"}</definedName>
    <definedName name="wqererwerwq"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4" hidden="1">{"Overview",#N/A,TRUE,"Trading Levels";"Overview",#N/A,TRUE,"Overview";"Overview",#N/A,TRUE,"Classic Qwest";"Overview",#N/A,TRUE,"US WEST";"Overview",#N/A,TRUE,"Wireless";"Overview",#N/A,TRUE,"DEX";"Overview",#N/A,TRUE,"Cash Flow";"Overview",#N/A,TRUE,"Debt and Interest";"Overview",#N/A,TRUE,"Coverage";"Overview",#N/A,TRUE,"Wk Cap"}</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4"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r_Dil." localSheetId="14" hidden="1">{#N/A,#N/A,FALSE,"Debt Accr";#N/A,#N/A,FALSE,"Stock Accr";#N/A,#N/A,FALSE,"Debt Stock Accr"}</definedName>
    <definedName name="wrn.Accr_Dil." hidden="1">{#N/A,#N/A,FALSE,"Debt Accr";#N/A,#N/A,FALSE,"Stock Accr";#N/A,#N/A,FALSE,"Debt Stock Accr"}</definedName>
    <definedName name="wrn.Aging._.and._.Trend._.Analysis." localSheetId="2"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12"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2" hidden="1">{#N/A,#N/A,FALSE,"SUM";#N/A,#N/A,FALSE,"SK_TOT";#N/A,#N/A,FALSE,"YM";#N/A,#N/A,FALSE,"TSMC";#N/A,#N/A,FALSE,"ICW";#N/A,#N/A,FALSE,"Sheet1"}</definedName>
    <definedName name="wrn.ALL." localSheetId="3" hidden="1">{#N/A,#N/A,FALSE,"SUM";#N/A,#N/A,FALSE,"SK_TOT";#N/A,#N/A,FALSE,"YM";#N/A,#N/A,FALSE,"TSMC";#N/A,#N/A,FALSE,"ICW";#N/A,#N/A,FALSE,"Sheet1"}</definedName>
    <definedName name="wrn.ALL." localSheetId="4" hidden="1">{#N/A,#N/A,FALSE,"SUM";#N/A,#N/A,FALSE,"SK_TOT";#N/A,#N/A,FALSE,"YM";#N/A,#N/A,FALSE,"TSMC";#N/A,#N/A,FALSE,"ICW";#N/A,#N/A,FALSE,"Sheet1"}</definedName>
    <definedName name="wrn.ALL." localSheetId="12" hidden="1">{#N/A,#N/A,FALSE,"SUM";#N/A,#N/A,FALSE,"SK_TOT";#N/A,#N/A,FALSE,"YM";#N/A,#N/A,FALSE,"TSMC";#N/A,#N/A,FALSE,"ICW";#N/A,#N/A,FALSE,"Sheet1"}</definedName>
    <definedName name="wrn.ALL." localSheetId="14" hidden="1">{#N/A,#N/A,FALSE,"SUM";#N/A,#N/A,FALSE,"SK_TOT";#N/A,#N/A,FALSE,"YM";#N/A,#N/A,FALSE,"TSMC";#N/A,#N/A,FALSE,"ICW";#N/A,#N/A,FALSE,"Sheet1"}</definedName>
    <definedName name="wrn.ALL." localSheetId="11" hidden="1">{#N/A,#N/A,FALSE,"SUM";#N/A,#N/A,FALSE,"SK_TOT";#N/A,#N/A,FALSE,"YM";#N/A,#N/A,FALSE,"TSMC";#N/A,#N/A,FALSE,"ICW";#N/A,#N/A,FALSE,"Sheet1"}</definedName>
    <definedName name="wrn.ALL." localSheetId="10" hidden="1">{#N/A,#N/A,FALSE,"SUM";#N/A,#N/A,FALSE,"SK_TOT";#N/A,#N/A,FALSE,"YM";#N/A,#N/A,FALSE,"TSMC";#N/A,#N/A,FALSE,"ICW";#N/A,#N/A,FALSE,"Sheet1"}</definedName>
    <definedName name="wrn.ALL." localSheetId="6" hidden="1">{#N/A,#N/A,FALSE,"SUM";#N/A,#N/A,FALSE,"SK_TOT";#N/A,#N/A,FALSE,"YM";#N/A,#N/A,FALSE,"TSMC";#N/A,#N/A,FALSE,"ICW";#N/A,#N/A,FALSE,"Sheet1"}</definedName>
    <definedName name="wrn.ALL." hidden="1">{#N/A,#N/A,FALSE,"SUM";#N/A,#N/A,FALSE,"SK_TOT";#N/A,#N/A,FALSE,"YM";#N/A,#N/A,FALSE,"TSMC";#N/A,#N/A,FALSE,"ICW";#N/A,#N/A,FALSE,"Sheet1"}</definedName>
    <definedName name="wrn.all._.gulp._.sheets." localSheetId="1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 localSheetId="14" hidden="1">{"M1Print",#N/A,TRUE,"M1";"M2Print",#N/A,TRUE,"M2";"M1sPrint",#N/A,TRUE,"M1s";"M2aPrint",#N/A,TRUE,"M2a";"M4Print",#N/A,TRUE,"M4";"M5Print",#N/A,TRUE,"M5";"M6Print",#N/A,TRUE,"M6";"M6_1Print",#N/A,TRUE,"M6_1";"M6_2Print",#N/A,TRUE,"M6_2";"M7_1Print",#N/A,TRUE,"M7_1";"M7_2Print",#N/A,TRUE,"M7_2"}</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s.1" localSheetId="14"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localSheetId="14" hidden="1">{#N/A,#N/A,FALSE,"puboff";#N/A,#N/A,FALSE,"financials";#N/A,#N/A,FALSE,"valuation";#N/A,#N/A,FALSE,"split"}</definedName>
    <definedName name="wrn.ALL._.PAGES." hidden="1">{#N/A,#N/A,FALSE,"puboff";#N/A,#N/A,FALSE,"financials";#N/A,#N/A,FALSE,"valuation";#N/A,#N/A,FALSE,"split"}</definedName>
    <definedName name="wrn.ALL._.SHEETS." localSheetId="14"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Worksheets." localSheetId="14"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all._M._.Scheduleds。1" localSheetId="12" hidden="1">{"M1Print",#N/A,TRUE,"M1";"M2Print",#N/A,TRUE,"M2";"M1sPrint",#N/A,TRUE,"M1s";"M2aPrint",#N/A,TRUE,"M2a";"M4Print",#N/A,TRUE,"M4";"M5Print",#N/A,TRUE,"M5";"M6Print",#N/A,TRUE,"M6";"M6_1Print",#N/A,TRUE,"M6_1";"M6_2Print",#N/A,TRUE,"M6_2";"M7_1Print",#N/A,TRUE,"M7_1";"M7_2Print",#N/A,TRUE,"M7_2"}</definedName>
    <definedName name="wrn.all._M._.Scheduleds。1" localSheetId="14"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localSheetId="14"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Sheets." localSheetId="14"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butPREMIUM." localSheetId="1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4" hidden="1">{#N/A,#N/A,FALSE,"AD_Purchase";#N/A,#N/A,FALSE,"Credit";#N/A,#N/A,FALSE,"PF Acquisition";#N/A,#N/A,FALSE,"PF Offering"}</definedName>
    <definedName name="wrn.AllModels." hidden="1">{#N/A,#N/A,FALSE,"AD_Purchase";#N/A,#N/A,FALSE,"Credit";#N/A,#N/A,FALSE,"PF Acquisition";#N/A,#N/A,FALSE,"PF Offering"}</definedName>
    <definedName name="wrn.ANALYSIS._.9507." localSheetId="14" hidden="1">{#N/A,#N/A,FALSE,"ABB HOLDING LTD"}</definedName>
    <definedName name="wrn.ANALYSIS._.9507." hidden="1">{#N/A,#N/A,FALSE,"ABB HOLDING LTD"}</definedName>
    <definedName name="WRN.ANALYSIS._.9511." localSheetId="14" hidden="1">{#N/A,#N/A,FALSE,"ABB HOLDING LTD"}</definedName>
    <definedName name="WRN.ANALYSIS._.9511." hidden="1">{#N/A,#N/A,FALSE,"ABB HOLDING LTD"}</definedName>
    <definedName name="wrn.Anixter." localSheetId="14" hidden="1">{#N/A,#N/A,FALSE,"Gao Jia Cheng, Jeffery";#N/A,#N/A,FALSE,"Dennis Pak - Feb to Mar 97";#N/A,#N/A,FALSE,"Dennis Pak - Jan 97";#N/A,#N/A,FALSE,"Dennis Pak - Jun to Dec 96"}</definedName>
    <definedName name="wrn.Anixter." hidden="1">{#N/A,#N/A,FALSE,"Gao Jia Cheng, Jeffery";#N/A,#N/A,FALSE,"Dennis Pak - Feb to Mar 97";#N/A,#N/A,FALSE,"Dennis Pak - Jan 97";#N/A,#N/A,FALSE,"Dennis Pak - Jun to Dec 96"}</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4" hidden="1">{#N/A,#N/A,FALSE,"TSUM";#N/A,#N/A,FALSE,"shares";#N/A,#N/A,FALSE,"earnout";#N/A,#N/A,FALSE,"Heaty";#N/A,#N/A,FALSE,"self-tend";#N/A,#N/A,FALSE,"self-sum"}</definedName>
    <definedName name="wrn.basics." hidden="1">{#N/A,#N/A,FALSE,"TSUM";#N/A,#N/A,FALSE,"shares";#N/A,#N/A,FALSE,"earnout";#N/A,#N/A,FALSE,"Heaty";#N/A,#N/A,FALSE,"self-tend";#N/A,#N/A,FALSE,"self-sum"}</definedName>
    <definedName name="wrn.Board._.Reports." localSheetId="2" hidden="1">{#N/A,#N/A,FALSE,"M1s Board";#N/A,#N/A,FALSE,"M3 Board";#N/A,#N/A,FALSE,"M6 Board";#N/A,#N/A,FALSE,"M7";#N/A,#N/A,FALSE,"M7B";#N/A,#N/A,FALSE,"M8";#N/A,#N/A,FALSE,"M8A Board";#N/A,#N/A,FALSE,"AF1 Board"}</definedName>
    <definedName name="wrn.Board._.Reports." localSheetId="3" hidden="1">{#N/A,#N/A,FALSE,"M1s Board";#N/A,#N/A,FALSE,"M3 Board";#N/A,#N/A,FALSE,"M6 Board";#N/A,#N/A,FALSE,"M7";#N/A,#N/A,FALSE,"M7B";#N/A,#N/A,FALSE,"M8";#N/A,#N/A,FALSE,"M8A Board";#N/A,#N/A,FALSE,"AF1 Board"}</definedName>
    <definedName name="wrn.Board._.Reports." localSheetId="4" hidden="1">{#N/A,#N/A,FALSE,"M1s Board";#N/A,#N/A,FALSE,"M3 Board";#N/A,#N/A,FALSE,"M6 Board";#N/A,#N/A,FALSE,"M7";#N/A,#N/A,FALSE,"M7B";#N/A,#N/A,FALSE,"M8";#N/A,#N/A,FALSE,"M8A Board";#N/A,#N/A,FALSE,"AF1 Board"}</definedName>
    <definedName name="wrn.Board._.Reports." localSheetId="12" hidden="1">{#N/A,#N/A,FALSE,"M1s Board";#N/A,#N/A,FALSE,"M3 Board";#N/A,#N/A,FALSE,"M6 Board";#N/A,#N/A,FALSE,"M7";#N/A,#N/A,FALSE,"M7B";#N/A,#N/A,FALSE,"M8";#N/A,#N/A,FALSE,"M8A Board";#N/A,#N/A,FALSE,"AF1 Board"}</definedName>
    <definedName name="wrn.Board._.Reports." localSheetId="14" hidden="1">{#N/A,#N/A,FALSE,"M1s Board";#N/A,#N/A,FALSE,"M3 Board";#N/A,#N/A,FALSE,"M6 Board";#N/A,#N/A,FALSE,"M7";#N/A,#N/A,FALSE,"M7B";#N/A,#N/A,FALSE,"M8";#N/A,#N/A,FALSE,"M8A Board";#N/A,#N/A,FALSE,"AF1 Board"}</definedName>
    <definedName name="wrn.Board._.Reports." localSheetId="11" hidden="1">{#N/A,#N/A,FALSE,"M1s Board";#N/A,#N/A,FALSE,"M3 Board";#N/A,#N/A,FALSE,"M6 Board";#N/A,#N/A,FALSE,"M7";#N/A,#N/A,FALSE,"M7B";#N/A,#N/A,FALSE,"M8";#N/A,#N/A,FALSE,"M8A Board";#N/A,#N/A,FALSE,"AF1 Board"}</definedName>
    <definedName name="wrn.Board._.Reports." localSheetId="10" hidden="1">{#N/A,#N/A,FALSE,"M1s Board";#N/A,#N/A,FALSE,"M3 Board";#N/A,#N/A,FALSE,"M6 Board";#N/A,#N/A,FALSE,"M7";#N/A,#N/A,FALSE,"M7B";#N/A,#N/A,FALSE,"M8";#N/A,#N/A,FALSE,"M8A Board";#N/A,#N/A,FALSE,"AF1 Board"}</definedName>
    <definedName name="wrn.Board._.Reports." localSheetId="6"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udget." localSheetId="14" hidden="1">{#N/A,#N/A,FALSE,"SummByYr";#N/A,#N/A,FALSE,"DetailByYr";#N/A,#N/A,FALSE,"SummByQtr";#N/A,#N/A,FALSE,"SummByMon";#N/A,#N/A,FALSE,"DetailByQtr";#N/A,#N/A,FALSE,"DetailByMon";#N/A,#N/A,FALSE,"StationYTD";#N/A,#N/A,FALSE,"StationYr";#N/A,#N/A,FALSE,"StationMon";#N/A,#N/A,FALSE,"Actual97";#N/A,#N/A,FALSE,"Actual96";#N/A,#N/A,FALSE,"Actual95";#N/A,#N/A,FALSE,"Actual94"}</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4" hidden="1">{#N/A,#N/A,FALSE,"Sheet1";#N/A,#N/A,FALSE,"Summary";#N/A,#N/A,FALSE,"proj1";#N/A,#N/A,FALSE,"proj2"}</definedName>
    <definedName name="wrn.bullshit1." hidden="1">{#N/A,#N/A,FALSE,"Sheet1";#N/A,#N/A,FALSE,"Summary";#N/A,#N/A,FALSE,"proj1";#N/A,#N/A,FALSE,"proj2"}</definedName>
    <definedName name="wrn.contribution." localSheetId="14" hidden="1">{#N/A,#N/A,FALSE,"Contribution Analysis"}</definedName>
    <definedName name="wrn.contribution." hidden="1">{#N/A,#N/A,FALSE,"Contribution Analysis"}</definedName>
    <definedName name="wrn.Cover." localSheetId="14"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14" hidden="1">{"orixcsc",#N/A,FALSE,"ORIX CSC";"orixcsc2",#N/A,FALSE,"ORIX CSC"}</definedName>
    <definedName name="wrn.csc." hidden="1">{"orixcsc",#N/A,FALSE,"ORIX CSC";"orixcsc2",#N/A,FALSE,"ORIX CSC"}</definedName>
    <definedName name="wrn.csc2." localSheetId="14" hidden="1">{#N/A,#N/A,FALSE,"ORIX CSC"}</definedName>
    <definedName name="wrn.csc2." hidden="1">{#N/A,#N/A,FALSE,"ORIX CSC"}</definedName>
    <definedName name="wrn.Current_External." localSheetId="14" hidden="1">{"Current_View",#N/A,TRUE,"P&amp;L - External";#N/A,#N/A,TRUE,"Backlog";#N/A,#N/A,TRUE,"Revenue";#N/A,#N/A,TRUE,"Std Margin";#N/A,#N/A,TRUE,"Waterfall - External"}</definedName>
    <definedName name="wrn.Current_External." hidden="1">{"Current_View",#N/A,TRUE,"P&amp;L - External";#N/A,#N/A,TRUE,"Backlog";#N/A,#N/A,TRUE,"Revenue";#N/A,#N/A,TRUE,"Std Margin";#N/A,#N/A,TRUE,"Waterfall - External"}</definedName>
    <definedName name="wrn.Current_Internal." localSheetId="14" hidden="1">{"Current_View",#N/A,TRUE,"P&amp;L";#N/A,#N/A,TRUE,"Backlog";#N/A,#N/A,TRUE,"Revenue";#N/A,#N/A,TRUE,"Std Margin";#N/A,#N/A,TRUE,"Waterfall"}</definedName>
    <definedName name="wrn.Current_Internal." hidden="1">{"Current_View",#N/A,TRUE,"P&amp;L";#N/A,#N/A,TRUE,"Backlog";#N/A,#N/A,TRUE,"Revenue";#N/A,#N/A,TRUE,"Std Margin";#N/A,#N/A,TRUE,"Waterfall"}</definedName>
    <definedName name="wrn.dcf." localSheetId="14"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posit._.By._.Day." localSheetId="4" hidden="1">{#N/A,#N/A,FALSE,"Deposits by day"}</definedName>
    <definedName name="wrn.Deposit._.By._.Day." localSheetId="12" hidden="1">{#N/A,#N/A,FALSE,"Deposits by day"}</definedName>
    <definedName name="wrn.Deposit._.By._.Day." localSheetId="14" hidden="1">{#N/A,#N/A,FALSE,"Deposits by day"}</definedName>
    <definedName name="wrn.Deposit._.By._.Day." localSheetId="11" hidden="1">{#N/A,#N/A,FALSE,"Deposits by day"}</definedName>
    <definedName name="wrn.Deposit._.By._.Day." localSheetId="10" hidden="1">{#N/A,#N/A,FALSE,"Deposits by day"}</definedName>
    <definedName name="wrn.Deposit._.By._.Day." localSheetId="6" hidden="1">{#N/A,#N/A,FALSE,"Deposits by day"}</definedName>
    <definedName name="wrn.Deposit._.By._.Day." hidden="1">{#N/A,#N/A,FALSE,"Deposits by day"}</definedName>
    <definedName name="wrn.Deptartment._.Expenses." localSheetId="2" hidden="1">{#N/A,#N/A,TRUE,"CPRD";#N/A,#N/A,TRUE,"BCCPDR";#N/A,#N/A,TRUE,"EWRD";#N/A,#N/A,TRUE,"5100";#N/A,#N/A,TRUE,"5110"}</definedName>
    <definedName name="wrn.Deptartment._.Expenses." localSheetId="3" hidden="1">{#N/A,#N/A,TRUE,"CPRD";#N/A,#N/A,TRUE,"BCCPDR";#N/A,#N/A,TRUE,"EWRD";#N/A,#N/A,TRUE,"5100";#N/A,#N/A,TRUE,"5110"}</definedName>
    <definedName name="wrn.Deptartment._.Expenses." localSheetId="4" hidden="1">{#N/A,#N/A,TRUE,"CPRD";#N/A,#N/A,TRUE,"BCCPDR";#N/A,#N/A,TRUE,"EWRD";#N/A,#N/A,TRUE,"5100";#N/A,#N/A,TRUE,"5110"}</definedName>
    <definedName name="wrn.Deptartment._.Expenses." localSheetId="12" hidden="1">{#N/A,#N/A,TRUE,"CPRD";#N/A,#N/A,TRUE,"BCCPDR";#N/A,#N/A,TRUE,"EWRD";#N/A,#N/A,TRUE,"5100";#N/A,#N/A,TRUE,"5110"}</definedName>
    <definedName name="wrn.Deptartment._.Expenses." localSheetId="14" hidden="1">{#N/A,#N/A,TRUE,"CPRD";#N/A,#N/A,TRUE,"BCCPDR";#N/A,#N/A,TRUE,"EWRD";#N/A,#N/A,TRUE,"5100";#N/A,#N/A,TRUE,"5110"}</definedName>
    <definedName name="wrn.Deptartment._.Expenses." localSheetId="11" hidden="1">{#N/A,#N/A,TRUE,"CPRD";#N/A,#N/A,TRUE,"BCCPDR";#N/A,#N/A,TRUE,"EWRD";#N/A,#N/A,TRUE,"5100";#N/A,#N/A,TRUE,"5110"}</definedName>
    <definedName name="wrn.Deptartment._.Expenses." localSheetId="10" hidden="1">{#N/A,#N/A,TRUE,"CPRD";#N/A,#N/A,TRUE,"BCCPDR";#N/A,#N/A,TRUE,"EWRD";#N/A,#N/A,TRUE,"5100";#N/A,#N/A,TRUE,"5110"}</definedName>
    <definedName name="wrn.Deptartment._.Expenses." localSheetId="6" hidden="1">{#N/A,#N/A,TRUE,"CPRD";#N/A,#N/A,TRUE,"BCCPDR";#N/A,#N/A,TRUE,"EWRD";#N/A,#N/A,TRUE,"5100";#N/A,#N/A,TRUE,"5110"}</definedName>
    <definedName name="wrn.Deptartment._.Expenses." hidden="1">{#N/A,#N/A,TRUE,"CPRD";#N/A,#N/A,TRUE,"BCCPDR";#N/A,#N/A,TRUE,"EWRD";#N/A,#N/A,TRUE,"5100";#N/A,#N/A,TRUE,"5110"}</definedName>
    <definedName name="wrn.Detail._.income._.and._.expense." localSheetId="14" hidden="1">{#N/A,#N/A,TRUE,"Assumptions";#N/A,#N/A,TRUE,"Revenue &amp; Direct Expense";#N/A,#N/A,TRUE,"Indirect Expense"}</definedName>
    <definedName name="wrn.Detail._.income._.and._.expense." hidden="1">{#N/A,#N/A,TRUE,"Assumptions";#N/A,#N/A,TRUE,"Revenue &amp; Direct Expense";#N/A,#N/A,TRUE,"Indirect Expense"}</definedName>
    <definedName name="wrn.dir." localSheetId="14"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2" hidden="1">{#N/A,#N/A,FALSE,"YTCHAN";#N/A,#N/A,FALSE,"TOMMY";#N/A,#N/A,FALSE,"REP.OFFICE";#N/A,#N/A,FALSE,"E&amp;Y_CONSULTANT";#N/A,#N/A,FALSE,"BT &amp; CIT"}</definedName>
    <definedName name="wrn.ERNST." localSheetId="14" hidden="1">{#N/A,#N/A,FALSE,"YTCHAN";#N/A,#N/A,FALSE,"TOMMY";#N/A,#N/A,FALSE,"REP.OFFICE";#N/A,#N/A,FALSE,"E&amp;Y_CONSULTANT";#N/A,#N/A,FALSE,"BT &amp; CIT"}</definedName>
    <definedName name="wrn.ERNST." hidden="1">{#N/A,#N/A,FALSE,"YTCHAN";#N/A,#N/A,FALSE,"TOMMY";#N/A,#N/A,FALSE,"REP.OFFICE";#N/A,#N/A,FALSE,"E&amp;Y_CONSULTANT";#N/A,#N/A,FALSE,"BT &amp; CIT"}</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4" hidden="1">{"External_Annual_Income",#N/A,FALSE,"External";"External_Quarterly_Income",#N/A,FALSE,"External"}</definedName>
    <definedName name="wrn.External." hidden="1">{"External_Annual_Income",#N/A,FALSE,"External";"External_Quarterly_Income",#N/A,FALSE,"External"}</definedName>
    <definedName name="wrn.external.2" localSheetId="14" hidden="1">{"External_Annual_Income",#N/A,FALSE,"External";"External_Quarterly_Income",#N/A,FALSE,"External"}</definedName>
    <definedName name="wrn.external.2" hidden="1">{"External_Annual_Income",#N/A,FALSE,"External";"External_Quarterly_Income",#N/A,FALSE,"External"}</definedName>
    <definedName name="wrn.Filter." localSheetId="14"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4" hidden="1">{"Overview",#N/A,FALSE,"Overview";"Overview",#N/A,FALSE,"Classic Qwest"}</definedName>
    <definedName name="wrn.Financials." hidden="1">{"Overview",#N/A,FALSE,"Overview";"Overview",#N/A,FALSE,"Classic Qwest"}</definedName>
    <definedName name="wrn.first2." localSheetId="14" hidden="1">{#N/A,#N/A,FALSE,"sum-don";#N/A,#N/A,FALSE,"inc-don"}</definedName>
    <definedName name="wrn.first2." hidden="1">{#N/A,#N/A,FALSE,"sum-don";#N/A,#N/A,FALSE,"inc-don"}</definedName>
    <definedName name="wrn.first3." localSheetId="14" hidden="1">{#N/A,#N/A,FALSE,"Summary";#N/A,#N/A,FALSE,"proj1";#N/A,#N/A,FALSE,"proj2"}</definedName>
    <definedName name="wrn.first3." hidden="1">{#N/A,#N/A,FALSE,"Summary";#N/A,#N/A,FALSE,"proj1";#N/A,#N/A,FALSE,"proj2"}</definedName>
    <definedName name="wrn.first4." localSheetId="14" hidden="1">{#N/A,#N/A,FALSE,"Summary";#N/A,#N/A,FALSE,"proj1";#N/A,#N/A,FALSE,"proj2";#N/A,#N/A,FALSE,"DCF"}</definedName>
    <definedName name="wrn.first4." hidden="1">{#N/A,#N/A,FALSE,"Summary";#N/A,#N/A,FALSE,"proj1";#N/A,#N/A,FALSE,"proj2";#N/A,#N/A,FALSE,"DCF"}</definedName>
    <definedName name="wrn.form." localSheetId="4" hidden="1">{#N/A,#N/A,FALSE,"OffAdvance";#N/A,#N/A,FALSE,"OffExpRprt";#N/A,#N/A,FALSE,"Entertmnt";#N/A,#N/A,FALSE,"Promotion";#N/A,#N/A,FALSE,"Travelling"}</definedName>
    <definedName name="wrn.form." localSheetId="12" hidden="1">{#N/A,#N/A,FALSE,"OffAdvance";#N/A,#N/A,FALSE,"OffExpRprt";#N/A,#N/A,FALSE,"Entertmnt";#N/A,#N/A,FALSE,"Promotion";#N/A,#N/A,FALSE,"Travelling"}</definedName>
    <definedName name="wrn.form." localSheetId="14" hidden="1">{#N/A,#N/A,FALSE,"OffAdvance";#N/A,#N/A,FALSE,"OffExpRprt";#N/A,#N/A,FALSE,"Entertmnt";#N/A,#N/A,FALSE,"Promotion";#N/A,#N/A,FALSE,"Travelling"}</definedName>
    <definedName name="wrn.form." localSheetId="11" hidden="1">{#N/A,#N/A,FALSE,"OffAdvance";#N/A,#N/A,FALSE,"OffExpRprt";#N/A,#N/A,FALSE,"Entertmnt";#N/A,#N/A,FALSE,"Promotion";#N/A,#N/A,FALSE,"Travelling"}</definedName>
    <definedName name="wrn.form." hidden="1">{#N/A,#N/A,FALSE,"OffAdvance";#N/A,#N/A,FALSE,"OffExpRprt";#N/A,#N/A,FALSE,"Entertmnt";#N/A,#N/A,FALSE,"Promotion";#N/A,#N/A,FALSE,"Travelling"}</definedName>
    <definedName name="wrn.fy00_Q1Q2." localSheetId="14" hidden="1">{#N/A,#N/A,FALSE,"Sheet1"}</definedName>
    <definedName name="wrn.fy00_Q1Q2." hidden="1">{#N/A,#N/A,FALSE,"Sheet1"}</definedName>
    <definedName name="wrn.gastos." localSheetId="14" hidden="1">{#N/A,#N/A,FALSE,"PERSONAL";#N/A,#N/A,FALSE,"explotación";#N/A,#N/A,FALSE,"generales"}</definedName>
    <definedName name="wrn.gastos." hidden="1">{#N/A,#N/A,FALSE,"PERSONAL";#N/A,#N/A,FALSE,"explotación";#N/A,#N/A,FALSE,"generales"}</definedName>
    <definedName name="wrn.gb." localSheetId="12" hidden="1">{#N/A,#N/A,FALSE,"资产负债表";#N/A,#N/A,FALSE,"资产负债表"}</definedName>
    <definedName name="wrn.gb." localSheetId="14" hidden="1">{#N/A,#N/A,FALSE,"资产负债表";#N/A,#N/A,FALSE,"资产负债表"}</definedName>
    <definedName name="wrn.gb." hidden="1">{#N/A,#N/A,FALSE,"资产负债表";#N/A,#N/A,FALSE,"资产负债表"}</definedName>
    <definedName name="wrn.HEAT." localSheetId="14" hidden="1">{#N/A,#N/A,FALSE,"Heat";#N/A,#N/A,FALSE,"DCF";#N/A,#N/A,FALSE,"LBO";#N/A,#N/A,FALSE,"A";#N/A,#N/A,FALSE,"C";#N/A,#N/A,FALSE,"impd";#N/A,#N/A,FALSE,"Accr-Dilu"}</definedName>
    <definedName name="wrn.HEAT." hidden="1">{#N/A,#N/A,FALSE,"Heat";#N/A,#N/A,FALSE,"DCF";#N/A,#N/A,FALSE,"LBO";#N/A,#N/A,FALSE,"A";#N/A,#N/A,FALSE,"C";#N/A,#N/A,FALSE,"impd";#N/A,#N/A,FALSE,"Accr-Dilu"}</definedName>
    <definedName name="wrn.Hydraulic." localSheetId="1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4"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ncome._.Statement." localSheetId="14" hidden="1">{#N/A,#N/A,FALSE,"Report Print"}</definedName>
    <definedName name="wrn.Income._.Statement." hidden="1">{#N/A,#N/A,FALSE,"Report Print"}</definedName>
    <definedName name="wrn.ingreso." localSheetId="14" hidden="1">{#N/A,#N/A,FALSE,"voz corporativa";#N/A,#N/A,FALSE,"Transmisión de datos";#N/A,#N/A,FALSE,"Videoconferencia";#N/A,#N/A,FALSE,"Correo electrónico";#N/A,#N/A,FALSE,"Correo de voz";#N/A,#N/A,FALSE,"Megafax";#N/A,#N/A,FALSE,"Edi";#N/A,#N/A,FALSE,"Internet";#N/A,#N/A,FALSE,"VSAT";#N/A,#N/A,FALSE,"ing ult. milla"}</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localSheetId="14"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localSheetId="12" hidden="1">{"Input_Fin",#N/A,FALSE,"By Code";"Input_Opt",#N/A,FALSE,"By Code"}</definedName>
    <definedName name="wrn.Input._.Data." localSheetId="14" hidden="1">{"Input_Fin",#N/A,FALSE,"By Code";"Input_Opt",#N/A,FALSE,"By Code"}</definedName>
    <definedName name="wrn.Input._.Data." hidden="1">{"Input_Fin",#N/A,FALSE,"By Code";"Input_Opt",#N/A,FALSE,"By Code"}</definedName>
    <definedName name="wrn.Inputs._.and._.detail._.calculations." localSheetId="14" hidden="1">{#N/A,#N/A,TRUE,"Revenue &amp; Direct Expense";#N/A,#N/A,TRUE,"Indirect Expense";#N/A,#N/A,TRUE,"Assumptions";#N/A,#N/A,TRUE,"Headcount Inputs";#N/A,#N/A,TRUE,"Markets";#N/A,#N/A,TRUE,"Colocation";#N/A,#N/A,TRUE,"Demographics";#N/A,#N/A,TRUE,"ILEC Rates"}</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localSheetId="14" hidden="1">{#N/A,#N/A,FALSE,"PLEDGE";#N/A,#N/A,FALSE,"GLADE";#N/A,#N/A,FALSE,"GREEN BIRD";#N/A,#N/A,FALSE,"MR. MUSCLE";#N/A,#N/A,FALSE,"TOILET DUCK";#N/A,#N/A,FALSE,"Other Home Care";#N/A,#N/A,FALSE,"RED BIRD";#N/A,#N/A,FALSE,"SHANGHAI";#N/A,#N/A,FALSE,"RAID";#N/A,#N/A,FALSE,"OFF";#N/A,#N/A,FALSE,"SEAGULL";#N/A,#N/A,FALSE,"HALSA";#N/A,#N/A,FALSE,"SOFT SENSE";#N/A,#N/A,FALSE,"TOTAL"}</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4" hidden="1">{#N/A,#N/A,FALSE,"Report Print"}</definedName>
    <definedName name="wrn.IPIX." hidden="1">{#N/A,#N/A,FALSE,"Report Print"}</definedName>
    <definedName name="wrn.IPO._.Valuation." localSheetId="14" hidden="1">{"assumptions",#N/A,FALSE,"Scenario 1";"valuation",#N/A,FALSE,"Scenario 1"}</definedName>
    <definedName name="wrn.IPO._.Valuation." hidden="1">{"assumptions",#N/A,FALSE,"Scenario 1";"valuation",#N/A,FALSE,"Scenario 1"}</definedName>
    <definedName name="wrn.ipovalue." localSheetId="14" hidden="1">{#N/A,#N/A,FALSE,"puboff";#N/A,#N/A,FALSE,"valuation";#N/A,#N/A,FALSE,"finanalsis";#N/A,#N/A,FALSE,"split";#N/A,#N/A,FALSE,"ownership"}</definedName>
    <definedName name="wrn.ipovalue." hidden="1">{#N/A,#N/A,FALSE,"puboff";#N/A,#N/A,FALSE,"valuation";#N/A,#N/A,FALSE,"finanalsis";#N/A,#N/A,FALSE,"split";#N/A,#N/A,FALSE,"ownership"}</definedName>
    <definedName name="wrn.ISCG._.model." localSheetId="14"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an." localSheetId="4" hidden="1">{#N/A,#N/A,FALSE,"Jan"}</definedName>
    <definedName name="wrn.jan." localSheetId="12" hidden="1">{#N/A,#N/A,FALSE,"Jan"}</definedName>
    <definedName name="wrn.jan." localSheetId="14" hidden="1">{#N/A,#N/A,FALSE,"Jan"}</definedName>
    <definedName name="wrn.jan." localSheetId="11" hidden="1">{#N/A,#N/A,FALSE,"Jan"}</definedName>
    <definedName name="wrn.jan." localSheetId="10" hidden="1">{#N/A,#N/A,FALSE,"Jan"}</definedName>
    <definedName name="wrn.jan." localSheetId="6" hidden="1">{#N/A,#N/A,FALSE,"Jan"}</definedName>
    <definedName name="wrn.jan." hidden="1">{#N/A,#N/A,FALSE,"Jan"}</definedName>
    <definedName name="wrn.LBO._.Summary." localSheetId="14" hidden="1">{"LBO Summary",#N/A,FALSE,"Summary"}</definedName>
    <definedName name="wrn.LBO._.Summary." hidden="1">{"LBO Summary",#N/A,FALSE,"Summary"}</definedName>
    <definedName name="wrn.M1._.Operating._.Statement." localSheetId="2" hidden="1">{"M1Print",#N/A,FALSE,"M1"}</definedName>
    <definedName name="wrn.M1._.Operating._.Statement." localSheetId="3" hidden="1">{"M1Print",#N/A,FALSE,"M1"}</definedName>
    <definedName name="wrn.M1._.Operating._.Statement." localSheetId="4" hidden="1">{"M1Print",#N/A,FALSE,"M1"}</definedName>
    <definedName name="wrn.M1._.Operating._.Statement." localSheetId="12" hidden="1">{"M1Print",#N/A,FALSE,"M1"}</definedName>
    <definedName name="wrn.M1._.Operating._.Statement." localSheetId="14" hidden="1">{"M1Print",#N/A,FALSE,"M1"}</definedName>
    <definedName name="wrn.M1._.Operating._.Statement." localSheetId="11" hidden="1">{"M1Print",#N/A,FALSE,"M1"}</definedName>
    <definedName name="wrn.M1._.Operating._.Statement." localSheetId="10" hidden="1">{"M1Print",#N/A,FALSE,"M1"}</definedName>
    <definedName name="wrn.M1._.Operating._.Statement." localSheetId="6" hidden="1">{"M1Print",#N/A,FALSE,"M1"}</definedName>
    <definedName name="wrn.M1._.Operating._.Statement." hidden="1">{"M1Print",#N/A,FALSE,"M1"}</definedName>
    <definedName name="wrn.M1s._.Statistics." localSheetId="2" hidden="1">{"M1sPrint",#N/A,FALSE,"M1s"}</definedName>
    <definedName name="wrn.M1s._.Statistics." localSheetId="3" hidden="1">{"M1sPrint",#N/A,FALSE,"M1s"}</definedName>
    <definedName name="wrn.M1s._.Statistics." localSheetId="4" hidden="1">{"M1sPrint",#N/A,FALSE,"M1s"}</definedName>
    <definedName name="wrn.M1s._.Statistics." localSheetId="12" hidden="1">{"M1sPrint",#N/A,FALSE,"M1s"}</definedName>
    <definedName name="wrn.M1s._.Statistics." localSheetId="14" hidden="1">{"M1sPrint",#N/A,FALSE,"M1s"}</definedName>
    <definedName name="wrn.M1s._.Statistics." localSheetId="11" hidden="1">{"M1sPrint",#N/A,FALSE,"M1s"}</definedName>
    <definedName name="wrn.M1s._.Statistics." localSheetId="10" hidden="1">{"M1sPrint",#N/A,FALSE,"M1s"}</definedName>
    <definedName name="wrn.M1s._.Statistics." localSheetId="6" hidden="1">{"M1sPrint",#N/A,FALSE,"M1s"}</definedName>
    <definedName name="wrn.M1s._.Statistics." hidden="1">{"M1sPrint",#N/A,FALSE,"M1s"}</definedName>
    <definedName name="wrn.M2._.Balance._.Sheet." localSheetId="2" hidden="1">{"M2Print",#N/A,FALSE,"M2"}</definedName>
    <definedName name="wrn.M2._.Balance._.Sheet." localSheetId="3" hidden="1">{"M2Print",#N/A,FALSE,"M2"}</definedName>
    <definedName name="wrn.M2._.Balance._.Sheet." localSheetId="4" hidden="1">{"M2Print",#N/A,FALSE,"M2"}</definedName>
    <definedName name="wrn.M2._.Balance._.Sheet." localSheetId="12" hidden="1">{"M2Print",#N/A,FALSE,"M2"}</definedName>
    <definedName name="wrn.M2._.Balance._.Sheet." localSheetId="14" hidden="1">{"M2Print",#N/A,FALSE,"M2"}</definedName>
    <definedName name="wrn.M2._.Balance._.Sheet." localSheetId="11" hidden="1">{"M2Print",#N/A,FALSE,"M2"}</definedName>
    <definedName name="wrn.M2._.Balance._.Sheet." localSheetId="10" hidden="1">{"M2Print",#N/A,FALSE,"M2"}</definedName>
    <definedName name="wrn.M2._.Balance._.Sheet." localSheetId="6" hidden="1">{"M2Print",#N/A,FALSE,"M2"}</definedName>
    <definedName name="wrn.M2._.Balance._.Sheet." hidden="1">{"M2Print",#N/A,FALSE,"M2"}</definedName>
    <definedName name="wrn.M2a._.Cashflow." localSheetId="2" hidden="1">{"M2aPrint",#N/A,FALSE,"M2a"}</definedName>
    <definedName name="wrn.M2a._.Cashflow." localSheetId="3" hidden="1">{"M2aPrint",#N/A,FALSE,"M2a"}</definedName>
    <definedName name="wrn.M2a._.Cashflow." localSheetId="4" hidden="1">{"M2aPrint",#N/A,FALSE,"M2a"}</definedName>
    <definedName name="wrn.M2a._.Cashflow." localSheetId="12" hidden="1">{"M2aPrint",#N/A,FALSE,"M2a"}</definedName>
    <definedName name="wrn.M2a._.Cashflow." localSheetId="14" hidden="1">{"M2aPrint",#N/A,FALSE,"M2a"}</definedName>
    <definedName name="wrn.M2a._.Cashflow." localSheetId="11" hidden="1">{"M2aPrint",#N/A,FALSE,"M2a"}</definedName>
    <definedName name="wrn.M2a._.Cashflow." localSheetId="10" hidden="1">{"M2aPrint",#N/A,FALSE,"M2a"}</definedName>
    <definedName name="wrn.M2a._.Cashflow." localSheetId="6" hidden="1">{"M2aPrint",#N/A,FALSE,"M2a"}</definedName>
    <definedName name="wrn.M2a._.Cashflow." hidden="1">{"M2aPrint",#N/A,FALSE,"M2a"}</definedName>
    <definedName name="wrn.M4._.Inventories." localSheetId="2" hidden="1">{"M4Print",#N/A,FALSE,"M4"}</definedName>
    <definedName name="wrn.M4._.Inventories." localSheetId="3" hidden="1">{"M4Print",#N/A,FALSE,"M4"}</definedName>
    <definedName name="wrn.M4._.Inventories." localSheetId="4" hidden="1">{"M4Print",#N/A,FALSE,"M4"}</definedName>
    <definedName name="wrn.M4._.Inventories." localSheetId="12" hidden="1">{"M4Print",#N/A,FALSE,"M4"}</definedName>
    <definedName name="wrn.M4._.Inventories." localSheetId="14" hidden="1">{"M4Print",#N/A,FALSE,"M4"}</definedName>
    <definedName name="wrn.M4._.Inventories." localSheetId="11" hidden="1">{"M4Print",#N/A,FALSE,"M4"}</definedName>
    <definedName name="wrn.M4._.Inventories." localSheetId="10" hidden="1">{"M4Print",#N/A,FALSE,"M4"}</definedName>
    <definedName name="wrn.M4._.Inventories." localSheetId="6" hidden="1">{"M4Print",#N/A,FALSE,"M4"}</definedName>
    <definedName name="wrn.M4._.Inventories." hidden="1">{"M4Print",#N/A,FALSE,"M4"}</definedName>
    <definedName name="wrn.M5._.Flash._.and._.Forecast." localSheetId="2" hidden="1">{"M5Print",#N/A,FALSE,"M5"}</definedName>
    <definedName name="wrn.M5._.Flash._.and._.Forecast." localSheetId="3" hidden="1">{"M5Print",#N/A,FALSE,"M5"}</definedName>
    <definedName name="wrn.M5._.Flash._.and._.Forecast." localSheetId="4" hidden="1">{"M5Print",#N/A,FALSE,"M5"}</definedName>
    <definedName name="wrn.M5._.Flash._.and._.Forecast." localSheetId="12" hidden="1">{"M5Print",#N/A,FALSE,"M5"}</definedName>
    <definedName name="wrn.M5._.Flash._.and._.Forecast." localSheetId="14" hidden="1">{"M5Print",#N/A,FALSE,"M5"}</definedName>
    <definedName name="wrn.M5._.Flash._.and._.Forecast." localSheetId="11" hidden="1">{"M5Print",#N/A,FALSE,"M5"}</definedName>
    <definedName name="wrn.M5._.Flash._.and._.Forecast." localSheetId="10" hidden="1">{"M5Print",#N/A,FALSE,"M5"}</definedName>
    <definedName name="wrn.M5._.Flash._.and._.Forecast." localSheetId="6" hidden="1">{"M5Print",#N/A,FALSE,"M5"}</definedName>
    <definedName name="wrn.M5._.Flash._.and._.Forecast." hidden="1">{"M5Print",#N/A,FALSE,"M5"}</definedName>
    <definedName name="wrn.M6._.Management._.Summary." localSheetId="2" hidden="1">{"M6Print",#N/A,FALSE,"M6";"M6_1Print",#N/A,FALSE,"M6_1";"M6_2Print",#N/A,FALSE,"M6_2"}</definedName>
    <definedName name="wrn.M6._.Management._.Summary." localSheetId="3" hidden="1">{"M6Print",#N/A,FALSE,"M6";"M6_1Print",#N/A,FALSE,"M6_1";"M6_2Print",#N/A,FALSE,"M6_2"}</definedName>
    <definedName name="wrn.M6._.Management._.Summary." localSheetId="4" hidden="1">{"M6Print",#N/A,FALSE,"M6";"M6_1Print",#N/A,FALSE,"M6_1";"M6_2Print",#N/A,FALSE,"M6_2"}</definedName>
    <definedName name="wrn.M6._.Management._.Summary." localSheetId="12" hidden="1">{"M6Print",#N/A,FALSE,"M6";"M6_1Print",#N/A,FALSE,"M6_1";"M6_2Print",#N/A,FALSE,"M6_2"}</definedName>
    <definedName name="wrn.M6._.Management._.Summary." localSheetId="14" hidden="1">{"M6Print",#N/A,FALSE,"M6";"M6_1Print",#N/A,FALSE,"M6_1";"M6_2Print",#N/A,FALSE,"M6_2"}</definedName>
    <definedName name="wrn.M6._.Management._.Summary." localSheetId="11" hidden="1">{"M6Print",#N/A,FALSE,"M6";"M6_1Print",#N/A,FALSE,"M6_1";"M6_2Print",#N/A,FALSE,"M6_2"}</definedName>
    <definedName name="wrn.M6._.Management._.Summary." localSheetId="10" hidden="1">{"M6Print",#N/A,FALSE,"M6";"M6_1Print",#N/A,FALSE,"M6_1";"M6_2Print",#N/A,FALSE,"M6_2"}</definedName>
    <definedName name="wrn.M6._.Management._.Summary." localSheetId="6" hidden="1">{"M6Print",#N/A,FALSE,"M6";"M6_1Print",#N/A,FALSE,"M6_1";"M6_2Print",#N/A,FALSE,"M6_2"}</definedName>
    <definedName name="wrn.M6._.Management._.Summary." hidden="1">{"M6Print",#N/A,FALSE,"M6";"M6_1Print",#N/A,FALSE,"M6_1";"M6_2Print",#N/A,FALSE,"M6_2"}</definedName>
    <definedName name="wrn.M7._.Financial._.Controllers._.report." localSheetId="2" hidden="1">{"M7_1Print",#N/A,TRUE,"M7_1";"M7_2Print",#N/A,TRUE,"M7_2"}</definedName>
    <definedName name="wrn.M7._.Financial._.Controllers._.report." localSheetId="3" hidden="1">{"M7_1Print",#N/A,TRUE,"M7_1";"M7_2Print",#N/A,TRUE,"M7_2"}</definedName>
    <definedName name="wrn.M7._.Financial._.Controllers._.report." localSheetId="4" hidden="1">{"M7_1Print",#N/A,TRUE,"M7_1";"M7_2Print",#N/A,TRUE,"M7_2"}</definedName>
    <definedName name="wrn.M7._.Financial._.Controllers._.report." localSheetId="12" hidden="1">{"M7_1Print",#N/A,TRUE,"M7_1";"M7_2Print",#N/A,TRUE,"M7_2"}</definedName>
    <definedName name="wrn.M7._.Financial._.Controllers._.report." localSheetId="14" hidden="1">{"M7_1Print",#N/A,TRUE,"M7_1";"M7_2Print",#N/A,TRUE,"M7_2"}</definedName>
    <definedName name="wrn.M7._.Financial._.Controllers._.report." localSheetId="11" hidden="1">{"M7_1Print",#N/A,TRUE,"M7_1";"M7_2Print",#N/A,TRUE,"M7_2"}</definedName>
    <definedName name="wrn.M7._.Financial._.Controllers._.report." localSheetId="10" hidden="1">{"M7_1Print",#N/A,TRUE,"M7_1";"M7_2Print",#N/A,TRUE,"M7_2"}</definedName>
    <definedName name="wrn.M7._.Financial._.Controllers._.report." localSheetId="6" hidden="1">{"M7_1Print",#N/A,TRUE,"M7_1";"M7_2Print",#N/A,TRUE,"M7_2"}</definedName>
    <definedName name="wrn.M7._.Financial._.Controllers._.report." hidden="1">{"M7_1Print",#N/A,TRUE,"M7_1";"M7_2Print",#N/A,TRUE,"M7_2"}</definedName>
    <definedName name="wrn.Maine." localSheetId="14" hidden="1">{"Assumptions",#N/A,TRUE,"Assumptions";"Income",#N/A,TRUE,"Income";"Balance",#N/A,TRUE,"Balance"}</definedName>
    <definedName name="wrn.Maine." hidden="1">{"Assumptions",#N/A,TRUE,"Assumptions";"Income",#N/A,TRUE,"Income";"Balance",#N/A,TRUE,"Balance"}</definedName>
    <definedName name="wrn.Maine2." localSheetId="1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4" hidden="1">{"Annual_Income",#N/A,FALSE,"Master Model";"Quarterly_Income",#N/A,FALSE,"Master Model"}</definedName>
    <definedName name="wrn.Master_Income." hidden="1">{"Annual_Income",#N/A,FALSE,"Master Model";"Quarterly_Income",#N/A,FALSE,"Master Model"}</definedName>
    <definedName name="wrn.merge." localSheetId="14" hidden="1">{#N/A,#N/A,FALSE,"IPO";#N/A,#N/A,FALSE,"DCF";#N/A,#N/A,FALSE,"LBO";#N/A,#N/A,FALSE,"MULT_VAL";#N/A,#N/A,FALSE,"Status Quo";#N/A,#N/A,FALSE,"Recap"}</definedName>
    <definedName name="wrn.merge." hidden="1">{#N/A,#N/A,FALSE,"IPO";#N/A,#N/A,FALSE,"DCF";#N/A,#N/A,FALSE,"LBO";#N/A,#N/A,FALSE,"MULT_VAL";#N/A,#N/A,FALSE,"Status Quo";#N/A,#N/A,FALSE,"Recap"}</definedName>
    <definedName name="wrn.MONTH._.END._.SPREADS." localSheetId="14" hidden="1">{#N/A,#N/A,FALSE,"Verify at a Glance";#N/A,#N/A,FALSE,"CARMS VS. STAR";#N/A,#N/A,FALSE,"Intel-US";#N/A,#N/A,FALSE,"Intel-PR";#N/A,#N/A,FALSE,"Intel-MISC-6";#N/A,#N/A,FALSE,"Intel-DPA-7";#N/A,#N/A,FALSE,"Intel-IRE";#N/A,#N/A,FALSE,"Intel-HK";#N/A,#N/A,FALSE,"DAILY INPUT";#N/A,#N/A,FALSE,"P5 HK Cash List"}</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localSheetId="14" hidden="1">{#N/A,#N/A,FALSE,"REV RPT";#N/A,#N/A,FALSE,"AFF COMP";#N/A,#N/A,FALSE,"REP COMM";#N/A,#N/A,FALSE,"REVBYADV";#N/A,#N/A,FALSE,"DAYPART";#N/A,#N/A,FALSE,"FLASH"}</definedName>
    <definedName name="wrn.MONTHLY._.REVENUE._.REPORT." hidden="1">{#N/A,#N/A,FALSE,"REV RPT";#N/A,#N/A,FALSE,"AFF COMP";#N/A,#N/A,FALSE,"REP COMM";#N/A,#N/A,FALSE,"REVBYADV";#N/A,#N/A,FALSE,"DAYPART";#N/A,#N/A,FALSE,"FLASH"}</definedName>
    <definedName name="wrn.monthly._.review." localSheetId="14" hidden="1">{#N/A,#N/A,FALSE,"SUMMARY";#N/A,#N/A,FALSE,"MTD";#N/A,#N/A,FALSE,"YTD";#N/A,#N/A,FALSE,"Forecast"}</definedName>
    <definedName name="wrn.monthly._.review." hidden="1">{#N/A,#N/A,FALSE,"SUMMARY";#N/A,#N/A,FALSE,"MTD";#N/A,#N/A,FALSE,"YTD";#N/A,#N/A,FALSE,"Forecast"}</definedName>
    <definedName name="wrn.monthly._.to._.issue." localSheetId="14" hidden="1">{#N/A,#N/A,FALSE,"SUMMARY";#N/A,#N/A,FALSE,"MTD";#N/A,#N/A,FALSE,"YTD";#N/A,#N/A,FALSE,"Forecast";#N/A,#N/A,FALSE,"Debt Structure";#N/A,#N/A,FALSE,"RATINGS"}</definedName>
    <definedName name="wrn.monthly._.to._.issue." hidden="1">{#N/A,#N/A,FALSE,"SUMMARY";#N/A,#N/A,FALSE,"MTD";#N/A,#N/A,FALSE,"YTD";#N/A,#N/A,FALSE,"Forecast";#N/A,#N/A,FALSE,"Debt Structure";#N/A,#N/A,FALSE,"RATINGS"}</definedName>
    <definedName name="wrn.newest." localSheetId="14" hidden="1">{#N/A,#N/A,TRUE,"TS";#N/A,#N/A,TRUE,"Combo";#N/A,#N/A,TRUE,"FAIR";#N/A,#N/A,TRUE,"RBC";#N/A,#N/A,TRUE,"xxxx"}</definedName>
    <definedName name="wrn.newest." hidden="1">{#N/A,#N/A,TRUE,"TS";#N/A,#N/A,TRUE,"Combo";#N/A,#N/A,TRUE,"FAIR";#N/A,#N/A,TRUE,"RBC";#N/A,#N/A,TRUE,"xxxx"}</definedName>
    <definedName name="wrn.Office." localSheetId="4" hidden="1">{#N/A,#N/A,FALSE,"OffAdvance";#N/A,#N/A,FALSE,"OffExpRprt";#N/A,#N/A,FALSE,"Travelling";#N/A,#N/A,FALSE,"Entertmnt";#N/A,#N/A,FALSE,"Promotion"}</definedName>
    <definedName name="wrn.Office." localSheetId="12" hidden="1">{#N/A,#N/A,FALSE,"OffAdvance";#N/A,#N/A,FALSE,"OffExpRprt";#N/A,#N/A,FALSE,"Travelling";#N/A,#N/A,FALSE,"Entertmnt";#N/A,#N/A,FALSE,"Promotion"}</definedName>
    <definedName name="wrn.Office." localSheetId="14" hidden="1">{#N/A,#N/A,FALSE,"OffAdvance";#N/A,#N/A,FALSE,"OffExpRprt";#N/A,#N/A,FALSE,"Travelling";#N/A,#N/A,FALSE,"Entertmnt";#N/A,#N/A,FALSE,"Promotion"}</definedName>
    <definedName name="wrn.Office." localSheetId="11"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4" hidden="1">{"PE_View",#N/A,TRUE,"P&amp;L - External";#N/A,#N/A,TRUE,"Backlog";#N/A,#N/A,TRUE,"Revenue";#N/A,#N/A,TRUE,"Std Margin";#N/A,#N/A,TRUE,"Waterfall - External"}</definedName>
    <definedName name="wrn.PE_External." hidden="1">{"PE_View",#N/A,TRUE,"P&amp;L - External";#N/A,#N/A,TRUE,"Backlog";#N/A,#N/A,TRUE,"Revenue";#N/A,#N/A,TRUE,"Std Margin";#N/A,#N/A,TRUE,"Waterfall - External"}</definedName>
    <definedName name="wrn.PE_Internal." localSheetId="14" hidden="1">{"PE_View",#N/A,TRUE,"P&amp;L";#N/A,#N/A,TRUE,"Backlog";#N/A,#N/A,TRUE,"Revenue";#N/A,#N/A,TRUE,"Std Margin";#N/A,#N/A,TRUE,"Waterfall"}</definedName>
    <definedName name="wrn.PE_Internal." hidden="1">{"PE_View",#N/A,TRUE,"P&amp;L";#N/A,#N/A,TRUE,"Backlog";#N/A,#N/A,TRUE,"Revenue";#N/A,#N/A,TRUE,"Std Margin";#N/A,#N/A,TRUE,"Waterfall"}</definedName>
    <definedName name="wrn.PE2_External." localSheetId="14" hidden="1">{"PE_View",#N/A,TRUE,"P&amp;L - External";#N/A,#N/A,TRUE,"Backlog";#N/A,#N/A,TRUE,"Revenue";#N/A,#N/A,TRUE,"Std Margin";#N/A,#N/A,TRUE,"Waterfall - External"}</definedName>
    <definedName name="wrn.PE2_External." hidden="1">{"PE_View",#N/A,TRUE,"P&amp;L - External";#N/A,#N/A,TRUE,"Backlog";#N/A,#N/A,TRUE,"Revenue";#N/A,#N/A,TRUE,"Std Margin";#N/A,#N/A,TRUE,"Waterfall - External"}</definedName>
    <definedName name="wrn.Print._.All._.Pages." localSheetId="14"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4" hidden="1">{"standalone1",#N/A,FALSE,"DCFBase";"standalone2",#N/A,FALSE,"DCFBase"}</definedName>
    <definedName name="wrn.print._.standalone." hidden="1">{"standalone1",#N/A,FALSE,"DCFBase";"standalone2",#N/A,FALSE,"DCFBase"}</definedName>
    <definedName name="wrn.Print_CSC." localSheetId="14" hidden="1">{"CSC_1",#N/A,FALSE,"CSC Outputs";"CSC_2",#N/A,FALSE,"CSC Outputs"}</definedName>
    <definedName name="wrn.Print_CSC." hidden="1">{"CSC_1",#N/A,FALSE,"CSC Outputs";"CSC_2",#N/A,FALSE,"CSC Outputs"}</definedName>
    <definedName name="wrn.print_csc.2" localSheetId="14" hidden="1">{"CSC_1",#N/A,FALSE,"CSC Outputs";"CSC_2",#N/A,FALSE,"CSC Outputs"}</definedName>
    <definedName name="wrn.print_csc.2" hidden="1">{"CSC_1",#N/A,FALSE,"CSC Outputs";"CSC_2",#N/A,FALSE,"CSC Outputs"}</definedName>
    <definedName name="wrn.Print_CSC2" localSheetId="14" hidden="1">{"CSC_1",#N/A,FALSE,"CSC Outputs";"CSC_2",#N/A,FALSE,"CSC Outputs"}</definedName>
    <definedName name="wrn.Print_CSC2" hidden="1">{"CSC_1",#N/A,FALSE,"CSC Outputs";"CSC_2",#N/A,FALSE,"CSC Outputs"}</definedName>
    <definedName name="wrn.printall." localSheetId="14" hidden="1">{"projections1",#N/A,FALSE,"projections";"dcf2",#N/A,FALSE,"dcf";"dcf no profit sharing",#N/A,FALSE,"dcf no profit sharing";"avp1",#N/A,FALSE,"avp"}</definedName>
    <definedName name="wrn.printall." hidden="1">{"projections1",#N/A,FALSE,"projections";"dcf2",#N/A,FALSE,"dcf";"dcf no profit sharing",#N/A,FALSE,"dcf no profit sharing";"avp1",#N/A,FALSE,"avp"}</definedName>
    <definedName name="wrn.Pump." localSheetId="14"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_.review." localSheetId="14" hidden="1">{#N/A,#N/A,FALSE,"SUMMARY";#N/A,#N/A,FALSE,"MTD";#N/A,#N/A,FALSE,"QTD";#N/A,#N/A,FALSE,"YTD"}</definedName>
    <definedName name="wrn.qtr._.review." hidden="1">{#N/A,#N/A,FALSE,"SUMMARY";#N/A,#N/A,FALSE,"MTD";#N/A,#N/A,FALSE,"QTD";#N/A,#N/A,FALSE,"YTD"}</definedName>
    <definedName name="wrn.qtr._.to._.issue." localSheetId="14" hidden="1">{#N/A,#N/A,FALSE,"SUMMARY";#N/A,#N/A,FALSE,"MTD";#N/A,#N/A,FALSE,"QTD";#N/A,#N/A,FALSE,"YTD";#N/A,#N/A,FALSE,"Combined";#N/A,#N/A,FALSE,"Forecast";#N/A,#N/A,FALSE,"Debt Structure";#N/A,#N/A,FALSE,"RATINGS";#N/A,#N/A,FALSE,"HEADCOUNT"}</definedName>
    <definedName name="wrn.qtr._.to._.issue." hidden="1">{#N/A,#N/A,FALSE,"SUMMARY";#N/A,#N/A,FALSE,"MTD";#N/A,#N/A,FALSE,"QTD";#N/A,#N/A,FALSE,"YTD";#N/A,#N/A,FALSE,"Combined";#N/A,#N/A,FALSE,"Forecast";#N/A,#N/A,FALSE,"Debt Structure";#N/A,#N/A,FALSE,"RATINGS";#N/A,#N/A,FALSE,"HEADCOUNT"}</definedName>
    <definedName name="wrn.Radio." localSheetId="14" hidden="1">{#N/A,#N/A,FALSE,"Virgin Flightdeck"}</definedName>
    <definedName name="wrn.Radio." hidden="1">{#N/A,#N/A,FALSE,"Virgin Flightdeck"}</definedName>
    <definedName name="wrn.RELEVANTSHEETS." localSheetId="14" hidden="1">{#N/A,#N/A,FALSE,"AD_Purch";#N/A,#N/A,FALSE,"Projections";#N/A,#N/A,FALSE,"DCF";#N/A,#N/A,FALSE,"Mkt Val"}</definedName>
    <definedName name="wrn.RELEVANTSHEETS." hidden="1">{#N/A,#N/A,FALSE,"AD_Purch";#N/A,#N/A,FALSE,"Projections";#N/A,#N/A,FALSE,"DCF";#N/A,#N/A,FALSE,"Mkt Val"}</definedName>
    <definedName name="wrn.rep_page." localSheetId="14"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 localSheetId="14" hidden="1">{#N/A,#N/A,FALSE,"Temp Staf_Summary";#N/A,#N/A,FALSE,"ATC Services";#N/A,#N/A,FALSE,"Brannon &amp; Tully";#N/A,#N/A,FALSE,"Debbie";#N/A,#N/A,FALSE,"Alternative";#N/A,#N/A,FALSE,"Mid-States";#N/A,#N/A,FALSE,"United Temp."}</definedName>
    <definedName name="wrn.report." hidden="1">{#N/A,#N/A,FALSE,"Temp Staf_Summary";#N/A,#N/A,FALSE,"ATC Services";#N/A,#N/A,FALSE,"Brannon &amp; Tully";#N/A,#N/A,FALSE,"Debbie";#N/A,#N/A,FALSE,"Alternative";#N/A,#N/A,FALSE,"Mid-States";#N/A,#N/A,FALSE,"United Temp."}</definedName>
    <definedName name="wrn.Report_Page." localSheetId="14"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Sales." localSheetId="4" hidden="1">{#N/A,#N/A,FALSE,"Marketing";#N/A,#N/A,FALSE,"Selling";#N/A,#N/A,FALSE,"Promotional";#N/A,#N/A,FALSE,"Advertising"}</definedName>
    <definedName name="wrn.Sales." localSheetId="12" hidden="1">{#N/A,#N/A,FALSE,"Marketing";#N/A,#N/A,FALSE,"Selling";#N/A,#N/A,FALSE,"Promotional";#N/A,#N/A,FALSE,"Advertising"}</definedName>
    <definedName name="wrn.Sales." localSheetId="14" hidden="1">{#N/A,#N/A,FALSE,"Marketing";#N/A,#N/A,FALSE,"Selling";#N/A,#N/A,FALSE,"Promotional";#N/A,#N/A,FALSE,"Advertising"}</definedName>
    <definedName name="wrn.Sales." localSheetId="11" hidden="1">{#N/A,#N/A,FALSE,"Marketing";#N/A,#N/A,FALSE,"Selling";#N/A,#N/A,FALSE,"Promotional";#N/A,#N/A,FALSE,"Advertising"}</definedName>
    <definedName name="wrn.Sales." hidden="1">{#N/A,#N/A,FALSE,"Marketing";#N/A,#N/A,FALSE,"Selling";#N/A,#N/A,FALSE,"Promotional";#N/A,#N/A,FALSE,"Advertising"}</definedName>
    <definedName name="wrn.Schedule._.A." localSheetId="14" hidden="1">{#N/A,#N/A,FALSE,"ALLOFFSUM-A1"}</definedName>
    <definedName name="wrn.Schedule._.A." hidden="1">{#N/A,#N/A,FALSE,"ALLOFFSUM-A1"}</definedName>
    <definedName name="wrn.SKSCS1." localSheetId="14"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mithtj." localSheetId="14" hidden="1">{#N/A,#N/A,FALSE,"LIN CALVIN";#N/A,#N/A,FALSE,"KOO JOYCE";#N/A,#N/A,FALSE,"MAK PAUL";#N/A,#N/A,FALSE,"LAM BING";#N/A,#N/A,FALSE,"WU JOHN";#N/A,#N/A,FALSE,"DR SEET LIP CHAI";#N/A,#N/A,FALSE,"ZUDNECK ZENON";#N/A,#N/A,FALSE,"MENG JANE";#N/A,#N/A,FALSE,"T C CHENG";#N/A,#N/A,FALSE,"MARCHALL MA"}</definedName>
    <definedName name="wrn.smithtj." hidden="1">{#N/A,#N/A,FALSE,"LIN CALVIN";#N/A,#N/A,FALSE,"KOO JOYCE";#N/A,#N/A,FALSE,"MAK PAUL";#N/A,#N/A,FALSE,"LAM BING";#N/A,#N/A,FALSE,"WU JOHN";#N/A,#N/A,FALSE,"DR SEET LIP CHAI";#N/A,#N/A,FALSE,"ZUDNECK ZENON";#N/A,#N/A,FALSE,"MENG JANE";#N/A,#N/A,FALSE,"T C CHENG";#N/A,#N/A,FALSE,"MARCHALL MA"}</definedName>
    <definedName name="wrn.Standard." localSheetId="14" hidden="1">{"Financials",#N/A,FALSE,"Financials";"AVP",#N/A,FALSE,"AVP";"DCF",#N/A,FALSE,"DCF";"CSC",#N/A,FALSE,"CSC";"Deal_Comp",#N/A,FALSE,"DealComp"}</definedName>
    <definedName name="wrn.Standard." hidden="1">{"Financials",#N/A,FALSE,"Financials";"AVP",#N/A,FALSE,"AVP";"DCF",#N/A,FALSE,"DCF";"CSC",#N/A,FALSE,"CSC";"Deal_Comp",#N/A,FALSE,"DealComp"}</definedName>
    <definedName name="wrn.Summary._.Report._.by._.Month." localSheetId="14" hidden="1">{#N/A,#N/A,TRUE,"Cover Page";#N/A,#N/A,TRUE,"Summary Stats Month";#N/A,#N/A,TRUE,"Balance Sheet Month";#N/A,#N/A,TRUE,"Cash Flow Month";#N/A,#N/A,TRUE,"Income Statement Month";#N/A,#N/A,TRUE,"CAPEX Month";#N/A,#N/A,TRUE,"Headcount Summary Month";#N/A,#N/A,TRUE,"Assumptions"}</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localSheetId="14" hidden="1">{#N/A,#N/A,TRUE,"Cover Page";#N/A,#N/A,TRUE,"Summary Stats Annual";#N/A,#N/A,TRUE,"Balance Sheet Annual";#N/A,#N/A,TRUE,"Cash Flow Annual";#N/A,#N/A,TRUE,"Income Statement Annual";#N/A,#N/A,TRUE,"CAPEX Annual";#N/A,#N/A,TRUE,"Assumptions"}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localSheetId="14"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micro." localSheetId="12" hidden="1">{#N/A,#N/A,FALSE,"FREEMAN";#N/A,#N/A,FALSE,"STEPHEN";#N/A,#N/A,FALSE,"VICTOR"}</definedName>
    <definedName name="wrn.sunmicro." localSheetId="14" hidden="1">{#N/A,#N/A,FALSE,"FREEMAN";#N/A,#N/A,FALSE,"STEPHEN";#N/A,#N/A,FALSE,"VICTOR"}</definedName>
    <definedName name="wrn.sunmicro." hidden="1">{#N/A,#N/A,FALSE,"FREEMAN";#N/A,#N/A,FALSE,"STEPHEN";#N/A,#N/A,FALSE,"VICTOR"}</definedName>
    <definedName name="wrn.tel2." localSheetId="14"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14"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st." localSheetId="14" hidden="1">{"test2",#N/A,TRUE,"Prices"}</definedName>
    <definedName name="wrn.test." hidden="1">{"test2",#N/A,TRUE,"Prices"}</definedName>
    <definedName name="wrn.TODO." localSheetId="14"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2" hidden="1">{"toptrial",#N/A,TRUE,"toptrial";"adjustment",#N/A,TRUE,"toptrial";"voucher",#N/A,TRUE,"toptrial"}</definedName>
    <definedName name="wrn.tope" localSheetId="14" hidden="1">{"toptrial",#N/A,TRUE,"toptrial";"adjustment",#N/A,TRUE,"toptrial";"voucher",#N/A,TRUE,"toptrial"}</definedName>
    <definedName name="wrn.tope" hidden="1">{"toptrial",#N/A,TRUE,"toptrial";"adjustment",#N/A,TRUE,"toptrial";"voucher",#N/A,TRUE,"toptrial"}</definedName>
    <definedName name="wrn.toptrial." localSheetId="12" hidden="1">{"toptrial",#N/A,TRUE,"toptrial";"adjustment",#N/A,TRUE,"toptrial";"voucher",#N/A,TRUE,"toptrial"}</definedName>
    <definedName name="wrn.toptrial." localSheetId="14" hidden="1">{"toptrial",#N/A,TRUE,"toptrial";"adjustment",#N/A,TRUE,"toptrial";"voucher",#N/A,TRUE,"toptrial"}</definedName>
    <definedName name="wrn.toptrial." hidden="1">{"toptrial",#N/A,TRUE,"toptrial";"adjustment",#N/A,TRUE,"toptrial";"voucher",#N/A,TRUE,"toptrial"}</definedName>
    <definedName name="wrn.Total." localSheetId="14"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4" hidden="1">{#N/A,#N/A,TRUE,"TransPrcd 1";#N/A,#N/A,TRUE,"TransPrcd 2";#N/A,#N/A,TRUE,"TransPrcd 3"}</definedName>
    <definedName name="wrn.TransPrcd_123." hidden="1">{#N/A,#N/A,TRUE,"TransPrcd 1";#N/A,#N/A,TRUE,"TransPrcd 2";#N/A,#N/A,TRUE,"TransPrcd 3"}</definedName>
    <definedName name="wrn.Tweety." localSheetId="14" hidden="1">{#N/A,#N/A,FALSE,"A&amp;E";#N/A,#N/A,FALSE,"HighTop";#N/A,#N/A,FALSE,"JG";#N/A,#N/A,FALSE,"RI";#N/A,#N/A,FALSE,"woHT";#N/A,#N/A,FALSE,"woHT&amp;JG"}</definedName>
    <definedName name="wrn.Tweety." hidden="1">{#N/A,#N/A,FALSE,"A&amp;E";#N/A,#N/A,FALSE,"HighTop";#N/A,#N/A,FALSE,"JG";#N/A,#N/A,FALSE,"RI";#N/A,#N/A,FALSE,"woHT";#N/A,#N/A,FALSE,"woHT&amp;JG"}</definedName>
    <definedName name="wrn.Upper._.Case." localSheetId="14"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4" hidden="1">{#N/A,#N/A,FALSE,"Pooling";#N/A,#N/A,FALSE,"income";#N/A,#N/A,FALSE,"valuation"}</definedName>
    <definedName name="wrn.VALUATION." hidden="1">{#N/A,#N/A,FALSE,"Pooling";#N/A,#N/A,FALSE,"income";#N/A,#N/A,FALSE,"valuation"}</definedName>
    <definedName name="wrn.Valuation._.Package._.1." localSheetId="14"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4" hidden="1">{#N/A,#N/A,FALSE,"970301";#N/A,#N/A,FALSE,"970302";#N/A,#N/A,FALSE,"970303";#N/A,#N/A,FALSE,"970304";#N/A,#N/A,FALSE,"COM1";#N/A,#N/A,FALSE,"COM2"}</definedName>
    <definedName name="wrn.voucher9703." localSheetId="12" hidden="1">{#N/A,#N/A,FALSE,"970301";#N/A,#N/A,FALSE,"970302";#N/A,#N/A,FALSE,"970303";#N/A,#N/A,FALSE,"970304";#N/A,#N/A,FALSE,"COM1";#N/A,#N/A,FALSE,"COM2"}</definedName>
    <definedName name="wrn.voucher9703." localSheetId="14" hidden="1">{#N/A,#N/A,FALSE,"970301";#N/A,#N/A,FALSE,"970302";#N/A,#N/A,FALSE,"970303";#N/A,#N/A,FALSE,"970304";#N/A,#N/A,FALSE,"COM1";#N/A,#N/A,FALSE,"COM2"}</definedName>
    <definedName name="wrn.voucher9703." localSheetId="11" hidden="1">{#N/A,#N/A,FALSE,"970301";#N/A,#N/A,FALSE,"970302";#N/A,#N/A,FALSE,"970303";#N/A,#N/A,FALSE,"970304";#N/A,#N/A,FALSE,"COM1";#N/A,#N/A,FALSE,"COM2"}</definedName>
    <definedName name="wrn.voucher9703." hidden="1">{#N/A,#N/A,FALSE,"970301";#N/A,#N/A,FALSE,"970302";#N/A,#N/A,FALSE,"970303";#N/A,#N/A,FALSE,"970304";#N/A,#N/A,FALSE,"COM1";#N/A,#N/A,FALSE,"COM2"}</definedName>
    <definedName name="wrn.whole._.document." localSheetId="14"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4" hidden="1">{#N/A,#N/A,FALSE,"FACTSHEETS";#N/A,#N/A,FALSE,"pump";#N/A,#N/A,FALSE,"filter"}</definedName>
    <definedName name="wrn.wicor." hidden="1">{#N/A,#N/A,FALSE,"FACTSHEETS";#N/A,#N/A,FALSE,"pump";#N/A,#N/A,FALSE,"filter"}</definedName>
    <definedName name="wrn.ytd." localSheetId="4" hidden="1">{#N/A,#N/A,FALSE,"YTD"}</definedName>
    <definedName name="wrn.ytd." localSheetId="12" hidden="1">{#N/A,#N/A,FALSE,"YTD"}</definedName>
    <definedName name="wrn.ytd." localSheetId="14" hidden="1">{#N/A,#N/A,FALSE,"YTD"}</definedName>
    <definedName name="wrn.ytd." localSheetId="11" hidden="1">{#N/A,#N/A,FALSE,"YTD"}</definedName>
    <definedName name="wrn.ytd." localSheetId="10" hidden="1">{#N/A,#N/A,FALSE,"YTD"}</definedName>
    <definedName name="wrn.ytd." localSheetId="6" hidden="1">{#N/A,#N/A,FALSE,"YTD"}</definedName>
    <definedName name="wrn.ytd." hidden="1">{#N/A,#N/A,FALSE,"YTD"}</definedName>
    <definedName name="wrn.合并报表." localSheetId="11" hidden="1">{"合并损益表",#N/A,FALSE,"报表";"合并资产负债表",#N/A,FALSE,"报表"}</definedName>
    <definedName name="wrn.合并报表." hidden="1">{"合并损益表",#N/A,FALSE,"报表";"合并资产负债表",#N/A,FALSE,"报表"}</definedName>
    <definedName name="wrn.채권채무조회서." localSheetId="14" hidden="1">{#N/A,#N/A,FALSE,"채권채무";#N/A,#N/A,FALSE,"control sheet"}</definedName>
    <definedName name="wrn.채권채무조회서." hidden="1">{#N/A,#N/A,FALSE,"채권채무";#N/A,#N/A,FALSE,"control sheet"}</definedName>
    <definedName name="wrn100.gb" localSheetId="12" hidden="1">{#N/A,#N/A,FALSE,"资产负债表";#N/A,#N/A,FALSE,"资产负债表"}</definedName>
    <definedName name="wrn100.gb" localSheetId="14" hidden="1">{#N/A,#N/A,FALSE,"资产负债表";#N/A,#N/A,FALSE,"资产负债表"}</definedName>
    <definedName name="wrn100.gb" hidden="1">{#N/A,#N/A,FALSE,"资产负债表";#N/A,#N/A,FALSE,"资产负债表"}</definedName>
    <definedName name="wrnn" localSheetId="14" hidden="1">{#N/A,#N/A,FALSE,"PERSONAL";#N/A,#N/A,FALSE,"explotación";#N/A,#N/A,FALSE,"generales"}</definedName>
    <definedName name="wrnn" hidden="1">{#N/A,#N/A,FALSE,"PERSONAL";#N/A,#N/A,FALSE,"explotación";#N/A,#N/A,FALSE,"generales"}</definedName>
    <definedName name="wrnn.all." localSheetId="2" hidden="1">{#N/A,#N/A,FALSE,"SUM";#N/A,#N/A,FALSE,"SK_TOT";#N/A,#N/A,FALSE,"YM";#N/A,#N/A,FALSE,"TSMC";#N/A,#N/A,FALSE,"ICW";#N/A,#N/A,FALSE,"Sheet1"}</definedName>
    <definedName name="wrnn.all." localSheetId="3" hidden="1">{#N/A,#N/A,FALSE,"SUM";#N/A,#N/A,FALSE,"SK_TOT";#N/A,#N/A,FALSE,"YM";#N/A,#N/A,FALSE,"TSMC";#N/A,#N/A,FALSE,"ICW";#N/A,#N/A,FALSE,"Sheet1"}</definedName>
    <definedName name="wrnn.all." localSheetId="4" hidden="1">{#N/A,#N/A,FALSE,"SUM";#N/A,#N/A,FALSE,"SK_TOT";#N/A,#N/A,FALSE,"YM";#N/A,#N/A,FALSE,"TSMC";#N/A,#N/A,FALSE,"ICW";#N/A,#N/A,FALSE,"Sheet1"}</definedName>
    <definedName name="wrnn.all." localSheetId="12" hidden="1">{#N/A,#N/A,FALSE,"SUM";#N/A,#N/A,FALSE,"SK_TOT";#N/A,#N/A,FALSE,"YM";#N/A,#N/A,FALSE,"TSMC";#N/A,#N/A,FALSE,"ICW";#N/A,#N/A,FALSE,"Sheet1"}</definedName>
    <definedName name="wrnn.all." localSheetId="14" hidden="1">{#N/A,#N/A,FALSE,"SUM";#N/A,#N/A,FALSE,"SK_TOT";#N/A,#N/A,FALSE,"YM";#N/A,#N/A,FALSE,"TSMC";#N/A,#N/A,FALSE,"ICW";#N/A,#N/A,FALSE,"Sheet1"}</definedName>
    <definedName name="wrnn.all." localSheetId="11" hidden="1">{#N/A,#N/A,FALSE,"SUM";#N/A,#N/A,FALSE,"SK_TOT";#N/A,#N/A,FALSE,"YM";#N/A,#N/A,FALSE,"TSMC";#N/A,#N/A,FALSE,"ICW";#N/A,#N/A,FALSE,"Sheet1"}</definedName>
    <definedName name="wrnn.all." localSheetId="10" hidden="1">{#N/A,#N/A,FALSE,"SUM";#N/A,#N/A,FALSE,"SK_TOT";#N/A,#N/A,FALSE,"YM";#N/A,#N/A,FALSE,"TSMC";#N/A,#N/A,FALSE,"ICW";#N/A,#N/A,FALSE,"Sheet1"}</definedName>
    <definedName name="wrnn.all." localSheetId="6" hidden="1">{#N/A,#N/A,FALSE,"SUM";#N/A,#N/A,FALSE,"SK_TOT";#N/A,#N/A,FALSE,"YM";#N/A,#N/A,FALSE,"TSMC";#N/A,#N/A,FALSE,"ICW";#N/A,#N/A,FALSE,"Sheet1"}</definedName>
    <definedName name="wrnn.all." hidden="1">{#N/A,#N/A,FALSE,"SUM";#N/A,#N/A,FALSE,"SK_TOT";#N/A,#N/A,FALSE,"YM";#N/A,#N/A,FALSE,"TSMC";#N/A,#N/A,FALSE,"ICW";#N/A,#N/A,FALSE,"Sheet1"}</definedName>
    <definedName name="wro.fy00_Q1Q2." localSheetId="14" hidden="1">{#N/A,#N/A,FALSE,"Sheet1"}</definedName>
    <definedName name="wro.fy00_Q1Q2." hidden="1">{#N/A,#N/A,FALSE,"Sheet1"}</definedName>
    <definedName name="wtr" localSheetId="12" hidden="1">{#N/A,#N/A,FALSE,"资产负债表";#N/A,#N/A,FALSE,"资产负债表"}</definedName>
    <definedName name="wtr" localSheetId="14" hidden="1">{#N/A,#N/A,FALSE,"资产负债表";#N/A,#N/A,FALSE,"资产负债表"}</definedName>
    <definedName name="wtr" hidden="1">{#N/A,#N/A,FALSE,"资产负债表";#N/A,#N/A,FALSE,"资产负债表"}</definedName>
    <definedName name="wvu.Curr_View." localSheetId="14"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4"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ww">#REF!</definedName>
    <definedName name="x">#REF!</definedName>
    <definedName name="XD_jb查">#REF!</definedName>
    <definedName name="XDjb2_3月数查询">#REF!</definedName>
    <definedName name="xdsdgfdh" hidden="1">#REF!</definedName>
    <definedName name="XREF_COLUMN_1" localSheetId="4" hidden="1">'[4]FA Roll to GL (p.2)'!#REF!</definedName>
    <definedName name="XREF_COLUMN_1" localSheetId="11" hidden="1">'[4]FA Roll to GL (p.2)'!#REF!</definedName>
    <definedName name="XREF_COLUMN_1" hidden="1">#REF!</definedName>
    <definedName name="XREF_COLUMN_10" localSheetId="2" hidden="1">'K.00 Lead Sheet'!#REF!</definedName>
    <definedName name="XREF_COLUMN_10" localSheetId="3" hidden="1">#REF!</definedName>
    <definedName name="XREF_COLUMN_10" localSheetId="4" hidden="1">#REF!</definedName>
    <definedName name="XREF_COLUMN_10" localSheetId="11" hidden="1">#REF!</definedName>
    <definedName name="XREF_COLUMN_10" hidden="1">#REF!</definedName>
    <definedName name="XREF_COLUMN_11" localSheetId="2" hidden="1">'K.00 Lead Sheet'!#REF!</definedName>
    <definedName name="XREF_COLUMN_11" localSheetId="3" hidden="1">#REF!</definedName>
    <definedName name="XREF_COLUMN_11" localSheetId="4" hidden="1">'[4]FA Roll to GL (p.2)'!#REF!</definedName>
    <definedName name="XREF_COLUMN_11" localSheetId="11" hidden="1">'[4]FA Roll to GL (p.2)'!#REF!</definedName>
    <definedName name="XREF_COLUMN_11" hidden="1">#REF!</definedName>
    <definedName name="XREF_COLUMN_12" localSheetId="4" hidden="1">'[4]Lead (p.1)'!#REF!</definedName>
    <definedName name="XREF_COLUMN_12" localSheetId="11" hidden="1">'[4]Lead (p.1)'!#REF!</definedName>
    <definedName name="XREF_COLUMN_12" hidden="1">#REF!</definedName>
    <definedName name="XREF_COLUMN_19" localSheetId="2" hidden="1">'K.00 Lead Sheet'!#REF!</definedName>
    <definedName name="XREF_COLUMN_19" localSheetId="3" hidden="1">#REF!</definedName>
    <definedName name="XREF_COLUMN_19" localSheetId="4" hidden="1">#REF!</definedName>
    <definedName name="XREF_COLUMN_19" localSheetId="11" hidden="1">#REF!</definedName>
    <definedName name="XREF_COLUMN_19" hidden="1">#REF!</definedName>
    <definedName name="XREF_COLUMN_2" localSheetId="2" hidden="1">'K.00 Lead Sheet'!#REF!</definedName>
    <definedName name="XREF_COLUMN_2" localSheetId="3" hidden="1">#REF!</definedName>
    <definedName name="XREF_COLUMN_2" localSheetId="4" hidden="1">'[4]FA Roll to GL (p.2)'!#REF!</definedName>
    <definedName name="XREF_COLUMN_2" localSheetId="11" hidden="1">'[4]FA Roll to GL (p.2)'!#REF!</definedName>
    <definedName name="XREF_COLUMN_2" hidden="1">#REF!</definedName>
    <definedName name="XREF_COLUMN_20" localSheetId="2" hidden="1">'K.00 Lead Sheet'!#REF!</definedName>
    <definedName name="XREF_COLUMN_20" localSheetId="3" hidden="1">#REF!</definedName>
    <definedName name="XREF_COLUMN_20" localSheetId="4" hidden="1">#REF!</definedName>
    <definedName name="XREF_COLUMN_20" localSheetId="11" hidden="1">#REF!</definedName>
    <definedName name="XREF_COLUMN_20" hidden="1">#REF!</definedName>
    <definedName name="XREF_COLUMN_21" hidden="1">#REF!</definedName>
    <definedName name="XREF_COLUMN_3" localSheetId="2" hidden="1">'K.00 Lead Sheet'!#REF!</definedName>
    <definedName name="XREF_COLUMN_3" localSheetId="3" hidden="1">#REF!</definedName>
    <definedName name="XREF_COLUMN_3" localSheetId="4" hidden="1">'[4]FA Roll to GL (p.2)'!#REF!</definedName>
    <definedName name="XREF_COLUMN_3" localSheetId="11" hidden="1">'[4]FA Roll to GL (p.2)'!#REF!</definedName>
    <definedName name="XREF_COLUMN_3" hidden="1">#REF!</definedName>
    <definedName name="XREF_COLUMN_4" localSheetId="2" hidden="1">'K.00 Lead Sheet'!#REF!</definedName>
    <definedName name="XREF_COLUMN_4" localSheetId="3" hidden="1">#REF!</definedName>
    <definedName name="XREF_COLUMN_4" localSheetId="4" hidden="1">#REF!</definedName>
    <definedName name="XREF_COLUMN_4" localSheetId="11" hidden="1">#REF!</definedName>
    <definedName name="XREF_COLUMN_4" hidden="1">#REF!</definedName>
    <definedName name="XREF_COLUMN_5" localSheetId="2" hidden="1">'K.00 Lead Sheet'!#REF!</definedName>
    <definedName name="XREF_COLUMN_5" localSheetId="3" hidden="1">#REF!</definedName>
    <definedName name="XREF_COLUMN_5" localSheetId="4" hidden="1">'[4]Lead (p.1)'!#REF!</definedName>
    <definedName name="XREF_COLUMN_5" localSheetId="11" hidden="1">'[4]Lead (p.1)'!#REF!</definedName>
    <definedName name="XREF_COLUMN_5" hidden="1">#REF!</definedName>
    <definedName name="XREF_COLUMN_6" localSheetId="2" hidden="1">'K.00 Lead Sheet'!#REF!</definedName>
    <definedName name="XREF_COLUMN_6" localSheetId="3" hidden="1">#REF!</definedName>
    <definedName name="XREF_COLUMN_6" localSheetId="4" hidden="1">'[4]FA Roll to GL (p.2)'!#REF!</definedName>
    <definedName name="XREF_COLUMN_6" localSheetId="11" hidden="1">'[4]FA Roll to GL (p.2)'!#REF!</definedName>
    <definedName name="XREF_COLUMN_6" hidden="1">#REF!</definedName>
    <definedName name="XREF_COLUMN_7" localSheetId="4" hidden="1">'[4]Lead (p.1)'!#REF!</definedName>
    <definedName name="XREF_COLUMN_7" localSheetId="11" hidden="1">'[4]Lead (p.1)'!#REF!</definedName>
    <definedName name="XREF_COLUMN_7" hidden="1">#REF!</definedName>
    <definedName name="XRefActiveRow" localSheetId="2" hidden="1">'K.00 Lead Sheet'!#REF!</definedName>
    <definedName name="XRefActiveRow" localSheetId="3" hidden="1">#REF!</definedName>
    <definedName name="XRefActiveRow" localSheetId="4" hidden="1">#REF!</definedName>
    <definedName name="XRefActiveRow" localSheetId="11" hidden="1">#REF!</definedName>
    <definedName name="XRefActiveRow" hidden="1">#REF!</definedName>
    <definedName name="XRefColumnsCount" hidden="1">2</definedName>
    <definedName name="XRefCopy1" localSheetId="2" hidden="1">'K.00 Lead Sheet'!#REF!</definedName>
    <definedName name="XRefCopy1" localSheetId="3" hidden="1">#REF!</definedName>
    <definedName name="XRefCopy1" localSheetId="4" hidden="1">#REF!</definedName>
    <definedName name="XRefCopy1" hidden="1">#REF!</definedName>
    <definedName name="XRefCopy10" hidden="1">#REF!</definedName>
    <definedName name="XRefCopy10Row" hidden="1">#REF!</definedName>
    <definedName name="XRefCopy11" localSheetId="2" hidden="1">'K.00 Lead Sheet'!#REF!</definedName>
    <definedName name="XRefCopy11" localSheetId="3" hidden="1">#REF!</definedName>
    <definedName name="XRefCopy11" localSheetId="4" hidden="1">'[4]FA Roll to GL (p.2)'!#REF!</definedName>
    <definedName name="XRefCopy11" localSheetId="11" hidden="1">'[4]FA Roll to GL (p.2)'!#REF!</definedName>
    <definedName name="XRefCopy11" hidden="1">#REF!</definedName>
    <definedName name="XRefCopy11Row" localSheetId="2" hidden="1">'K.00 Lead Sheet'!#REF!</definedName>
    <definedName name="XRefCopy11Row" localSheetId="3" hidden="1">#REF!</definedName>
    <definedName name="XRefCopy11Row" localSheetId="4" hidden="1">#REF!</definedName>
    <definedName name="XRefCopy11Row" localSheetId="11" hidden="1">#REF!</definedName>
    <definedName name="XRefCopy11Row" hidden="1">#REF!</definedName>
    <definedName name="XRefCopy12" hidden="1">#REF!</definedName>
    <definedName name="XRefCopy13" hidden="1">#REF!</definedName>
    <definedName name="XRefCopy13Row" localSheetId="2" hidden="1">'K.00 Lead Sheet'!#REF!</definedName>
    <definedName name="XRefCopy13Row" localSheetId="3" hidden="1">#REF!</definedName>
    <definedName name="XRefCopy13Row" localSheetId="4" hidden="1">[4]XREF!#REF!</definedName>
    <definedName name="XRefCopy13Row" localSheetId="11" hidden="1">[4]XREF!#REF!</definedName>
    <definedName name="XRefCopy13Row" hidden="1">#REF!</definedName>
    <definedName name="XRefCopy14" localSheetId="2" hidden="1">'K.00 Lead Sheet'!#REF!</definedName>
    <definedName name="XRefCopy14" localSheetId="3" hidden="1">#REF!</definedName>
    <definedName name="XRefCopy14" localSheetId="4" hidden="1">#REF!</definedName>
    <definedName name="XRefCopy14" localSheetId="11" hidden="1">#REF!</definedName>
    <definedName name="XRefCopy14" hidden="1">#REF!</definedName>
    <definedName name="XRefCopy15" hidden="1">#REF!</definedName>
    <definedName name="XRefCopy16" hidden="1">#REF!</definedName>
    <definedName name="XRefCopy16Row" localSheetId="2" hidden="1">'K.00 Lead Sheet'!#REF!</definedName>
    <definedName name="XRefCopy16Row" localSheetId="3" hidden="1">#REF!</definedName>
    <definedName name="XRefCopy16Row" localSheetId="4" hidden="1">[4]XREF!#REF!</definedName>
    <definedName name="XRefCopy16Row" localSheetId="11" hidden="1">[4]XREF!#REF!</definedName>
    <definedName name="XRefCopy16Row" hidden="1">#REF!</definedName>
    <definedName name="XRefCopy17" hidden="1">#REF!</definedName>
    <definedName name="XRefCopy1Row" localSheetId="2" hidden="1">'K.00 Lead Sheet'!#REF!</definedName>
    <definedName name="XRefCopy1Row" localSheetId="3" hidden="1">#REF!</definedName>
    <definedName name="XRefCopy1Row" localSheetId="4" hidden="1">#REF!</definedName>
    <definedName name="XRefCopy1Row" localSheetId="1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localSheetId="11" hidden="1">#REF!</definedName>
    <definedName name="XRefPaste1" hidden="1">#REF!</definedName>
    <definedName name="XRefPaste10" localSheetId="11" hidden="1">#REF!</definedName>
    <definedName name="XRefPaste10" hidden="1">#REF!</definedName>
    <definedName name="XRefPaste11" localSheetId="11" hidden="1">#REF!</definedName>
    <definedName name="XRefPaste11" hidden="1">#REF!</definedName>
    <definedName name="XRefPaste15" hidden="1">#REF!</definedName>
    <definedName name="XRefPaste1Row" hidden="1">#REF!</definedName>
    <definedName name="XRefPaste2" localSheetId="2" hidden="1">'K.00 Lead Sheet'!#REF!</definedName>
    <definedName name="XRefPaste2" localSheetId="3" hidden="1">#REF!</definedName>
    <definedName name="XRefPaste2" localSheetId="4" hidden="1">'[4]FA Roll to GL (p.2)'!#REF!</definedName>
    <definedName name="XRefPaste2" localSheetId="11" hidden="1">'[4]FA Roll to GL (p.2)'!#REF!</definedName>
    <definedName name="XRefPaste2" hidden="1">#REF!</definedName>
    <definedName name="XRefPaste24" localSheetId="2" hidden="1">'K.00 Lead Sheet'!#REF!</definedName>
    <definedName name="XRefPaste24" localSheetId="3" hidden="1">#REF!</definedName>
    <definedName name="XRefPaste24" localSheetId="4" hidden="1">#REF!</definedName>
    <definedName name="XRefPaste24" localSheetId="11"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2" hidden="1">'K.00 Lead Sheet'!#REF!</definedName>
    <definedName name="XRefPaste2Row" localSheetId="3" hidden="1">#REF!</definedName>
    <definedName name="XRefPaste2Row" localSheetId="4" hidden="1">[4]XREF!#REF!</definedName>
    <definedName name="XRefPaste2Row" localSheetId="11" hidden="1">[4]XREF!#REF!</definedName>
    <definedName name="XRefPaste2Row" hidden="1">#REF!</definedName>
    <definedName name="XRefPaste3" localSheetId="2" hidden="1">'K.00 Lead Sheet'!#REF!</definedName>
    <definedName name="XRefPaste3" localSheetId="3" hidden="1">#REF!</definedName>
    <definedName name="XRefPaste3" localSheetId="4" hidden="1">#REF!</definedName>
    <definedName name="XRefPaste3" localSheetId="11"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2" hidden="1">'K.00 Lead Sheet'!#REF!</definedName>
    <definedName name="XRefPaste6Row" localSheetId="3" hidden="1">#REF!</definedName>
    <definedName name="XRefPaste6Row" localSheetId="4" hidden="1">[4]XREF!#REF!</definedName>
    <definedName name="XRefPaste6Row" localSheetId="11" hidden="1">[4]XREF!#REF!</definedName>
    <definedName name="XRefPaste6Row" hidden="1">#REF!</definedName>
    <definedName name="XRefPaste7" localSheetId="2" hidden="1">'K.00 Lead Sheet'!#REF!</definedName>
    <definedName name="XRefPaste7" localSheetId="3" hidden="1">#REF!</definedName>
    <definedName name="XRefPaste7" localSheetId="4" hidden="1">#REF!</definedName>
    <definedName name="XRefPaste7" localSheetId="11"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localSheetId="14" hidden="1">{#N/A,#N/A,FALSE,"Virgin Flightdeck"}</definedName>
    <definedName name="xxx" hidden="1">{#N/A,#N/A,FALSE,"Virgin Flightdeck"}</definedName>
    <definedName name="XXXXXXXXXXXX" hidden="1">#REF!</definedName>
    <definedName name="XYLENE">#REF!</definedName>
    <definedName name="XYLENEE">#REF!</definedName>
    <definedName name="xyz" hidden="1">#REF!</definedName>
    <definedName name="xzxsfd" localSheetId="2" hidden="1">{"M1Print",#N/A,FALSE,"M1"}</definedName>
    <definedName name="xzxsfd" localSheetId="3" hidden="1">{"M1Print",#N/A,FALSE,"M1"}</definedName>
    <definedName name="xzxsfd" localSheetId="4" hidden="1">{"M1Print",#N/A,FALSE,"M1"}</definedName>
    <definedName name="xzxsfd" localSheetId="12" hidden="1">{"M1Print",#N/A,FALSE,"M1"}</definedName>
    <definedName name="xzxsfd" localSheetId="14" hidden="1">{"M1Print",#N/A,FALSE,"M1"}</definedName>
    <definedName name="xzxsfd" localSheetId="11" hidden="1">{"M1Print",#N/A,FALSE,"M1"}</definedName>
    <definedName name="xzxsfd" localSheetId="10" hidden="1">{"M1Print",#N/A,FALSE,"M1"}</definedName>
    <definedName name="xzxsfd" localSheetId="6" hidden="1">{"M1Print",#N/A,FALSE,"M1"}</definedName>
    <definedName name="xzxsfd" hidden="1">{"M1Print",#N/A,FALSE,"M1"}</definedName>
    <definedName name="y" localSheetId="12" hidden="1">{#N/A,#N/A,FALSE,"970301";#N/A,#N/A,FALSE,"970302";#N/A,#N/A,FALSE,"970303";#N/A,#N/A,FALSE,"970304";#N/A,#N/A,FALSE,"COM1";#N/A,#N/A,FALSE,"COM2"}</definedName>
    <definedName name="y" localSheetId="14" hidden="1">{#N/A,#N/A,FALSE,"970301";#N/A,#N/A,FALSE,"970302";#N/A,#N/A,FALSE,"970303";#N/A,#N/A,FALSE,"970304";#N/A,#N/A,FALSE,"COM1";#N/A,#N/A,FALSE,"COM2"}</definedName>
    <definedName name="y" hidden="1">{#N/A,#N/A,FALSE,"970301";#N/A,#N/A,FALSE,"970302";#N/A,#N/A,FALSE,"970303";#N/A,#N/A,FALSE,"970304";#N/A,#N/A,FALSE,"COM1";#N/A,#N/A,FALSE,"COM2"}</definedName>
    <definedName name="YE">#REF!</definedName>
    <definedName name="yen">110</definedName>
    <definedName name="yen020531">6.6616</definedName>
    <definedName name="YI">#REF!</definedName>
    <definedName name="yy" localSheetId="14" hidden="1">{#N/A,#N/A,FALSE,"ABB HOLDING LTD"}</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localSheetId="2" hidden="1">'K.00 Lead Sheet'!#REF!</definedName>
    <definedName name="Z_E738B51C_56AE_4F9F_8D8A_36AD6137B90D_.wvu.Cols" localSheetId="3" hidden="1">#REF!</definedName>
    <definedName name="Z_E738B51C_56AE_4F9F_8D8A_36AD6137B90D_.wvu.Cols" localSheetId="4" hidden="1">#REF!</definedName>
    <definedName name="Z_E738B51C_56AE_4F9F_8D8A_36AD6137B90D_.wvu.Cols" localSheetId="11" hidden="1">#REF!</definedName>
    <definedName name="Z_E738B51C_56AE_4F9F_8D8A_36AD6137B90D_.wvu.Cols" hidden="1">#REF!</definedName>
    <definedName name="Z_E738B51C_56AE_4F9F_8D8A_36AD6137B90D_.wvu.PrintArea" hidden="1">#REF!</definedName>
    <definedName name="Z_E738B51C_56AE_4F9F_8D8A_36AD6137B90D_.wvu.PrintTitles" localSheetId="2" hidden="1">'K.00 Lead Sheet'!#REF!,'K.00 Lead Sheet'!#REF!</definedName>
    <definedName name="Z_E738B51C_56AE_4F9F_8D8A_36AD6137B90D_.wvu.PrintTitles" localSheetId="3" hidden="1">#REF!,#REF!</definedName>
    <definedName name="Z_E738B51C_56AE_4F9F_8D8A_36AD6137B90D_.wvu.PrintTitles" localSheetId="4" hidden="1">#REF!,#REF!</definedName>
    <definedName name="Z_E738B51C_56AE_4F9F_8D8A_36AD6137B90D_.wvu.PrintTitles" localSheetId="11" hidden="1">#REF!,#REF!</definedName>
    <definedName name="Z_E738B51C_56AE_4F9F_8D8A_36AD6137B90D_.wvu.PrintTitles" hidden="1">#REF!,#REF!</definedName>
    <definedName name="Z_E738B51C_56AE_4F9F_8D8A_36AD6137B90D_.wvu.Rows" localSheetId="2" hidden="1">'K.00 Lead Sheet'!#REF!</definedName>
    <definedName name="Z_E738B51C_56AE_4F9F_8D8A_36AD6137B90D_.wvu.Rows" localSheetId="3" hidden="1">#REF!</definedName>
    <definedName name="Z_E738B51C_56AE_4F9F_8D8A_36AD6137B90D_.wvu.Rows" localSheetId="4" hidden="1">#REF!</definedName>
    <definedName name="Z_E738B51C_56AE_4F9F_8D8A_36AD6137B90D_.wvu.Rows" localSheetId="11" hidden="1">#REF!</definedName>
    <definedName name="Z_E738B51C_56AE_4F9F_8D8A_36AD6137B90D_.wvu.Rows" hidden="1">#REF!</definedName>
    <definedName name="zdry" localSheetId="12" hidden="1">{#N/A,#N/A,FALSE,"资产负债表";#N/A,#N/A,FALSE,"资产负债表"}</definedName>
    <definedName name="zdry" localSheetId="14" hidden="1">{#N/A,#N/A,FALSE,"资产负债表";#N/A,#N/A,FALSE,"资产负债表"}</definedName>
    <definedName name="zdry" hidden="1">{#N/A,#N/A,FALSE,"资产负债表";#N/A,#N/A,FALSE,"资产负债表"}</definedName>
    <definedName name="zerey" localSheetId="12" hidden="1">{#N/A,#N/A,FALSE,"资产负债表";#N/A,#N/A,FALSE,"资产负债表"}</definedName>
    <definedName name="zerey" localSheetId="14" hidden="1">{#N/A,#N/A,FALSE,"资产负债表";#N/A,#N/A,FALSE,"资产负债表"}</definedName>
    <definedName name="zerey" hidden="1">{#N/A,#N/A,FALSE,"资产负债表";#N/A,#N/A,FALSE,"资产负债表"}</definedName>
    <definedName name="Zip">#REF!</definedName>
    <definedName name="ZTE">#REF!</definedName>
    <definedName name="zxc" localSheetId="14" hidden="1">{#N/A,#N/A,FALSE,"OffAdvance";#N/A,#N/A,FALSE,"OffExpRprt";#N/A,#N/A,FALSE,"Travelling";#N/A,#N/A,FALSE,"Entertmnt";#N/A,#N/A,FALSE,"Promotion"}</definedName>
    <definedName name="zxc" hidden="1">{#N/A,#N/A,FALSE,"OffAdvance";#N/A,#N/A,FALSE,"OffExpRprt";#N/A,#N/A,FALSE,"Travelling";#N/A,#N/A,FALSE,"Entertmnt";#N/A,#N/A,FALSE,"Promotion"}</definedName>
    <definedName name="ZZZZZZZZZZZZZ" hidden="1">#REF!</definedName>
    <definedName name="啊" localSheetId="12" hidden="1">{#N/A,#N/A,FALSE,"970301";#N/A,#N/A,FALSE,"970302";#N/A,#N/A,FALSE,"970303";#N/A,#N/A,FALSE,"970304";#N/A,#N/A,FALSE,"COM1";#N/A,#N/A,FALSE,"COM2"}</definedName>
    <definedName name="啊" localSheetId="14" hidden="1">{#N/A,#N/A,FALSE,"970301";#N/A,#N/A,FALSE,"970302";#N/A,#N/A,FALSE,"970303";#N/A,#N/A,FALSE,"970304";#N/A,#N/A,FALSE,"COM1";#N/A,#N/A,FALSE,"COM2"}</definedName>
    <definedName name="啊" hidden="1">{#N/A,#N/A,FALSE,"970301";#N/A,#N/A,FALSE,"970302";#N/A,#N/A,FALSE,"970303";#N/A,#N/A,FALSE,"970304";#N/A,#N/A,FALSE,"COM1";#N/A,#N/A,FALSE,"COM2"}</definedName>
    <definedName name="把" localSheetId="14" hidden="1">{#N/A,#N/A,FALSE,"Virgin Flightdeck"}</definedName>
    <definedName name="把" hidden="1">{#N/A,#N/A,FALSE,"Virgin Flightdeck"}</definedName>
    <definedName name="报表">#REF!</definedName>
    <definedName name="报表_货管部成品库存周盘点表">#REF!</definedName>
    <definedName name="报表_系统成品库存一览表">#REF!</definedName>
    <definedName name="备用" localSheetId="4" hidden="1">{#N/A,#N/A,FALSE,"OffAdvance";#N/A,#N/A,FALSE,"OffExpRprt";#N/A,#N/A,FALSE,"Entertmnt";#N/A,#N/A,FALSE,"Promotion";#N/A,#N/A,FALSE,"Travelling"}</definedName>
    <definedName name="备用" localSheetId="12" hidden="1">{#N/A,#N/A,FALSE,"OffAdvance";#N/A,#N/A,FALSE,"OffExpRprt";#N/A,#N/A,FALSE,"Entertmnt";#N/A,#N/A,FALSE,"Promotion";#N/A,#N/A,FALSE,"Travelling"}</definedName>
    <definedName name="备用" localSheetId="14" hidden="1">{#N/A,#N/A,FALSE,"OffAdvance";#N/A,#N/A,FALSE,"OffExpRprt";#N/A,#N/A,FALSE,"Entertmnt";#N/A,#N/A,FALSE,"Promotion";#N/A,#N/A,FALSE,"Travelling"}</definedName>
    <definedName name="备用" localSheetId="11" hidden="1">{#N/A,#N/A,FALSE,"OffAdvance";#N/A,#N/A,FALSE,"OffExpRprt";#N/A,#N/A,FALSE,"Entertmnt";#N/A,#N/A,FALSE,"Promotion";#N/A,#N/A,FALSE,"Travelling"}</definedName>
    <definedName name="备用" hidden="1">{#N/A,#N/A,FALSE,"OffAdvance";#N/A,#N/A,FALSE,"OffExpRprt";#N/A,#N/A,FALSE,"Entertmnt";#N/A,#N/A,FALSE,"Promotion";#N/A,#N/A,FALSE,"Travelling"}</definedName>
    <definedName name="本循环科目" hidden="1">#REF!</definedName>
    <definedName name="补贴款">#REF!</definedName>
    <definedName name="补贴收入明细表">#REF!</definedName>
    <definedName name="财务费用明细表">#REF!</definedName>
    <definedName name="策源_优家">0.1</definedName>
    <definedName name="策源_置换">0.2</definedName>
    <definedName name="持有意图">#REF!</definedName>
    <definedName name="存货明细表">#REF!</definedName>
    <definedName name="存款">#REF!</definedName>
    <definedName name="待处理固定资产净损失明细表">#REF!</definedName>
    <definedName name="待处理流动资产净损失明细表">#REF!</definedName>
    <definedName name="待摊费用明细表">#REF!</definedName>
    <definedName name="担保并贴现_查询5">#REF!</definedName>
    <definedName name="低值易耗品.xls">#REF!</definedName>
    <definedName name="抵押受限">#REF!</definedName>
    <definedName name="短期借款明细表">#REF!</definedName>
    <definedName name="短期投资">#REF!</definedName>
    <definedName name="短期投资_股票_明细表">#REF!</definedName>
    <definedName name="短期投资_其他_明细表">#REF!</definedName>
    <definedName name="短期投资_债券_明细表">#REF!</definedName>
    <definedName name="短期投资跌价损失准备明细表">#REF!</definedName>
    <definedName name="负债表">#REF!</definedName>
    <definedName name="复锦_复信">0.2</definedName>
    <definedName name="复信_新远">0.05</definedName>
    <definedName name="工程物资明细表">#REF!</definedName>
    <definedName name="股本明细表">#REF!</definedName>
    <definedName name="固定资产">#REF!</definedName>
    <definedName name="固定资产变动资料">#REF!</definedName>
    <definedName name="固定资产及累计折旧明细帐">#REF!</definedName>
    <definedName name="固定资产明细">#REF!</definedName>
    <definedName name="固定资产明细帐">#REF!</definedName>
    <definedName name="固定资产清单">#REF!</definedName>
    <definedName name="固定资产清单06">#REF!</definedName>
    <definedName name="固定资产原值明细表">#REF!</definedName>
    <definedName name="固定资产折旧表">#REF!</definedName>
    <definedName name="管理费用">#REF!</definedName>
    <definedName name="管理费用明细表">#REF!</definedName>
    <definedName name="规格">#REF!</definedName>
    <definedName name="合并价差明细表">#REF!</definedName>
    <definedName name="核算项目分类总账">#REF!</definedName>
    <definedName name="核算项目明细表">#REF!</definedName>
    <definedName name="核算项目余额表">#REF!</definedName>
    <definedName name="虹桥_新远">0.05</definedName>
    <definedName name="坏帐准备明细表">#REF!</definedName>
    <definedName name="汇率">#REF!</definedName>
    <definedName name="集团公司">#REF!</definedName>
    <definedName name="计划及实际价格入库记录">#REF!</definedName>
    <definedName name="借款" localSheetId="4" hidden="1">{#N/A,#N/A,FALSE,"970301";#N/A,#N/A,FALSE,"970302";#N/A,#N/A,FALSE,"970303";#N/A,#N/A,FALSE,"970304";#N/A,#N/A,FALSE,"COM1";#N/A,#N/A,FALSE,"COM2"}</definedName>
    <definedName name="借款" localSheetId="12" hidden="1">{#N/A,#N/A,FALSE,"970301";#N/A,#N/A,FALSE,"970302";#N/A,#N/A,FALSE,"970303";#N/A,#N/A,FALSE,"970304";#N/A,#N/A,FALSE,"COM1";#N/A,#N/A,FALSE,"COM2"}</definedName>
    <definedName name="借款" localSheetId="14" hidden="1">{#N/A,#N/A,FALSE,"970301";#N/A,#N/A,FALSE,"970302";#N/A,#N/A,FALSE,"970303";#N/A,#N/A,FALSE,"970304";#N/A,#N/A,FALSE,"COM1";#N/A,#N/A,FALSE,"COM2"}</definedName>
    <definedName name="借款" localSheetId="11" hidden="1">{#N/A,#N/A,FALSE,"970301";#N/A,#N/A,FALSE,"970302";#N/A,#N/A,FALSE,"970303";#N/A,#N/A,FALSE,"970304";#N/A,#N/A,FALSE,"COM1";#N/A,#N/A,FALSE,"COM2"}</definedName>
    <definedName name="借款" hidden="1">{#N/A,#N/A,FALSE,"970301";#N/A,#N/A,FALSE,"970302";#N/A,#N/A,FALSE,"970303";#N/A,#N/A,FALSE,"970304";#N/A,#N/A,FALSE,"COM1";#N/A,#N/A,FALSE,"COM2"}</definedName>
    <definedName name="开办费明细表">#REF!</definedName>
    <definedName name="苛" localSheetId="2" hidden="1">{"M1sPrint",#N/A,FALSE,"M1s"}</definedName>
    <definedName name="苛" localSheetId="3" hidden="1">{"M1sPrint",#N/A,FALSE,"M1s"}</definedName>
    <definedName name="苛" localSheetId="4" hidden="1">{"M1sPrint",#N/A,FALSE,"M1s"}</definedName>
    <definedName name="苛" localSheetId="12" hidden="1">{"M1sPrint",#N/A,FALSE,"M1s"}</definedName>
    <definedName name="苛" localSheetId="14" hidden="1">{"M1sPrint",#N/A,FALSE,"M1s"}</definedName>
    <definedName name="苛" localSheetId="11" hidden="1">{"M1sPrint",#N/A,FALSE,"M1s"}</definedName>
    <definedName name="苛" localSheetId="10" hidden="1">{"M1sPrint",#N/A,FALSE,"M1s"}</definedName>
    <definedName name="苛" localSheetId="6" hidden="1">{"M1sPrint",#N/A,FALSE,"M1s"}</definedName>
    <definedName name="苛" hidden="1">{"M1sPrint",#N/A,FALSE,"M1s"}</definedName>
    <definedName name="科目表">#REF!</definedName>
    <definedName name="科目余额表">#REF!</definedName>
    <definedName name="累计折旧明细表">#REF!</definedName>
    <definedName name="利润表">#REF!</definedName>
    <definedName name="期初">#REF!</definedName>
    <definedName name="期货会员资格投资明细表">#REF!</definedName>
    <definedName name="期末">#REF!</definedName>
    <definedName name="其他货币资金">#REF!</definedName>
    <definedName name="其他货币资金明细表">#REF!</definedName>
    <definedName name="其他未交款明细表">#REF!</definedName>
    <definedName name="其他应付款明细表">#REF!</definedName>
    <definedName name="其他应收款">#REF!</definedName>
    <definedName name="其他应收款明细表">#REF!</definedName>
    <definedName name="其他长期负债明细表">#REF!</definedName>
    <definedName name="其他长期股权投资明细表_成本法_">#REF!</definedName>
    <definedName name="其他长期债权投资明细表">#REF!</definedName>
    <definedName name="其他资产">#REF!</definedName>
    <definedName name="染">#REF!</definedName>
    <definedName name="上海电气集团股份有限公司">#REF!</definedName>
    <definedName name="神经">#REF!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领料序时簿">#REF!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6">#REF!</definedName>
    <definedName name="生产期7">#REF!</definedName>
    <definedName name="生产期8">#REF!</definedName>
    <definedName name="生产期9">#REF!</definedName>
    <definedName name="试算表">#REF!</definedName>
    <definedName name="试算平衡表_对应负债和权益">#REF!</definedName>
    <definedName name="试算平衡表_对应利润及分配">#REF!</definedName>
    <definedName name="试算平衡表_对应资产部分">#REF!</definedName>
    <definedName name="试验" localSheetId="4" hidden="1">{#N/A,#N/A,FALSE,"OffAdvance";#N/A,#N/A,FALSE,"OffExpRprt";#N/A,#N/A,FALSE,"Travelling";#N/A,#N/A,FALSE,"Entertmnt";#N/A,#N/A,FALSE,"Promotion"}</definedName>
    <definedName name="试验" localSheetId="12" hidden="1">{#N/A,#N/A,FALSE,"OffAdvance";#N/A,#N/A,FALSE,"OffExpRprt";#N/A,#N/A,FALSE,"Travelling";#N/A,#N/A,FALSE,"Entertmnt";#N/A,#N/A,FALSE,"Promotion"}</definedName>
    <definedName name="试验" localSheetId="14" hidden="1">{#N/A,#N/A,FALSE,"OffAdvance";#N/A,#N/A,FALSE,"OffExpRprt";#N/A,#N/A,FALSE,"Travelling";#N/A,#N/A,FALSE,"Entertmnt";#N/A,#N/A,FALSE,"Promotion"}</definedName>
    <definedName name="试验" localSheetId="11" hidden="1">{#N/A,#N/A,FALSE,"OffAdvance";#N/A,#N/A,FALSE,"OffExpRprt";#N/A,#N/A,FALSE,"Travelling";#N/A,#N/A,FALSE,"Entertmnt";#N/A,#N/A,FALSE,"Promotion"}</definedName>
    <definedName name="试验" hidden="1">{#N/A,#N/A,FALSE,"OffAdvance";#N/A,#N/A,FALSE,"OffExpRprt";#N/A,#N/A,FALSE,"Travelling";#N/A,#N/A,FALSE,"Entertmnt";#N/A,#N/A,FALSE,"Promotion"}</definedName>
    <definedName name="数据输出.dbf">#REF!</definedName>
    <definedName name="数量金额明细账">#REF!</definedName>
    <definedName name="数量金额总账">#REF!</definedName>
    <definedName name="贴现">#REF!</definedName>
    <definedName name="投资收益明细表">#REF!</definedName>
    <definedName name="往来对账单">#REF!</definedName>
    <definedName name="未交税金明细表">#REF!</definedName>
    <definedName name="无对应明细表的报表项目">#REF!</definedName>
    <definedName name="无税品种品合计划">#REF!</definedName>
    <definedName name="无形资产">#REF!</definedName>
    <definedName name="无形资产明细表">#REF!</definedName>
    <definedName name="物料收发汇总表">#REF!</definedName>
    <definedName name="现金明细表">#REF!</definedName>
    <definedName name="销售成本">#REF!</definedName>
    <definedName name="销售出库序时簿">#REF!</definedName>
    <definedName name="新远_策源">0.1</definedName>
    <definedName name="新远_监理">0.1</definedName>
    <definedName name="新远_新河">0.2</definedName>
    <definedName name="腌2">#REF!</definedName>
    <definedName name="一级子公司">#REF!</definedName>
    <definedName name="已05" localSheetId="4" hidden="1">{"M1Print",#N/A,TRUE,"M1";"M2Print",#N/A,TRUE,"M2";"M1sPrint",#N/A,TRUE,"M1s";"M2aPrint",#N/A,TRUE,"M2a";"M4Print",#N/A,TRUE,"M4";"M5Print",#N/A,TRUE,"M5";"M6Print",#N/A,TRUE,"M6";"M6_1Print",#N/A,TRUE,"M6_1";"M6_2Print",#N/A,TRUE,"M6_2";"M7_1Print",#N/A,TRUE,"M7_1";"M7_2Print",#N/A,TRUE,"M7_2"}</definedName>
    <definedName name="已05" localSheetId="12" hidden="1">{"M1Print",#N/A,TRUE,"M1";"M2Print",#N/A,TRUE,"M2";"M1sPrint",#N/A,TRUE,"M1s";"M2aPrint",#N/A,TRUE,"M2a";"M4Print",#N/A,TRUE,"M4";"M5Print",#N/A,TRUE,"M5";"M6Print",#N/A,TRUE,"M6";"M6_1Print",#N/A,TRUE,"M6_1";"M6_2Print",#N/A,TRUE,"M6_2";"M7_1Print",#N/A,TRUE,"M7_1";"M7_2Print",#N/A,TRUE,"M7_2"}</definedName>
    <definedName name="已05" localSheetId="14" hidden="1">{"M1Print",#N/A,TRUE,"M1";"M2Print",#N/A,TRUE,"M2";"M1sPrint",#N/A,TRUE,"M1s";"M2aPrint",#N/A,TRUE,"M2a";"M4Print",#N/A,TRUE,"M4";"M5Print",#N/A,TRUE,"M5";"M6Print",#N/A,TRUE,"M6";"M6_1Print",#N/A,TRUE,"M6_1";"M6_2Print",#N/A,TRUE,"M6_2";"M7_1Print",#N/A,TRUE,"M7_1";"M7_2Print",#N/A,TRUE,"M7_2"}</definedName>
    <definedName name="已05" localSheetId="11"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以前年度损益调整明细表">#REF!</definedName>
    <definedName name="银行存款">#REF!</definedName>
    <definedName name="银行存款明细表">#REF!</definedName>
    <definedName name="应付股利明细表">#REF!</definedName>
    <definedName name="应付票据明细表">#REF!</definedName>
    <definedName name="应付债券明细表">#REF!</definedName>
    <definedName name="应付帐款明细表">#REF!</definedName>
    <definedName name="应付账款">#REF!</definedName>
    <definedName name="应收补贴款明细表">#REF!</definedName>
    <definedName name="应收股利明细表">#REF!</definedName>
    <definedName name="应收利息明细表">#REF!</definedName>
    <definedName name="应收票据">#REF!</definedName>
    <definedName name="应收票据明细表">#REF!</definedName>
    <definedName name="应收帐款">#REF!</definedName>
    <definedName name="应收帐款明细表">#REF!</definedName>
    <definedName name="应收账款">#REF!</definedName>
    <definedName name="应手款" localSheetId="4" hidden="1">{#N/A,#N/A,FALSE,"970301";#N/A,#N/A,FALSE,"970302";#N/A,#N/A,FALSE,"970303";#N/A,#N/A,FALSE,"970304";#N/A,#N/A,FALSE,"COM1";#N/A,#N/A,FALSE,"COM2"}</definedName>
    <definedName name="应手款" localSheetId="12" hidden="1">{#N/A,#N/A,FALSE,"970301";#N/A,#N/A,FALSE,"970302";#N/A,#N/A,FALSE,"970303";#N/A,#N/A,FALSE,"970304";#N/A,#N/A,FALSE,"COM1";#N/A,#N/A,FALSE,"COM2"}</definedName>
    <definedName name="应手款" localSheetId="14" hidden="1">{#N/A,#N/A,FALSE,"970301";#N/A,#N/A,FALSE,"970302";#N/A,#N/A,FALSE,"970303";#N/A,#N/A,FALSE,"970304";#N/A,#N/A,FALSE,"COM1";#N/A,#N/A,FALSE,"COM2"}</definedName>
    <definedName name="应手款" localSheetId="11" hidden="1">{#N/A,#N/A,FALSE,"970301";#N/A,#N/A,FALSE,"970302";#N/A,#N/A,FALSE,"970303";#N/A,#N/A,FALSE,"970304";#N/A,#N/A,FALSE,"COM1";#N/A,#N/A,FALSE,"COM2"}</definedName>
    <definedName name="应手款" hidden="1">{#N/A,#N/A,FALSE,"970301";#N/A,#N/A,FALSE,"970302";#N/A,#N/A,FALSE,"970303";#N/A,#N/A,FALSE,"970304";#N/A,#N/A,FALSE,"COM1";#N/A,#N/A,FALSE,"COM2"}</definedName>
    <definedName name="应手款1月" localSheetId="4" hidden="1">{#N/A,#N/A,FALSE,"Marketing";#N/A,#N/A,FALSE,"Selling";#N/A,#N/A,FALSE,"Promotional";#N/A,#N/A,FALSE,"Advertising"}</definedName>
    <definedName name="应手款1月" localSheetId="12" hidden="1">{#N/A,#N/A,FALSE,"Marketing";#N/A,#N/A,FALSE,"Selling";#N/A,#N/A,FALSE,"Promotional";#N/A,#N/A,FALSE,"Advertising"}</definedName>
    <definedName name="应手款1月" localSheetId="14" hidden="1">{#N/A,#N/A,FALSE,"Marketing";#N/A,#N/A,FALSE,"Selling";#N/A,#N/A,FALSE,"Promotional";#N/A,#N/A,FALSE,"Advertising"}</definedName>
    <definedName name="应手款1月" localSheetId="11" hidden="1">{#N/A,#N/A,FALSE,"Marketing";#N/A,#N/A,FALSE,"Selling";#N/A,#N/A,FALSE,"Promotional";#N/A,#N/A,FALSE,"Advertising"}</definedName>
    <definedName name="应手款1月" hidden="1">{#N/A,#N/A,FALSE,"Marketing";#N/A,#N/A,FALSE,"Selling";#N/A,#N/A,FALSE,"Promotional";#N/A,#N/A,FALSE,"Advertising"}</definedName>
    <definedName name="营业费用明细表">#REF!</definedName>
    <definedName name="营业外收入明细表">#REF!</definedName>
    <definedName name="营业外支出明细表">#REF!</definedName>
    <definedName name="有无">#REF!</definedName>
    <definedName name="预付帐款明细表">#REF!</definedName>
    <definedName name="预收货款明细表">#REF!</definedName>
    <definedName name="预收账款">#REF!</definedName>
    <definedName name="预提费用明细表">#REF!</definedName>
    <definedName name="在建工程明细表">#REF!</definedName>
    <definedName name="长期待摊费用明细表">#REF!</definedName>
    <definedName name="长期股票投资明细表_成本法_">#REF!</definedName>
    <definedName name="长期股权投资明细表_权益法_">#REF!</definedName>
    <definedName name="长期借款明细表">#REF!</definedName>
    <definedName name="长期应付款明细表">#REF!</definedName>
    <definedName name="长期债券投资明细表">#REF!</definedName>
    <definedName name="账龄分析">#REF!</definedName>
    <definedName name="账龄分析表">#REF!</definedName>
    <definedName name="置换_优家">0.9</definedName>
    <definedName name="主营业务收入与成本明细表">#REF!</definedName>
    <definedName name="主营业务税金及附加明细表">#REF!</definedName>
    <definedName name="住房周转金明细表">#REF!</definedName>
    <definedName name="总分类账">#REF!</definedName>
    <definedName name="總收入">#REF!</definedName>
    <definedName name="전">#REF!</definedName>
    <definedName name="주택사업본부">#REF!</definedName>
    <definedName name="철구사업본부">#REF!</definedName>
    <definedName name="최재호"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tc={C69ABB1E-1FF7-400D-9043-BC4047260CE5}</author>
  </authors>
  <commentList>
    <comment ref="L34"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注意更新</t>
        </r>
      </text>
    </comment>
  </commentList>
</comments>
</file>

<file path=xl/comments2.xml><?xml version="1.0" encoding="utf-8"?>
<comments xmlns="http://schemas.openxmlformats.org/spreadsheetml/2006/main">
  <authors>
    <author>tc={57D5C3F5-22DC-4A4A-80DD-951A16D1B43A}</author>
    <author>tc={EE81CF47-6E6D-4113-8B85-02297F120676}</author>
    <author>tc={DB30092A-0E7C-464F-9C2C-F9ABBD7F27A3}</author>
  </authors>
  <commentList>
    <comment ref="P142"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这个测算为啥要用36，账面不是60吗，这个是折旧期更长应该也不是因为税法的影响吧
答复:
    办公设备的年限是36 办公家具的是60~ 我看了630的折旧测算 办公设备用的也是36~</t>
        </r>
      </text>
    </comment>
    <comment ref="U325" authorId="1">
      <text>
        <r>
          <rPr>
            <sz val="10"/>
            <rFont val="宋体"/>
            <charset val="134"/>
          </rPr>
          <t>[线程批注]
你的Excel版本可读取此线程批注; 但如果在更新版本的Excel中打开文件，则对批注所作的任何改动都将被删除。了解详细信息: https://go.microsoft.com/fwlink/?linkid=870924
注释:
    这个差异是因为残值率的不同吧，也要调整吗
答复:
    这个是项目组那边出的调整 应该是要调的~</t>
        </r>
      </text>
    </comment>
    <comment ref="C435" authorId="2">
      <text>
        <r>
          <rPr>
            <sz val="10"/>
            <rFont val="宋体"/>
            <charset val="134"/>
          </rPr>
          <t>[线程批注]
你的Excel版本可读取此线程批注; 但如果在更新版本的Excel中打开文件，则对批注所作的任何改动都将被删除。了解详细信息: https://go.microsoft.com/fwlink/?linkid=870924
注释:
    这个部分和agree sl to gl是不是重复了，留一个就行吧</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<sst xmlns="http://schemas.openxmlformats.org/spreadsheetml/2006/main" count="4215" uniqueCount="1495">
  <si>
    <t>EY Ref.</t>
  </si>
  <si>
    <t>Tab Ref.</t>
  </si>
  <si>
    <t>Cell Ref.</t>
  </si>
  <si>
    <t>Question/Comment</t>
  </si>
  <si>
    <t>Answer/Comment</t>
  </si>
  <si>
    <t>Closed?</t>
  </si>
  <si>
    <t>K1_400折旧测试</t>
  </si>
  <si>
    <t>$P$142</t>
  </si>
  <si>
    <t xml:space="preserve">Momo Li:
这个测算为啥要用36，账面不是60吗，这个是折旧期更长应该也不是因为税法的影响吧
</t>
  </si>
  <si>
    <t>No</t>
  </si>
  <si>
    <t>$U$325</t>
  </si>
  <si>
    <t xml:space="preserve">Momo Li:
这个差异是因为残值率的不同吧，也要调整吗
</t>
  </si>
  <si>
    <t>$C$435</t>
  </si>
  <si>
    <t xml:space="preserve">Momo Li:
这个部分和agree sl to gl是不是重复了，留一个就行吧
</t>
  </si>
  <si>
    <t>已更正</t>
  </si>
  <si>
    <t xml:space="preserve">K.02.1 新增测试 </t>
  </si>
  <si>
    <t>$L$34</t>
  </si>
  <si>
    <t xml:space="preserve">Momo Li:
注意更新
</t>
  </si>
  <si>
    <t>V6 SWP</t>
  </si>
  <si>
    <r>
      <rPr>
        <b/>
        <sz val="14"/>
        <color rgb="FF000000"/>
        <rFont val="微软雅黑"/>
        <charset val="134"/>
      </rPr>
      <t>该科目涉及</t>
    </r>
    <r>
      <rPr>
        <b/>
        <sz val="14"/>
        <color rgb="FF000000"/>
        <rFont val="Arial"/>
        <charset val="134"/>
      </rPr>
      <t>OSP</t>
    </r>
    <r>
      <rPr>
        <b/>
        <sz val="14"/>
        <color rgb="FF000000"/>
        <rFont val="微软雅黑"/>
        <charset val="134"/>
      </rPr>
      <t>底稿可参考此链接</t>
    </r>
  </si>
  <si>
    <t>OSP K1 SWP 固定资产及在建工程盘点 202YMMDD XYZ公司.xlsx</t>
  </si>
  <si>
    <t>OSP K1 SWP 固定资产权属检查 202YMMDD XYZ公司.xlsx</t>
  </si>
  <si>
    <t>K.00</t>
  </si>
  <si>
    <t>K.00 Lead Sheet</t>
  </si>
  <si>
    <r>
      <rPr>
        <b/>
        <sz val="10"/>
        <rFont val="微软雅黑"/>
        <charset val="134"/>
      </rPr>
      <t>程序页</t>
    </r>
  </si>
  <si>
    <r>
      <rPr>
        <b/>
        <sz val="10"/>
        <rFont val="微软雅黑"/>
        <charset val="134"/>
      </rPr>
      <t>执行</t>
    </r>
  </si>
  <si>
    <r>
      <rPr>
        <b/>
        <sz val="10"/>
        <rFont val="微软雅黑"/>
        <charset val="134"/>
      </rPr>
      <t>不执行的原因</t>
    </r>
  </si>
  <si>
    <r>
      <rPr>
        <b/>
        <sz val="10"/>
        <rFont val="微软雅黑"/>
        <charset val="134"/>
      </rPr>
      <t>注意事项</t>
    </r>
  </si>
  <si>
    <r>
      <rPr>
        <sz val="10"/>
        <color theme="1"/>
        <rFont val="微软雅黑"/>
        <charset val="134"/>
      </rPr>
      <t>获取和编制固定资产两期变动的引导表，并与试算平衡表和上年底稿核对一致。对固定资产变动建立预期并说明理由，对不符合预期的变动以及异常变动进行调查和分析。</t>
    </r>
  </si>
  <si>
    <t>是</t>
  </si>
  <si>
    <t>K.01</t>
  </si>
  <si>
    <r>
      <rPr>
        <b/>
        <sz val="10"/>
        <color rgb="FF000000"/>
        <rFont val="Arial"/>
        <charset val="134"/>
      </rPr>
      <t>K.01 Agree SL to GL</t>
    </r>
    <r>
      <rPr>
        <b/>
        <sz val="10"/>
        <color rgb="FF000000"/>
        <rFont val="微软雅黑"/>
        <charset val="134"/>
      </rPr>
      <t>（认定：</t>
    </r>
    <r>
      <rPr>
        <b/>
        <sz val="10"/>
        <color rgb="FF000000"/>
        <rFont val="Arial"/>
        <charset val="134"/>
      </rPr>
      <t>BS</t>
    </r>
    <r>
      <rPr>
        <b/>
        <sz val="10"/>
        <color rgb="FF000000"/>
        <rFont val="微软雅黑"/>
        <charset val="134"/>
      </rPr>
      <t>：</t>
    </r>
    <r>
      <rPr>
        <b/>
        <sz val="10"/>
        <color rgb="FF000000"/>
        <rFont val="Arial"/>
        <charset val="134"/>
      </rPr>
      <t>E</t>
    </r>
    <r>
      <rPr>
        <b/>
        <sz val="10"/>
        <color rgb="FF000000"/>
        <rFont val="微软雅黑"/>
        <charset val="134"/>
      </rPr>
      <t>、</t>
    </r>
    <r>
      <rPr>
        <b/>
        <sz val="10"/>
        <color rgb="FF000000"/>
        <rFont val="Arial"/>
        <charset val="134"/>
      </rPr>
      <t>V</t>
    </r>
    <r>
      <rPr>
        <b/>
        <sz val="10"/>
        <color rgb="FF000000"/>
        <rFont val="微软雅黑"/>
        <charset val="134"/>
      </rPr>
      <t>、</t>
    </r>
    <r>
      <rPr>
        <b/>
        <sz val="10"/>
        <color rgb="FF000000"/>
        <rFont val="Arial"/>
        <charset val="134"/>
      </rPr>
      <t>C    IS：M、C</t>
    </r>
    <r>
      <rPr>
        <b/>
        <sz val="10"/>
        <color rgb="FF000000"/>
        <rFont val="微软雅黑"/>
        <charset val="134"/>
      </rPr>
      <t>）</t>
    </r>
  </si>
  <si>
    <r>
      <rPr>
        <sz val="10"/>
        <color theme="1"/>
        <rFont val="微软雅黑"/>
        <charset val="134"/>
      </rPr>
      <t>获取固定资产后推明细表，并将其与试算平衡表和固定资产清单核对一致。</t>
    </r>
  </si>
  <si>
    <t>K.01 Agree SL to GL</t>
  </si>
  <si>
    <t>K.02</t>
  </si>
  <si>
    <r>
      <rPr>
        <b/>
        <sz val="10"/>
        <color rgb="FF000000"/>
        <rFont val="Arial"/>
        <charset val="134"/>
      </rPr>
      <t xml:space="preserve">K.02.1 </t>
    </r>
    <r>
      <rPr>
        <b/>
        <sz val="10"/>
        <color rgb="FF000000"/>
        <rFont val="微软雅黑"/>
        <charset val="134"/>
      </rPr>
      <t>新增测试</t>
    </r>
    <r>
      <rPr>
        <b/>
        <sz val="10"/>
        <color rgb="FF000000"/>
        <rFont val="Microsoft YaHei"/>
        <charset val="134"/>
      </rPr>
      <t>（认定：</t>
    </r>
    <r>
      <rPr>
        <b/>
        <sz val="10"/>
        <color rgb="FF000000"/>
        <rFont val="Arial"/>
        <charset val="134"/>
      </rPr>
      <t>BS</t>
    </r>
    <r>
      <rPr>
        <b/>
        <sz val="10"/>
        <color rgb="FF000000"/>
        <rFont val="Microsoft YaHei"/>
        <charset val="134"/>
      </rPr>
      <t>：</t>
    </r>
    <r>
      <rPr>
        <b/>
        <sz val="10"/>
        <color rgb="FF000000"/>
        <rFont val="Arial"/>
        <charset val="134"/>
      </rPr>
      <t>E</t>
    </r>
    <r>
      <rPr>
        <b/>
        <sz val="10"/>
        <color rgb="FF000000"/>
        <rFont val="Microsoft YaHei"/>
        <charset val="134"/>
      </rPr>
      <t>、</t>
    </r>
    <r>
      <rPr>
        <b/>
        <sz val="10"/>
        <color rgb="FF000000"/>
        <rFont val="Arial"/>
        <charset val="134"/>
      </rPr>
      <t>V</t>
    </r>
    <r>
      <rPr>
        <b/>
        <sz val="10"/>
        <color rgb="FF000000"/>
        <rFont val="Microsoft YaHei"/>
        <charset val="134"/>
      </rPr>
      <t>、</t>
    </r>
    <r>
      <rPr>
        <b/>
        <sz val="10"/>
        <color rgb="FF000000"/>
        <rFont val="Arial"/>
        <charset val="134"/>
      </rPr>
      <t>C</t>
    </r>
    <r>
      <rPr>
        <b/>
        <sz val="10"/>
        <color rgb="FF000000"/>
        <rFont val="Microsoft YaHei"/>
        <charset val="134"/>
      </rPr>
      <t>、</t>
    </r>
    <r>
      <rPr>
        <b/>
        <sz val="10"/>
        <color rgb="FF000000"/>
        <rFont val="Arial"/>
        <charset val="134"/>
      </rPr>
      <t>R&amp;O</t>
    </r>
    <r>
      <rPr>
        <b/>
        <sz val="10"/>
        <color rgb="FF000000"/>
        <rFont val="Microsoft YaHei"/>
        <charset val="134"/>
      </rPr>
      <t>、</t>
    </r>
    <r>
      <rPr>
        <b/>
        <sz val="10"/>
        <color rgb="FF000000"/>
        <rFont val="Arial"/>
        <charset val="134"/>
      </rPr>
      <t>P&amp;D   IS：M,P&amp;D</t>
    </r>
    <r>
      <rPr>
        <b/>
        <sz val="10"/>
        <color rgb="FF000000"/>
        <rFont val="Microsoft YaHei"/>
        <charset val="134"/>
      </rPr>
      <t>）</t>
    </r>
  </si>
  <si>
    <r>
      <rPr>
        <sz val="10"/>
        <color theme="1"/>
        <rFont val="微软雅黑"/>
        <charset val="134"/>
      </rPr>
      <t>获取当期按类别划分的所有固定资产新增清单，并将该清单与固定资产后推核对一致，调查超过</t>
    </r>
    <r>
      <rPr>
        <sz val="10"/>
        <color theme="1"/>
        <rFont val="Arial"/>
        <charset val="134"/>
      </rPr>
      <t>SAD</t>
    </r>
    <r>
      <rPr>
        <sz val="10"/>
        <color theme="1"/>
        <rFont val="微软雅黑"/>
        <charset val="134"/>
      </rPr>
      <t>名义金额的差额。</t>
    </r>
  </si>
  <si>
    <r>
      <rPr>
        <b/>
        <u/>
        <sz val="10"/>
        <color theme="4"/>
        <rFont val="微软雅黑"/>
        <charset val="134"/>
      </rPr>
      <t>新增清单</t>
    </r>
  </si>
  <si>
    <r>
      <rPr>
        <sz val="10"/>
        <color rgb="FF000000"/>
        <rFont val="微软雅黑"/>
        <charset val="134"/>
      </rPr>
      <t>若在建工程为不重大账户未开底稿，则项目组需要在</t>
    </r>
    <r>
      <rPr>
        <sz val="10"/>
        <color rgb="FF000000"/>
        <rFont val="Arial"/>
        <charset val="134"/>
      </rPr>
      <t>K1 SWP</t>
    </r>
    <r>
      <rPr>
        <sz val="10"/>
        <color rgb="FF000000"/>
        <rFont val="微软雅黑"/>
        <charset val="134"/>
      </rPr>
      <t>中核对在建工程转入与转出金额是否一致，并按照</t>
    </r>
    <r>
      <rPr>
        <sz val="10"/>
        <color rgb="FF000000"/>
        <rFont val="Arial"/>
        <charset val="134"/>
      </rPr>
      <t>&lt;J.02.2 CIP transfer (ToD)&gt;</t>
    </r>
    <r>
      <rPr>
        <sz val="10"/>
        <color rgb="FF000000"/>
        <rFont val="Microsoft YaHei"/>
        <charset val="134"/>
      </rPr>
      <t>的测试属性执行该程序</t>
    </r>
    <r>
      <rPr>
        <sz val="10"/>
        <color rgb="FF000000"/>
        <rFont val="微软雅黑"/>
        <charset val="134"/>
      </rPr>
      <t>。</t>
    </r>
  </si>
  <si>
    <r>
      <rPr>
        <sz val="10"/>
        <color theme="1"/>
        <rFont val="微软雅黑"/>
        <charset val="134"/>
      </rPr>
      <t>对本年新增资产执行关键性样本测试和代表性样本测试（如需要）。</t>
    </r>
  </si>
  <si>
    <r>
      <rPr>
        <b/>
        <u/>
        <sz val="10"/>
        <color theme="4"/>
        <rFont val="Arial"/>
        <charset val="134"/>
      </rPr>
      <t xml:space="preserve">K.02.1 </t>
    </r>
    <r>
      <rPr>
        <b/>
        <u/>
        <sz val="10"/>
        <color theme="4"/>
        <rFont val="微软雅黑"/>
        <charset val="134"/>
      </rPr>
      <t>新增测试</t>
    </r>
  </si>
  <si>
    <t>K.02.1a 新增选样输出</t>
  </si>
  <si>
    <r>
      <rPr>
        <b/>
        <sz val="10"/>
        <color rgb="FF000000"/>
        <rFont val="Arial"/>
        <charset val="134"/>
      </rPr>
      <t xml:space="preserve">K.02.2 </t>
    </r>
    <r>
      <rPr>
        <b/>
        <sz val="10"/>
        <color rgb="FF000000"/>
        <rFont val="微软雅黑"/>
        <charset val="134"/>
      </rPr>
      <t>处置测试（认定：</t>
    </r>
    <r>
      <rPr>
        <b/>
        <sz val="10"/>
        <color rgb="FF000000"/>
        <rFont val="Arial"/>
        <charset val="134"/>
      </rPr>
      <t>BS</t>
    </r>
    <r>
      <rPr>
        <b/>
        <sz val="10"/>
        <color rgb="FF000000"/>
        <rFont val="微软雅黑"/>
        <charset val="134"/>
      </rPr>
      <t>：</t>
    </r>
    <r>
      <rPr>
        <b/>
        <sz val="10"/>
        <color rgb="FF000000"/>
        <rFont val="Arial"/>
        <charset val="134"/>
      </rPr>
      <t>E</t>
    </r>
    <r>
      <rPr>
        <b/>
        <sz val="10"/>
        <color rgb="FF000000"/>
        <rFont val="微软雅黑"/>
        <charset val="134"/>
      </rPr>
      <t>、</t>
    </r>
    <r>
      <rPr>
        <b/>
        <sz val="10"/>
        <color rgb="FF000000"/>
        <rFont val="Arial"/>
        <charset val="134"/>
      </rPr>
      <t>V</t>
    </r>
    <r>
      <rPr>
        <b/>
        <sz val="10"/>
        <color rgb="FF000000"/>
        <rFont val="微软雅黑"/>
        <charset val="134"/>
      </rPr>
      <t>、</t>
    </r>
    <r>
      <rPr>
        <b/>
        <sz val="10"/>
        <color rgb="FF000000"/>
        <rFont val="Arial"/>
        <charset val="134"/>
      </rPr>
      <t>C</t>
    </r>
    <r>
      <rPr>
        <b/>
        <sz val="10"/>
        <color rgb="FF000000"/>
        <rFont val="微软雅黑"/>
        <charset val="134"/>
      </rPr>
      <t>、</t>
    </r>
    <r>
      <rPr>
        <b/>
        <sz val="10"/>
        <color rgb="FF000000"/>
        <rFont val="Arial"/>
        <charset val="134"/>
      </rPr>
      <t>R&amp;O</t>
    </r>
    <r>
      <rPr>
        <b/>
        <sz val="10"/>
        <color rgb="FF000000"/>
        <rFont val="微软雅黑"/>
        <charset val="134"/>
      </rPr>
      <t>、</t>
    </r>
    <r>
      <rPr>
        <b/>
        <sz val="10"/>
        <color rgb="FF000000"/>
        <rFont val="Arial"/>
        <charset val="134"/>
      </rPr>
      <t>P&amp;D    IS</t>
    </r>
    <r>
      <rPr>
        <b/>
        <sz val="10"/>
        <color rgb="FF000000"/>
        <rFont val="微软雅黑"/>
        <charset val="134"/>
      </rPr>
      <t>：</t>
    </r>
    <r>
      <rPr>
        <b/>
        <sz val="10"/>
        <color rgb="FF000000"/>
        <rFont val="Arial"/>
        <charset val="134"/>
      </rPr>
      <t>M,P&amp;D</t>
    </r>
    <r>
      <rPr>
        <b/>
        <sz val="10"/>
        <color rgb="FF000000"/>
        <rFont val="微软雅黑"/>
        <charset val="134"/>
      </rPr>
      <t>）</t>
    </r>
  </si>
  <si>
    <r>
      <rPr>
        <sz val="10"/>
        <color theme="1"/>
        <rFont val="微软雅黑"/>
        <charset val="134"/>
      </rPr>
      <t>获取当期按类别划分的所有固定资产处置清单，包括记录的处置的损益，并将该清单与固定资产后推核对一致，我们调查超过</t>
    </r>
    <r>
      <rPr>
        <sz val="10"/>
        <color theme="1"/>
        <rFont val="Arial"/>
        <charset val="134"/>
      </rPr>
      <t>SAD</t>
    </r>
    <r>
      <rPr>
        <sz val="10"/>
        <color theme="1"/>
        <rFont val="微软雅黑"/>
        <charset val="134"/>
      </rPr>
      <t>名义金额的差额。</t>
    </r>
  </si>
  <si>
    <r>
      <rPr>
        <b/>
        <u/>
        <sz val="10"/>
        <color theme="4"/>
        <rFont val="微软雅黑"/>
        <charset val="134"/>
      </rPr>
      <t>处置清单</t>
    </r>
  </si>
  <si>
    <r>
      <rPr>
        <sz val="10"/>
        <color theme="1"/>
        <rFont val="微软雅黑"/>
        <charset val="134"/>
      </rPr>
      <t>对本年处置资产执行关键性样本测试和代表性样本测试（如需要）。</t>
    </r>
  </si>
  <si>
    <r>
      <rPr>
        <b/>
        <u/>
        <sz val="10"/>
        <color theme="4"/>
        <rFont val="Arial"/>
        <charset val="134"/>
      </rPr>
      <t xml:space="preserve">K.02.2 </t>
    </r>
    <r>
      <rPr>
        <b/>
        <u/>
        <sz val="11"/>
        <color theme="4"/>
        <rFont val="微软雅黑"/>
        <charset val="134"/>
      </rPr>
      <t>处置测试</t>
    </r>
  </si>
  <si>
    <t>否</t>
  </si>
  <si>
    <r>
      <rPr>
        <sz val="10"/>
        <color theme="1"/>
        <rFont val="宋体"/>
        <charset val="134"/>
      </rPr>
      <t>处置金额小于</t>
    </r>
    <r>
      <rPr>
        <sz val="10"/>
        <color theme="1"/>
        <rFont val="Arial"/>
        <charset val="134"/>
      </rPr>
      <t>TE</t>
    </r>
    <r>
      <rPr>
        <sz val="10"/>
        <color theme="1"/>
        <rFont val="宋体"/>
        <charset val="134"/>
      </rPr>
      <t>，不执行该程序</t>
    </r>
  </si>
  <si>
    <t>K.02.2a 处置选样输出</t>
  </si>
  <si>
    <t>K.03</t>
  </si>
  <si>
    <r>
      <rPr>
        <b/>
        <sz val="10"/>
        <color rgb="FF000000"/>
        <rFont val="Arial"/>
        <charset val="134"/>
      </rPr>
      <t xml:space="preserve">K.03 </t>
    </r>
    <r>
      <rPr>
        <b/>
        <sz val="10"/>
        <color rgb="FF000000"/>
        <rFont val="微软雅黑"/>
        <charset val="134"/>
      </rPr>
      <t>折旧测试（认定：</t>
    </r>
    <r>
      <rPr>
        <b/>
        <sz val="10"/>
        <color rgb="FF000000"/>
        <rFont val="Arial"/>
        <charset val="134"/>
      </rPr>
      <t>BS：V    IS:O</t>
    </r>
    <r>
      <rPr>
        <b/>
        <sz val="10"/>
        <color rgb="FF000000"/>
        <rFont val="微软雅黑"/>
        <charset val="134"/>
      </rPr>
      <t>、</t>
    </r>
    <r>
      <rPr>
        <b/>
        <sz val="10"/>
        <color rgb="FF000000"/>
        <rFont val="Arial"/>
        <charset val="134"/>
      </rPr>
      <t>M</t>
    </r>
    <r>
      <rPr>
        <b/>
        <sz val="10"/>
        <color rgb="FF000000"/>
        <rFont val="微软雅黑"/>
        <charset val="134"/>
      </rPr>
      <t>、</t>
    </r>
    <r>
      <rPr>
        <b/>
        <sz val="10"/>
        <color rgb="FF000000"/>
        <rFont val="Arial"/>
        <charset val="134"/>
      </rPr>
      <t>P&amp;D</t>
    </r>
    <r>
      <rPr>
        <b/>
        <sz val="10"/>
        <color rgb="FF000000"/>
        <rFont val="微软雅黑"/>
        <charset val="134"/>
      </rPr>
      <t>）</t>
    </r>
  </si>
  <si>
    <r>
      <rPr>
        <sz val="10"/>
        <color rgb="FF000000"/>
        <rFont val="微软雅黑"/>
        <charset val="134"/>
      </rPr>
      <t>执行实质性分析程序</t>
    </r>
    <r>
      <rPr>
        <sz val="10"/>
        <color rgb="FF000000"/>
        <rFont val="Arial"/>
        <charset val="134"/>
      </rPr>
      <t>(SAP)</t>
    </r>
    <r>
      <rPr>
        <sz val="10"/>
        <color rgb="FF000000"/>
        <rFont val="微软雅黑"/>
        <charset val="134"/>
      </rPr>
      <t>测试折旧费用，可参考</t>
    </r>
    <r>
      <rPr>
        <sz val="10"/>
        <color rgb="FF000000"/>
        <rFont val="Arial"/>
        <charset val="134"/>
      </rPr>
      <t xml:space="preserve">264 GL </t>
    </r>
    <r>
      <rPr>
        <sz val="10"/>
        <color rgb="FF000000"/>
        <rFont val="微软雅黑"/>
        <charset val="134"/>
      </rPr>
      <t>或</t>
    </r>
    <r>
      <rPr>
        <sz val="10"/>
        <color rgb="FF000000"/>
        <rFont val="Arial"/>
        <charset val="134"/>
      </rPr>
      <t>K.03.1 SAP</t>
    </r>
    <r>
      <rPr>
        <sz val="10"/>
        <color rgb="FF000000"/>
        <rFont val="微软雅黑"/>
        <charset val="134"/>
      </rPr>
      <t>模板执行。如不执行，可直接执行</t>
    </r>
    <r>
      <rPr>
        <sz val="10"/>
        <color rgb="FF000000"/>
        <rFont val="Arial"/>
        <charset val="134"/>
      </rPr>
      <t xml:space="preserve">K.03.2 </t>
    </r>
    <r>
      <rPr>
        <sz val="10"/>
        <color rgb="FF000000"/>
        <rFont val="微软雅黑"/>
        <charset val="134"/>
      </rPr>
      <t>折旧测试</t>
    </r>
    <r>
      <rPr>
        <sz val="10"/>
        <color rgb="FF000000"/>
        <rFont val="Arial"/>
        <charset val="134"/>
      </rPr>
      <t>TOD</t>
    </r>
    <r>
      <rPr>
        <sz val="10"/>
        <color rgb="FF000000"/>
        <rFont val="微软雅黑"/>
        <charset val="134"/>
      </rPr>
      <t>。</t>
    </r>
  </si>
  <si>
    <t>K.03.1 SAP</t>
  </si>
  <si>
    <r>
      <rPr>
        <sz val="10"/>
        <color theme="1"/>
        <rFont val="宋体"/>
        <charset val="134"/>
      </rPr>
      <t>进行折旧测试，详见&lt;</t>
    </r>
    <r>
      <rPr>
        <sz val="10"/>
        <color theme="1"/>
        <rFont val="Arial"/>
        <charset val="134"/>
      </rPr>
      <t>K1_400</t>
    </r>
    <r>
      <rPr>
        <sz val="10"/>
        <color theme="1"/>
        <rFont val="宋体"/>
        <charset val="134"/>
      </rPr>
      <t>折旧测试&gt;</t>
    </r>
  </si>
  <si>
    <t>如选择执行详细测试，可使用该底稿记录。</t>
  </si>
  <si>
    <r>
      <rPr>
        <b/>
        <u/>
        <sz val="10"/>
        <color theme="4"/>
        <rFont val="Arial"/>
        <charset val="134"/>
      </rPr>
      <t xml:space="preserve">K.03.2 </t>
    </r>
    <r>
      <rPr>
        <b/>
        <u/>
        <sz val="10"/>
        <color theme="4"/>
        <rFont val="微软雅黑"/>
        <charset val="134"/>
      </rPr>
      <t>折旧测试</t>
    </r>
    <r>
      <rPr>
        <b/>
        <u/>
        <sz val="10"/>
        <color theme="4"/>
        <rFont val="Arial"/>
        <charset val="134"/>
      </rPr>
      <t>TOD</t>
    </r>
  </si>
  <si>
    <r>
      <rPr>
        <sz val="10"/>
        <color rgb="FF000000"/>
        <rFont val="微软雅黑"/>
        <charset val="134"/>
      </rPr>
      <t>检查固定资产各项目的折旧政策是否符合有关规定，是否与上期一致，评价其合理性。若改变折旧政策，检查其依据是否充分。</t>
    </r>
  </si>
  <si>
    <r>
      <rPr>
        <b/>
        <u/>
        <sz val="10"/>
        <color theme="4"/>
        <rFont val="Arial"/>
        <charset val="134"/>
      </rPr>
      <t xml:space="preserve">K.03.3 </t>
    </r>
    <r>
      <rPr>
        <b/>
        <u/>
        <sz val="10"/>
        <color theme="4"/>
        <rFont val="微软雅黑"/>
        <charset val="134"/>
      </rPr>
      <t>折旧政策复核</t>
    </r>
  </si>
  <si>
    <t>K.04</t>
  </si>
  <si>
    <r>
      <rPr>
        <b/>
        <sz val="10"/>
        <color rgb="FF000000"/>
        <rFont val="Arial"/>
        <charset val="134"/>
      </rPr>
      <t>K.04 固定资产的减值</t>
    </r>
    <r>
      <rPr>
        <b/>
        <sz val="10"/>
        <color rgb="FF000000"/>
        <rFont val="Microsoft YaHei"/>
        <charset val="134"/>
      </rPr>
      <t>（认定：</t>
    </r>
    <r>
      <rPr>
        <b/>
        <sz val="10"/>
        <color rgb="FF000000"/>
        <rFont val="Arial"/>
        <charset val="134"/>
      </rPr>
      <t>BS</t>
    </r>
    <r>
      <rPr>
        <b/>
        <sz val="10"/>
        <color rgb="FF000000"/>
        <rFont val="Microsoft YaHei"/>
        <charset val="134"/>
      </rPr>
      <t>：</t>
    </r>
    <r>
      <rPr>
        <b/>
        <sz val="10"/>
        <color rgb="FF000000"/>
        <rFont val="Arial"/>
        <charset val="134"/>
      </rPr>
      <t>V  IS：M</t>
    </r>
    <r>
      <rPr>
        <b/>
        <sz val="10"/>
        <color rgb="FF000000"/>
        <rFont val="Microsoft YaHei"/>
        <charset val="134"/>
      </rPr>
      <t>）</t>
    </r>
  </si>
  <si>
    <r>
      <rPr>
        <sz val="10"/>
        <color rgb="FF000000"/>
        <rFont val="Arial"/>
        <charset val="134"/>
      </rPr>
      <t>1.</t>
    </r>
    <r>
      <rPr>
        <sz val="10"/>
        <color rgb="FF000000"/>
        <rFont val="微软雅黑"/>
        <charset val="134"/>
      </rPr>
      <t>使用在审计过程中所获得的信息来确定管理层是否已识别适当的减值迹象；可使用</t>
    </r>
    <r>
      <rPr>
        <sz val="10"/>
        <color rgb="FF000000"/>
        <rFont val="Arial"/>
        <charset val="134"/>
      </rPr>
      <t>PSP Canvas form K.04</t>
    </r>
    <r>
      <rPr>
        <sz val="10"/>
        <color rgb="FF000000"/>
        <rFont val="微软雅黑"/>
        <charset val="134"/>
      </rPr>
      <t>：识别减值迹象，也可使用</t>
    </r>
    <r>
      <rPr>
        <sz val="10"/>
        <color rgb="FF000000"/>
        <rFont val="Arial"/>
        <charset val="134"/>
      </rPr>
      <t xml:space="preserve"> &lt;SWP</t>
    </r>
    <r>
      <rPr>
        <sz val="10"/>
        <color rgb="FF000000"/>
        <rFont val="微软雅黑"/>
        <charset val="134"/>
      </rPr>
      <t>减值迹象识别</t>
    </r>
    <r>
      <rPr>
        <sz val="10"/>
        <color rgb="FF000000"/>
        <rFont val="Arial"/>
        <charset val="134"/>
      </rPr>
      <t xml:space="preserve">&gt; </t>
    </r>
    <r>
      <rPr>
        <sz val="10"/>
        <color rgb="FF000000"/>
        <rFont val="微软雅黑"/>
        <charset val="134"/>
      </rPr>
      <t xml:space="preserve">对减值迹象进行评估，并根据指引要求获取相关支持性文件。
</t>
    </r>
    <r>
      <rPr>
        <sz val="10"/>
        <color rgb="FF000000"/>
        <rFont val="Arial"/>
        <charset val="134"/>
      </rPr>
      <t>2.</t>
    </r>
    <r>
      <rPr>
        <sz val="10"/>
        <color rgb="FF000000"/>
        <rFont val="微软雅黑"/>
        <charset val="134"/>
      </rPr>
      <t xml:space="preserve">如有减值迹象的，评价管理层假设、未来现金流等减值评估的合理性，核实并测算减值金额。
</t>
    </r>
    <r>
      <rPr>
        <sz val="10"/>
        <color rgb="FF000000"/>
        <rFont val="Arial"/>
        <charset val="134"/>
      </rPr>
      <t>3.</t>
    </r>
    <r>
      <rPr>
        <sz val="10"/>
        <color rgb="FF000000"/>
        <rFont val="微软雅黑"/>
        <charset val="134"/>
      </rPr>
      <t>检查是否存在转回固定资产减值准备的情况，确定减值准备在以后会计期间没有转回。</t>
    </r>
  </si>
  <si>
    <t>项目组自行填写底稿索引</t>
  </si>
  <si>
    <t>本期无减值迹象</t>
  </si>
  <si>
    <r>
      <rPr>
        <b/>
        <sz val="14"/>
        <color rgb="FFFFFFFF"/>
        <rFont val="微软雅黑"/>
        <charset val="134"/>
      </rPr>
      <t xml:space="preserve">                                                                                                                             标准工作底稿</t>
    </r>
    <r>
      <rPr>
        <b/>
        <sz val="14"/>
        <color rgb="FFFFFFFF"/>
        <rFont val="Arial"/>
        <charset val="134"/>
      </rPr>
      <t xml:space="preserve">: K1 SWP </t>
    </r>
    <r>
      <rPr>
        <b/>
        <sz val="14"/>
        <color rgb="FFFFFFFF"/>
        <rFont val="微软雅黑"/>
        <charset val="134"/>
      </rPr>
      <t>不动产、厂房和设备及相关账户（</t>
    </r>
    <r>
      <rPr>
        <b/>
        <sz val="14"/>
        <color rgb="FFFFFFFF"/>
        <rFont val="Arial"/>
        <charset val="134"/>
      </rPr>
      <t>PPE</t>
    </r>
    <r>
      <rPr>
        <b/>
        <sz val="14"/>
        <color rgb="FFFFFFFF"/>
        <rFont val="微软雅黑"/>
        <charset val="134"/>
      </rPr>
      <t>）</t>
    </r>
  </si>
  <si>
    <r>
      <rPr>
        <b/>
        <sz val="12"/>
        <rFont val="微软雅黑"/>
        <charset val="134"/>
      </rPr>
      <t>客户名称</t>
    </r>
  </si>
  <si>
    <r>
      <rPr>
        <b/>
        <sz val="12"/>
        <rFont val="Arial"/>
        <charset val="134"/>
      </rPr>
      <t>B</t>
    </r>
    <r>
      <rPr>
        <b/>
        <sz val="12"/>
        <rFont val="宋体"/>
        <charset val="134"/>
      </rPr>
      <t>医疗公司</t>
    </r>
  </si>
  <si>
    <r>
      <rPr>
        <b/>
        <sz val="12"/>
        <color rgb="FF000000"/>
        <rFont val="微软雅黑"/>
        <charset val="134"/>
      </rPr>
      <t>此工作底稿需要与以下</t>
    </r>
    <r>
      <rPr>
        <b/>
        <sz val="12"/>
        <color rgb="FF000000"/>
        <rFont val="Arial"/>
        <charset val="134"/>
      </rPr>
      <t xml:space="preserve"> Canvas PSP guided workflow forms</t>
    </r>
    <r>
      <rPr>
        <b/>
        <sz val="12"/>
        <color rgb="FF000000"/>
        <rFont val="微软雅黑"/>
        <charset val="134"/>
      </rPr>
      <t xml:space="preserve">一起使用：
</t>
    </r>
    <r>
      <rPr>
        <b/>
        <sz val="12"/>
        <color rgb="FF000000"/>
        <rFont val="Arial"/>
        <charset val="134"/>
      </rPr>
      <t>•K.00 PPE</t>
    </r>
    <r>
      <rPr>
        <b/>
        <sz val="12"/>
        <color rgb="FF000000"/>
        <rFont val="微软雅黑"/>
        <charset val="134"/>
      </rPr>
      <t xml:space="preserve">引导表
</t>
    </r>
    <r>
      <rPr>
        <b/>
        <sz val="12"/>
        <color rgb="FF000000"/>
        <rFont val="Arial"/>
        <charset val="134"/>
      </rPr>
      <t xml:space="preserve">•K.01 </t>
    </r>
    <r>
      <rPr>
        <b/>
        <sz val="12"/>
        <color rgb="FF000000"/>
        <rFont val="微软雅黑"/>
        <charset val="134"/>
      </rPr>
      <t xml:space="preserve">将明细账与总账核对一致
</t>
    </r>
    <r>
      <rPr>
        <b/>
        <sz val="12"/>
        <color rgb="FF000000"/>
        <rFont val="Arial"/>
        <charset val="134"/>
      </rPr>
      <t xml:space="preserve">•K.02 </t>
    </r>
    <r>
      <rPr>
        <b/>
        <sz val="12"/>
        <color rgb="FF000000"/>
        <rFont val="微软雅黑"/>
        <charset val="134"/>
      </rPr>
      <t xml:space="preserve">增加和处置
</t>
    </r>
    <r>
      <rPr>
        <b/>
        <sz val="12"/>
        <color rgb="FF000000"/>
        <rFont val="Arial"/>
        <charset val="134"/>
      </rPr>
      <t xml:space="preserve">•K.03 </t>
    </r>
    <r>
      <rPr>
        <b/>
        <sz val="12"/>
        <color rgb="FF000000"/>
        <rFont val="微软雅黑"/>
        <charset val="134"/>
      </rPr>
      <t xml:space="preserve">折旧、损耗和摊销
</t>
    </r>
    <r>
      <rPr>
        <b/>
        <sz val="12"/>
        <color rgb="FF000000"/>
        <rFont val="Arial"/>
        <charset val="134"/>
      </rPr>
      <t xml:space="preserve">•K.04 </t>
    </r>
    <r>
      <rPr>
        <b/>
        <sz val="12"/>
        <color rgb="FF000000"/>
        <rFont val="微软雅黑"/>
        <charset val="134"/>
      </rPr>
      <t xml:space="preserve">固定资产减值
</t>
    </r>
    <r>
      <rPr>
        <b/>
        <sz val="12"/>
        <color rgb="FF000000"/>
        <rFont val="Arial"/>
        <charset val="134"/>
      </rPr>
      <t>•</t>
    </r>
    <r>
      <rPr>
        <b/>
        <sz val="12"/>
        <color rgb="FF000000"/>
        <rFont val="微软雅黑"/>
        <charset val="134"/>
      </rPr>
      <t>账户结论</t>
    </r>
  </si>
  <si>
    <r>
      <rPr>
        <b/>
        <sz val="12"/>
        <rFont val="微软雅黑"/>
        <charset val="134"/>
      </rPr>
      <t>期末</t>
    </r>
  </si>
  <si>
    <r>
      <rPr>
        <b/>
        <sz val="12"/>
        <rFont val="微软雅黑"/>
        <charset val="134"/>
      </rPr>
      <t>分析日期</t>
    </r>
  </si>
  <si>
    <r>
      <rPr>
        <b/>
        <sz val="12"/>
        <rFont val="微软雅黑"/>
        <charset val="134"/>
      </rPr>
      <t>可容忍误差（</t>
    </r>
    <r>
      <rPr>
        <b/>
        <sz val="12"/>
        <rFont val="Arial"/>
        <charset val="134"/>
      </rPr>
      <t>TE</t>
    </r>
    <r>
      <rPr>
        <b/>
        <sz val="12"/>
        <rFont val="微软雅黑"/>
        <charset val="134"/>
      </rPr>
      <t>）</t>
    </r>
  </si>
  <si>
    <r>
      <rPr>
        <b/>
        <sz val="12"/>
        <rFont val="微软雅黑"/>
        <charset val="134"/>
      </rPr>
      <t>名义金额（</t>
    </r>
    <r>
      <rPr>
        <b/>
        <sz val="12"/>
        <rFont val="Arial"/>
        <charset val="134"/>
      </rPr>
      <t>SAD</t>
    </r>
    <r>
      <rPr>
        <b/>
        <sz val="12"/>
        <rFont val="微软雅黑"/>
        <charset val="134"/>
      </rPr>
      <t>）</t>
    </r>
  </si>
  <si>
    <r>
      <rPr>
        <b/>
        <sz val="12"/>
        <rFont val="微软雅黑"/>
        <charset val="134"/>
      </rPr>
      <t>适用会计准则（</t>
    </r>
    <r>
      <rPr>
        <b/>
        <sz val="12"/>
        <rFont val="Arial"/>
        <charset val="134"/>
      </rPr>
      <t>GAAP</t>
    </r>
    <r>
      <rPr>
        <b/>
        <sz val="12"/>
        <rFont val="微软雅黑"/>
        <charset val="134"/>
      </rPr>
      <t>）</t>
    </r>
  </si>
  <si>
    <t>企业会计准则</t>
  </si>
  <si>
    <r>
      <rPr>
        <b/>
        <sz val="12"/>
        <rFont val="微软雅黑"/>
        <charset val="134"/>
      </rPr>
      <t>记账本位币</t>
    </r>
  </si>
  <si>
    <t>CNY</t>
  </si>
  <si>
    <r>
      <rPr>
        <b/>
        <sz val="12"/>
        <color rgb="FF000000"/>
        <rFont val="Arial"/>
        <charset val="134"/>
      </rPr>
      <t xml:space="preserve">K.00 </t>
    </r>
    <r>
      <rPr>
        <b/>
        <sz val="12"/>
        <color rgb="FF000000"/>
        <rFont val="微软雅黑"/>
        <charset val="134"/>
      </rPr>
      <t>编制引导表并比较余额</t>
    </r>
  </si>
  <si>
    <t>返回汇总页</t>
  </si>
  <si>
    <t>Threshold(s)</t>
  </si>
  <si>
    <r>
      <rPr>
        <b/>
        <sz val="10"/>
        <rFont val="微软雅黑"/>
        <charset val="134"/>
      </rPr>
      <t>安永标记</t>
    </r>
  </si>
  <si>
    <r>
      <rPr>
        <b/>
        <sz val="10"/>
        <rFont val="微软雅黑"/>
        <charset val="134"/>
      </rPr>
      <t>认定</t>
    </r>
  </si>
  <si>
    <t>CRA</t>
  </si>
  <si>
    <r>
      <rPr>
        <b/>
        <sz val="10"/>
        <rFont val="微软雅黑"/>
        <charset val="134"/>
      </rPr>
      <t>各项认定</t>
    </r>
    <r>
      <rPr>
        <b/>
        <vertAlign val="superscript"/>
        <sz val="10"/>
        <color rgb="FFFF0000"/>
        <rFont val="Arial"/>
        <charset val="134"/>
      </rPr>
      <t>1</t>
    </r>
  </si>
  <si>
    <r>
      <rPr>
        <b/>
        <sz val="10"/>
        <rFont val="微软雅黑"/>
        <charset val="134"/>
      </rPr>
      <t>所有相关认定</t>
    </r>
    <r>
      <rPr>
        <b/>
        <sz val="10"/>
        <rFont val="Arial"/>
        <charset val="134"/>
      </rPr>
      <t xml:space="preserve"> </t>
    </r>
    <r>
      <rPr>
        <b/>
        <vertAlign val="superscript"/>
        <sz val="10"/>
        <color rgb="FFFF0000"/>
        <rFont val="Arial"/>
        <charset val="134"/>
      </rPr>
      <t>2</t>
    </r>
  </si>
  <si>
    <t>TB</t>
  </si>
  <si>
    <r>
      <rPr>
        <sz val="10"/>
        <color rgb="FF000000"/>
        <rFont val="微软雅黑"/>
        <charset val="134"/>
      </rPr>
      <t>已与科目余额表核对无误</t>
    </r>
  </si>
  <si>
    <r>
      <rPr>
        <sz val="10"/>
        <color rgb="FF000000"/>
        <rFont val="微软雅黑"/>
        <charset val="134"/>
      </rPr>
      <t>完整性（</t>
    </r>
    <r>
      <rPr>
        <sz val="10"/>
        <color rgb="FF000000"/>
        <rFont val="Arial"/>
        <charset val="134"/>
      </rPr>
      <t>C</t>
    </r>
    <r>
      <rPr>
        <sz val="10"/>
        <color rgb="FF000000"/>
        <rFont val="微软雅黑"/>
        <charset val="134"/>
      </rPr>
      <t>）</t>
    </r>
  </si>
  <si>
    <t>Minimal</t>
  </si>
  <si>
    <t>PY</t>
  </si>
  <si>
    <r>
      <rPr>
        <sz val="10"/>
        <color rgb="FF000000"/>
        <rFont val="微软雅黑"/>
        <charset val="134"/>
      </rPr>
      <t>与上年最终审定数核对一致</t>
    </r>
  </si>
  <si>
    <r>
      <rPr>
        <sz val="10"/>
        <color rgb="FF000000"/>
        <rFont val="微软雅黑"/>
        <charset val="134"/>
      </rPr>
      <t>存在性</t>
    </r>
    <r>
      <rPr>
        <sz val="10"/>
        <color rgb="FF000000"/>
        <rFont val="Arial"/>
        <charset val="134"/>
      </rPr>
      <t>/</t>
    </r>
    <r>
      <rPr>
        <sz val="10"/>
        <color rgb="FF000000"/>
        <rFont val="微软雅黑"/>
        <charset val="134"/>
      </rPr>
      <t>发生</t>
    </r>
    <r>
      <rPr>
        <sz val="10"/>
        <color rgb="FF000000"/>
        <rFont val="Arial"/>
        <charset val="134"/>
      </rPr>
      <t xml:space="preserve"> (E/O)</t>
    </r>
  </si>
  <si>
    <t>A3</t>
  </si>
  <si>
    <r>
      <rPr>
        <sz val="10"/>
        <rFont val="微软雅黑"/>
        <charset val="134"/>
      </rPr>
      <t>与未审数、审定数核对一致</t>
    </r>
  </si>
  <si>
    <r>
      <rPr>
        <sz val="10"/>
        <color rgb="FF000000"/>
        <rFont val="微软雅黑"/>
        <charset val="134"/>
      </rPr>
      <t>计价</t>
    </r>
    <r>
      <rPr>
        <sz val="10"/>
        <color rgb="FF000000"/>
        <rFont val="Arial"/>
        <charset val="134"/>
      </rPr>
      <t>/</t>
    </r>
    <r>
      <rPr>
        <sz val="10"/>
        <color rgb="FF000000"/>
        <rFont val="微软雅黑"/>
        <charset val="134"/>
      </rPr>
      <t>计量（</t>
    </r>
    <r>
      <rPr>
        <sz val="10"/>
        <color rgb="FF000000"/>
        <rFont val="Arial"/>
        <charset val="134"/>
      </rPr>
      <t>V/M</t>
    </r>
    <r>
      <rPr>
        <sz val="10"/>
        <color rgb="FF000000"/>
        <rFont val="微软雅黑"/>
        <charset val="134"/>
      </rPr>
      <t>）</t>
    </r>
  </si>
  <si>
    <t>Low</t>
  </si>
  <si>
    <t>A5</t>
  </si>
  <si>
    <r>
      <rPr>
        <sz val="10"/>
        <rFont val="微软雅黑"/>
        <charset val="134"/>
      </rPr>
      <t>与审计调整核对一致</t>
    </r>
  </si>
  <si>
    <r>
      <rPr>
        <sz val="10"/>
        <color rgb="FF000000"/>
        <rFont val="微软雅黑"/>
        <charset val="134"/>
      </rPr>
      <t>权利和义务（</t>
    </r>
    <r>
      <rPr>
        <sz val="10"/>
        <color rgb="FF000000"/>
        <rFont val="Arial"/>
        <charset val="134"/>
      </rPr>
      <t>R&amp;O</t>
    </r>
    <r>
      <rPr>
        <sz val="10"/>
        <color rgb="FF000000"/>
        <rFont val="微软雅黑"/>
        <charset val="134"/>
      </rPr>
      <t>）</t>
    </r>
  </si>
  <si>
    <t>FS</t>
  </si>
  <si>
    <r>
      <rPr>
        <sz val="10"/>
        <color rgb="FF000000"/>
        <rFont val="微软雅黑"/>
        <charset val="134"/>
      </rPr>
      <t>与</t>
    </r>
    <r>
      <rPr>
        <sz val="10"/>
        <color rgb="FF000000"/>
        <rFont val="Arial"/>
        <charset val="134"/>
      </rPr>
      <t>FS.0x</t>
    </r>
    <r>
      <rPr>
        <sz val="10"/>
        <color rgb="FF000000"/>
        <rFont val="微软雅黑"/>
        <charset val="134"/>
      </rPr>
      <t>与财务报表核对无误</t>
    </r>
  </si>
  <si>
    <r>
      <rPr>
        <sz val="10"/>
        <color rgb="FF000000"/>
        <rFont val="微软雅黑"/>
        <charset val="134"/>
      </rPr>
      <t>列报和披露（</t>
    </r>
    <r>
      <rPr>
        <sz val="10"/>
        <color rgb="FF000000"/>
        <rFont val="Arial"/>
        <charset val="134"/>
      </rPr>
      <t>P&amp;D</t>
    </r>
    <r>
      <rPr>
        <sz val="10"/>
        <color rgb="FF000000"/>
        <rFont val="微软雅黑"/>
        <charset val="134"/>
      </rPr>
      <t>）</t>
    </r>
  </si>
  <si>
    <t>w</t>
  </si>
  <si>
    <r>
      <rPr>
        <sz val="10"/>
        <color rgb="FF000000"/>
        <rFont val="微软雅黑"/>
        <charset val="134"/>
      </rPr>
      <t>低于</t>
    </r>
    <r>
      <rPr>
        <sz val="10"/>
        <color rgb="FF000000"/>
        <rFont val="Arial"/>
        <charset val="134"/>
      </rPr>
      <t>SAD</t>
    </r>
    <r>
      <rPr>
        <sz val="10"/>
        <color rgb="FF000000"/>
        <rFont val="微软雅黑"/>
        <charset val="134"/>
      </rPr>
      <t>的金额</t>
    </r>
    <r>
      <rPr>
        <sz val="10"/>
        <color rgb="FF000000"/>
        <rFont val="Arial"/>
        <charset val="134"/>
      </rPr>
      <t>——</t>
    </r>
    <r>
      <rPr>
        <sz val="10"/>
        <color rgb="FF000000"/>
        <rFont val="微软雅黑"/>
        <charset val="134"/>
      </rPr>
      <t>放弃进一步调查</t>
    </r>
  </si>
  <si>
    <r>
      <rPr>
        <b/>
        <i/>
        <sz val="9"/>
        <color rgb="FFFF0000"/>
        <rFont val="Arial"/>
        <charset val="134"/>
      </rPr>
      <t xml:space="preserve">1 </t>
    </r>
    <r>
      <rPr>
        <b/>
        <i/>
        <sz val="9"/>
        <color rgb="FFFF0000"/>
        <rFont val="微软雅黑"/>
        <charset val="134"/>
      </rPr>
      <t>各项认定的测试阈值，是根据</t>
    </r>
    <r>
      <rPr>
        <b/>
        <i/>
        <sz val="9"/>
        <color rgb="FFFF0000"/>
        <rFont val="Arial"/>
        <charset val="134"/>
      </rPr>
      <t xml:space="preserve">EY GAM SUBSTANTIVE DESIGN 2.2.1 </t>
    </r>
  </si>
  <si>
    <t>Rx</t>
  </si>
  <si>
    <r>
      <rPr>
        <sz val="10"/>
        <color rgb="FF000000"/>
        <rFont val="微软雅黑"/>
        <charset val="134"/>
      </rPr>
      <t>重新计算，无异常</t>
    </r>
  </si>
  <si>
    <r>
      <rPr>
        <b/>
        <i/>
        <sz val="9"/>
        <color rgb="FFFF0000"/>
        <rFont val="微软雅黑"/>
        <charset val="134"/>
      </rPr>
      <t>中的示例测试阈值（用占</t>
    </r>
    <r>
      <rPr>
        <b/>
        <i/>
        <sz val="9"/>
        <color rgb="FFFF0000"/>
        <rFont val="Arial"/>
        <charset val="134"/>
      </rPr>
      <t>TE</t>
    </r>
    <r>
      <rPr>
        <b/>
        <i/>
        <sz val="9"/>
        <color rgb="FFFF0000"/>
        <rFont val="微软雅黑"/>
        <charset val="134"/>
      </rPr>
      <t>的百分比表示）在相应风险等级（</t>
    </r>
    <r>
      <rPr>
        <b/>
        <i/>
        <sz val="9"/>
        <color rgb="FFFF0000"/>
        <rFont val="Arial"/>
        <charset val="134"/>
      </rPr>
      <t>CRA</t>
    </r>
    <r>
      <rPr>
        <b/>
        <i/>
        <sz val="9"/>
        <color rgb="FFFF0000"/>
        <rFont val="微软雅黑"/>
        <charset val="134"/>
      </rPr>
      <t>）区间的上限计算得出的。</t>
    </r>
  </si>
  <si>
    <t>m</t>
  </si>
  <si>
    <r>
      <rPr>
        <sz val="10"/>
        <color rgb="FF000000"/>
        <rFont val="微软雅黑"/>
        <charset val="134"/>
      </rPr>
      <t>余额</t>
    </r>
    <r>
      <rPr>
        <sz val="10"/>
        <color rgb="FF000000"/>
        <rFont val="Arial"/>
        <charset val="134"/>
      </rPr>
      <t>/</t>
    </r>
    <r>
      <rPr>
        <sz val="10"/>
        <color rgb="FF000000"/>
        <rFont val="微软雅黑"/>
        <charset val="134"/>
      </rPr>
      <t>活动不符合测试范围</t>
    </r>
    <r>
      <rPr>
        <sz val="10"/>
        <color rgb="FF000000"/>
        <rFont val="Arial"/>
        <charset val="134"/>
      </rPr>
      <t>–</t>
    </r>
    <r>
      <rPr>
        <sz val="10"/>
        <color rgb="FF000000"/>
        <rFont val="微软雅黑"/>
        <charset val="134"/>
      </rPr>
      <t>无需进一步调查</t>
    </r>
  </si>
  <si>
    <r>
      <rPr>
        <b/>
        <i/>
        <sz val="9"/>
        <color rgb="FFFF0000"/>
        <rFont val="微软雅黑"/>
        <charset val="134"/>
      </rPr>
      <t>除负债</t>
    </r>
    <r>
      <rPr>
        <b/>
        <i/>
        <sz val="9"/>
        <color rgb="FFFF0000"/>
        <rFont val="Arial"/>
        <charset val="134"/>
      </rPr>
      <t>/</t>
    </r>
    <r>
      <rPr>
        <b/>
        <i/>
        <sz val="9"/>
        <color rgb="FFFF0000"/>
        <rFont val="微软雅黑"/>
        <charset val="134"/>
      </rPr>
      <t>费用类别账户的完整性认定应当使用负债</t>
    </r>
    <r>
      <rPr>
        <b/>
        <i/>
        <sz val="9"/>
        <color rgb="FFFF0000"/>
        <rFont val="Arial"/>
        <charset val="134"/>
      </rPr>
      <t>/</t>
    </r>
    <r>
      <rPr>
        <b/>
        <i/>
        <sz val="9"/>
        <color rgb="FFFF0000"/>
        <rFont val="微软雅黑"/>
        <charset val="134"/>
      </rPr>
      <t>费用账户表之外，其他类别账户和认定均可使用资产</t>
    </r>
    <r>
      <rPr>
        <b/>
        <i/>
        <sz val="9"/>
        <color rgb="FFFF0000"/>
        <rFont val="Arial"/>
        <charset val="134"/>
      </rPr>
      <t>/</t>
    </r>
    <r>
      <rPr>
        <b/>
        <i/>
        <sz val="9"/>
        <color rgb="FFFF0000"/>
        <rFont val="微软雅黑"/>
        <charset val="134"/>
      </rPr>
      <t>收入账户表。</t>
    </r>
  </si>
  <si>
    <t>SL</t>
  </si>
  <si>
    <r>
      <rPr>
        <sz val="10"/>
        <color rgb="FF000000"/>
        <rFont val="微软雅黑"/>
        <charset val="134"/>
      </rPr>
      <t>已与明细账核对无误</t>
    </r>
  </si>
  <si>
    <r>
      <rPr>
        <b/>
        <i/>
        <sz val="9"/>
        <color rgb="FFFF0000"/>
        <rFont val="Arial"/>
        <charset val="134"/>
      </rPr>
      <t xml:space="preserve">2 </t>
    </r>
    <r>
      <rPr>
        <b/>
        <i/>
        <sz val="9"/>
        <color rgb="FFFF0000"/>
        <rFont val="微软雅黑"/>
        <charset val="134"/>
      </rPr>
      <t>所有相关认定的测试阈值，是所有有效认定对应之测试阈值的最小值。我们在</t>
    </r>
    <r>
      <rPr>
        <b/>
        <i/>
        <sz val="9"/>
        <color rgb="FFFF0000"/>
        <rFont val="Arial"/>
        <charset val="134"/>
      </rPr>
      <t xml:space="preserve"> </t>
    </r>
  </si>
  <si>
    <r>
      <rPr>
        <b/>
        <i/>
        <sz val="9"/>
        <color rgb="FFFF0000"/>
        <rFont val="Arial"/>
        <charset val="134"/>
      </rPr>
      <t>Lead</t>
    </r>
    <r>
      <rPr>
        <b/>
        <i/>
        <sz val="9"/>
        <color rgb="FFFF0000"/>
        <rFont val="微软雅黑"/>
        <charset val="134"/>
      </rPr>
      <t>中使用该测试阈值：（</t>
    </r>
    <r>
      <rPr>
        <b/>
        <i/>
        <sz val="9"/>
        <color rgb="FFFF0000"/>
        <rFont val="Arial"/>
        <charset val="134"/>
      </rPr>
      <t>a</t>
    </r>
    <r>
      <rPr>
        <b/>
        <i/>
        <sz val="9"/>
        <color rgb="FFFF0000"/>
        <rFont val="微软雅黑"/>
        <charset val="134"/>
      </rPr>
      <t>）作为选取总账账户进行测试的起点；（</t>
    </r>
    <r>
      <rPr>
        <b/>
        <i/>
        <sz val="9"/>
        <color rgb="FFFF0000"/>
        <rFont val="Arial"/>
        <charset val="134"/>
      </rPr>
      <t>b</t>
    </r>
    <r>
      <rPr>
        <b/>
        <i/>
        <sz val="9"/>
        <color rgb="FFFF0000"/>
        <rFont val="微软雅黑"/>
        <charset val="134"/>
      </rPr>
      <t>）作为（需要进一步调查的）金额波动范围的起点。</t>
    </r>
  </si>
  <si>
    <r>
      <rPr>
        <b/>
        <sz val="10"/>
        <rFont val="微软雅黑"/>
        <charset val="134"/>
      </rPr>
      <t>在下文中描述我们对固定资产在此期间的相关账户余额和相关波动的预期，以及我们对这些预期的依据和理由。</t>
    </r>
  </si>
  <si>
    <r>
      <rPr>
        <b/>
        <sz val="10"/>
        <color theme="1"/>
        <rFont val="微软雅黑"/>
        <charset val="134"/>
      </rPr>
      <t>账户变更</t>
    </r>
  </si>
  <si>
    <r>
      <rPr>
        <b/>
        <sz val="10"/>
        <color theme="1"/>
        <rFont val="微软雅黑"/>
        <charset val="134"/>
      </rPr>
      <t>预期及额外考虑</t>
    </r>
  </si>
  <si>
    <r>
      <rPr>
        <b/>
        <i/>
        <sz val="10"/>
        <color theme="1"/>
        <rFont val="微软雅黑"/>
        <charset val="134"/>
      </rPr>
      <t>新增</t>
    </r>
  </si>
  <si>
    <r>
      <rPr>
        <sz val="10"/>
        <color rgb="FF000000"/>
        <rFont val="微软雅黑"/>
        <charset val="134"/>
      </rPr>
      <t>被审计单位为了满足不断增长的客户需求，购买新的设备和生产用具等资产，以取代已折旧和处置的资产和</t>
    </r>
    <r>
      <rPr>
        <sz val="10"/>
        <color rgb="FF000000"/>
        <rFont val="Arial"/>
        <charset val="134"/>
      </rPr>
      <t>/</t>
    </r>
    <r>
      <rPr>
        <sz val="10"/>
        <color rgb="FF000000"/>
        <rFont val="微软雅黑"/>
        <charset val="134"/>
      </rPr>
      <t>或维护资本支出支持其现有的生产经营活动；因此，我们预计</t>
    </r>
    <r>
      <rPr>
        <sz val="10"/>
        <color rgb="FF000000"/>
        <rFont val="等线"/>
        <charset val="134"/>
      </rPr>
      <t>本期</t>
    </r>
    <r>
      <rPr>
        <sz val="10"/>
        <color rgb="FF000000"/>
        <rFont val="微软雅黑"/>
        <charset val="134"/>
      </rPr>
      <t>固定资产的原值将存在新增的变动。</t>
    </r>
  </si>
  <si>
    <r>
      <rPr>
        <b/>
        <i/>
        <sz val="10"/>
        <color theme="1"/>
        <rFont val="微软雅黑"/>
        <charset val="134"/>
      </rPr>
      <t>减少</t>
    </r>
  </si>
  <si>
    <t>随着公司处置在使用寿命(3-5年)内已完全折旧的工具和设备，公司将对部分已报废资产进行处置。因此，我们预计本期固定资产的原值将存在处置的变动。</t>
  </si>
  <si>
    <r>
      <rPr>
        <b/>
        <i/>
        <sz val="10"/>
        <color theme="1"/>
        <rFont val="微软雅黑"/>
        <charset val="134"/>
      </rPr>
      <t>在建工程转入（如适用）</t>
    </r>
  </si>
  <si>
    <t>上年购买的需要安装的固定资产预计本期达到使用状态而转固。</t>
  </si>
  <si>
    <r>
      <rPr>
        <b/>
        <i/>
        <sz val="10"/>
        <color theme="1"/>
        <rFont val="微软雅黑"/>
        <charset val="134"/>
      </rPr>
      <t>转让、外汇和其他调整</t>
    </r>
  </si>
  <si>
    <t>被审计单位本期不涉及其他资产的转让、外汇业务等事项。</t>
  </si>
  <si>
    <r>
      <rPr>
        <b/>
        <i/>
        <sz val="10"/>
        <color theme="1"/>
        <rFont val="微软雅黑"/>
        <charset val="134"/>
      </rPr>
      <t>折旧方法</t>
    </r>
  </si>
  <si>
    <t>直线法，我们预计本年较上年无变化。</t>
  </si>
  <si>
    <r>
      <rPr>
        <b/>
        <i/>
        <sz val="10"/>
        <color theme="1"/>
        <rFont val="微软雅黑"/>
        <charset val="134"/>
      </rPr>
      <t>折旧费用</t>
    </r>
  </si>
  <si>
    <t>因为被审计单位折旧方法和使用寿命没有变化，将与往年一样正常计提折旧；同时，本年新增的机器设备将在全年投入使用，且无重大处置资产。因此，我们预计本年度累计折旧较上年增加。</t>
  </si>
  <si>
    <r>
      <rPr>
        <b/>
        <i/>
        <sz val="10"/>
        <color theme="1"/>
        <rFont val="微软雅黑"/>
        <charset val="134"/>
      </rPr>
      <t>使用寿命变化</t>
    </r>
  </si>
  <si>
    <t>由于本年度被审计单位的折旧政策未发生变化，我们预计被审计单位固定资产的使用寿命也不会发生变化。</t>
  </si>
  <si>
    <r>
      <rPr>
        <b/>
        <sz val="10"/>
        <rFont val="微软雅黑"/>
        <charset val="134"/>
      </rPr>
      <t>波动范围</t>
    </r>
  </si>
  <si>
    <r>
      <rPr>
        <b/>
        <sz val="10"/>
        <rFont val="微软雅黑"/>
        <charset val="134"/>
      </rPr>
      <t>波动幅度</t>
    </r>
    <r>
      <rPr>
        <b/>
        <sz val="10"/>
        <rFont val="Arial"/>
        <charset val="134"/>
      </rPr>
      <t xml:space="preserve"> (%):</t>
    </r>
  </si>
  <si>
    <r>
      <rPr>
        <b/>
        <sz val="10"/>
        <rFont val="微软雅黑"/>
        <charset val="134"/>
      </rPr>
      <t>我们获取或编制了与上期对比的重大账户（固定资产）引导表。我们将本期余额与试算平衡表核对一致，并将上期余额与上期审定数核对一致</t>
    </r>
    <r>
      <rPr>
        <b/>
        <sz val="10"/>
        <color rgb="FFFF0000"/>
        <rFont val="微软雅黑"/>
        <charset val="134"/>
      </rPr>
      <t>（如适用）</t>
    </r>
    <r>
      <rPr>
        <b/>
        <sz val="10"/>
        <rFont val="微软雅黑"/>
        <charset val="134"/>
      </rPr>
      <t>。</t>
    </r>
  </si>
  <si>
    <r>
      <rPr>
        <b/>
        <sz val="10"/>
        <rFont val="微软雅黑"/>
        <charset val="134"/>
      </rPr>
      <t>我们将期末余额与上期余额进行对比。调查超出测试阈值（金额和百分比）的波动，以及代表异常或预期外变动或未发生预期中变动的波动，并确定其对我们计划实质性程序的影响</t>
    </r>
    <r>
      <rPr>
        <b/>
        <sz val="10"/>
        <color rgb="FFFF0000"/>
        <rFont val="Arial"/>
        <charset val="134"/>
      </rPr>
      <t xml:space="preserve"> (</t>
    </r>
    <r>
      <rPr>
        <b/>
        <sz val="10"/>
        <color rgb="FFFF0000"/>
        <rFont val="微软雅黑"/>
        <charset val="134"/>
      </rPr>
      <t>如有</t>
    </r>
    <r>
      <rPr>
        <b/>
        <sz val="10"/>
        <color rgb="FFFF0000"/>
        <rFont val="Arial"/>
        <charset val="134"/>
      </rPr>
      <t>)</t>
    </r>
    <r>
      <rPr>
        <b/>
        <sz val="10"/>
        <rFont val="微软雅黑"/>
        <charset val="134"/>
      </rPr>
      <t>。</t>
    </r>
  </si>
  <si>
    <t>|------- TB -------|</t>
  </si>
  <si>
    <t>|------- PY -------|</t>
  </si>
  <si>
    <t>本期和上期期末余额</t>
  </si>
  <si>
    <t>基于波动幅度判断，是否进一步调查？</t>
  </si>
  <si>
    <t>基于定性考虑判断，是否进一步调查？</t>
  </si>
  <si>
    <t>总账科目编码</t>
  </si>
  <si>
    <t>科目名称</t>
  </si>
  <si>
    <t>索引号</t>
  </si>
  <si>
    <t>期末账面数</t>
  </si>
  <si>
    <t>账表调整数</t>
  </si>
  <si>
    <t>期末未审数</t>
  </si>
  <si>
    <t>审计调整数</t>
  </si>
  <si>
    <t>期末审定数</t>
  </si>
  <si>
    <t>上期末审定数</t>
  </si>
  <si>
    <t>变动金额</t>
  </si>
  <si>
    <t>变动%</t>
  </si>
  <si>
    <t>Notes</t>
  </si>
  <si>
    <r>
      <rPr>
        <b/>
        <sz val="10"/>
        <rFont val="微软雅黑"/>
        <charset val="134"/>
      </rPr>
      <t>原值</t>
    </r>
  </si>
  <si>
    <t>[A]</t>
  </si>
  <si>
    <r>
      <rPr>
        <b/>
        <sz val="10"/>
        <rFont val="微软雅黑"/>
        <charset val="134"/>
      </rPr>
      <t>累计折旧</t>
    </r>
  </si>
  <si>
    <r>
      <rPr>
        <b/>
        <sz val="10"/>
        <rFont val="微软雅黑"/>
        <charset val="134"/>
      </rPr>
      <t>减值准备</t>
    </r>
  </si>
  <si>
    <r>
      <rPr>
        <b/>
        <sz val="10"/>
        <color rgb="FF000000"/>
        <rFont val="微软雅黑"/>
        <charset val="134"/>
      </rPr>
      <t>净值</t>
    </r>
  </si>
  <si>
    <t>check with A3</t>
  </si>
  <si>
    <t>Diff</t>
  </si>
  <si>
    <t>波动说明</t>
  </si>
  <si>
    <t>本期固定资产原值较上期增加707千元，增长幅度为4%，主要系本年新购置了一批仪器设备及电子设备，累计折旧较上期增加1,849千元，增长幅度为15%，主要系本年新增资产计提折旧。</t>
  </si>
  <si>
    <r>
      <rPr>
        <b/>
        <sz val="10"/>
        <color rgb="FF000000"/>
        <rFont val="Arial"/>
        <charset val="134"/>
      </rPr>
      <t>调整汇总表</t>
    </r>
    <r>
      <rPr>
        <b/>
        <i/>
        <sz val="10"/>
        <color rgb="FFFF0000"/>
        <rFont val="Arial"/>
        <charset val="134"/>
      </rPr>
      <t>（如不适用请删除）</t>
    </r>
  </si>
  <si>
    <r>
      <rPr>
        <sz val="10"/>
        <rFont val="微软雅黑"/>
        <charset val="134"/>
      </rPr>
      <t>调整类型</t>
    </r>
  </si>
  <si>
    <t>调整编号</t>
  </si>
  <si>
    <t>借/贷</t>
  </si>
  <si>
    <t>2025PRC AA#4</t>
  </si>
  <si>
    <t>累计折旧</t>
  </si>
  <si>
    <t>期初未分配利润</t>
  </si>
  <si>
    <r>
      <rPr>
        <b/>
        <sz val="14"/>
        <color theme="0"/>
        <rFont val="微软雅黑"/>
        <charset val="134"/>
      </rPr>
      <t>标准工作底稿</t>
    </r>
    <r>
      <rPr>
        <b/>
        <sz val="14"/>
        <color theme="0"/>
        <rFont val="Arial"/>
        <charset val="134"/>
      </rPr>
      <t xml:space="preserve">: K1 SWP </t>
    </r>
    <r>
      <rPr>
        <b/>
        <sz val="14"/>
        <color theme="0"/>
        <rFont val="微软雅黑"/>
        <charset val="134"/>
      </rPr>
      <t>不动产、厂房和设备及相关账户（</t>
    </r>
    <r>
      <rPr>
        <b/>
        <sz val="14"/>
        <color theme="0"/>
        <rFont val="Arial"/>
        <charset val="134"/>
      </rPr>
      <t>PPE</t>
    </r>
    <r>
      <rPr>
        <b/>
        <sz val="14"/>
        <color theme="0"/>
        <rFont val="微软雅黑"/>
        <charset val="134"/>
      </rPr>
      <t>）</t>
    </r>
  </si>
  <si>
    <r>
      <rPr>
        <b/>
        <sz val="12"/>
        <color rgb="FF000000"/>
        <rFont val="Arial"/>
        <charset val="134"/>
      </rPr>
      <t xml:space="preserve">K.01 </t>
    </r>
    <r>
      <rPr>
        <b/>
        <sz val="12"/>
        <color rgb="FF000000"/>
        <rFont val="微软雅黑"/>
        <charset val="134"/>
      </rPr>
      <t>将明细账与总账核对一致</t>
    </r>
  </si>
  <si>
    <r>
      <rPr>
        <b/>
        <sz val="10"/>
        <rFont val="微软雅黑"/>
        <charset val="134"/>
      </rPr>
      <t>获取上期末至本期末（或中期，如适用）固定资产及相关新增、处置、转让和折旧的后推明细表。（原值、累计折旧、减值均为正数填列，本期减少以负数填列，账表调整、审计调整数据均直接链接至</t>
    </r>
    <r>
      <rPr>
        <b/>
        <sz val="10"/>
        <rFont val="Arial"/>
        <charset val="134"/>
      </rPr>
      <t>K.00 Lead</t>
    </r>
    <r>
      <rPr>
        <b/>
        <sz val="10"/>
        <rFont val="微软雅黑"/>
        <charset val="134"/>
      </rPr>
      <t>。）</t>
    </r>
  </si>
  <si>
    <r>
      <rPr>
        <b/>
        <sz val="10"/>
        <rFont val="微软雅黑"/>
        <charset val="134"/>
      </rPr>
      <t>我们将期初固定资产余额与上期审定数核对一致，将期末固定资产余额与固定资产明细账和试算表核对一致。我们调查了大于</t>
    </r>
    <r>
      <rPr>
        <b/>
        <sz val="10"/>
        <rFont val="Arial"/>
        <charset val="134"/>
      </rPr>
      <t>SAD</t>
    </r>
    <r>
      <rPr>
        <b/>
        <sz val="10"/>
        <rFont val="微软雅黑"/>
        <charset val="134"/>
      </rPr>
      <t>的差异。我们将利润表金额（如，折旧费用）与试算表核对一致</t>
    </r>
    <r>
      <rPr>
        <b/>
        <sz val="10"/>
        <color rgb="FFFF0000"/>
        <rFont val="微软雅黑"/>
        <charset val="134"/>
      </rPr>
      <t>（如适用）</t>
    </r>
    <r>
      <rPr>
        <b/>
        <sz val="10"/>
        <rFont val="微软雅黑"/>
        <charset val="134"/>
      </rPr>
      <t>。</t>
    </r>
  </si>
  <si>
    <r>
      <rPr>
        <b/>
        <sz val="10"/>
        <rFont val="微软雅黑"/>
        <charset val="134"/>
      </rPr>
      <t>我们选择了超过测试阈值的后推活动（如，新增、处置、固定资产转入、转移和折旧费用），以执行</t>
    </r>
    <r>
      <rPr>
        <b/>
        <sz val="10"/>
        <rFont val="Arial"/>
        <charset val="134"/>
      </rPr>
      <t>K.02</t>
    </r>
    <r>
      <rPr>
        <b/>
        <sz val="10"/>
        <rFont val="微软雅黑"/>
        <charset val="134"/>
      </rPr>
      <t>和</t>
    </r>
    <r>
      <rPr>
        <b/>
        <sz val="10"/>
        <rFont val="Arial"/>
        <charset val="134"/>
      </rPr>
      <t>K.03</t>
    </r>
    <r>
      <rPr>
        <b/>
        <sz val="10"/>
        <rFont val="微软雅黑"/>
        <charset val="134"/>
      </rPr>
      <t>的实质性程序。对于未包含在本程序表范围内的程序，我们交叉索引至完成该程序的单独程序表。我们评估了固定资产的转移和其他调整，以了解调整的性质，并确定是否需要执行额外程序。</t>
    </r>
  </si>
  <si>
    <t xml:space="preserve"> </t>
  </si>
  <si>
    <r>
      <rPr>
        <b/>
        <sz val="10"/>
        <color rgb="FFFF0000"/>
        <rFont val="微软雅黑"/>
        <charset val="134"/>
      </rPr>
      <t>表</t>
    </r>
    <r>
      <rPr>
        <b/>
        <sz val="10"/>
        <color rgb="FFFF0000"/>
        <rFont val="Arial"/>
        <charset val="134"/>
      </rPr>
      <t>1</t>
    </r>
  </si>
  <si>
    <t>|--------------------------- Rx ------------------------------|</t>
  </si>
  <si>
    <r>
      <rPr>
        <b/>
        <sz val="10"/>
        <rFont val="微软雅黑"/>
        <charset val="134"/>
      </rPr>
      <t>固定资产类别</t>
    </r>
  </si>
  <si>
    <t>办公设备</t>
  </si>
  <si>
    <t>电子设备</t>
  </si>
  <si>
    <t>仪器设备</t>
  </si>
  <si>
    <t>其他设备</t>
  </si>
  <si>
    <t>运输工具</t>
  </si>
  <si>
    <r>
      <rPr>
        <b/>
        <sz val="10"/>
        <rFont val="微软雅黑"/>
        <charset val="134"/>
      </rPr>
      <t>【</t>
    </r>
    <r>
      <rPr>
        <b/>
        <sz val="10"/>
        <rFont val="Arial"/>
        <charset val="134"/>
      </rPr>
      <t>…</t>
    </r>
    <r>
      <rPr>
        <b/>
        <sz val="10"/>
        <rFont val="微软雅黑"/>
        <charset val="134"/>
      </rPr>
      <t>】</t>
    </r>
  </si>
  <si>
    <r>
      <rPr>
        <b/>
        <sz val="10"/>
        <rFont val="微软雅黑"/>
        <charset val="134"/>
      </rPr>
      <t>合计</t>
    </r>
  </si>
  <si>
    <r>
      <rPr>
        <sz val="10"/>
        <rFont val="微软雅黑"/>
        <charset val="134"/>
      </rPr>
      <t>账面数</t>
    </r>
  </si>
  <si>
    <r>
      <rPr>
        <sz val="10"/>
        <rFont val="微软雅黑"/>
        <charset val="134"/>
      </rPr>
      <t>账表调整</t>
    </r>
    <r>
      <rPr>
        <sz val="10"/>
        <rFont val="Arial"/>
        <charset val="134"/>
      </rPr>
      <t>/</t>
    </r>
    <r>
      <rPr>
        <sz val="10"/>
        <rFont val="微软雅黑"/>
        <charset val="134"/>
      </rPr>
      <t>审计调整</t>
    </r>
  </si>
  <si>
    <r>
      <rPr>
        <sz val="10"/>
        <rFont val="微软雅黑"/>
        <charset val="134"/>
      </rPr>
      <t>审定数</t>
    </r>
  </si>
  <si>
    <t>CHECK</t>
  </si>
  <si>
    <r>
      <rPr>
        <b/>
        <sz val="10"/>
        <rFont val="微软雅黑"/>
        <charset val="134"/>
      </rPr>
      <t>年初余额</t>
    </r>
  </si>
  <si>
    <r>
      <rPr>
        <sz val="10"/>
        <rFont val="微软雅黑"/>
        <charset val="134"/>
      </rPr>
      <t>购置</t>
    </r>
  </si>
  <si>
    <t>K.02.1</t>
  </si>
  <si>
    <r>
      <rPr>
        <sz val="10"/>
        <rFont val="微软雅黑"/>
        <charset val="134"/>
      </rPr>
      <t>在建工程转入</t>
    </r>
  </si>
  <si>
    <t>J1.02</t>
  </si>
  <si>
    <r>
      <rPr>
        <sz val="10"/>
        <rFont val="微软雅黑"/>
        <charset val="134"/>
      </rPr>
      <t>处置或报废</t>
    </r>
  </si>
  <si>
    <t>K.02.2</t>
  </si>
  <si>
    <r>
      <rPr>
        <sz val="10"/>
        <rFont val="微软雅黑"/>
        <charset val="134"/>
      </rPr>
      <t>内部重分类</t>
    </r>
  </si>
  <si>
    <t>[…]</t>
  </si>
  <si>
    <r>
      <rPr>
        <b/>
        <sz val="10"/>
        <rFont val="微软雅黑"/>
        <charset val="134"/>
      </rPr>
      <t>年末余额</t>
    </r>
  </si>
  <si>
    <r>
      <rPr>
        <sz val="10"/>
        <rFont val="微软雅黑"/>
        <charset val="134"/>
      </rPr>
      <t>计提</t>
    </r>
  </si>
  <si>
    <t>K.03.2</t>
  </si>
  <si>
    <r>
      <rPr>
        <b/>
        <sz val="10"/>
        <color rgb="FFFF0000"/>
        <rFont val="Arial"/>
        <charset val="134"/>
      </rPr>
      <t xml:space="preserve">&lt;K.03 </t>
    </r>
    <r>
      <rPr>
        <b/>
        <sz val="10"/>
        <color rgb="FFFF0000"/>
        <rFont val="宋体"/>
        <charset val="134"/>
      </rPr>
      <t>折旧测试</t>
    </r>
    <r>
      <rPr>
        <b/>
        <sz val="10"/>
        <color rgb="FFFF0000"/>
        <rFont val="Arial"/>
        <charset val="134"/>
      </rPr>
      <t>&gt;</t>
    </r>
  </si>
  <si>
    <r>
      <rPr>
        <b/>
        <sz val="10"/>
        <color rgb="FFFF0000"/>
        <rFont val="Arial"/>
        <charset val="134"/>
      </rPr>
      <t xml:space="preserve">SWP </t>
    </r>
    <r>
      <rPr>
        <b/>
        <sz val="10"/>
        <color rgb="FFFF0000"/>
        <rFont val="微软雅黑"/>
        <charset val="134"/>
      </rPr>
      <t>减值</t>
    </r>
  </si>
  <si>
    <r>
      <rPr>
        <b/>
        <sz val="10"/>
        <rFont val="微软雅黑"/>
        <charset val="134"/>
      </rPr>
      <t>净值</t>
    </r>
    <r>
      <rPr>
        <b/>
        <sz val="10"/>
        <rFont val="Arial"/>
        <charset val="134"/>
      </rPr>
      <t xml:space="preserve"> (NBV)</t>
    </r>
  </si>
  <si>
    <r>
      <rPr>
        <b/>
        <sz val="10"/>
        <rFont val="微软雅黑"/>
        <charset val="134"/>
      </rPr>
      <t>变动</t>
    </r>
  </si>
  <si>
    <r>
      <rPr>
        <sz val="10"/>
        <rFont val="微软雅黑"/>
        <charset val="134"/>
      </rPr>
      <t>原值变动金额</t>
    </r>
  </si>
  <si>
    <r>
      <rPr>
        <sz val="10"/>
        <rFont val="微软雅黑"/>
        <charset val="134"/>
      </rPr>
      <t>本年</t>
    </r>
    <r>
      <rPr>
        <sz val="10"/>
        <rFont val="Arial"/>
        <charset val="134"/>
      </rPr>
      <t>VS</t>
    </r>
    <r>
      <rPr>
        <sz val="10"/>
        <rFont val="微软雅黑"/>
        <charset val="134"/>
      </rPr>
      <t>上年</t>
    </r>
  </si>
  <si>
    <r>
      <rPr>
        <sz val="10"/>
        <rFont val="微软雅黑"/>
        <charset val="134"/>
      </rPr>
      <t>原值变动比例</t>
    </r>
  </si>
  <si>
    <t>%</t>
  </si>
  <si>
    <r>
      <rPr>
        <sz val="10"/>
        <rFont val="微软雅黑"/>
        <charset val="134"/>
      </rPr>
      <t>累计折旧变动金额</t>
    </r>
  </si>
  <si>
    <r>
      <rPr>
        <sz val="10"/>
        <rFont val="微软雅黑"/>
        <charset val="134"/>
      </rPr>
      <t>累计折旧变动比例</t>
    </r>
  </si>
  <si>
    <r>
      <rPr>
        <sz val="10"/>
        <rFont val="微软雅黑"/>
        <charset val="134"/>
      </rPr>
      <t>减值准备变动金额</t>
    </r>
  </si>
  <si>
    <r>
      <rPr>
        <sz val="10"/>
        <rFont val="微软雅黑"/>
        <charset val="134"/>
      </rPr>
      <t>减值准备变动比例</t>
    </r>
  </si>
  <si>
    <r>
      <rPr>
        <sz val="10"/>
        <rFont val="微软雅黑"/>
        <charset val="134"/>
      </rPr>
      <t>净值变动金额</t>
    </r>
  </si>
  <si>
    <r>
      <rPr>
        <sz val="10"/>
        <rFont val="微软雅黑"/>
        <charset val="134"/>
      </rPr>
      <t>净值变动比例</t>
    </r>
  </si>
  <si>
    <r>
      <rPr>
        <b/>
        <sz val="10"/>
        <color rgb="FFFF0000"/>
        <rFont val="Arial"/>
        <charset val="134"/>
      </rPr>
      <t>TB-</t>
    </r>
    <r>
      <rPr>
        <b/>
        <sz val="10"/>
        <color rgb="FFFF0000"/>
        <rFont val="微软雅黑"/>
        <charset val="134"/>
      </rPr>
      <t>原值</t>
    </r>
  </si>
  <si>
    <r>
      <rPr>
        <b/>
        <sz val="10"/>
        <color rgb="FFFF0000"/>
        <rFont val="微软雅黑"/>
        <charset val="134"/>
      </rPr>
      <t>差异</t>
    </r>
  </si>
  <si>
    <r>
      <rPr>
        <b/>
        <sz val="10"/>
        <color rgb="FFFF0000"/>
        <rFont val="Arial"/>
        <charset val="134"/>
      </rPr>
      <t>TB-</t>
    </r>
    <r>
      <rPr>
        <b/>
        <sz val="10"/>
        <color rgb="FFFF0000"/>
        <rFont val="微软雅黑"/>
        <charset val="134"/>
      </rPr>
      <t>累计折旧</t>
    </r>
  </si>
  <si>
    <r>
      <rPr>
        <b/>
        <sz val="10"/>
        <color rgb="FFFF0000"/>
        <rFont val="Arial"/>
        <charset val="134"/>
      </rPr>
      <t>TB-</t>
    </r>
    <r>
      <rPr>
        <b/>
        <sz val="10"/>
        <color rgb="FFFF0000"/>
        <rFont val="微软雅黑"/>
        <charset val="134"/>
      </rPr>
      <t>减值准备</t>
    </r>
  </si>
  <si>
    <r>
      <rPr>
        <b/>
        <sz val="10"/>
        <color rgb="FFFF0000"/>
        <rFont val="Arial"/>
        <charset val="134"/>
      </rPr>
      <t>TB-</t>
    </r>
    <r>
      <rPr>
        <b/>
        <sz val="10"/>
        <color rgb="FFFF0000"/>
        <rFont val="微软雅黑"/>
        <charset val="134"/>
      </rPr>
      <t>净值</t>
    </r>
  </si>
  <si>
    <r>
      <rPr>
        <b/>
        <sz val="10"/>
        <rFont val="微软雅黑"/>
        <charset val="134"/>
      </rPr>
      <t>获取期末的固定资产明细清单，我们将固定资产明细清单的金额与表</t>
    </r>
    <r>
      <rPr>
        <b/>
        <sz val="10"/>
        <rFont val="Arial"/>
        <charset val="134"/>
      </rPr>
      <t>1</t>
    </r>
    <r>
      <rPr>
        <b/>
        <sz val="10"/>
        <rFont val="微软雅黑"/>
        <charset val="134"/>
      </rPr>
      <t>金额进行核对，调查大于</t>
    </r>
    <r>
      <rPr>
        <b/>
        <sz val="10"/>
        <rFont val="Arial"/>
        <charset val="134"/>
      </rPr>
      <t>SAD</t>
    </r>
    <r>
      <rPr>
        <b/>
        <sz val="10"/>
        <rFont val="微软雅黑"/>
        <charset val="134"/>
      </rPr>
      <t>的差异。</t>
    </r>
  </si>
  <si>
    <r>
      <rPr>
        <b/>
        <sz val="10"/>
        <color rgb="FFFF0000"/>
        <rFont val="微软雅黑"/>
        <charset val="134"/>
      </rPr>
      <t>表</t>
    </r>
    <r>
      <rPr>
        <b/>
        <sz val="10"/>
        <color rgb="FFFF0000"/>
        <rFont val="Arial"/>
        <charset val="134"/>
      </rPr>
      <t>2</t>
    </r>
  </si>
  <si>
    <r>
      <rPr>
        <b/>
        <sz val="10"/>
        <color rgb="FFFF0000"/>
        <rFont val="微软雅黑"/>
        <charset val="134"/>
      </rPr>
      <t>表</t>
    </r>
    <r>
      <rPr>
        <b/>
        <sz val="10"/>
        <color rgb="FFFF0000"/>
        <rFont val="Arial"/>
        <charset val="134"/>
      </rPr>
      <t>3</t>
    </r>
  </si>
  <si>
    <r>
      <rPr>
        <b/>
        <sz val="10"/>
        <color theme="1"/>
        <rFont val="微软雅黑"/>
        <charset val="134"/>
      </rPr>
      <t>汇总</t>
    </r>
  </si>
  <si>
    <r>
      <rPr>
        <b/>
        <sz val="10"/>
        <color rgb="FFFF0000"/>
        <rFont val="微软雅黑"/>
        <charset val="134"/>
      </rPr>
      <t>表</t>
    </r>
    <r>
      <rPr>
        <b/>
        <sz val="10"/>
        <color rgb="FFFF0000"/>
        <rFont val="Arial"/>
        <charset val="134"/>
      </rPr>
      <t xml:space="preserve">2 check with </t>
    </r>
    <r>
      <rPr>
        <b/>
        <sz val="10"/>
        <color rgb="FFFF0000"/>
        <rFont val="微软雅黑"/>
        <charset val="134"/>
      </rPr>
      <t>表</t>
    </r>
    <r>
      <rPr>
        <b/>
        <sz val="10"/>
        <color rgb="FFFF0000"/>
        <rFont val="Arial"/>
        <charset val="134"/>
      </rPr>
      <t>1</t>
    </r>
  </si>
  <si>
    <r>
      <rPr>
        <b/>
        <sz val="10"/>
        <color theme="1"/>
        <rFont val="微软雅黑"/>
        <charset val="134"/>
      </rPr>
      <t>固定资产类别</t>
    </r>
  </si>
  <si>
    <r>
      <rPr>
        <b/>
        <sz val="10"/>
        <color theme="1"/>
        <rFont val="微软雅黑"/>
        <charset val="134"/>
      </rPr>
      <t>原值</t>
    </r>
  </si>
  <si>
    <r>
      <rPr>
        <b/>
        <sz val="10"/>
        <color theme="1"/>
        <rFont val="微软雅黑"/>
        <charset val="134"/>
      </rPr>
      <t>累计折旧</t>
    </r>
  </si>
  <si>
    <r>
      <rPr>
        <b/>
        <sz val="10"/>
        <color theme="1"/>
        <rFont val="微软雅黑"/>
        <charset val="134"/>
      </rPr>
      <t>减值准备</t>
    </r>
  </si>
  <si>
    <r>
      <rPr>
        <b/>
        <sz val="10"/>
        <color theme="1"/>
        <rFont val="微软雅黑"/>
        <charset val="134"/>
      </rPr>
      <t>净值</t>
    </r>
  </si>
  <si>
    <r>
      <rPr>
        <b/>
        <sz val="10"/>
        <color theme="1"/>
        <rFont val="微软雅黑"/>
        <charset val="134"/>
      </rPr>
      <t>合计</t>
    </r>
  </si>
  <si>
    <r>
      <rPr>
        <b/>
        <sz val="10"/>
        <color rgb="FFFF0000"/>
        <rFont val="Arial"/>
        <charset val="134"/>
      </rPr>
      <t>Notes</t>
    </r>
    <r>
      <rPr>
        <sz val="10"/>
        <color rgb="FF000000"/>
        <rFont val="Arial"/>
        <charset val="134"/>
      </rPr>
      <t xml:space="preserve">  </t>
    </r>
    <r>
      <rPr>
        <sz val="10"/>
        <color rgb="FF000000"/>
        <rFont val="微软雅黑"/>
        <charset val="134"/>
      </rPr>
      <t>请在此记录固定资产明细账和总账的差异，并详细记录对差异进行的核查程序。</t>
    </r>
  </si>
  <si>
    <t>固定资产的明细账与总账核对一致，无异常发现。</t>
  </si>
  <si>
    <t>将固定资产本年折旧与利润表相关科目金额核对。复核本期折旧是否正确，与利润表科目核对是否相符。</t>
  </si>
  <si>
    <t>表4</t>
  </si>
  <si>
    <r>
      <rPr>
        <b/>
        <sz val="10"/>
        <rFont val="微软雅黑"/>
        <charset val="134"/>
      </rPr>
      <t>折旧费用与利润表科目核对</t>
    </r>
  </si>
  <si>
    <r>
      <rPr>
        <b/>
        <sz val="10"/>
        <rFont val="微软雅黑"/>
        <charset val="134"/>
      </rPr>
      <t>账套名称</t>
    </r>
    <r>
      <rPr>
        <b/>
        <sz val="10"/>
        <rFont val="Arial"/>
        <charset val="134"/>
      </rPr>
      <t>/</t>
    </r>
    <r>
      <rPr>
        <b/>
        <sz val="10"/>
        <rFont val="微软雅黑"/>
        <charset val="134"/>
      </rPr>
      <t>账套编码</t>
    </r>
  </si>
  <si>
    <r>
      <rPr>
        <b/>
        <sz val="10"/>
        <rFont val="微软雅黑"/>
        <charset val="134"/>
      </rPr>
      <t>科目编码</t>
    </r>
  </si>
  <si>
    <r>
      <rPr>
        <b/>
        <sz val="10"/>
        <rFont val="微软雅黑"/>
        <charset val="134"/>
      </rPr>
      <t>交叉索引</t>
    </r>
  </si>
  <si>
    <r>
      <rPr>
        <b/>
        <sz val="10"/>
        <rFont val="微软雅黑"/>
        <charset val="134"/>
      </rPr>
      <t>科目名称</t>
    </r>
  </si>
  <si>
    <r>
      <rPr>
        <b/>
        <sz val="10"/>
        <rFont val="微软雅黑"/>
        <charset val="134"/>
      </rPr>
      <t>金额</t>
    </r>
  </si>
  <si>
    <r>
      <rPr>
        <sz val="10"/>
        <color theme="1"/>
        <rFont val="微软雅黑"/>
        <charset val="134"/>
      </rPr>
      <t>制造费用</t>
    </r>
  </si>
  <si>
    <t>B医疗公司</t>
  </si>
  <si>
    <r>
      <rPr>
        <b/>
        <sz val="10"/>
        <color rgb="FFFF0000"/>
        <rFont val="Arial"/>
        <charset val="134"/>
      </rPr>
      <t>U_</t>
    </r>
    <r>
      <rPr>
        <b/>
        <sz val="10"/>
        <color rgb="FFFF0000"/>
        <rFont val="宋体"/>
        <charset val="134"/>
      </rPr>
      <t>瑞丽医疗</t>
    </r>
  </si>
  <si>
    <r>
      <rPr>
        <sz val="10"/>
        <rFont val="微软雅黑"/>
        <charset val="134"/>
      </rPr>
      <t>销售费用</t>
    </r>
  </si>
  <si>
    <r>
      <rPr>
        <sz val="10"/>
        <rFont val="微软雅黑"/>
        <charset val="134"/>
      </rPr>
      <t>管理费用</t>
    </r>
  </si>
  <si>
    <r>
      <rPr>
        <sz val="10"/>
        <rFont val="微软雅黑"/>
        <charset val="134"/>
      </rPr>
      <t>研发费用</t>
    </r>
  </si>
  <si>
    <t>NA</t>
  </si>
  <si>
    <t>主营业务成本</t>
  </si>
  <si>
    <r>
      <rPr>
        <sz val="10"/>
        <rFont val="微软雅黑"/>
        <charset val="134"/>
      </rPr>
      <t>合计</t>
    </r>
  </si>
  <si>
    <t>K1</t>
  </si>
  <si>
    <r>
      <rPr>
        <sz val="10"/>
        <rFont val="微软雅黑"/>
        <charset val="134"/>
      </rPr>
      <t>累计折旧科目</t>
    </r>
    <r>
      <rPr>
        <sz val="10"/>
        <rFont val="Arial"/>
        <charset val="134"/>
      </rPr>
      <t>-</t>
    </r>
    <r>
      <rPr>
        <sz val="10"/>
        <rFont val="微软雅黑"/>
        <charset val="134"/>
      </rPr>
      <t>本年计提</t>
    </r>
  </si>
  <si>
    <r>
      <rPr>
        <sz val="10"/>
        <rFont val="微软雅黑"/>
        <charset val="134"/>
      </rPr>
      <t>差异</t>
    </r>
  </si>
  <si>
    <t>经折旧费用与利润表科目核对，无差异不予执行下一步审计程序。</t>
  </si>
  <si>
    <r>
      <rPr>
        <u/>
        <sz val="10"/>
        <color rgb="FFFF0000"/>
        <rFont val="微软雅黑"/>
        <charset val="134"/>
      </rPr>
      <t>返回汇总页</t>
    </r>
  </si>
  <si>
    <t>check with BKD</t>
  </si>
  <si>
    <r>
      <rPr>
        <b/>
        <sz val="14"/>
        <color rgb="FFFF0000"/>
        <rFont val="Arial"/>
        <charset val="134"/>
      </rPr>
      <t>3.</t>
    </r>
    <r>
      <rPr>
        <b/>
        <sz val="14"/>
        <color rgb="FFFF0000"/>
        <rFont val="微软雅黑"/>
        <charset val="134"/>
      </rPr>
      <t>不要</t>
    </r>
    <r>
      <rPr>
        <b/>
        <sz val="14"/>
        <color rgb="FFFF0000"/>
        <rFont val="Arial"/>
        <charset val="134"/>
      </rPr>
      <t>"</t>
    </r>
    <r>
      <rPr>
        <b/>
        <sz val="14"/>
        <color rgb="FFFF0000"/>
        <rFont val="微软雅黑"/>
        <charset val="134"/>
      </rPr>
      <t>硬塞</t>
    </r>
    <r>
      <rPr>
        <b/>
        <sz val="14"/>
        <color rgb="FFFF0000"/>
        <rFont val="Arial"/>
        <charset val="134"/>
      </rPr>
      <t>"</t>
    </r>
    <r>
      <rPr>
        <b/>
        <sz val="14"/>
        <color rgb="FFFF0000"/>
        <rFont val="微软雅黑"/>
        <charset val="134"/>
      </rPr>
      <t>及</t>
    </r>
    <r>
      <rPr>
        <b/>
        <sz val="14"/>
        <color rgb="FFFF0000"/>
        <rFont val="Arial"/>
        <charset val="134"/>
      </rPr>
      <t>"</t>
    </r>
    <r>
      <rPr>
        <b/>
        <sz val="14"/>
        <color rgb="FFFF0000"/>
        <rFont val="微软雅黑"/>
        <charset val="134"/>
      </rPr>
      <t>自创</t>
    </r>
    <r>
      <rPr>
        <b/>
        <sz val="14"/>
        <color rgb="FFFF0000"/>
        <rFont val="Arial"/>
        <charset val="134"/>
      </rPr>
      <t xml:space="preserve">" </t>
    </r>
    <r>
      <rPr>
        <b/>
        <sz val="14"/>
        <color rgb="FFFF0000"/>
        <rFont val="微软雅黑"/>
        <charset val="134"/>
      </rPr>
      <t>固定资产类别：固定资产类别按照被审计单位自己的分类列示，此处仅为举例，如无特殊情况，避免将对审计单位某一类别的固定资产中的部分资产进行类别调整。</t>
    </r>
  </si>
  <si>
    <r>
      <rPr>
        <b/>
        <sz val="10"/>
        <color rgb="FFFF0000"/>
        <rFont val="Arial"/>
        <charset val="134"/>
      </rPr>
      <t>|--------------</t>
    </r>
    <r>
      <rPr>
        <sz val="10"/>
        <color rgb="FFFF0000"/>
        <rFont val="Arial"/>
        <charset val="134"/>
      </rPr>
      <t>---------------------------------------------------------</t>
    </r>
    <r>
      <rPr>
        <b/>
        <sz val="10"/>
        <color rgb="FFFF0000"/>
        <rFont val="Arial"/>
        <charset val="134"/>
      </rPr>
      <t>------------</t>
    </r>
    <r>
      <rPr>
        <b/>
        <sz val="10"/>
        <color rgb="FFFF0000"/>
        <rFont val="微软雅黑"/>
        <charset val="134"/>
      </rPr>
      <t>必需字段</t>
    </r>
    <r>
      <rPr>
        <b/>
        <sz val="10"/>
        <color indexed="10"/>
        <rFont val="Arial"/>
        <charset val="134"/>
      </rPr>
      <t>*--------------------------------------------------------------------------------------------------------------------------------------------------|</t>
    </r>
  </si>
  <si>
    <t>固定资产明细清单</t>
  </si>
  <si>
    <r>
      <rPr>
        <sz val="10"/>
        <rFont val="微软雅黑"/>
        <charset val="134"/>
      </rPr>
      <t>固定资产类别</t>
    </r>
  </si>
  <si>
    <r>
      <rPr>
        <sz val="10"/>
        <rFont val="微软雅黑"/>
        <charset val="134"/>
      </rPr>
      <t>固定资产编号</t>
    </r>
  </si>
  <si>
    <r>
      <rPr>
        <sz val="10"/>
        <rFont val="微软雅黑"/>
        <charset val="134"/>
      </rPr>
      <t>固定资产名称</t>
    </r>
  </si>
  <si>
    <r>
      <rPr>
        <sz val="10"/>
        <rFont val="微软雅黑"/>
        <charset val="134"/>
      </rPr>
      <t>入账开始日期</t>
    </r>
  </si>
  <si>
    <r>
      <rPr>
        <sz val="10"/>
        <rFont val="Arail"/>
        <charset val="134"/>
      </rPr>
      <t xml:space="preserve"> </t>
    </r>
    <r>
      <rPr>
        <sz val="10"/>
        <rFont val="微软雅黑"/>
        <charset val="134"/>
      </rPr>
      <t>使用寿命</t>
    </r>
    <r>
      <rPr>
        <sz val="10"/>
        <rFont val="Arail"/>
        <charset val="134"/>
      </rPr>
      <t>(</t>
    </r>
    <r>
      <rPr>
        <sz val="10"/>
        <rFont val="微软雅黑"/>
        <charset val="134"/>
      </rPr>
      <t>月</t>
    </r>
    <r>
      <rPr>
        <sz val="10"/>
        <rFont val="Arail"/>
        <charset val="134"/>
      </rPr>
      <t>)</t>
    </r>
  </si>
  <si>
    <r>
      <rPr>
        <sz val="10"/>
        <rFont val="Arail"/>
        <charset val="134"/>
      </rPr>
      <t xml:space="preserve"> </t>
    </r>
    <r>
      <rPr>
        <sz val="10"/>
        <rFont val="微软雅黑"/>
        <charset val="134"/>
      </rPr>
      <t>残值率</t>
    </r>
    <r>
      <rPr>
        <sz val="10"/>
        <rFont val="Arail"/>
        <charset val="134"/>
      </rPr>
      <t xml:space="preserve"> </t>
    </r>
  </si>
  <si>
    <t>期初原值</t>
  </si>
  <si>
    <t>期初累计折旧</t>
  </si>
  <si>
    <t>本期计提折旧</t>
  </si>
  <si>
    <t>期末原值</t>
  </si>
  <si>
    <t>期末累计折旧</t>
  </si>
  <si>
    <r>
      <rPr>
        <sz val="10"/>
        <rFont val="微软雅黑"/>
        <charset val="134"/>
      </rPr>
      <t>减值准备</t>
    </r>
  </si>
  <si>
    <r>
      <rPr>
        <sz val="10"/>
        <rFont val="微软雅黑"/>
        <charset val="134"/>
      </rPr>
      <t>净值</t>
    </r>
  </si>
  <si>
    <r>
      <rPr>
        <sz val="10"/>
        <rFont val="微软雅黑"/>
        <charset val="134"/>
      </rPr>
      <t>已提足折旧</t>
    </r>
  </si>
  <si>
    <t>01-02-0063</t>
  </si>
  <si>
    <t>白色储物柜置物架</t>
  </si>
  <si>
    <t>2019-11-30</t>
  </si>
  <si>
    <t>01-02-0064</t>
  </si>
  <si>
    <t>白色电脑桌</t>
  </si>
  <si>
    <t>01-02-0065</t>
  </si>
  <si>
    <t>墨绿色 布艺双人沙发</t>
  </si>
  <si>
    <t>01-02-0066</t>
  </si>
  <si>
    <t>橱柜</t>
  </si>
  <si>
    <t>020056</t>
  </si>
  <si>
    <t>办公家具</t>
  </si>
  <si>
    <t>2014-08-01</t>
  </si>
  <si>
    <t>020057</t>
  </si>
  <si>
    <t>防火门三套</t>
  </si>
  <si>
    <t>2014-09-01</t>
  </si>
  <si>
    <t>020058</t>
  </si>
  <si>
    <t>鱼缸</t>
  </si>
  <si>
    <t>2014-10-01</t>
  </si>
  <si>
    <t>020059</t>
  </si>
  <si>
    <t>展示柜</t>
  </si>
  <si>
    <t>2015-08-01</t>
  </si>
  <si>
    <t>020060</t>
  </si>
  <si>
    <t>输液椅</t>
  </si>
  <si>
    <t>2017-07-01</t>
  </si>
  <si>
    <t>020061</t>
  </si>
  <si>
    <t>白色更衣柜1组</t>
  </si>
  <si>
    <t>2017-11-01</t>
  </si>
  <si>
    <t>020062</t>
  </si>
  <si>
    <t>030001</t>
  </si>
  <si>
    <t>电热水器三台</t>
  </si>
  <si>
    <t>2013-08-01</t>
  </si>
  <si>
    <t>030002</t>
  </si>
  <si>
    <t>电热水器</t>
  </si>
  <si>
    <t>030003</t>
  </si>
  <si>
    <t>030004</t>
  </si>
  <si>
    <t>TCL彩电*7</t>
  </si>
  <si>
    <t>2013-09-01</t>
  </si>
  <si>
    <t>030005</t>
  </si>
  <si>
    <t>TCL彩电</t>
  </si>
  <si>
    <t>030006</t>
  </si>
  <si>
    <t>海尔冰箱</t>
  </si>
  <si>
    <t>030007</t>
  </si>
  <si>
    <t>华日冰箱*2</t>
  </si>
  <si>
    <t>030008</t>
  </si>
  <si>
    <t>惠普彩色激光打印</t>
  </si>
  <si>
    <t>030009</t>
  </si>
  <si>
    <t>惠普激光一体机</t>
  </si>
  <si>
    <t>030012</t>
  </si>
  <si>
    <t>奥克斯空调*3</t>
  </si>
  <si>
    <t>030013</t>
  </si>
  <si>
    <t>1020激光打印机</t>
  </si>
  <si>
    <t>2013-10-01</t>
  </si>
  <si>
    <t>030014</t>
  </si>
  <si>
    <t>HP P1108激光打印机</t>
  </si>
  <si>
    <t>2013-11-01</t>
  </si>
  <si>
    <t>030015</t>
  </si>
  <si>
    <t>爱普生LQ-630K针式打印机</t>
  </si>
  <si>
    <t>030016</t>
  </si>
  <si>
    <t>030017</t>
  </si>
  <si>
    <t>HP M1213激光一体打印机</t>
  </si>
  <si>
    <t>030018</t>
  </si>
  <si>
    <t>UPS电源</t>
  </si>
  <si>
    <t>030019</t>
  </si>
  <si>
    <t>030020</t>
  </si>
  <si>
    <t>030021</t>
  </si>
  <si>
    <t>空气净化器</t>
  </si>
  <si>
    <t>2014-02-01</t>
  </si>
  <si>
    <t>030022</t>
  </si>
  <si>
    <t>烟雾净化器</t>
  </si>
  <si>
    <t>2014-05-01</t>
  </si>
  <si>
    <t>030023</t>
  </si>
  <si>
    <t>电视机</t>
  </si>
  <si>
    <t>2014-07-01</t>
  </si>
  <si>
    <t>030024</t>
  </si>
  <si>
    <t>创维彩电</t>
  </si>
  <si>
    <t>030025</t>
  </si>
  <si>
    <t>格力空调</t>
  </si>
  <si>
    <t>030026</t>
  </si>
  <si>
    <t>液晶拼接屏四台</t>
  </si>
  <si>
    <t>030027</t>
  </si>
  <si>
    <t>广告机七台</t>
  </si>
  <si>
    <t>030028</t>
  </si>
  <si>
    <t>格力空调二台</t>
  </si>
  <si>
    <t>2014-11-01</t>
  </si>
  <si>
    <t>030029</t>
  </si>
  <si>
    <t>奥克斯空调</t>
  </si>
  <si>
    <t>2016-04-01</t>
  </si>
  <si>
    <t>030030</t>
  </si>
  <si>
    <t>洗衣机</t>
  </si>
  <si>
    <t>030031</t>
  </si>
  <si>
    <t>空调/供应室</t>
  </si>
  <si>
    <t>2017-08-01</t>
  </si>
  <si>
    <t>030032</t>
  </si>
  <si>
    <t>空调</t>
  </si>
  <si>
    <t>2017-10-01</t>
  </si>
  <si>
    <t>030033</t>
  </si>
  <si>
    <t>平面设计型台式机（单珍）</t>
  </si>
  <si>
    <t>030035</t>
  </si>
  <si>
    <t>平面设计型台式机特配（戴尔显示器16G内存）</t>
  </si>
  <si>
    <t>030036</t>
  </si>
  <si>
    <t>平面设计型台式机特配</t>
  </si>
  <si>
    <t>WANGLUOBU0514201703</t>
  </si>
  <si>
    <t>爱普生喷墨打印机</t>
  </si>
  <si>
    <t>2018-01-31</t>
  </si>
  <si>
    <t>YIWUKE0513201703</t>
  </si>
  <si>
    <t>惠普一体机打印机</t>
  </si>
  <si>
    <t>01-02-0068</t>
  </si>
  <si>
    <t>六楼大前台办公家具</t>
  </si>
  <si>
    <t>2021-12-20</t>
  </si>
  <si>
    <t>01-02-0069</t>
  </si>
  <si>
    <t>七楼大前台办公家具</t>
  </si>
  <si>
    <t>2022-07-31</t>
  </si>
  <si>
    <t>01-02-0070</t>
  </si>
  <si>
    <t>文件柜</t>
  </si>
  <si>
    <t>2022-08-11</t>
  </si>
  <si>
    <t>01-02-0071</t>
  </si>
  <si>
    <t>沙发</t>
  </si>
  <si>
    <t>01-02-0072</t>
  </si>
  <si>
    <t>办公桌</t>
  </si>
  <si>
    <t>01-02-0073</t>
  </si>
  <si>
    <t>会议桌</t>
  </si>
  <si>
    <t>2022-09-23</t>
  </si>
  <si>
    <t>01-03-0001</t>
  </si>
  <si>
    <t>小米净水器</t>
  </si>
  <si>
    <t>01-03-0002</t>
  </si>
  <si>
    <t>美的制冷器具</t>
  </si>
  <si>
    <t>01-03-0003</t>
  </si>
  <si>
    <t>格力空调系统</t>
  </si>
  <si>
    <t>2022-08-31</t>
  </si>
  <si>
    <t>01-02-0067</t>
  </si>
  <si>
    <t>*木质家具*橱柜</t>
  </si>
  <si>
    <t>2021-01-31</t>
  </si>
  <si>
    <t>01-02-0074</t>
  </si>
  <si>
    <t>2022-10-31</t>
  </si>
  <si>
    <t>01-02-0075</t>
  </si>
  <si>
    <t>单人沙发</t>
  </si>
  <si>
    <t>01-02-0076</t>
  </si>
  <si>
    <t>茶几</t>
  </si>
  <si>
    <t>01-02-0077</t>
  </si>
  <si>
    <t>员工桌椅</t>
  </si>
  <si>
    <t>2022-11-30</t>
  </si>
  <si>
    <t>01-02-0078</t>
  </si>
  <si>
    <t>顾客椅</t>
  </si>
  <si>
    <t>01-02-0079</t>
  </si>
  <si>
    <t>01-02-0080</t>
  </si>
  <si>
    <t>休闲椅</t>
  </si>
  <si>
    <t>01-02-0081</t>
  </si>
  <si>
    <t>2022-12-20</t>
  </si>
  <si>
    <t>01-02-0082</t>
  </si>
  <si>
    <t>01-02-0083</t>
  </si>
  <si>
    <t>01-02-0084</t>
  </si>
  <si>
    <t>西药柜</t>
  </si>
  <si>
    <t>01-02-0086</t>
  </si>
  <si>
    <t>01-02-0087</t>
  </si>
  <si>
    <t>01-03-0004</t>
  </si>
  <si>
    <t>家用洗衣机</t>
  </si>
  <si>
    <t>2023-03-31</t>
  </si>
  <si>
    <t>01-04-0001</t>
  </si>
  <si>
    <t>2018-06-11</t>
  </si>
  <si>
    <t>01-04-0002</t>
  </si>
  <si>
    <t>小米手机</t>
  </si>
  <si>
    <t>2018-08-10</t>
  </si>
  <si>
    <t>01-04-0003</t>
  </si>
  <si>
    <t>夏普（SHARP）电视</t>
  </si>
  <si>
    <t>2018-09-15</t>
  </si>
  <si>
    <t>01-04-0004</t>
  </si>
  <si>
    <t>平面设计型台式机（特配）</t>
  </si>
  <si>
    <t>2019-01-22</t>
  </si>
  <si>
    <t>01-04-0005</t>
  </si>
  <si>
    <t>WZBGSB0003电脑网店</t>
  </si>
  <si>
    <t>01-04-0006</t>
  </si>
  <si>
    <t>爱国者A2228N一体机</t>
  </si>
  <si>
    <t>2019-01-30</t>
  </si>
  <si>
    <t>01-04-0007</t>
  </si>
  <si>
    <t>兼容机</t>
  </si>
  <si>
    <t>01-04-0008</t>
  </si>
  <si>
    <t>2019-03-20</t>
  </si>
  <si>
    <t>01-04-0009</t>
  </si>
  <si>
    <t>爱国者A2228N一体机 联想C400</t>
  </si>
  <si>
    <t>01-04-0011</t>
  </si>
  <si>
    <t>台式机</t>
  </si>
  <si>
    <t>2019-08-31</t>
  </si>
  <si>
    <t>01-04-0015</t>
  </si>
  <si>
    <t>01-04-0016</t>
  </si>
  <si>
    <t>数码相机</t>
  </si>
  <si>
    <t>2020-03-31</t>
  </si>
  <si>
    <t>01-04-0017</t>
  </si>
  <si>
    <t>台式电脑</t>
  </si>
  <si>
    <t>01-04-0018</t>
  </si>
  <si>
    <t>01-04-0019</t>
  </si>
  <si>
    <t>01-04-0020</t>
  </si>
  <si>
    <t>01-04-0021</t>
  </si>
  <si>
    <t>01-04-0023</t>
  </si>
  <si>
    <t>华为手机</t>
  </si>
  <si>
    <t>2020-07-27</t>
  </si>
  <si>
    <t>01-04-0024</t>
  </si>
  <si>
    <t>2020-10-22</t>
  </si>
  <si>
    <t>01-04-0025</t>
  </si>
  <si>
    <t>苹果手机</t>
  </si>
  <si>
    <t>2020-10-27</t>
  </si>
  <si>
    <t>01-04-0026</t>
  </si>
  <si>
    <t>海尔洗烘干一体机</t>
  </si>
  <si>
    <t>2020-11-30</t>
  </si>
  <si>
    <t>040001</t>
  </si>
  <si>
    <t>IPAD  MINI</t>
  </si>
  <si>
    <t>040007</t>
  </si>
  <si>
    <t>爱普生投影仪</t>
  </si>
  <si>
    <t>040008</t>
  </si>
  <si>
    <t>服务器二套</t>
  </si>
  <si>
    <t>040010</t>
  </si>
  <si>
    <t>备份线路服务器</t>
  </si>
  <si>
    <t>040012</t>
  </si>
  <si>
    <t>尼康D3100套机</t>
  </si>
  <si>
    <t>040013</t>
  </si>
  <si>
    <t>惠视42寸LED广告发布机3台</t>
  </si>
  <si>
    <t>040015</t>
  </si>
  <si>
    <t>尼康D3100单反相机2套</t>
  </si>
  <si>
    <t>040021</t>
  </si>
  <si>
    <t>苹果5S*10台/新媒体</t>
  </si>
  <si>
    <t>2016-10-01</t>
  </si>
  <si>
    <t>040022</t>
  </si>
  <si>
    <t>苹果7*10台/企划使用</t>
  </si>
  <si>
    <t>040023</t>
  </si>
  <si>
    <t>佳能700D单反照相机/杭州洪合电子科技</t>
  </si>
  <si>
    <t>2017-02-01</t>
  </si>
  <si>
    <t>01-04-0027</t>
  </si>
  <si>
    <t>宝利通电话会议机</t>
  </si>
  <si>
    <t>01-04-0028</t>
  </si>
  <si>
    <t>制冷空调设备*药品阴凉柜</t>
  </si>
  <si>
    <t>2021-03-23</t>
  </si>
  <si>
    <t>01-04-0029</t>
  </si>
  <si>
    <t>苹果电脑A1418一体机</t>
  </si>
  <si>
    <t>2021-05-31</t>
  </si>
  <si>
    <t>01-04-0030</t>
  </si>
  <si>
    <t>光学仪器*索尼镜头</t>
  </si>
  <si>
    <t>2021-12-29</t>
  </si>
  <si>
    <t>01-04-0031</t>
  </si>
  <si>
    <t>平板电脑</t>
  </si>
  <si>
    <t>2022-01-31</t>
  </si>
  <si>
    <t>01-04-0032</t>
  </si>
  <si>
    <t>惠普HP打印机</t>
  </si>
  <si>
    <t>01-04-0033</t>
  </si>
  <si>
    <t>组装电脑</t>
  </si>
  <si>
    <t>2022-02-28</t>
  </si>
  <si>
    <t>01-04-0034</t>
  </si>
  <si>
    <t>01-04-0036</t>
  </si>
  <si>
    <t>电脑一体机-爱国者</t>
  </si>
  <si>
    <t>01-04-0037</t>
  </si>
  <si>
    <t>电脑一体机-苹果</t>
  </si>
  <si>
    <t>01-04-0038</t>
  </si>
  <si>
    <t>01-04-0039</t>
  </si>
  <si>
    <t>01-04-0040</t>
  </si>
  <si>
    <t>VIP中心小米电视</t>
  </si>
  <si>
    <t>01-04-0041</t>
  </si>
  <si>
    <t>惠普打印机</t>
  </si>
  <si>
    <t>01-04-0042</t>
  </si>
  <si>
    <t>惠普一体打印机</t>
  </si>
  <si>
    <t>2022-08-03</t>
  </si>
  <si>
    <t>01-04-0043</t>
  </si>
  <si>
    <t>2022-09-30</t>
  </si>
  <si>
    <t>01-04-0035</t>
  </si>
  <si>
    <t>投影仪</t>
  </si>
  <si>
    <t>01-04-0044</t>
  </si>
  <si>
    <t>爱国者电脑</t>
  </si>
  <si>
    <t>01-04-0045</t>
  </si>
  <si>
    <t>01-04-0046</t>
  </si>
  <si>
    <t>爱普生针式打印机</t>
  </si>
  <si>
    <t>01-04-0047</t>
  </si>
  <si>
    <t>苹果一体机电脑</t>
  </si>
  <si>
    <t>01-04-0048</t>
  </si>
  <si>
    <t>01-04-0049</t>
  </si>
  <si>
    <t>01-04-0050</t>
  </si>
  <si>
    <t>爱国者一体机电脑</t>
  </si>
  <si>
    <t>01-04-0051</t>
  </si>
  <si>
    <t>摄录影机</t>
  </si>
  <si>
    <t>01-04-0052</t>
  </si>
  <si>
    <t>家用音视频设备-无线麦克风</t>
  </si>
  <si>
    <t>01-04-0053</t>
  </si>
  <si>
    <t>佳能彩色复合打印复印机</t>
  </si>
  <si>
    <t>2023-04-30</t>
  </si>
  <si>
    <t>01-04-0054</t>
  </si>
  <si>
    <t>01-04-0055</t>
  </si>
  <si>
    <t>索尼相机</t>
  </si>
  <si>
    <t>2023-06-09</t>
  </si>
  <si>
    <t>01-04-0056</t>
  </si>
  <si>
    <t>01-05-0001</t>
  </si>
  <si>
    <t>德玛莎三代水光机</t>
  </si>
  <si>
    <t>2018-05-01</t>
  </si>
  <si>
    <t>01-05-0002</t>
  </si>
  <si>
    <t>德玛精英水光机</t>
  </si>
  <si>
    <t>01-05-0008</t>
  </si>
  <si>
    <t>血液细胞分析仪（优利特）</t>
  </si>
  <si>
    <t>2018-08-15</t>
  </si>
  <si>
    <t>01-05-0009</t>
  </si>
  <si>
    <t>全自动凝血测试仪</t>
  </si>
  <si>
    <t>01-05-0010</t>
  </si>
  <si>
    <t>半自动体外除颤器</t>
  </si>
  <si>
    <t>2018-10-19</t>
  </si>
  <si>
    <t>01-05-0013</t>
  </si>
  <si>
    <t>麻醉机</t>
  </si>
  <si>
    <t>2018-10-31</t>
  </si>
  <si>
    <t>01-05-0015</t>
  </si>
  <si>
    <t>除颤仪</t>
  </si>
  <si>
    <t>2018-11-30</t>
  </si>
  <si>
    <t>01-05-0018</t>
  </si>
  <si>
    <t>高频电刀</t>
  </si>
  <si>
    <t>01-05-0021</t>
  </si>
  <si>
    <t>离心机</t>
  </si>
  <si>
    <t>2018-12-14</t>
  </si>
  <si>
    <t>01-05-0022</t>
  </si>
  <si>
    <t>数字化X射线摄影设备</t>
  </si>
  <si>
    <t>2018-12-31</t>
  </si>
  <si>
    <t>01-05-0023</t>
  </si>
  <si>
    <t>根管预备机</t>
  </si>
  <si>
    <t>2019-03-01</t>
  </si>
  <si>
    <t>01-05-0024</t>
  </si>
  <si>
    <t>数字式十二道心电图机</t>
  </si>
  <si>
    <t>01-05-0025</t>
  </si>
  <si>
    <t>牙科治疗仪</t>
  </si>
  <si>
    <t>2019-03-31</t>
  </si>
  <si>
    <t>01-05-0026</t>
  </si>
  <si>
    <t>联体式牙科综合治疗台</t>
  </si>
  <si>
    <t>2019-04-10</t>
  </si>
  <si>
    <t>01-05-0027</t>
  </si>
  <si>
    <t>半导体激光治疗仪</t>
  </si>
  <si>
    <t>2019-04-23</t>
  </si>
  <si>
    <t>01-05-0028</t>
  </si>
  <si>
    <t>心电监护仪</t>
  </si>
  <si>
    <t>2019-06-30</t>
  </si>
  <si>
    <t>01-05-0029</t>
  </si>
  <si>
    <t>中心供氧系统</t>
  </si>
  <si>
    <t>2019-07-03</t>
  </si>
  <si>
    <t>01-05-0030</t>
  </si>
  <si>
    <t>报警箱</t>
  </si>
  <si>
    <t>01-05-0031</t>
  </si>
  <si>
    <t>汇流排</t>
  </si>
  <si>
    <t>01-05-0033</t>
  </si>
  <si>
    <t>电子阴道镜</t>
  </si>
  <si>
    <t>2019-09-25</t>
  </si>
  <si>
    <t>01-05-0034</t>
  </si>
  <si>
    <t>生物反馈神经功能重建治疗系统</t>
  </si>
  <si>
    <t>01-05-0035</t>
  </si>
  <si>
    <t>妇科检查床</t>
  </si>
  <si>
    <t>01-05-0036</t>
  </si>
  <si>
    <t>纤维喉镜</t>
  </si>
  <si>
    <t>2019-10-31</t>
  </si>
  <si>
    <t>01-05-0037</t>
  </si>
  <si>
    <t>数字化口内扫描仪</t>
  </si>
  <si>
    <t>01-05-0038</t>
  </si>
  <si>
    <t>口腔额面锥形束计算机体层摄影设备</t>
  </si>
  <si>
    <t>01-05-0039</t>
  </si>
  <si>
    <t>Er:YAG激光治疗系统</t>
  </si>
  <si>
    <t>01-05-0040</t>
  </si>
  <si>
    <t>Nd:YAG激光治疗系统</t>
  </si>
  <si>
    <t>01-05-0042</t>
  </si>
  <si>
    <t>CBS云镜面部皮肤分析仪</t>
  </si>
  <si>
    <t>01-05-0043</t>
  </si>
  <si>
    <t>2019-12-31</t>
  </si>
  <si>
    <t>01-05-0044</t>
  </si>
  <si>
    <t>自助式智能皮肤检测系统</t>
  </si>
  <si>
    <t>01-05-0045</t>
  </si>
  <si>
    <t>高频电离子手术治疗仪</t>
  </si>
  <si>
    <t>01-05-0046</t>
  </si>
  <si>
    <t>舒敏之星皮肤治疗系统V1.0</t>
  </si>
  <si>
    <t>01-05-0047</t>
  </si>
  <si>
    <t>卡式灭菌器</t>
  </si>
  <si>
    <t>2020-04-01</t>
  </si>
  <si>
    <t>01-05-0048</t>
  </si>
  <si>
    <t>过氧化氢低温等离子灭菌器</t>
  </si>
  <si>
    <t>01-05-0049</t>
  </si>
  <si>
    <t>放大镜</t>
  </si>
  <si>
    <t>01-05-0050</t>
  </si>
  <si>
    <t>等离子空气消毒机</t>
  </si>
  <si>
    <t>2020-04-30</t>
  </si>
  <si>
    <t>01-05-0051</t>
  </si>
  <si>
    <t>医用封口机</t>
  </si>
  <si>
    <t>01-05-0052</t>
  </si>
  <si>
    <t>鼻部整形套器械</t>
  </si>
  <si>
    <t>01-05-0053</t>
  </si>
  <si>
    <t>射频治疗仪</t>
  </si>
  <si>
    <t>2020-07-28</t>
  </si>
  <si>
    <t>01-05-0054</t>
  </si>
  <si>
    <t>2020-08-26</t>
  </si>
  <si>
    <t>01-05-0055</t>
  </si>
  <si>
    <t>病人监护仪</t>
  </si>
  <si>
    <t>01-05-0056</t>
  </si>
  <si>
    <t>生物显微镜</t>
  </si>
  <si>
    <t>2020-08-31</t>
  </si>
  <si>
    <t>01-05-0057</t>
  </si>
  <si>
    <t>2020-09-25</t>
  </si>
  <si>
    <t>01-05-0058</t>
  </si>
  <si>
    <t>EMA 智健修身</t>
  </si>
  <si>
    <t>01-05-0059</t>
  </si>
  <si>
    <t>超声骨刀</t>
  </si>
  <si>
    <t>01-05-0060</t>
  </si>
  <si>
    <t>齿科用电气旋转驱动装置</t>
  </si>
  <si>
    <t>01-05-0061</t>
  </si>
  <si>
    <t>Er:YAG/Nd:YAG激光治疗系统（Fotona4D欧洲之星）</t>
  </si>
  <si>
    <t>01-05-0062</t>
  </si>
  <si>
    <t>Nd:YAG 皮秒激光治疗仪</t>
  </si>
  <si>
    <t>020001</t>
  </si>
  <si>
    <t>高温灭菌器</t>
  </si>
  <si>
    <t>020002</t>
  </si>
  <si>
    <t>牙科 X光机</t>
  </si>
  <si>
    <t>020003</t>
  </si>
  <si>
    <t>医用胶片冲洗机</t>
  </si>
  <si>
    <t>020004</t>
  </si>
  <si>
    <t>020005</t>
  </si>
  <si>
    <t>血球仪</t>
  </si>
  <si>
    <t>020006</t>
  </si>
  <si>
    <t>MEC1000</t>
  </si>
  <si>
    <t>020008</t>
  </si>
  <si>
    <t>输液泵*2</t>
  </si>
  <si>
    <t>020010</t>
  </si>
  <si>
    <t>牙科椅</t>
  </si>
  <si>
    <t>020011</t>
  </si>
  <si>
    <t>立式压力蒸汽灭菌器</t>
  </si>
  <si>
    <t>020015</t>
  </si>
  <si>
    <t>万能手术台*2</t>
  </si>
  <si>
    <t>020016</t>
  </si>
  <si>
    <t>眼科手术台</t>
  </si>
  <si>
    <t>020024</t>
  </si>
  <si>
    <t>空气消毒器</t>
  </si>
  <si>
    <t>020026</t>
  </si>
  <si>
    <t>二氧化碳激光治疗仪</t>
  </si>
  <si>
    <t>020032</t>
  </si>
  <si>
    <t>凝血分析仪</t>
  </si>
  <si>
    <t>020033</t>
  </si>
  <si>
    <t>光子美容治疗系统</t>
  </si>
  <si>
    <t>020035</t>
  </si>
  <si>
    <t>伟伦麻醉喉镜</t>
  </si>
  <si>
    <t>2014-04-01</t>
  </si>
  <si>
    <t>020036</t>
  </si>
  <si>
    <t>购英国喉镜（困难插管）</t>
  </si>
  <si>
    <t>020037</t>
  </si>
  <si>
    <t>牙科种植机</t>
  </si>
  <si>
    <t>020039</t>
  </si>
  <si>
    <t>鲁沃夫生物指示培养器</t>
  </si>
  <si>
    <t>2014-12-01</t>
  </si>
  <si>
    <t>020042</t>
  </si>
  <si>
    <t>双极电刀</t>
  </si>
  <si>
    <t>2015-09-01</t>
  </si>
  <si>
    <t>020043</t>
  </si>
  <si>
    <t>医用离心器</t>
  </si>
  <si>
    <t>2015-12-01</t>
  </si>
  <si>
    <t>020044</t>
  </si>
  <si>
    <t>十二道心电图机1台/型号ECG-1210</t>
  </si>
  <si>
    <t>2016-05-01</t>
  </si>
  <si>
    <t>020045</t>
  </si>
  <si>
    <t>皮肤检测仪1台型号OBSERV</t>
  </si>
  <si>
    <t>020046</t>
  </si>
  <si>
    <t>高频电刀款/(型号沪通GD350/手术室用</t>
  </si>
  <si>
    <t>2016-12-01</t>
  </si>
  <si>
    <t>020049</t>
  </si>
  <si>
    <t>飞顿超冰手柄（超冰脱毛机上零件）</t>
  </si>
  <si>
    <t>2017-04-01</t>
  </si>
  <si>
    <t>020050</t>
  </si>
  <si>
    <t>洁牙机/上海华星医疗器械有限公司</t>
  </si>
  <si>
    <t>020051</t>
  </si>
  <si>
    <t>美白冷光仪/南昌普洋科技有限公司</t>
  </si>
  <si>
    <t>020052</t>
  </si>
  <si>
    <t>紫外线空气消毒器/浙江指南针医疗科技有限公司</t>
  </si>
  <si>
    <t>020054</t>
  </si>
  <si>
    <t>MOST灭茵器(MOST-T80)/杭州引领医疗器械</t>
  </si>
  <si>
    <t>YAKE01201801</t>
  </si>
  <si>
    <t>牙科综合治疗机</t>
  </si>
  <si>
    <t>2018-02-01</t>
  </si>
  <si>
    <t>01-05-0063</t>
  </si>
  <si>
    <t>黑金超光子（激光和脉冲光工作站）</t>
  </si>
  <si>
    <t>2021-03-24</t>
  </si>
  <si>
    <t>01-05-0064</t>
  </si>
  <si>
    <t>铂金牛奶光（半导体激光治疗仪）</t>
  </si>
  <si>
    <t>01-05-0066</t>
  </si>
  <si>
    <t>口腔麻醉助推仪</t>
  </si>
  <si>
    <t>01-05-0067</t>
  </si>
  <si>
    <t>01-05-0068</t>
  </si>
  <si>
    <t>超声治疗仪（半岛超声炮）</t>
  </si>
  <si>
    <t>2021-10-31</t>
  </si>
  <si>
    <t>01-05-0069</t>
  </si>
  <si>
    <t>德玛莎电子注射器（二代）</t>
  </si>
  <si>
    <t>2021-11-30</t>
  </si>
  <si>
    <t>01-05-0070</t>
  </si>
  <si>
    <t>01-05-0071</t>
  </si>
  <si>
    <t>LED手术照明灯</t>
  </si>
  <si>
    <t>01-05-0072</t>
  </si>
  <si>
    <t>15000387冷冻减脂仪（酷塑）</t>
  </si>
  <si>
    <t>01-05-0075</t>
  </si>
  <si>
    <t>半导体激光治疗仪（脱毛仪）</t>
  </si>
  <si>
    <t>01-05-0076</t>
  </si>
  <si>
    <t>医疗仪器纯水机</t>
  </si>
  <si>
    <t>2022-09-09</t>
  </si>
  <si>
    <t>01-05-0073</t>
  </si>
  <si>
    <t>喷沙枪</t>
  </si>
  <si>
    <t>2022-05-31</t>
  </si>
  <si>
    <t>01-05-0077</t>
  </si>
  <si>
    <t>01-05-0078</t>
  </si>
  <si>
    <t>超声治疗仪（超声王）</t>
  </si>
  <si>
    <t>01-05-0079</t>
  </si>
  <si>
    <t>氢氧小气泡</t>
  </si>
  <si>
    <t>2023-02-28</t>
  </si>
  <si>
    <t>01-05-0081</t>
  </si>
  <si>
    <t>01-05-0082</t>
  </si>
  <si>
    <t>面部皮肤注射泵（水光机）</t>
  </si>
  <si>
    <t>2023-05-31</t>
  </si>
  <si>
    <t>01-05-0014</t>
  </si>
  <si>
    <t>塑封机</t>
  </si>
  <si>
    <t>01-05-0016</t>
  </si>
  <si>
    <t>病例车</t>
  </si>
  <si>
    <t>01-05-0017</t>
  </si>
  <si>
    <t>抢救车</t>
  </si>
  <si>
    <t>01-06-0001</t>
  </si>
  <si>
    <t>德隆ETAM29.510咖啡机</t>
  </si>
  <si>
    <t>2018-09-21</t>
  </si>
  <si>
    <t>01-06-0002</t>
  </si>
  <si>
    <t>01-06-0003</t>
  </si>
  <si>
    <t>迪卡侬椭圆仪FICQ</t>
  </si>
  <si>
    <t>2020-12-31</t>
  </si>
  <si>
    <t>060002</t>
  </si>
  <si>
    <t>威谱电话呼叫系统16外机48分机</t>
  </si>
  <si>
    <t>060004</t>
  </si>
  <si>
    <t>手术室音响背景系统</t>
  </si>
  <si>
    <t>060006</t>
  </si>
  <si>
    <t>消防工程系统</t>
  </si>
  <si>
    <t>2014-01-01</t>
  </si>
  <si>
    <t>01-06-0004</t>
  </si>
  <si>
    <t>非金属矿物制品.鱼缸</t>
  </si>
  <si>
    <t>2022-03-31</t>
  </si>
  <si>
    <t>01-06-0005</t>
  </si>
  <si>
    <t>*制准空调设备*冷藏柜</t>
  </si>
  <si>
    <t>2022-06-15</t>
  </si>
  <si>
    <t>01-06-0006</t>
  </si>
  <si>
    <t>*金属制品*平冷工作台</t>
  </si>
  <si>
    <t>01-06-0007</t>
  </si>
  <si>
    <t>咖啡厅水吧台配套设备</t>
  </si>
  <si>
    <t>01-06-0008</t>
  </si>
  <si>
    <t>咖啡机</t>
  </si>
  <si>
    <t>01-07-0001</t>
  </si>
  <si>
    <t>特斯拉纯电动乘用车</t>
  </si>
  <si>
    <t>01-07-0002</t>
  </si>
  <si>
    <t>越野乘用车</t>
  </si>
  <si>
    <t>2022-06-08</t>
  </si>
  <si>
    <t>01-03-0005</t>
  </si>
  <si>
    <t>冰箱</t>
  </si>
  <si>
    <t>2023-08-16</t>
  </si>
  <si>
    <t>01-04-0057</t>
  </si>
  <si>
    <t>索尼镜头</t>
  </si>
  <si>
    <t>2023-08-04</t>
  </si>
  <si>
    <t>01-04-0058</t>
  </si>
  <si>
    <t>电脑兼容机</t>
  </si>
  <si>
    <t>01-04-0059</t>
  </si>
  <si>
    <t>小度添添闺蜜机</t>
  </si>
  <si>
    <t>2023-08-31</t>
  </si>
  <si>
    <t>01-04-0060</t>
  </si>
  <si>
    <t>荣耀X50智能手机</t>
  </si>
  <si>
    <t>01-04-0061</t>
  </si>
  <si>
    <t>荣耀X50手机</t>
  </si>
  <si>
    <t>2023-09-08</t>
  </si>
  <si>
    <t>01-04-0062</t>
  </si>
  <si>
    <t>2023-09-19</t>
  </si>
  <si>
    <t>01-04-0063</t>
  </si>
  <si>
    <t>SONY相机+定焦镜头</t>
  </si>
  <si>
    <t>01-04-0064</t>
  </si>
  <si>
    <t>神牛补光灯</t>
  </si>
  <si>
    <t>01-04-0065</t>
  </si>
  <si>
    <t>台式电脑含24寸升降显示屏</t>
  </si>
  <si>
    <t>01-04-0066</t>
  </si>
  <si>
    <t>小米电视机</t>
  </si>
  <si>
    <t>2023-09-28</t>
  </si>
  <si>
    <t>01-04-0067</t>
  </si>
  <si>
    <t>电子计算机整机电脑</t>
  </si>
  <si>
    <t>2023-10-17</t>
  </si>
  <si>
    <t>01-04-0068</t>
  </si>
  <si>
    <t>红米手机</t>
  </si>
  <si>
    <t>01-04-0069</t>
  </si>
  <si>
    <t>2023-11-05</t>
  </si>
  <si>
    <t>01-04-0070</t>
  </si>
  <si>
    <t>爱图仕直播补光灯</t>
  </si>
  <si>
    <t>2023-11-03</t>
  </si>
  <si>
    <t>01-04-0071</t>
  </si>
  <si>
    <t>01-04-0072</t>
  </si>
  <si>
    <t>爱图仕直播投影聚光筒</t>
  </si>
  <si>
    <t>01-04-0073</t>
  </si>
  <si>
    <t>01-04-0074</t>
  </si>
  <si>
    <t>卷布灯摄影直播补光</t>
  </si>
  <si>
    <t>01-04-0075</t>
  </si>
  <si>
    <t>显示器</t>
  </si>
  <si>
    <t>2023-12-29</t>
  </si>
  <si>
    <t>01-04-0076</t>
  </si>
  <si>
    <t>电脑（特配主机）</t>
  </si>
  <si>
    <t>01-04-0077</t>
  </si>
  <si>
    <t>电脑整机</t>
  </si>
  <si>
    <t>01-04-0078</t>
  </si>
  <si>
    <t>01-04-0079</t>
  </si>
  <si>
    <t>01-04-0080</t>
  </si>
  <si>
    <t>佳能相机（带镜头）</t>
  </si>
  <si>
    <t>01-04-0081</t>
  </si>
  <si>
    <t>电脑主机</t>
  </si>
  <si>
    <t>2023-12-28</t>
  </si>
  <si>
    <t>01-05-0083</t>
  </si>
  <si>
    <t>压力蒸汽灭菌器</t>
  </si>
  <si>
    <t>2023-07-24</t>
  </si>
  <si>
    <t>01-05-0084</t>
  </si>
  <si>
    <t>蒸馏水机</t>
  </si>
  <si>
    <t>01-05-0085</t>
  </si>
  <si>
    <t>封口机</t>
  </si>
  <si>
    <t>01-05-0086</t>
  </si>
  <si>
    <t>01-05-0087</t>
  </si>
  <si>
    <t>黑珍珠小气泡</t>
  </si>
  <si>
    <t>2023-10-08</t>
  </si>
  <si>
    <t>01-05-0089</t>
  </si>
  <si>
    <t>电子注射器控制助推装置</t>
  </si>
  <si>
    <t>01-05-0090</t>
  </si>
  <si>
    <t>舒敏之星短波理疗仪</t>
  </si>
  <si>
    <t>01-05-0091</t>
  </si>
  <si>
    <t>2023-10-18</t>
  </si>
  <si>
    <t>01-04-0082</t>
  </si>
  <si>
    <t>联想主机（组装）</t>
  </si>
  <si>
    <t>2024-03-31</t>
  </si>
  <si>
    <t>01-05-0092</t>
  </si>
  <si>
    <t>2024-01-13</t>
  </si>
  <si>
    <t>01-05-0093</t>
  </si>
  <si>
    <t>牙科电动无油空压机</t>
  </si>
  <si>
    <t>2024-01-25</t>
  </si>
  <si>
    <t>01-05-0094</t>
  </si>
  <si>
    <t>牙科电动抽吸机</t>
  </si>
  <si>
    <t>01-05-0095</t>
  </si>
  <si>
    <t>医疗污水臭氧消毒器</t>
  </si>
  <si>
    <t>01-05-0096</t>
  </si>
  <si>
    <t>医用纯水机</t>
  </si>
  <si>
    <t>01-05-0097</t>
  </si>
  <si>
    <t>次氯酸发生器</t>
  </si>
  <si>
    <t>01-05-0098</t>
  </si>
  <si>
    <t>净为康牌等离子体空气消毒机</t>
  </si>
  <si>
    <t>2024-04-30</t>
  </si>
  <si>
    <t>01-05-0099</t>
  </si>
  <si>
    <t>01-05-0100</t>
  </si>
  <si>
    <t>体外冲击波治疗仪（冷拉提）</t>
  </si>
  <si>
    <t>2024-05-31</t>
  </si>
  <si>
    <t>01-05-0101</t>
  </si>
  <si>
    <t>半导体激光脱毛机</t>
  </si>
  <si>
    <t>01-05-0102</t>
  </si>
  <si>
    <t>科贝美光谱仪（红蓝光）</t>
  </si>
  <si>
    <t>2024-11-30</t>
  </si>
  <si>
    <t>01-05-0103</t>
  </si>
  <si>
    <t>注射器辅助推进装置</t>
  </si>
  <si>
    <t>01-05-0104</t>
  </si>
  <si>
    <t>射频治疗仪(Thermage FLX System）超玛吉</t>
  </si>
  <si>
    <t>01-05-0105</t>
  </si>
  <si>
    <t>高频电灼仪/半岛逆时针</t>
  </si>
  <si>
    <t>2024-12-29</t>
  </si>
  <si>
    <t>01-05-0106</t>
  </si>
  <si>
    <t>超声治疗仪(Taixl黄金炮仪)</t>
  </si>
  <si>
    <t>资产卡片日期2023-12-1</t>
  </si>
  <si>
    <t>01-07-0003</t>
  </si>
  <si>
    <t>别克牌商务车</t>
  </si>
  <si>
    <t>01-04-0083</t>
  </si>
  <si>
    <t>飞利浦音响</t>
  </si>
  <si>
    <t>2025-02-25</t>
  </si>
  <si>
    <t>01-04-0084</t>
  </si>
  <si>
    <t>2025-03-11</t>
  </si>
  <si>
    <t>01-04-0085</t>
  </si>
  <si>
    <t>2025-04-11</t>
  </si>
  <si>
    <t>01-04-0086</t>
  </si>
  <si>
    <t>兼容机(特配)</t>
  </si>
  <si>
    <t>2025-07-30</t>
  </si>
  <si>
    <t>01-04-0087</t>
  </si>
  <si>
    <t>2025-08-31</t>
  </si>
  <si>
    <t>01-04-0088</t>
  </si>
  <si>
    <t>组装机/主机</t>
  </si>
  <si>
    <t>2025-10-28</t>
  </si>
  <si>
    <t>01-04-0089</t>
  </si>
  <si>
    <t>华为荣耀80手机</t>
  </si>
  <si>
    <t>2025-11-11</t>
  </si>
  <si>
    <t>01-04-0090</t>
  </si>
  <si>
    <t>AUX奥克斯冰箱</t>
  </si>
  <si>
    <t>2025-11-26</t>
  </si>
  <si>
    <t>01-05-0107</t>
  </si>
  <si>
    <t>3D智能面部扫描仪</t>
  </si>
  <si>
    <t>2025-03-10</t>
  </si>
  <si>
    <t>01-05-0108</t>
  </si>
  <si>
    <t>2025-04-30</t>
  </si>
  <si>
    <t>01-05-0109</t>
  </si>
  <si>
    <t>高频电灼仪（燃脂炮）</t>
  </si>
  <si>
    <t>2025-05-26</t>
  </si>
  <si>
    <t>01-05-0110</t>
  </si>
  <si>
    <t>01-05-0111</t>
  </si>
  <si>
    <t>01-05-0112</t>
  </si>
  <si>
    <t>口腔数字观察仪</t>
  </si>
  <si>
    <t>01-05-0113</t>
  </si>
  <si>
    <t>超声洁牙机</t>
  </si>
  <si>
    <t>01-05-0114</t>
  </si>
  <si>
    <t>01-05-0115</t>
  </si>
  <si>
    <t>安德半导体激光脱毛机</t>
  </si>
  <si>
    <t>2025-09-19</t>
  </si>
  <si>
    <t>01-05-0116</t>
  </si>
  <si>
    <t>皮秒Nd:YAG激光治疗仪（半岛白极光）</t>
  </si>
  <si>
    <t>2025-10-31</t>
  </si>
  <si>
    <t>01-06-0009</t>
  </si>
  <si>
    <t>美容床（521HF2）</t>
  </si>
  <si>
    <t>01-07-0004</t>
  </si>
  <si>
    <t>浙AN311V别克汽车</t>
  </si>
  <si>
    <t>2025-03-20</t>
  </si>
  <si>
    <t>处置</t>
  </si>
  <si>
    <t>01-05-0074</t>
  </si>
  <si>
    <t>注射器辅助推进装置（水光机）</t>
  </si>
  <si>
    <r>
      <rPr>
        <b/>
        <sz val="14"/>
        <color rgb="FFFFFFFF"/>
        <rFont val="微软雅黑"/>
        <charset val="134"/>
      </rPr>
      <t>标准工作底稿</t>
    </r>
    <r>
      <rPr>
        <b/>
        <sz val="14"/>
        <color rgb="FFFFFFFF"/>
        <rFont val="Arial"/>
        <charset val="134"/>
      </rPr>
      <t xml:space="preserve">: K1 SWP </t>
    </r>
    <r>
      <rPr>
        <b/>
        <sz val="14"/>
        <color rgb="FFFFFFFF"/>
        <rFont val="微软雅黑"/>
        <charset val="134"/>
      </rPr>
      <t>不动产、厂房和设备及相关账户（</t>
    </r>
    <r>
      <rPr>
        <b/>
        <sz val="14"/>
        <color rgb="FFFFFFFF"/>
        <rFont val="Arial"/>
        <charset val="134"/>
      </rPr>
      <t>PPE</t>
    </r>
    <r>
      <rPr>
        <b/>
        <sz val="14"/>
        <color rgb="FFFFFFFF"/>
        <rFont val="微软雅黑"/>
        <charset val="134"/>
      </rPr>
      <t>）</t>
    </r>
  </si>
  <si>
    <r>
      <rPr>
        <b/>
        <sz val="12"/>
        <color rgb="FF000000"/>
        <rFont val="Arial"/>
        <charset val="134"/>
      </rPr>
      <t>K.02.1</t>
    </r>
    <r>
      <rPr>
        <b/>
        <sz val="12"/>
        <color rgb="FF000000"/>
        <rFont val="微软雅黑"/>
        <charset val="134"/>
      </rPr>
      <t>：详细测试</t>
    </r>
    <r>
      <rPr>
        <b/>
        <sz val="12"/>
        <color rgb="FF000000"/>
        <rFont val="Arial"/>
        <charset val="134"/>
      </rPr>
      <t xml:space="preserve"> (</t>
    </r>
    <r>
      <rPr>
        <b/>
        <sz val="12"/>
        <color rgb="FF000000"/>
        <rFont val="微软雅黑"/>
        <charset val="134"/>
      </rPr>
      <t>新增</t>
    </r>
    <r>
      <rPr>
        <b/>
        <sz val="12"/>
        <color rgb="FF000000"/>
        <rFont val="Arial"/>
        <charset val="134"/>
      </rPr>
      <t>)</t>
    </r>
  </si>
  <si>
    <r>
      <rPr>
        <b/>
        <sz val="10"/>
        <rFont val="微软雅黑"/>
        <charset val="134"/>
      </rPr>
      <t>记录我们的详细测试所涵盖的总体</t>
    </r>
    <r>
      <rPr>
        <b/>
        <i/>
        <sz val="10"/>
        <color rgb="FFFF0000"/>
        <rFont val="微软雅黑"/>
        <charset val="134"/>
      </rPr>
      <t>（指引：纳入充分的描述，以使经验丰富且之前与该项审计无关的审计师能够理解样本是如何选择的，例如，总体的分类或筛选。）</t>
    </r>
  </si>
  <si>
    <r>
      <rPr>
        <i/>
        <sz val="10"/>
        <rFont val="Arial"/>
        <charset val="134"/>
      </rPr>
      <t xml:space="preserve">
</t>
    </r>
    <r>
      <rPr>
        <i/>
        <sz val="10"/>
        <rFont val="宋体"/>
        <charset val="134"/>
      </rPr>
      <t>我们将本年固定资产购置增加的明细作为测试的样本总体。</t>
    </r>
  </si>
  <si>
    <r>
      <rPr>
        <sz val="10"/>
        <rFont val="微软雅黑"/>
        <charset val="134"/>
      </rPr>
      <t>购置总金额</t>
    </r>
  </si>
  <si>
    <r>
      <rPr>
        <sz val="10"/>
        <color rgb="FF000000"/>
        <rFont val="Arial"/>
        <charset val="134"/>
      </rPr>
      <t>Breakdown</t>
    </r>
    <r>
      <rPr>
        <sz val="10"/>
        <color rgb="FF000000"/>
        <rFont val="微软雅黑"/>
        <charset val="134"/>
      </rPr>
      <t>中购置金额</t>
    </r>
  </si>
  <si>
    <r>
      <rPr>
        <b/>
        <sz val="10"/>
        <rFont val="微软雅黑"/>
        <charset val="134"/>
      </rPr>
      <t>差异是否需要进一步调查？</t>
    </r>
    <r>
      <rPr>
        <b/>
        <sz val="10"/>
        <rFont val="Arial"/>
        <charset val="134"/>
      </rPr>
      <t xml:space="preserve">     </t>
    </r>
  </si>
  <si>
    <r>
      <rPr>
        <sz val="10"/>
        <rFont val="微软雅黑"/>
        <charset val="134"/>
      </rPr>
      <t>减：测试的关键项目</t>
    </r>
  </si>
  <si>
    <t>380,000.00</t>
  </si>
  <si>
    <r>
      <rPr>
        <sz val="10"/>
        <rFont val="微软雅黑"/>
        <charset val="134"/>
      </rPr>
      <t>进行代表性抽样的剩余总体</t>
    </r>
  </si>
  <si>
    <r>
      <rPr>
        <b/>
        <sz val="10"/>
        <color rgb="FF000000"/>
        <rFont val="微软雅黑"/>
        <charset val="134"/>
      </rPr>
      <t>在下方描述选择关键项目的理由</t>
    </r>
    <r>
      <rPr>
        <b/>
        <i/>
        <sz val="10"/>
        <color rgb="FFFF0000"/>
        <rFont val="微软雅黑"/>
        <charset val="134"/>
      </rPr>
      <t>（请参阅</t>
    </r>
    <r>
      <rPr>
        <b/>
        <i/>
        <sz val="10"/>
        <color rgb="FFFF0000"/>
        <rFont val="Arial"/>
        <charset val="134"/>
      </rPr>
      <t>Canvas</t>
    </r>
    <r>
      <rPr>
        <b/>
        <i/>
        <sz val="10"/>
        <color rgb="FFFF0000"/>
        <rFont val="微软雅黑"/>
        <charset val="134"/>
      </rPr>
      <t>指导工作流程的</t>
    </r>
    <r>
      <rPr>
        <b/>
        <i/>
        <sz val="10"/>
        <color rgb="FFFF0000"/>
        <rFont val="Arial"/>
        <charset val="134"/>
      </rPr>
      <t>“</t>
    </r>
    <r>
      <rPr>
        <b/>
        <i/>
        <sz val="10"/>
        <color rgb="FFFF0000"/>
        <rFont val="微软雅黑"/>
        <charset val="134"/>
      </rPr>
      <t>关键项目</t>
    </r>
    <r>
      <rPr>
        <b/>
        <i/>
        <sz val="10"/>
        <color rgb="FFFF0000"/>
        <rFont val="Arial"/>
        <charset val="134"/>
      </rPr>
      <t>”</t>
    </r>
    <r>
      <rPr>
        <b/>
        <i/>
        <sz val="10"/>
        <color rgb="FFFF0000"/>
        <rFont val="微软雅黑"/>
        <charset val="134"/>
      </rPr>
      <t>部分，包括信息图标）</t>
    </r>
  </si>
  <si>
    <t>1）我们将本年新增样本金额超过固定资产存在认定，计价认定及权利和义务认定的Threshold（人民币241,890元）的样本，设定为关键项；</t>
  </si>
  <si>
    <t>2）同时，我们将本年新增样本性质异常的单项资产，设定为关键项；</t>
  </si>
  <si>
    <t>3）如果没有充分的关键项以支持我们得出结论，我们将测试延伸至剩余总体中的代表性抽样，选择随机抽样方法确定代表性样本。</t>
  </si>
  <si>
    <t>基于对被审计单位和重大交易流程的了解，我们没有确定任何相关的定性标准。我们利用抽样工具评估已获得审计证据的充分性和适当性，按照评估结果，我们计划测试1个关键项样本。</t>
  </si>
  <si>
    <r>
      <rPr>
        <b/>
        <sz val="10"/>
        <rFont val="Arial"/>
        <charset val="134"/>
      </rPr>
      <t xml:space="preserve">EY </t>
    </r>
    <r>
      <rPr>
        <b/>
        <sz val="10"/>
        <rFont val="微软雅黑"/>
        <charset val="134"/>
      </rPr>
      <t>测试属性解释</t>
    </r>
    <r>
      <rPr>
        <b/>
        <sz val="10"/>
        <rFont val="Arial"/>
        <charset val="134"/>
      </rPr>
      <t>:</t>
    </r>
  </si>
  <si>
    <r>
      <rPr>
        <i/>
        <sz val="10"/>
        <rFont val="微软雅黑"/>
        <charset val="134"/>
      </rPr>
      <t>对于每个被选中进行测试的项目，我们检查了相关的第三方证据以及相关的会计分录，并确定：</t>
    </r>
  </si>
  <si>
    <r>
      <rPr>
        <sz val="10"/>
        <rFont val="Arial"/>
        <charset val="134"/>
      </rPr>
      <t xml:space="preserve">1) </t>
    </r>
    <r>
      <rPr>
        <sz val="10"/>
        <rFont val="微软雅黑"/>
        <charset val="134"/>
      </rPr>
      <t>测试样本于恰当的日期被正确资本化为固定资产（即，不应该费用化）。</t>
    </r>
  </si>
  <si>
    <r>
      <rPr>
        <sz val="10"/>
        <rFont val="Arial"/>
        <charset val="134"/>
      </rPr>
      <t xml:space="preserve">2) </t>
    </r>
    <r>
      <rPr>
        <sz val="10"/>
        <rFont val="微软雅黑"/>
        <charset val="134"/>
      </rPr>
      <t>历史成本已根据适用的财务报告框架进行记录。</t>
    </r>
  </si>
  <si>
    <r>
      <rPr>
        <sz val="10"/>
        <color rgb="FF000000"/>
        <rFont val="Arial"/>
        <charset val="134"/>
      </rPr>
      <t xml:space="preserve">3) </t>
    </r>
    <r>
      <rPr>
        <sz val="10"/>
        <color rgb="FF000000"/>
        <rFont val="微软雅黑"/>
        <charset val="134"/>
      </rPr>
      <t>管理层对测试项目采用的使用寿命和折旧方法是适当的（符合实体的会计政策和适用的财务报告框架）。</t>
    </r>
  </si>
  <si>
    <r>
      <rPr>
        <sz val="10"/>
        <rFont val="Arial"/>
        <charset val="134"/>
      </rPr>
      <t xml:space="preserve">4) </t>
    </r>
    <r>
      <rPr>
        <sz val="10"/>
        <rFont val="微软雅黑"/>
        <charset val="134"/>
      </rPr>
      <t>该资产已被归入适当的固定资产类别。</t>
    </r>
  </si>
  <si>
    <t>|------- Rx -------|</t>
  </si>
  <si>
    <t>EY Works</t>
  </si>
  <si>
    <r>
      <rPr>
        <b/>
        <sz val="10"/>
        <rFont val="微软雅黑"/>
        <charset val="134"/>
      </rPr>
      <t>样本类型</t>
    </r>
  </si>
  <si>
    <r>
      <rPr>
        <b/>
        <sz val="10"/>
        <rFont val="微软雅黑"/>
        <charset val="134"/>
      </rPr>
      <t>总账账户代码</t>
    </r>
  </si>
  <si>
    <r>
      <rPr>
        <b/>
        <sz val="10"/>
        <rFont val="微软雅黑"/>
        <charset val="134"/>
      </rPr>
      <t>固定资产编号</t>
    </r>
  </si>
  <si>
    <r>
      <rPr>
        <b/>
        <sz val="10"/>
        <rFont val="微软雅黑"/>
        <charset val="134"/>
      </rPr>
      <t>固定资产名称</t>
    </r>
  </si>
  <si>
    <r>
      <rPr>
        <b/>
        <sz val="10"/>
        <rFont val="微软雅黑"/>
        <charset val="134"/>
      </rPr>
      <t>资产原价</t>
    </r>
  </si>
  <si>
    <r>
      <rPr>
        <b/>
        <sz val="10"/>
        <rFont val="微软雅黑"/>
        <charset val="134"/>
      </rPr>
      <t>资本化日期</t>
    </r>
  </si>
  <si>
    <r>
      <rPr>
        <b/>
        <sz val="10"/>
        <rFont val="Arial"/>
        <charset val="134"/>
      </rPr>
      <t xml:space="preserve"> </t>
    </r>
    <r>
      <rPr>
        <b/>
        <sz val="10"/>
        <rFont val="微软雅黑"/>
        <charset val="134"/>
      </rPr>
      <t>使用寿命</t>
    </r>
    <r>
      <rPr>
        <b/>
        <sz val="10"/>
        <rFont val="Arial"/>
        <charset val="134"/>
      </rPr>
      <t>(</t>
    </r>
    <r>
      <rPr>
        <b/>
        <sz val="10"/>
        <rFont val="微软雅黑"/>
        <charset val="134"/>
      </rPr>
      <t>月</t>
    </r>
    <r>
      <rPr>
        <b/>
        <sz val="10"/>
        <rFont val="Arial"/>
        <charset val="134"/>
      </rPr>
      <t>)</t>
    </r>
  </si>
  <si>
    <r>
      <rPr>
        <b/>
        <sz val="10"/>
        <rFont val="微软雅黑"/>
        <charset val="134"/>
      </rPr>
      <t>残值率</t>
    </r>
  </si>
  <si>
    <r>
      <rPr>
        <b/>
        <sz val="10"/>
        <rFont val="微软雅黑"/>
        <charset val="134"/>
      </rPr>
      <t>折旧方法</t>
    </r>
  </si>
  <si>
    <r>
      <rPr>
        <b/>
        <sz val="10"/>
        <rFont val="微软雅黑"/>
        <charset val="134"/>
      </rPr>
      <t>资产原价（通过审计证据</t>
    </r>
    <r>
      <rPr>
        <b/>
        <sz val="10"/>
        <rFont val="Arial"/>
        <charset val="134"/>
      </rPr>
      <t>/</t>
    </r>
    <r>
      <rPr>
        <b/>
        <sz val="10"/>
        <rFont val="微软雅黑"/>
        <charset val="134"/>
      </rPr>
      <t>支持性文件取得）</t>
    </r>
  </si>
  <si>
    <r>
      <rPr>
        <b/>
        <sz val="10"/>
        <rFont val="微软雅黑"/>
        <charset val="134"/>
      </rPr>
      <t>获得的证据</t>
    </r>
    <r>
      <rPr>
        <b/>
        <sz val="10"/>
        <rFont val="Arial"/>
        <charset val="134"/>
      </rPr>
      <t>/</t>
    </r>
    <r>
      <rPr>
        <b/>
        <sz val="10"/>
        <rFont val="微软雅黑"/>
        <charset val="134"/>
      </rPr>
      <t>支持的描述（例如，我们检查的控制权转移时点的单据</t>
    </r>
    <r>
      <rPr>
        <b/>
        <sz val="10"/>
        <rFont val="Arial"/>
        <charset val="134"/>
      </rPr>
      <t>/</t>
    </r>
    <r>
      <rPr>
        <b/>
        <sz val="10"/>
        <rFont val="微软雅黑"/>
        <charset val="134"/>
      </rPr>
      <t>销售发票</t>
    </r>
    <r>
      <rPr>
        <b/>
        <sz val="10"/>
        <rFont val="Arial"/>
        <charset val="134"/>
      </rPr>
      <t>/</t>
    </r>
    <r>
      <rPr>
        <b/>
        <sz val="10"/>
        <rFont val="微软雅黑"/>
        <charset val="134"/>
      </rPr>
      <t>合同</t>
    </r>
    <r>
      <rPr>
        <b/>
        <sz val="10"/>
        <rFont val="Arial"/>
        <charset val="134"/>
      </rPr>
      <t>/</t>
    </r>
    <r>
      <rPr>
        <b/>
        <sz val="10"/>
        <rFont val="微软雅黑"/>
        <charset val="134"/>
      </rPr>
      <t>订单等）</t>
    </r>
  </si>
  <si>
    <r>
      <rPr>
        <b/>
        <sz val="10"/>
        <rFont val="微软雅黑"/>
        <charset val="134"/>
      </rPr>
      <t>资产原价差异</t>
    </r>
  </si>
  <si>
    <t>关键项（key item）</t>
  </si>
  <si>
    <t>直线法</t>
  </si>
  <si>
    <t>合同编号:XSHT-20250915-0003；</t>
  </si>
  <si>
    <t>Y</t>
  </si>
  <si>
    <r>
      <rPr>
        <sz val="10"/>
        <color rgb="FF000000"/>
        <rFont val="微软雅黑"/>
        <charset val="134"/>
      </rPr>
      <t>验收单编号</t>
    </r>
    <r>
      <rPr>
        <sz val="10"/>
        <color rgb="FF000000"/>
        <rFont val="Arial"/>
        <charset val="134"/>
      </rPr>
      <t>10300002129</t>
    </r>
    <r>
      <rPr>
        <sz val="10"/>
        <color rgb="FF000000"/>
        <rFont val="宋体"/>
        <charset val="134"/>
      </rPr>
      <t>；</t>
    </r>
  </si>
  <si>
    <r>
      <rPr>
        <b/>
        <sz val="10"/>
        <color rgb="FF000000"/>
        <rFont val="微软雅黑"/>
        <charset val="134"/>
      </rPr>
      <t>标记图例</t>
    </r>
    <r>
      <rPr>
        <b/>
        <sz val="10"/>
        <color rgb="FF000000"/>
        <rFont val="Arial"/>
        <charset val="134"/>
      </rPr>
      <t xml:space="preserve">: </t>
    </r>
    <r>
      <rPr>
        <sz val="10"/>
        <color rgb="FF000000"/>
        <rFont val="微软雅黑"/>
        <charset val="134"/>
      </rPr>
      <t>记录已识别的异常情况以及如何解决这些异常情况的详细信息，包括执行的其他实质性程序</t>
    </r>
    <r>
      <rPr>
        <b/>
        <i/>
        <sz val="10"/>
        <color rgb="FFFF0000"/>
        <rFont val="微软雅黑"/>
        <charset val="134"/>
      </rPr>
      <t>（指南：包括足够的描述，以使之前与审计无关的经验丰富的审计师能够理解执行的程序）。</t>
    </r>
  </si>
  <si>
    <r>
      <rPr>
        <sz val="10"/>
        <rFont val="宋体"/>
        <charset val="134"/>
      </rPr>
      <t>新增方式</t>
    </r>
  </si>
  <si>
    <t>购置</t>
  </si>
  <si>
    <t>合计</t>
  </si>
  <si>
    <t>Skywind-TOD</t>
  </si>
  <si>
    <r>
      <rPr>
        <sz val="11"/>
        <color rgb="FFFFFFFF"/>
        <rFont val="微软雅黑"/>
        <charset val="134"/>
      </rPr>
      <t>抽样策略工作底稿</t>
    </r>
  </si>
  <si>
    <r>
      <rPr>
        <sz val="11"/>
        <color rgb="FFFFFFFF"/>
        <rFont val="微软雅黑"/>
        <charset val="134"/>
      </rPr>
      <t>客户名称</t>
    </r>
  </si>
  <si>
    <r>
      <rPr>
        <sz val="11"/>
        <color rgb="FFFFFFFF"/>
        <rFont val="微软雅黑"/>
        <charset val="134"/>
      </rPr>
      <t>截止日期</t>
    </r>
  </si>
  <si>
    <t>2025/12/31</t>
  </si>
  <si>
    <r>
      <rPr>
        <sz val="11"/>
        <color rgb="FFFFFFFF"/>
        <rFont val="微软雅黑"/>
        <charset val="134"/>
      </rPr>
      <t xml:space="preserve">Canvas </t>
    </r>
    <r>
      <rPr>
        <sz val="11"/>
        <color rgb="FFFFFFFF"/>
        <rFont val="Arial"/>
        <charset val="134"/>
      </rPr>
      <t>ID</t>
    </r>
  </si>
  <si>
    <t>1800255374</t>
  </si>
  <si>
    <r>
      <rPr>
        <b/>
        <sz val="11"/>
        <color rgb="FFFFFFFF"/>
        <rFont val="微软雅黑"/>
        <charset val="134"/>
      </rPr>
      <t>抽样项目基础信息</t>
    </r>
  </si>
  <si>
    <r>
      <rPr>
        <b/>
        <sz val="11"/>
        <color rgb="FF1A1A24"/>
        <rFont val="微软雅黑"/>
        <charset val="134"/>
      </rPr>
      <t>版本号</t>
    </r>
  </si>
  <si>
    <t>V2.0.0</t>
  </si>
  <si>
    <r>
      <rPr>
        <b/>
        <sz val="11"/>
        <rFont val="Arial"/>
        <charset val="134"/>
      </rPr>
      <t xml:space="preserve">Skywind TOD </t>
    </r>
    <r>
      <rPr>
        <b/>
        <sz val="11"/>
        <rFont val="微软雅黑"/>
        <charset val="134"/>
      </rPr>
      <t>抽样记录</t>
    </r>
  </si>
  <si>
    <t>7E8787F21DAC4BD78A7F000930A5AC17</t>
  </si>
  <si>
    <r>
      <rPr>
        <b/>
        <sz val="11"/>
        <color rgb="FF1A1A24"/>
        <rFont val="微软雅黑"/>
        <charset val="134"/>
      </rPr>
      <t>测试类型</t>
    </r>
  </si>
  <si>
    <r>
      <rPr>
        <sz val="11"/>
        <color rgb="FF1A1A24"/>
        <rFont val="微软雅黑"/>
        <charset val="134"/>
      </rPr>
      <t>详细测试</t>
    </r>
  </si>
  <si>
    <r>
      <rPr>
        <b/>
        <sz val="11"/>
        <color rgb="FF1A1A24"/>
        <rFont val="微软雅黑"/>
        <charset val="134"/>
      </rPr>
      <t>重大账户类型</t>
    </r>
  </si>
  <si>
    <t>资产</t>
  </si>
  <si>
    <r>
      <rPr>
        <b/>
        <sz val="11"/>
        <color rgb="FF1A1A24"/>
        <rFont val="微软雅黑"/>
        <charset val="134"/>
      </rPr>
      <t>抽样科目</t>
    </r>
  </si>
  <si>
    <t>K.固定资产</t>
  </si>
  <si>
    <r>
      <rPr>
        <b/>
        <sz val="11"/>
        <color rgb="FF1A1A24"/>
        <rFont val="微软雅黑"/>
        <charset val="134"/>
      </rPr>
      <t>审计期间</t>
    </r>
  </si>
  <si>
    <t>期末</t>
  </si>
  <si>
    <t>是否已执行利润表中期抽样</t>
  </si>
  <si>
    <r>
      <rPr>
        <b/>
        <sz val="11"/>
        <color rgb="FF1A1A24"/>
        <rFont val="微软雅黑"/>
        <charset val="134"/>
      </rPr>
      <t>可容忍误差</t>
    </r>
    <r>
      <rPr>
        <b/>
        <sz val="11"/>
        <color rgb="FF1A1A24"/>
        <rFont val="Arial"/>
        <charset val="134"/>
      </rPr>
      <t xml:space="preserve"> </t>
    </r>
    <r>
      <rPr>
        <b/>
        <sz val="11"/>
        <color rgb="FF1A1A24"/>
        <rFont val="微软雅黑"/>
        <charset val="134"/>
      </rPr>
      <t>（</t>
    </r>
    <r>
      <rPr>
        <b/>
        <sz val="11"/>
        <color rgb="FF1A1A24"/>
        <rFont val="Arial"/>
        <charset val="134"/>
      </rPr>
      <t>TE</t>
    </r>
    <r>
      <rPr>
        <b/>
        <sz val="11"/>
        <color rgb="FF1A1A24"/>
        <rFont val="微软雅黑"/>
        <charset val="134"/>
      </rPr>
      <t>）</t>
    </r>
  </si>
  <si>
    <t>241,890.00</t>
  </si>
  <si>
    <r>
      <rPr>
        <b/>
        <sz val="11"/>
        <color rgb="FF1A1A24"/>
        <rFont val="微软雅黑"/>
        <charset val="134"/>
      </rPr>
      <t>测试涵盖的认定</t>
    </r>
  </si>
  <si>
    <t>存在/发生, 计量/计价, 权利与义务</t>
  </si>
  <si>
    <r>
      <rPr>
        <b/>
        <sz val="11"/>
        <color rgb="FF1A1A24"/>
        <rFont val="微软雅黑"/>
        <charset val="134"/>
      </rPr>
      <t>是否存在与上述认定相关的舞弊或特别风险？</t>
    </r>
  </si>
  <si>
    <r>
      <rPr>
        <b/>
        <sz val="11"/>
        <color rgb="FF1A1A24"/>
        <rFont val="微软雅黑"/>
        <charset val="134"/>
      </rPr>
      <t>综合风险评估</t>
    </r>
  </si>
  <si>
    <t>最低</t>
  </si>
  <si>
    <r>
      <rPr>
        <b/>
        <sz val="11"/>
        <color rgb="FF1A1A24"/>
        <rFont val="微软雅黑"/>
        <charset val="134"/>
      </rPr>
      <t>是否为</t>
    </r>
    <r>
      <rPr>
        <b/>
        <sz val="11"/>
        <color rgb="FF1A1A24"/>
        <rFont val="Arial"/>
        <charset val="134"/>
      </rPr>
      <t>PCAOB</t>
    </r>
    <r>
      <rPr>
        <b/>
        <sz val="11"/>
        <color rgb="FF1A1A24"/>
        <rFont val="微软雅黑"/>
        <charset val="134"/>
      </rPr>
      <t>审计？</t>
    </r>
  </si>
  <si>
    <r>
      <rPr>
        <b/>
        <sz val="11"/>
        <color rgb="FF1A1A24"/>
        <rFont val="微软雅黑"/>
        <charset val="134"/>
      </rPr>
      <t>您是否正在上传数据以进行样本选择？</t>
    </r>
  </si>
  <si>
    <t>是否适用于非复杂方法？（结论）</t>
  </si>
  <si>
    <r>
      <rPr>
        <sz val="11"/>
        <color rgb="FF1A1A24"/>
        <rFont val="宋体"/>
        <charset val="134"/>
      </rPr>
      <t>是否适用于非复杂方法</t>
    </r>
    <r>
      <rPr>
        <sz val="11"/>
        <color rgb="FF1A1A24"/>
        <rFont val="微软雅黑"/>
        <charset val="134"/>
      </rPr>
      <t>？</t>
    </r>
  </si>
  <si>
    <r>
      <rPr>
        <b/>
        <sz val="11"/>
        <color rgb="FFFFFFFF"/>
        <rFont val="微软雅黑"/>
        <charset val="134"/>
      </rPr>
      <t>源数据汇总</t>
    </r>
  </si>
  <si>
    <r>
      <rPr>
        <b/>
        <sz val="11"/>
        <color rgb="FF1A1A24"/>
        <rFont val="微软雅黑"/>
        <charset val="134"/>
      </rPr>
      <t>导入的数据文件</t>
    </r>
  </si>
  <si>
    <r>
      <rPr>
        <b/>
        <sz val="11"/>
        <color rgb="FF000000"/>
        <rFont val="微软雅黑"/>
        <charset val="134"/>
      </rPr>
      <t>文件名</t>
    </r>
  </si>
  <si>
    <r>
      <rPr>
        <b/>
        <sz val="11"/>
        <color rgb="FF000000"/>
        <rFont val="微软雅黑"/>
        <charset val="134"/>
      </rPr>
      <t>文件类型</t>
    </r>
  </si>
  <si>
    <t>sheet</t>
  </si>
  <si>
    <r>
      <rPr>
        <b/>
        <sz val="11"/>
        <color rgb="FF000000"/>
        <rFont val="微软雅黑"/>
        <charset val="134"/>
      </rPr>
      <t>上传日期</t>
    </r>
  </si>
  <si>
    <t>02-杭州瑞丽 新增.xlsx</t>
  </si>
  <si>
    <t>xlsx</t>
  </si>
  <si>
    <t>Sheet1</t>
  </si>
  <si>
    <t>2026/01/27</t>
  </si>
  <si>
    <r>
      <rPr>
        <b/>
        <sz val="11"/>
        <color rgb="FF1A1A24"/>
        <rFont val="微软雅黑"/>
        <charset val="134"/>
      </rPr>
      <t>匹配详细信息</t>
    </r>
  </si>
  <si>
    <r>
      <rPr>
        <sz val="11"/>
        <color theme="1"/>
        <rFont val="微软雅黑"/>
        <charset val="134"/>
      </rPr>
      <t>抽样单位列：</t>
    </r>
  </si>
  <si>
    <r>
      <rPr>
        <sz val="11"/>
        <color rgb="FF000000"/>
        <rFont val="微软雅黑"/>
        <charset val="134"/>
      </rPr>
      <t>制单日期</t>
    </r>
    <r>
      <rPr>
        <sz val="11"/>
        <color rgb="FF000000"/>
        <rFont val="Arial"/>
        <charset val="134"/>
      </rPr>
      <t xml:space="preserve">, </t>
    </r>
    <r>
      <rPr>
        <sz val="11"/>
        <color rgb="FF000000"/>
        <rFont val="微软雅黑"/>
        <charset val="134"/>
      </rPr>
      <t>凭证字号</t>
    </r>
    <r>
      <rPr>
        <sz val="11"/>
        <color rgb="FF000000"/>
        <rFont val="Arial"/>
        <charset val="134"/>
      </rPr>
      <t xml:space="preserve">, </t>
    </r>
    <r>
      <rPr>
        <sz val="11"/>
        <color rgb="FF000000"/>
        <rFont val="微软雅黑"/>
        <charset val="134"/>
      </rPr>
      <t>凭证本币总金额</t>
    </r>
    <r>
      <rPr>
        <sz val="11"/>
        <color rgb="FF000000"/>
        <rFont val="Arial"/>
        <charset val="134"/>
      </rPr>
      <t xml:space="preserve">, </t>
    </r>
    <r>
      <rPr>
        <sz val="11"/>
        <color rgb="FF000000"/>
        <rFont val="微软雅黑"/>
        <charset val="134"/>
      </rPr>
      <t>审核人</t>
    </r>
    <r>
      <rPr>
        <sz val="11"/>
        <color rgb="FF000000"/>
        <rFont val="Arial"/>
        <charset val="134"/>
      </rPr>
      <t xml:space="preserve">, </t>
    </r>
    <r>
      <rPr>
        <sz val="11"/>
        <color rgb="FF000000"/>
        <rFont val="微软雅黑"/>
        <charset val="134"/>
      </rPr>
      <t>制单人</t>
    </r>
    <r>
      <rPr>
        <sz val="11"/>
        <color rgb="FF000000"/>
        <rFont val="Arial"/>
        <charset val="134"/>
      </rPr>
      <t xml:space="preserve">, </t>
    </r>
    <r>
      <rPr>
        <sz val="11"/>
        <color rgb="FF000000"/>
        <rFont val="微软雅黑"/>
        <charset val="134"/>
      </rPr>
      <t>摘要</t>
    </r>
    <r>
      <rPr>
        <sz val="11"/>
        <color rgb="FF000000"/>
        <rFont val="Arial"/>
        <charset val="134"/>
      </rPr>
      <t xml:space="preserve">, </t>
    </r>
    <r>
      <rPr>
        <sz val="11"/>
        <color rgb="FF000000"/>
        <rFont val="微软雅黑"/>
        <charset val="134"/>
      </rPr>
      <t>科目编码</t>
    </r>
    <r>
      <rPr>
        <sz val="11"/>
        <color rgb="FF000000"/>
        <rFont val="Arial"/>
        <charset val="134"/>
      </rPr>
      <t xml:space="preserve">, </t>
    </r>
    <r>
      <rPr>
        <sz val="11"/>
        <color rgb="FF000000"/>
        <rFont val="微软雅黑"/>
        <charset val="134"/>
      </rPr>
      <t>科目名称</t>
    </r>
    <r>
      <rPr>
        <sz val="11"/>
        <color rgb="FF000000"/>
        <rFont val="Arial"/>
        <charset val="134"/>
      </rPr>
      <t xml:space="preserve">, </t>
    </r>
    <r>
      <rPr>
        <sz val="11"/>
        <color rgb="FF000000"/>
        <rFont val="微软雅黑"/>
        <charset val="134"/>
      </rPr>
      <t>辅助项</t>
    </r>
  </si>
  <si>
    <r>
      <rPr>
        <sz val="11"/>
        <color theme="1"/>
        <rFont val="微软雅黑"/>
        <charset val="134"/>
      </rPr>
      <t>抽样单位货币列：</t>
    </r>
  </si>
  <si>
    <t>借方(本币)</t>
  </si>
  <si>
    <r>
      <rPr>
        <sz val="11"/>
        <color theme="1"/>
        <rFont val="微软雅黑"/>
        <charset val="134"/>
      </rPr>
      <t>抽样单位详情：</t>
    </r>
  </si>
  <si>
    <t/>
  </si>
  <si>
    <r>
      <rPr>
        <b/>
        <sz val="11"/>
        <color rgb="FFFFFFFF"/>
        <rFont val="微软雅黑"/>
        <charset val="134"/>
      </rPr>
      <t>样本池汇总</t>
    </r>
  </si>
  <si>
    <r>
      <rPr>
        <b/>
        <sz val="11"/>
        <color theme="1"/>
        <rFont val="微软雅黑"/>
        <charset val="134"/>
      </rPr>
      <t>数据上传转换步骤</t>
    </r>
  </si>
  <si>
    <r>
      <rPr>
        <sz val="11"/>
        <color theme="1"/>
        <rFont val="微软雅黑"/>
        <charset val="134"/>
      </rPr>
      <t>已上传数据</t>
    </r>
  </si>
  <si>
    <t>866,546.67</t>
  </si>
  <si>
    <r>
      <rPr>
        <sz val="11"/>
        <color theme="1"/>
        <rFont val="微软雅黑"/>
        <charset val="134"/>
      </rPr>
      <t>必要的数据排除项</t>
    </r>
  </si>
  <si>
    <t>0.00</t>
  </si>
  <si>
    <r>
      <rPr>
        <sz val="11"/>
        <color theme="1"/>
        <rFont val="微软雅黑"/>
        <charset val="134"/>
      </rPr>
      <t>必要的数据排除项类型</t>
    </r>
  </si>
  <si>
    <r>
      <rPr>
        <sz val="11"/>
        <color theme="1"/>
        <rFont val="微软雅黑"/>
        <charset val="134"/>
      </rPr>
      <t>样本池总体金额</t>
    </r>
  </si>
  <si>
    <r>
      <rPr>
        <b/>
        <sz val="11"/>
        <color theme="1"/>
        <rFont val="微软雅黑"/>
        <charset val="134"/>
      </rPr>
      <t>排除项总量</t>
    </r>
  </si>
  <si>
    <t>0</t>
  </si>
  <si>
    <r>
      <rPr>
        <sz val="11"/>
        <color theme="1"/>
        <rFont val="微软雅黑"/>
        <charset val="134"/>
      </rPr>
      <t>已删除零余额（行数）</t>
    </r>
  </si>
  <si>
    <r>
      <rPr>
        <sz val="11"/>
        <color theme="1"/>
        <rFont val="微软雅黑"/>
        <charset val="134"/>
      </rPr>
      <t>已删除空余额（行数）</t>
    </r>
  </si>
  <si>
    <r>
      <rPr>
        <sz val="11"/>
        <color theme="1"/>
        <rFont val="微软雅黑"/>
        <charset val="134"/>
      </rPr>
      <t>已删除负余额（行数）</t>
    </r>
  </si>
  <si>
    <r>
      <rPr>
        <sz val="11"/>
        <color theme="1"/>
        <rFont val="微软雅黑"/>
        <charset val="134"/>
      </rPr>
      <t>已删除正余额（行数）</t>
    </r>
  </si>
  <si>
    <r>
      <rPr>
        <b/>
        <sz val="11"/>
        <color theme="1"/>
        <rFont val="微软雅黑"/>
        <charset val="134"/>
      </rPr>
      <t>关键项</t>
    </r>
  </si>
  <si>
    <r>
      <rPr>
        <sz val="11"/>
        <color theme="1"/>
        <rFont val="微软雅黑"/>
        <charset val="134"/>
      </rPr>
      <t>关键项数量</t>
    </r>
  </si>
  <si>
    <t>1</t>
  </si>
  <si>
    <t>定量关键项金额（金额大于241,890.00 )</t>
  </si>
  <si>
    <r>
      <rPr>
        <b/>
        <sz val="11"/>
        <color theme="1"/>
        <rFont val="微软雅黑"/>
        <charset val="134"/>
      </rPr>
      <t>代表性总体价值</t>
    </r>
  </si>
  <si>
    <r>
      <rPr>
        <b/>
        <sz val="11"/>
        <color rgb="FFFFFFFF"/>
        <rFont val="微软雅黑"/>
        <charset val="134"/>
      </rPr>
      <t>抽样策略汇总</t>
    </r>
  </si>
  <si>
    <t>是否为双重目的测试</t>
  </si>
  <si>
    <t>2</t>
  </si>
  <si>
    <t>主要审计问题是否为多计</t>
  </si>
  <si>
    <t>3</t>
  </si>
  <si>
    <t>选择从对此重大账户和认定执行的其他审计程序包括实质分析性复核程序、通过重新执行和详细测试来测试整个总体中获得的保证水平，包括对相关资产负债表账户执行的相关主要实质性程序 (PSP):</t>
  </si>
  <si>
    <t>几乎没有</t>
  </si>
  <si>
    <t>4</t>
  </si>
  <si>
    <t>总体与会计记录进行核对</t>
  </si>
  <si>
    <t>总金额：</t>
  </si>
  <si>
    <t>剔除项金额：</t>
  </si>
  <si>
    <t>样本池总金额：</t>
  </si>
  <si>
    <t>会计记录的重大账户余额或活动：</t>
  </si>
  <si>
    <t>差额：</t>
  </si>
  <si>
    <t>5</t>
  </si>
  <si>
    <t>确认总体包含具有类似特征的项</t>
  </si>
  <si>
    <t>是，总体包含的项都具有类似特征</t>
  </si>
  <si>
    <t>6</t>
  </si>
  <si>
    <t>请说明是什么构成了错报</t>
  </si>
  <si>
    <t>所选项的已审计价值与账面价值不同，或者客户无法提供审计证据</t>
  </si>
  <si>
    <t>7</t>
  </si>
  <si>
    <t>您预期总体中会有错报吗</t>
  </si>
  <si>
    <t>原因</t>
  </si>
  <si>
    <t>根据对公司内部控制的了解，预期存在错报的可能性较小。</t>
  </si>
  <si>
    <t>8</t>
  </si>
  <si>
    <t>请选择一种抽样方法</t>
  </si>
  <si>
    <t>随机抽样 (Random)</t>
  </si>
  <si>
    <t>9</t>
  </si>
  <si>
    <t>这是否是我们为此重大账户执行的唯一的实质性程序？</t>
  </si>
  <si>
    <t>10</t>
  </si>
  <si>
    <t>计算样本量为0，小于5。这表明我们从其他程序获得的证据使我们的审计风险接近5%。由于样本量小于5，请从以下选项中进行选择：</t>
  </si>
  <si>
    <t xml:space="preserve">继续以0为样本量进行测试 </t>
  </si>
  <si>
    <t>随机抽样样本量计算</t>
  </si>
  <si>
    <r>
      <rPr>
        <b/>
        <sz val="11"/>
        <color rgb="FF1A1A24"/>
        <rFont val="微软雅黑"/>
        <charset val="134"/>
      </rPr>
      <t>使用的审计风险表</t>
    </r>
    <r>
      <rPr>
        <b/>
        <sz val="11"/>
        <color rgb="FF1A1A24"/>
        <rFont val="Arial"/>
        <charset val="134"/>
      </rPr>
      <t xml:space="preserve"> </t>
    </r>
    <r>
      <rPr>
        <b/>
        <sz val="11"/>
        <color rgb="FF1A1A24"/>
        <rFont val="微软雅黑"/>
        <charset val="134"/>
      </rPr>
      <t>（</t>
    </r>
    <r>
      <rPr>
        <b/>
        <sz val="11"/>
        <color rgb="FF1A1A24"/>
        <rFont val="Arial"/>
        <charset val="134"/>
      </rPr>
      <t>ART</t>
    </r>
    <r>
      <rPr>
        <b/>
        <sz val="11"/>
        <color rgb="FF1A1A24"/>
        <rFont val="微软雅黑"/>
        <charset val="134"/>
      </rPr>
      <t>）</t>
    </r>
  </si>
  <si>
    <t>审计风险表（复杂方法)</t>
  </si>
  <si>
    <r>
      <rPr>
        <b/>
        <sz val="11"/>
        <color rgb="FF1A1A24"/>
        <rFont val="微软雅黑"/>
        <charset val="134"/>
      </rPr>
      <t>基准样本量</t>
    </r>
  </si>
  <si>
    <t>2.01</t>
  </si>
  <si>
    <r>
      <rPr>
        <b/>
        <sz val="11"/>
        <color rgb="FF1A1A24"/>
        <rFont val="微软雅黑"/>
        <charset val="134"/>
      </rPr>
      <t>代表性样本量（</t>
    </r>
    <r>
      <rPr>
        <b/>
        <sz val="11"/>
        <color rgb="FF1A1A24"/>
        <rFont val="Arial"/>
        <charset val="134"/>
      </rPr>
      <t>ART</t>
    </r>
    <r>
      <rPr>
        <b/>
        <sz val="11"/>
        <color rgb="FF1A1A24"/>
        <rFont val="微软雅黑"/>
        <charset val="134"/>
      </rPr>
      <t>）因子</t>
    </r>
  </si>
  <si>
    <r>
      <rPr>
        <b/>
        <sz val="11"/>
        <color rgb="FF1A1A24"/>
        <rFont val="微软雅黑"/>
        <charset val="134"/>
      </rPr>
      <t>错误导致的样本调整因素</t>
    </r>
  </si>
  <si>
    <r>
      <rPr>
        <b/>
        <sz val="11"/>
        <color rgb="FF1A1A24"/>
        <rFont val="微软雅黑"/>
        <charset val="134"/>
      </rPr>
      <t>代表性样本量</t>
    </r>
  </si>
  <si>
    <r>
      <rPr>
        <b/>
        <sz val="11"/>
        <color rgb="FF1A1A24"/>
        <rFont val="微软雅黑"/>
        <charset val="134"/>
      </rPr>
      <t>代表性样本与关键项数量合计</t>
    </r>
  </si>
  <si>
    <r>
      <rPr>
        <b/>
        <sz val="11"/>
        <color rgb="FF1A1A24"/>
        <rFont val="微软雅黑"/>
        <charset val="134"/>
      </rPr>
      <t>生成下一连续系列的种子</t>
    </r>
  </si>
  <si>
    <r>
      <rPr>
        <b/>
        <sz val="11"/>
        <color rgb="FF1A1A24"/>
        <rFont val="微软雅黑"/>
        <charset val="134"/>
      </rPr>
      <t>系统已从此序列中选择了随机抽样</t>
    </r>
    <r>
      <rPr>
        <b/>
        <sz val="11"/>
        <color rgb="FF1A1A24"/>
        <rFont val="Arial"/>
        <charset val="134"/>
      </rPr>
      <t xml:space="preserve"> ID</t>
    </r>
  </si>
  <si>
    <t>1-18</t>
  </si>
  <si>
    <r>
      <rPr>
        <b/>
        <sz val="11"/>
        <color rgb="FFFFFFFF"/>
        <rFont val="微软雅黑"/>
        <charset val="134"/>
      </rPr>
      <t>抽样结论汇总</t>
    </r>
  </si>
  <si>
    <r>
      <rPr>
        <b/>
        <sz val="11"/>
        <color theme="1"/>
        <rFont val="微软雅黑"/>
        <charset val="134"/>
      </rPr>
      <t>关键项数量</t>
    </r>
  </si>
  <si>
    <t>代表性样本量</t>
  </si>
  <si>
    <r>
      <rPr>
        <b/>
        <sz val="11"/>
        <color theme="1"/>
        <rFont val="微软雅黑"/>
        <charset val="134"/>
      </rPr>
      <t>代表性样本与关键项数量合计</t>
    </r>
  </si>
  <si>
    <r>
      <rPr>
        <b/>
        <sz val="11"/>
        <color theme="1"/>
        <rFont val="微软雅黑"/>
        <charset val="134"/>
      </rPr>
      <t>样本选择方法</t>
    </r>
  </si>
  <si>
    <r>
      <rPr>
        <b/>
        <sz val="11"/>
        <color rgb="FFFFFFFF"/>
        <rFont val="微软雅黑"/>
        <charset val="134"/>
      </rPr>
      <t>已选取样本</t>
    </r>
  </si>
  <si>
    <t>样本</t>
  </si>
  <si>
    <t>源样本#</t>
  </si>
  <si>
    <t>抽样ID</t>
  </si>
  <si>
    <t>样本类型</t>
  </si>
  <si>
    <t>制单日期</t>
  </si>
  <si>
    <t>凭证字号</t>
  </si>
  <si>
    <t>凭证本币总金额</t>
  </si>
  <si>
    <t>审核人</t>
  </si>
  <si>
    <t>制单人</t>
  </si>
  <si>
    <t>摘要</t>
  </si>
  <si>
    <t>科目编码</t>
  </si>
  <si>
    <t>辅助项</t>
  </si>
  <si>
    <t>关键项</t>
  </si>
  <si>
    <t>记-00306</t>
  </si>
  <si>
    <t>李燕</t>
  </si>
  <si>
    <t>曹桂平</t>
  </si>
  <si>
    <t>购入皮秒Nd:YAG激光治疗仪（半岛白极光）No.29761182/01-04-0088</t>
  </si>
  <si>
    <t>1601</t>
  </si>
  <si>
    <t>固定资产</t>
  </si>
  <si>
    <r>
      <rPr>
        <b/>
        <sz val="12"/>
        <color rgb="FF000000"/>
        <rFont val="Arial"/>
        <charset val="134"/>
      </rPr>
      <t>K.02.2</t>
    </r>
    <r>
      <rPr>
        <b/>
        <sz val="12"/>
        <color rgb="FF000000"/>
        <rFont val="微软雅黑"/>
        <charset val="134"/>
      </rPr>
      <t>：详细测试</t>
    </r>
    <r>
      <rPr>
        <b/>
        <sz val="12"/>
        <color rgb="FF000000"/>
        <rFont val="Arial"/>
        <charset val="134"/>
      </rPr>
      <t xml:space="preserve"> (</t>
    </r>
    <r>
      <rPr>
        <b/>
        <sz val="12"/>
        <color rgb="FF000000"/>
        <rFont val="微软雅黑"/>
        <charset val="134"/>
      </rPr>
      <t>处置</t>
    </r>
    <r>
      <rPr>
        <b/>
        <sz val="12"/>
        <color rgb="FF000000"/>
        <rFont val="Arial"/>
        <charset val="134"/>
      </rPr>
      <t>/</t>
    </r>
    <r>
      <rPr>
        <b/>
        <sz val="12"/>
        <color rgb="FF000000"/>
        <rFont val="微软雅黑"/>
        <charset val="134"/>
      </rPr>
      <t>报废</t>
    </r>
    <r>
      <rPr>
        <b/>
        <sz val="12"/>
        <color rgb="FF000000"/>
        <rFont val="Arial"/>
        <charset val="134"/>
      </rPr>
      <t>)</t>
    </r>
  </si>
  <si>
    <r>
      <rPr>
        <b/>
        <sz val="10"/>
        <rFont val="微软雅黑"/>
        <charset val="134"/>
      </rPr>
      <t>账面净值</t>
    </r>
  </si>
  <si>
    <r>
      <rPr>
        <sz val="10"/>
        <rFont val="微软雅黑"/>
        <charset val="134"/>
      </rPr>
      <t>处置</t>
    </r>
    <r>
      <rPr>
        <sz val="10"/>
        <rFont val="Arial"/>
        <charset val="134"/>
      </rPr>
      <t>/</t>
    </r>
    <r>
      <rPr>
        <sz val="10"/>
        <rFont val="微软雅黑"/>
        <charset val="134"/>
      </rPr>
      <t>报废总金额</t>
    </r>
  </si>
  <si>
    <r>
      <rPr>
        <sz val="10"/>
        <rFont val="Arial"/>
        <charset val="134"/>
      </rPr>
      <t>Breakdown</t>
    </r>
    <r>
      <rPr>
        <sz val="10"/>
        <rFont val="微软雅黑"/>
        <charset val="134"/>
      </rPr>
      <t>中处置</t>
    </r>
    <r>
      <rPr>
        <sz val="10"/>
        <rFont val="Arial"/>
        <charset val="134"/>
      </rPr>
      <t>/</t>
    </r>
    <r>
      <rPr>
        <sz val="10"/>
        <rFont val="微软雅黑"/>
        <charset val="134"/>
      </rPr>
      <t>报废金额</t>
    </r>
  </si>
  <si>
    <r>
      <rPr>
        <sz val="10"/>
        <color rgb="FF000000"/>
        <rFont val="Arial"/>
        <charset val="134"/>
      </rPr>
      <t xml:space="preserve">1) </t>
    </r>
    <r>
      <rPr>
        <sz val="10"/>
        <color rgb="FF000000"/>
        <rFont val="微软雅黑"/>
        <charset val="134"/>
      </rPr>
      <t>测试样本（原值和累计折旧余额）已从固定资产明细账和总账中正确移除。</t>
    </r>
  </si>
  <si>
    <r>
      <rPr>
        <sz val="10"/>
        <rFont val="Arial"/>
        <charset val="134"/>
      </rPr>
      <t xml:space="preserve">2) </t>
    </r>
    <r>
      <rPr>
        <sz val="10"/>
        <rFont val="微软雅黑"/>
        <charset val="134"/>
      </rPr>
      <t>重新计算资产处置时点的账面净值，并计算处置损益。确认处置损益已按照适用的财务报告框架正确记录和分类。</t>
    </r>
  </si>
  <si>
    <r>
      <rPr>
        <sz val="10"/>
        <color rgb="FF000000"/>
        <rFont val="Arial"/>
        <charset val="134"/>
      </rPr>
      <t xml:space="preserve">3) </t>
    </r>
    <r>
      <rPr>
        <sz val="10"/>
        <color rgb="FF000000"/>
        <rFont val="微软雅黑"/>
        <charset val="134"/>
      </rPr>
      <t>如果适用，正确记录处置收入金额。如果资产被出售（即收到收益），则获得发票或付款证明等，并确认与日记账分录中记录的收益金额一致。</t>
    </r>
  </si>
  <si>
    <r>
      <rPr>
        <b/>
        <sz val="10"/>
        <rFont val="微软雅黑"/>
        <charset val="134"/>
      </rPr>
      <t>固定资产处置</t>
    </r>
    <r>
      <rPr>
        <b/>
        <sz val="10"/>
        <rFont val="Arial"/>
        <charset val="134"/>
      </rPr>
      <t>/</t>
    </r>
    <r>
      <rPr>
        <b/>
        <sz val="10"/>
        <rFont val="微软雅黑"/>
        <charset val="134"/>
      </rPr>
      <t>报废测试</t>
    </r>
  </si>
  <si>
    <r>
      <rPr>
        <b/>
        <sz val="10"/>
        <rFont val="微软雅黑"/>
        <charset val="134"/>
      </rPr>
      <t>样本序号</t>
    </r>
  </si>
  <si>
    <r>
      <rPr>
        <b/>
        <sz val="10"/>
        <rFont val="微软雅黑"/>
        <charset val="134"/>
      </rPr>
      <t>总账账户</t>
    </r>
  </si>
  <si>
    <r>
      <rPr>
        <b/>
        <sz val="10"/>
        <rFont val="微软雅黑"/>
        <charset val="134"/>
      </rPr>
      <t>处置</t>
    </r>
    <r>
      <rPr>
        <b/>
        <sz val="10"/>
        <rFont val="Arial"/>
        <charset val="134"/>
      </rPr>
      <t>/</t>
    </r>
    <r>
      <rPr>
        <b/>
        <sz val="10"/>
        <rFont val="微软雅黑"/>
        <charset val="134"/>
      </rPr>
      <t>报废日</t>
    </r>
  </si>
  <si>
    <r>
      <rPr>
        <b/>
        <sz val="10"/>
        <rFont val="微软雅黑"/>
        <charset val="134"/>
      </rPr>
      <t>净值</t>
    </r>
  </si>
  <si>
    <r>
      <rPr>
        <b/>
        <sz val="10"/>
        <rFont val="微软雅黑"/>
        <charset val="134"/>
      </rPr>
      <t>出售价格</t>
    </r>
  </si>
  <si>
    <r>
      <rPr>
        <b/>
        <sz val="10"/>
        <rFont val="微软雅黑"/>
        <charset val="134"/>
      </rPr>
      <t>处置交易凭证号</t>
    </r>
  </si>
  <si>
    <r>
      <rPr>
        <b/>
        <sz val="10"/>
        <rFont val="微软雅黑"/>
        <charset val="134"/>
      </rPr>
      <t>处置损益</t>
    </r>
  </si>
  <si>
    <r>
      <rPr>
        <b/>
        <sz val="10"/>
        <rFont val="微软雅黑"/>
        <charset val="134"/>
      </rPr>
      <t>出售价格（通过审计证据</t>
    </r>
    <r>
      <rPr>
        <b/>
        <sz val="10"/>
        <rFont val="Arial"/>
        <charset val="134"/>
      </rPr>
      <t>/</t>
    </r>
    <r>
      <rPr>
        <b/>
        <sz val="10"/>
        <rFont val="微软雅黑"/>
        <charset val="134"/>
      </rPr>
      <t>支持性文件取得）</t>
    </r>
  </si>
  <si>
    <r>
      <rPr>
        <b/>
        <sz val="10"/>
        <rFont val="微软雅黑"/>
        <charset val="134"/>
      </rPr>
      <t>出售价格差异</t>
    </r>
  </si>
  <si>
    <r>
      <rPr>
        <b/>
        <sz val="10"/>
        <rFont val="微软雅黑"/>
        <charset val="134"/>
      </rPr>
      <t>获得的证据</t>
    </r>
    <r>
      <rPr>
        <b/>
        <sz val="10"/>
        <rFont val="Arial"/>
        <charset val="134"/>
      </rPr>
      <t>/</t>
    </r>
    <r>
      <rPr>
        <b/>
        <sz val="10"/>
        <rFont val="微软雅黑"/>
        <charset val="134"/>
      </rPr>
      <t>支持的描述（例如，我们检查的具体销售发票</t>
    </r>
    <r>
      <rPr>
        <b/>
        <sz val="10"/>
        <rFont val="Arial"/>
        <charset val="134"/>
      </rPr>
      <t>/</t>
    </r>
    <r>
      <rPr>
        <b/>
        <sz val="10"/>
        <rFont val="微软雅黑"/>
        <charset val="134"/>
      </rPr>
      <t>合同</t>
    </r>
    <r>
      <rPr>
        <b/>
        <sz val="10"/>
        <rFont val="Arial"/>
        <charset val="134"/>
      </rPr>
      <t>/</t>
    </r>
    <r>
      <rPr>
        <b/>
        <sz val="10"/>
        <rFont val="微软雅黑"/>
        <charset val="134"/>
      </rPr>
      <t>订单</t>
    </r>
    <r>
      <rPr>
        <b/>
        <sz val="10"/>
        <rFont val="Arial"/>
        <charset val="134"/>
      </rPr>
      <t>/</t>
    </r>
    <r>
      <rPr>
        <b/>
        <sz val="10"/>
        <rFont val="微软雅黑"/>
        <charset val="134"/>
      </rPr>
      <t>审批文件等）</t>
    </r>
  </si>
  <si>
    <r>
      <rPr>
        <b/>
        <sz val="10"/>
        <color rgb="FF000000"/>
        <rFont val="微软雅黑"/>
        <charset val="134"/>
      </rPr>
      <t>标记图例</t>
    </r>
    <r>
      <rPr>
        <b/>
        <sz val="10"/>
        <color rgb="FF000000"/>
        <rFont val="Arial"/>
        <charset val="134"/>
      </rPr>
      <t xml:space="preserve">: </t>
    </r>
    <r>
      <rPr>
        <i/>
        <sz val="10"/>
        <color rgb="FF000000"/>
        <rFont val="微软雅黑"/>
        <charset val="134"/>
      </rPr>
      <t>记录已识别的异常情况以及如何解决这些异常情况的详细信息，包括执行的其他实质性程序</t>
    </r>
    <r>
      <rPr>
        <b/>
        <i/>
        <sz val="10"/>
        <color rgb="FFFF0000"/>
        <rFont val="微软雅黑"/>
        <charset val="134"/>
      </rPr>
      <t>（指南：包括足够的描述，以使之前与审计无关的经验丰富的审计师能够理解执行的程序）。</t>
    </r>
  </si>
  <si>
    <t>db9ce45c-b5c9-4e6d-be28-967b500f20b6</t>
  </si>
  <si>
    <t>{"Id":"2120100351","IsProject":false,"ProjectId":"2006602268","TempProjectName":"云端天风测试","TempType":2,"Upload":"上传","Download":"下载"}</t>
  </si>
  <si>
    <t>ABC7dhNaxNBGADge6H/YQgeQ9jdfDTxFpNNDKabkNkiUkrYkklcsrsTdmctQYQclFql4GfVi1QtePLrIBZL7Y8pu21P/gWzTdKWOgWFkYkwlxze2czs8PDuvO/83NlbnJ0B4Hb0A0DsEun3UOwyiKk3ErDbXzGdVuI6drt1o4fcRMXp+QTeRIjEAe2BWHw8TaU1nMPxLWsSgP6yjolhqY6xbKFotG1YHjo/XDKRFQ3GTmbSr56bSTPs4xcMv6yGgx1wuqRXRcZvE1e8Ky4yui284pwfauCVAvYdMowryiRYwNYkmJvEVIeYxETeMLa4dPJvZONbqEUdg75tG25fj7Z64YZPH4Gkb6Hxts7uNN+oa5gg6hJ1F3dcwy6ZllVwsec1UHset9BkmeipO/E/hy2ituFb00I7XhwiQkync/xSTJjnkhTmbEY4c3K+lpCUhAzCjc/B29fh14eHn56zyed0hgKtSAKaJ7QCgq27B7sfR9BMnFNU56Rw5uecHCY0zNfZHMtpCq8sC16evAoIH7wMX7wfpbFeK7LJZFoFpghqvkezMT6bjwZr4ea3wx9Pg9XvTLhlSaaldlp48/OWQOQJLii3iev/rXFWohgns8KYn7EM8h0XIQCrgGBQrrJJ5hzt4y3Lot7mdjcy6qi27wXrbApthdY5y4oA5gQ87qQYAtNKbUVcgXEttZOTUvvZ3sGHjWBrPdzcZqOdo2mnhDbHkzmqtkt5YJkem8vOZGaOVn6JlOaGLDdTknS2eWbTOedozpmUqL54QRewbSOHePuDR8Huk/DNu2BtPbi/efRqa3/wmM39Nk1ceHPyLsJmRdPVhpavNou1wsK8qulNqNca+bL6z7hFGz0N3FDV9YpWhky5ad9zwT0N3MPsLjdqC3Wm3LSbUME9DdxQq7ClprVd/z317MzSLw==</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</si>
  <si>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</si>
  <si>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</si>
  <si>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</si>
  <si>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</si>
  <si>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</si>
  <si>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</si>
  <si>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</si>
  <si>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</si>
  <si>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</si>
  <si>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</si>
  <si>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</si>
  <si>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</si>
  <si>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</si>
  <si>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</si>
  <si>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</si>
  <si>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</si>
  <si>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</si>
  <si>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</si>
  <si>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</si>
  <si>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</si>
  <si>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</si>
  <si>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</si>
  <si>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</si>
  <si>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</si>
  <si>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</si>
  <si>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</si>
  <si>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</si>
  <si>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</si>
  <si>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</si>
  <si>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</si>
  <si>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</si>
  <si>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</si>
  <si>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</si>
  <si>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</si>
  <si>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</si>
  <si>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</si>
  <si>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</si>
  <si>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</si>
  <si>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</si>
  <si>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</si>
  <si>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</si>
  <si>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</si>
  <si>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</si>
  <si>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</si>
  <si>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</si>
  <si>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</si>
  <si>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</si>
  <si>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</si>
  <si>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</si>
  <si>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</si>
  <si>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</si>
  <si>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</si>
  <si>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</si>
  <si>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</si>
  <si>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</si>
  <si>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</si>
  <si>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</si>
  <si>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</si>
  <si>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</si>
  <si>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</si>
  <si>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</si>
  <si>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</si>
  <si>
    <t>{"MD5":"27923415AE0CE62F312F09E44933EC68","FullPath":"C:\\SkyWind\\Files\\Template\\WPT\\EY底稿模板\\Skywind_K1_固定资产_202YMMDD_XYZ公司13.xlsx","Length":331163,"LastWriteTime":"2021-01-13T09:32:28.8886989+08:00"}</t>
  </si>
  <si>
    <t>db3de137-a293-427d-b80d-49214b5e369c</t>
  </si>
  <si>
    <t>ff8886bb-b7f7-4b80-9da7-330f78d808ae</t>
  </si>
  <si>
    <t>812bc61b-c1a1-45e1-acbf-14fb38652f5c</t>
  </si>
  <si>
    <t>22e1146d-3f08-44ae-9972-a8462b7634ae</t>
  </si>
  <si>
    <t>7d735d6a-b8ae-450d-83bf-85897cebe8f2</t>
  </si>
  <si>
    <t>cef6a48f-aedc-465b-90a1-6ce7e21344ce</t>
  </si>
  <si>
    <t>f307f2fc-7d80-47e9-a69c-a364be7ddce3</t>
  </si>
  <si>
    <t>62f8743e-f475-454c-aa64-7de88f167d36</t>
  </si>
  <si>
    <t>868be28c-4ccb-4d12-88c8-2ac58d4a87e1</t>
  </si>
  <si>
    <t>d870d3ee-974c-4add-8407-382393103c67</t>
  </si>
  <si>
    <t>4c471b99-3c1f-403a-92e9-2aff997562e3</t>
  </si>
  <si>
    <t>f0b24ebf-2605-42bb-9327-43f6f3e4f988</t>
  </si>
  <si>
    <t>5e0d88ff-f81b-4c71-b751-4fe3d67d3638</t>
  </si>
  <si>
    <t>b1c48724-31e4-44ef-bf76-cd7bf9515747</t>
  </si>
  <si>
    <t>aee71fbb-c147-4a47-9044-962071b084ea</t>
  </si>
  <si>
    <t>2bd38cb0-b2bb-4a37-a799-0cd63f7324dc</t>
  </si>
  <si>
    <t>f9c514b2-4170-416d-8c6d-0dda3e1c9010</t>
  </si>
  <si>
    <t>e4b6d84b-77c7-4fca-851d-222df4004de2</t>
  </si>
  <si>
    <t>80024c59-b33c-460d-830b-d926cc375dd1</t>
  </si>
  <si>
    <t>b7ef0efc-233a-4cf9-97fa-c7490e261bdc</t>
  </si>
  <si>
    <t>f3c09d79-bc68-45fb-a3ae-7717eae0e90a</t>
  </si>
  <si>
    <t>fb33c2b6-fdb9-46f1-bf50-723bd609c84b</t>
  </si>
  <si>
    <t>0b451ac0-c548-42ef-af37-e45dfc4fceb7</t>
  </si>
  <si>
    <t>29131286-86dd-4ca5-a3fe-35dbd415046d</t>
  </si>
  <si>
    <t>e3d2862d-8cf4-4f80-b314-3101ce237ec7</t>
  </si>
  <si>
    <t>a20da825-393d-49da-8b9b-f8c9dc7a6480</t>
  </si>
  <si>
    <t>5b87e5f2-ac8d-4069-9f7f-86d9ae7f2a00</t>
  </si>
  <si>
    <t>1fbba1be-cb67-48bc-a389-8d8679cbc22b</t>
  </si>
  <si>
    <t>af0ceacb-7fa9-4a30-844a-745ec76e725d</t>
  </si>
  <si>
    <t>a9ee7fb3-06be-4c49-9b63-fe206915a835</t>
  </si>
  <si>
    <t>7b270d42-6495-4f70-97c3-e5598cc0d713</t>
  </si>
  <si>
    <t>bcb15999-7125-4465-b550-38d64c74b23e</t>
  </si>
  <si>
    <t>b958d805-8684-4932-bba5-5c9b035fba25</t>
  </si>
  <si>
    <t>ee65204e-5251-439a-8864-66df421ce31b</t>
  </si>
  <si>
    <t>53f98fae-c222-4de9-b68c-98b4df1b2678</t>
  </si>
  <si>
    <t>2e195d21-01b6-49d4-bdef-b77e4ccb8b47</t>
  </si>
  <si>
    <t>c41a67ba-f421-45f2-8ab8-60a44d71ab90</t>
  </si>
  <si>
    <t>8cad2c60-27a8-4ead-b032-877b2fc9a3d1</t>
  </si>
  <si>
    <t>3104a45d-ee14-426e-9946-ec2b8ff41e9d</t>
  </si>
  <si>
    <t>eb3b84a3-2aca-456a-bc85-68ef54d39ef0</t>
  </si>
  <si>
    <t>ff7a1917-0999-4705-b34b-876fe45921d0</t>
  </si>
  <si>
    <t>0d33869b-734d-4627-9f23-748495b51f3a</t>
  </si>
  <si>
    <t>973c33d9-9e7c-44a8-b036-34e3ca60e724</t>
  </si>
  <si>
    <t>f6030921-fa70-4ac7-8322-eed82b59c275</t>
  </si>
  <si>
    <t>e5e626f9-1188-4aff-ab97-e58c0ca46d27</t>
  </si>
  <si>
    <t>0d02dc56-bb1d-46fb-93c9-358077888d28</t>
  </si>
  <si>
    <t>32ff551c-42fc-4a5c-b58b-21dfe0600e9e</t>
  </si>
  <si>
    <t>f423256b-65d3-4fa3-b3d7-5f95fa771105</t>
  </si>
  <si>
    <t>929e99f7-4528-4e41-bebc-bb95f7055c5b</t>
  </si>
  <si>
    <t>fde44ffb-5afe-4087-9dda-723f1caabed2</t>
  </si>
  <si>
    <t>5b1483c6-57ef-4c2d-b25b-7d514688f03d</t>
  </si>
  <si>
    <t>9f37ecc4-90b9-42a5-ad90-52b9d91a981f</t>
  </si>
  <si>
    <t>09dc284c-2fee-43c5-81c7-7b56e1255bd8</t>
  </si>
  <si>
    <t>5fcea81a-6b2a-4a2e-9e31-1da685fb0250</t>
  </si>
  <si>
    <t>2ab1e133-5462-4432-b9b2-81a4a94898cd</t>
  </si>
  <si>
    <t>3112b76f-f8be-4a6f-81c8-47469158b2c2</t>
  </si>
  <si>
    <t>ba76fe00-d8a2-4046-a268-1f8098d9287a</t>
  </si>
  <si>
    <t>07aa2aef-af3e-4f17-8258-b574abb247c3</t>
  </si>
  <si>
    <t>获取本期按资产类别划分的固定资产处置清单，包括记录的处置损益，并将该清单与固定资产后推核对一致。调查超过SAD名义金额的差额。</t>
  </si>
  <si>
    <t>我们考虑了实体经营的任何重大变化是否导致资产报废和/或处置，如果是，我们确保这些资产计入当期处置。</t>
  </si>
  <si>
    <t>注：项目组可以自定义固定资产处置清单表格，也可直接使用系统导出的固定资产处置清单，但必须确保必需字段（固定资产类别、编号、名称、原值、累计折旧、减值、净值、处置日期、减少方式）完整。</t>
  </si>
  <si>
    <t>处置日期</t>
  </si>
  <si>
    <t>01-05-0080</t>
  </si>
  <si>
    <t>NB</t>
  </si>
  <si>
    <t>01-05-0088</t>
  </si>
  <si>
    <t>该公司三笔处置资产本质上为一类装置，客户处置时记账为一笔，故处置时本期计提折旧与期末累计折旧为一笔。</t>
  </si>
  <si>
    <t>36bf8540/29b1/4ddb/847b/9a93ef808aba</t>
  </si>
  <si>
    <r>
      <rPr>
        <sz val="10"/>
        <color theme="1"/>
        <rFont val="微软雅黑"/>
        <charset val="134"/>
      </rPr>
      <t>客户名称</t>
    </r>
  </si>
  <si>
    <r>
      <rPr>
        <sz val="10"/>
        <color theme="1"/>
        <rFont val="Arial"/>
        <charset val="134"/>
      </rPr>
      <t>B</t>
    </r>
    <r>
      <rPr>
        <sz val="10"/>
        <color theme="1"/>
        <rFont val="等线"/>
        <charset val="134"/>
      </rPr>
      <t>医疗公司</t>
    </r>
  </si>
  <si>
    <r>
      <rPr>
        <sz val="10"/>
        <color theme="1"/>
        <rFont val="微软雅黑"/>
        <charset val="134"/>
      </rPr>
      <t>重要性水平</t>
    </r>
    <r>
      <rPr>
        <sz val="10"/>
        <color theme="1"/>
        <rFont val="Arial"/>
        <charset val="134"/>
      </rPr>
      <t>(PM)</t>
    </r>
  </si>
  <si>
    <r>
      <rPr>
        <sz val="10"/>
        <color theme="1"/>
        <rFont val="微软雅黑"/>
        <charset val="134"/>
      </rPr>
      <t>年度</t>
    </r>
  </si>
  <si>
    <r>
      <rPr>
        <sz val="10"/>
        <color theme="1"/>
        <rFont val="微软雅黑"/>
        <charset val="134"/>
      </rPr>
      <t>可容忍误差</t>
    </r>
    <r>
      <rPr>
        <sz val="10"/>
        <color theme="1"/>
        <rFont val="Arial"/>
        <charset val="134"/>
      </rPr>
      <t>(TE)</t>
    </r>
  </si>
  <si>
    <r>
      <rPr>
        <sz val="10"/>
        <color theme="1"/>
        <rFont val="微软雅黑"/>
        <charset val="134"/>
      </rPr>
      <t>记账本位币</t>
    </r>
  </si>
  <si>
    <r>
      <rPr>
        <sz val="10"/>
        <color theme="1"/>
        <rFont val="微软雅黑"/>
        <charset val="134"/>
      </rPr>
      <t>测试阈值</t>
    </r>
    <r>
      <rPr>
        <sz val="10"/>
        <color theme="1"/>
        <rFont val="Arial"/>
        <charset val="134"/>
      </rPr>
      <t>(TT)</t>
    </r>
  </si>
  <si>
    <r>
      <rPr>
        <sz val="10"/>
        <color theme="1"/>
        <rFont val="微软雅黑"/>
        <charset val="134"/>
      </rPr>
      <t>名义金额</t>
    </r>
    <r>
      <rPr>
        <sz val="10"/>
        <color theme="1"/>
        <rFont val="Arial"/>
        <charset val="134"/>
      </rPr>
      <t>(SAD)</t>
    </r>
  </si>
  <si>
    <r>
      <rPr>
        <b/>
        <u/>
        <sz val="10"/>
        <rFont val="微软雅黑"/>
        <charset val="134"/>
      </rPr>
      <t>目标</t>
    </r>
  </si>
  <si>
    <r>
      <rPr>
        <sz val="10"/>
        <color rgb="FF000000"/>
        <rFont val="微软雅黑"/>
        <charset val="134"/>
      </rPr>
      <t>验证财务报表的折旧金额是否合理列示。</t>
    </r>
  </si>
  <si>
    <r>
      <rPr>
        <b/>
        <u/>
        <sz val="10"/>
        <rFont val="微软雅黑"/>
        <charset val="134"/>
      </rPr>
      <t>执行的程序</t>
    </r>
  </si>
  <si>
    <r>
      <rPr>
        <sz val="10"/>
        <rFont val="Arial"/>
        <charset val="134"/>
      </rPr>
      <t>1.</t>
    </r>
    <r>
      <rPr>
        <sz val="10"/>
        <rFont val="微软雅黑"/>
        <charset val="134"/>
      </rPr>
      <t>评价折旧政策的合理性：将使用寿命、残值率、折旧率（折旧费用</t>
    </r>
    <r>
      <rPr>
        <sz val="10"/>
        <rFont val="Arial"/>
        <charset val="134"/>
      </rPr>
      <t>/</t>
    </r>
    <r>
      <rPr>
        <sz val="10"/>
        <rFont val="微软雅黑"/>
        <charset val="134"/>
      </rPr>
      <t>原值平均数）以及折旧方法与上年及本年公司的折旧政策。详见</t>
    </r>
    <r>
      <rPr>
        <b/>
        <sz val="10"/>
        <color rgb="FFFF0000"/>
        <rFont val="微软雅黑"/>
        <charset val="134"/>
      </rPr>
      <t>表</t>
    </r>
    <r>
      <rPr>
        <b/>
        <sz val="10"/>
        <color rgb="FFFF0000"/>
        <rFont val="Arial"/>
        <charset val="134"/>
      </rPr>
      <t>1.1</t>
    </r>
    <r>
      <rPr>
        <sz val="10"/>
        <rFont val="微软雅黑"/>
        <charset val="134"/>
      </rPr>
      <t>及</t>
    </r>
    <r>
      <rPr>
        <b/>
        <sz val="10"/>
        <color rgb="FFFF0000"/>
        <rFont val="微软雅黑"/>
        <charset val="134"/>
      </rPr>
      <t>表</t>
    </r>
    <r>
      <rPr>
        <b/>
        <sz val="10"/>
        <color rgb="FFFF0000"/>
        <rFont val="Arial"/>
        <charset val="134"/>
      </rPr>
      <t>1.2</t>
    </r>
  </si>
  <si>
    <r>
      <rPr>
        <sz val="10"/>
        <rFont val="Arial"/>
        <charset val="134"/>
      </rPr>
      <t>2.</t>
    </r>
    <r>
      <rPr>
        <sz val="10"/>
        <rFont val="微软雅黑"/>
        <charset val="134"/>
      </rPr>
      <t>我们获取年末固定资产清单及本年固定资产处置清单。详见表</t>
    </r>
    <r>
      <rPr>
        <b/>
        <sz val="10"/>
        <color rgb="FFFF0000"/>
        <rFont val="Arial"/>
        <charset val="134"/>
      </rPr>
      <t xml:space="preserve">K1_100Breakdown </t>
    </r>
    <r>
      <rPr>
        <b/>
        <sz val="10"/>
        <color rgb="FFFF0000"/>
        <rFont val="微软雅黑"/>
        <charset val="134"/>
      </rPr>
      <t>表</t>
    </r>
    <r>
      <rPr>
        <b/>
        <sz val="10"/>
        <color rgb="FFFF0000"/>
        <rFont val="Arial"/>
        <charset val="134"/>
      </rPr>
      <t>1.2</t>
    </r>
  </si>
  <si>
    <r>
      <rPr>
        <sz val="10"/>
        <rFont val="Arial"/>
        <charset val="134"/>
      </rPr>
      <t>3.</t>
    </r>
    <r>
      <rPr>
        <sz val="10"/>
        <rFont val="微软雅黑"/>
        <charset val="134"/>
      </rPr>
      <t>我们使用公司政策中规定每个资产类别的使用寿命，以及该类别固定资产的原值的平均值，得出测算的固定资产本年折旧。并与实际账面本年折旧费用进行比对。</t>
    </r>
    <r>
      <rPr>
        <sz val="10"/>
        <rFont val="Arial"/>
        <charset val="134"/>
      </rPr>
      <t xml:space="preserve"> </t>
    </r>
    <r>
      <rPr>
        <sz val="10"/>
        <rFont val="微软雅黑"/>
        <charset val="134"/>
      </rPr>
      <t>详见</t>
    </r>
    <r>
      <rPr>
        <b/>
        <sz val="10"/>
        <color rgb="FFFF0000"/>
        <rFont val="微软雅黑"/>
        <charset val="134"/>
      </rPr>
      <t>表</t>
    </r>
    <r>
      <rPr>
        <b/>
        <sz val="10"/>
        <color rgb="FFFF0000"/>
        <rFont val="Arial"/>
        <charset val="134"/>
      </rPr>
      <t>2</t>
    </r>
  </si>
  <si>
    <r>
      <rPr>
        <sz val="10"/>
        <rFont val="Arial"/>
        <charset val="134"/>
      </rPr>
      <t>4.</t>
    </r>
    <r>
      <rPr>
        <sz val="10"/>
        <rFont val="微软雅黑"/>
        <charset val="134"/>
      </rPr>
      <t>对于进一步的差异，我们进行核查并得出结论。</t>
    </r>
    <r>
      <rPr>
        <sz val="10"/>
        <rFont val="Arial"/>
        <charset val="134"/>
      </rPr>
      <t xml:space="preserve"> </t>
    </r>
  </si>
  <si>
    <r>
      <rPr>
        <sz val="10"/>
        <rFont val="Arial"/>
        <charset val="134"/>
      </rPr>
      <t>5.</t>
    </r>
    <r>
      <rPr>
        <sz val="10"/>
        <rFont val="微软雅黑"/>
        <charset val="134"/>
      </rPr>
      <t>我们也可按公司的折旧政策重新计算本年应计提的折旧费用并与账面本年折旧费用比对。重新计算折旧出现差异的，我们进行进一步核查以得出结论。详见</t>
    </r>
    <r>
      <rPr>
        <b/>
        <sz val="10"/>
        <color rgb="FFFF0000"/>
        <rFont val="Arial"/>
        <charset val="134"/>
      </rPr>
      <t xml:space="preserve">K1_100Breakdown </t>
    </r>
    <r>
      <rPr>
        <b/>
        <sz val="10"/>
        <color rgb="FFFF0000"/>
        <rFont val="微软雅黑"/>
        <charset val="134"/>
      </rPr>
      <t>表</t>
    </r>
    <r>
      <rPr>
        <b/>
        <sz val="10"/>
        <color rgb="FFFF0000"/>
        <rFont val="Arial"/>
        <charset val="134"/>
      </rPr>
      <t>1.2</t>
    </r>
  </si>
  <si>
    <r>
      <rPr>
        <sz val="10"/>
        <color indexed="8"/>
        <rFont val="Arial"/>
        <charset val="134"/>
      </rPr>
      <t>6.</t>
    </r>
    <r>
      <rPr>
        <sz val="10"/>
        <color rgb="FF000000"/>
        <rFont val="微软雅黑"/>
        <charset val="134"/>
      </rPr>
      <t>固定资产清单中的本年计提折旧</t>
    </r>
    <r>
      <rPr>
        <sz val="10"/>
        <color indexed="8"/>
        <rFont val="微软雅黑"/>
        <charset val="134"/>
      </rPr>
      <t>与利润表相关科目金额核对。详见</t>
    </r>
    <r>
      <rPr>
        <b/>
        <sz val="10"/>
        <color rgb="FFFF0000"/>
        <rFont val="Arial"/>
        <charset val="134"/>
      </rPr>
      <t xml:space="preserve">K1_100Breakdown </t>
    </r>
    <r>
      <rPr>
        <b/>
        <sz val="10"/>
        <color rgb="FFFF0000"/>
        <rFont val="微软雅黑"/>
        <charset val="134"/>
      </rPr>
      <t>表</t>
    </r>
    <r>
      <rPr>
        <b/>
        <sz val="10"/>
        <color rgb="FFFF0000"/>
        <rFont val="Arial"/>
        <charset val="134"/>
      </rPr>
      <t>3</t>
    </r>
  </si>
  <si>
    <r>
      <rPr>
        <b/>
        <u/>
        <sz val="10"/>
        <rFont val="微软雅黑"/>
        <charset val="134"/>
      </rPr>
      <t>结论</t>
    </r>
    <r>
      <rPr>
        <b/>
        <u/>
        <sz val="10"/>
        <rFont val="Arial"/>
        <charset val="134"/>
      </rPr>
      <t xml:space="preserve">: </t>
    </r>
    <r>
      <rPr>
        <b/>
        <u/>
        <sz val="10"/>
        <color rgb="FFFF0000"/>
        <rFont val="微软雅黑"/>
        <charset val="134"/>
      </rPr>
      <t>（从下拉表中选择结论）</t>
    </r>
  </si>
  <si>
    <t>我们执行上述程序，未发现任何重大错报。</t>
  </si>
  <si>
    <r>
      <rPr>
        <b/>
        <sz val="10"/>
        <rFont val="微软雅黑"/>
        <charset val="134"/>
      </rPr>
      <t>折旧政策</t>
    </r>
  </si>
  <si>
    <r>
      <rPr>
        <b/>
        <sz val="10"/>
        <color rgb="FFFF0000"/>
        <rFont val="微软雅黑"/>
        <charset val="134"/>
      </rPr>
      <t>表</t>
    </r>
    <r>
      <rPr>
        <b/>
        <sz val="10"/>
        <color rgb="FFFF0000"/>
        <rFont val="Arial"/>
        <charset val="134"/>
      </rPr>
      <t>1.1</t>
    </r>
  </si>
  <si>
    <r>
      <rPr>
        <sz val="10"/>
        <rFont val="微软雅黑"/>
        <charset val="134"/>
      </rPr>
      <t>年限平均法</t>
    </r>
  </si>
  <si>
    <r>
      <rPr>
        <sz val="10"/>
        <rFont val="微软雅黑"/>
        <charset val="134"/>
      </rPr>
      <t>折旧政策</t>
    </r>
  </si>
  <si>
    <r>
      <rPr>
        <sz val="10"/>
        <rFont val="微软雅黑"/>
        <charset val="134"/>
      </rPr>
      <t>使用寿命(</t>
    </r>
    <r>
      <rPr>
        <sz val="10"/>
        <rFont val="DengXian"/>
        <charset val="134"/>
      </rPr>
      <t>年)</t>
    </r>
  </si>
  <si>
    <r>
      <rPr>
        <sz val="10"/>
        <rFont val="微软雅黑"/>
        <charset val="134"/>
      </rPr>
      <t>残值率</t>
    </r>
  </si>
  <si>
    <r>
      <rPr>
        <sz val="10"/>
        <rFont val="微软雅黑"/>
        <charset val="134"/>
      </rPr>
      <t>折旧率</t>
    </r>
  </si>
  <si>
    <r>
      <rPr>
        <sz val="10"/>
        <rFont val="微软雅黑"/>
        <charset val="134"/>
      </rPr>
      <t>使用寿命</t>
    </r>
    <r>
      <rPr>
        <sz val="10"/>
        <rFont val="Arial"/>
        <charset val="134"/>
      </rPr>
      <t>(</t>
    </r>
    <r>
      <rPr>
        <sz val="10"/>
        <rFont val="等线"/>
        <charset val="134"/>
      </rPr>
      <t>月）</t>
    </r>
  </si>
  <si>
    <r>
      <rPr>
        <b/>
        <sz val="10"/>
        <rFont val="微软雅黑"/>
        <charset val="134"/>
      </rPr>
      <t>使用寿命复核</t>
    </r>
    <r>
      <rPr>
        <b/>
        <sz val="10"/>
        <rFont val="Arial"/>
        <charset val="134"/>
      </rPr>
      <t>:</t>
    </r>
  </si>
  <si>
    <r>
      <rPr>
        <sz val="10"/>
        <rFont val="微软雅黑"/>
        <charset val="134"/>
      </rPr>
      <t>公司折旧政策</t>
    </r>
  </si>
  <si>
    <r>
      <rPr>
        <b/>
        <sz val="10"/>
        <color rgb="FFFF0000"/>
        <rFont val="微软雅黑"/>
        <charset val="134"/>
      </rPr>
      <t>表</t>
    </r>
    <r>
      <rPr>
        <b/>
        <sz val="10"/>
        <color rgb="FFFF0000"/>
        <rFont val="Arial"/>
        <charset val="134"/>
      </rPr>
      <t>1.2</t>
    </r>
  </si>
  <si>
    <r>
      <rPr>
        <sz val="10"/>
        <rFont val="微软雅黑"/>
        <charset val="134"/>
      </rPr>
      <t>固定资产</t>
    </r>
  </si>
  <si>
    <r>
      <rPr>
        <sz val="10"/>
        <rFont val="微软雅黑"/>
        <charset val="134"/>
      </rPr>
      <t>使用寿命</t>
    </r>
  </si>
  <si>
    <r>
      <rPr>
        <sz val="10"/>
        <rFont val="微软雅黑"/>
        <charset val="134"/>
      </rPr>
      <t>是否与账面一致</t>
    </r>
  </si>
  <si>
    <t>NOTE</t>
  </si>
  <si>
    <t>由于固定资产中有小部分设备，其折旧年限不同于公司折旧政策，因此平均折旧年限与公司折旧年限存在差异。</t>
  </si>
  <si>
    <r>
      <rPr>
        <sz val="10"/>
        <rFont val="Arial"/>
        <charset val="134"/>
      </rPr>
      <t>EY</t>
    </r>
    <r>
      <rPr>
        <sz val="10"/>
        <rFont val="宋体"/>
        <charset val="134"/>
      </rPr>
      <t>对使用寿命异常的资产折旧进行了调整</t>
    </r>
  </si>
  <si>
    <r>
      <rPr>
        <b/>
        <sz val="10"/>
        <rFont val="微软雅黑"/>
        <charset val="134"/>
      </rPr>
      <t>合理性测试</t>
    </r>
  </si>
  <si>
    <r>
      <rPr>
        <b/>
        <sz val="10"/>
        <color theme="1"/>
        <rFont val="微软雅黑"/>
        <charset val="134"/>
      </rPr>
      <t>固定资产原值</t>
    </r>
  </si>
  <si>
    <r>
      <rPr>
        <b/>
        <sz val="10"/>
        <color theme="1"/>
        <rFont val="微软雅黑"/>
        <charset val="134"/>
      </rPr>
      <t>本期折旧</t>
    </r>
  </si>
  <si>
    <r>
      <rPr>
        <b/>
        <sz val="10"/>
        <rFont val="微软雅黑"/>
        <charset val="134"/>
      </rPr>
      <t>资产类别</t>
    </r>
  </si>
  <si>
    <r>
      <rPr>
        <b/>
        <sz val="10"/>
        <rFont val="微软雅黑"/>
        <charset val="134"/>
      </rPr>
      <t>期初原值</t>
    </r>
  </si>
  <si>
    <r>
      <rPr>
        <b/>
        <sz val="10"/>
        <rFont val="微软雅黑"/>
        <charset val="134"/>
      </rPr>
      <t>增加</t>
    </r>
    <r>
      <rPr>
        <b/>
        <sz val="10"/>
        <rFont val="Arial"/>
        <charset val="134"/>
      </rPr>
      <t>/</t>
    </r>
    <r>
      <rPr>
        <b/>
        <sz val="10"/>
        <rFont val="微软雅黑"/>
        <charset val="134"/>
      </rPr>
      <t>减少</t>
    </r>
  </si>
  <si>
    <r>
      <rPr>
        <b/>
        <sz val="10"/>
        <rFont val="微软雅黑"/>
        <charset val="134"/>
      </rPr>
      <t>期末原值</t>
    </r>
  </si>
  <si>
    <t>提足折旧金额</t>
  </si>
  <si>
    <r>
      <rPr>
        <b/>
        <sz val="10"/>
        <rFont val="微软雅黑"/>
        <charset val="134"/>
      </rPr>
      <t>平均使用寿命</t>
    </r>
  </si>
  <si>
    <r>
      <rPr>
        <b/>
        <sz val="10"/>
        <rFont val="微软雅黑"/>
        <charset val="134"/>
      </rPr>
      <t>本期预计折旧费用</t>
    </r>
  </si>
  <si>
    <r>
      <rPr>
        <b/>
        <sz val="10"/>
        <rFont val="微软雅黑"/>
        <charset val="134"/>
      </rPr>
      <t>实际折旧费用</t>
    </r>
  </si>
  <si>
    <r>
      <rPr>
        <b/>
        <sz val="10"/>
        <rFont val="微软雅黑"/>
        <charset val="134"/>
      </rPr>
      <t>差异</t>
    </r>
  </si>
  <si>
    <r>
      <rPr>
        <b/>
        <sz val="10"/>
        <rFont val="微软雅黑"/>
        <charset val="134"/>
      </rPr>
      <t>差异是否超过</t>
    </r>
    <r>
      <rPr>
        <b/>
        <sz val="10"/>
        <rFont val="Arial"/>
        <charset val="134"/>
      </rPr>
      <t>SAD</t>
    </r>
  </si>
  <si>
    <t>Total</t>
  </si>
  <si>
    <t>NB1</t>
  </si>
  <si>
    <t>check</t>
  </si>
  <si>
    <t>合理性测试由于没有考虑各个设备在当期的使用时间，因此差异较大，</t>
  </si>
  <si>
    <t>我们在表3.1中对各项固定资产折旧进行了测算，并添加了调整分录，详见下。</t>
  </si>
  <si>
    <t>本期测算From</t>
  </si>
  <si>
    <t>本期测算to</t>
  </si>
  <si>
    <t>表3.1/1</t>
  </si>
  <si>
    <t>重新测算/年限平均法</t>
  </si>
  <si>
    <t>PPE</t>
  </si>
  <si>
    <t>Per EY</t>
  </si>
  <si>
    <t>折旧方法</t>
  </si>
  <si>
    <t>资产小类</t>
  </si>
  <si>
    <t>资产编号</t>
  </si>
  <si>
    <t>资产名称</t>
  </si>
  <si>
    <t>资本化开始日期</t>
  </si>
  <si>
    <t>使用月限</t>
  </si>
  <si>
    <t>残值率</t>
  </si>
  <si>
    <t>固定资产减值期末数</t>
  </si>
  <si>
    <t>期末净值</t>
  </si>
  <si>
    <t>累计折旧本期转入额</t>
  </si>
  <si>
    <t>C</t>
  </si>
  <si>
    <t>K1_100</t>
  </si>
  <si>
    <t>折旧方式</t>
  </si>
  <si>
    <t>固定资产类别</t>
  </si>
  <si>
    <t>固定资产编号</t>
  </si>
  <si>
    <t>固定资产名称</t>
  </si>
  <si>
    <t xml:space="preserve"> 使用寿命(月)</t>
  </si>
  <si>
    <t>折旧率</t>
  </si>
  <si>
    <t>期末减值准备</t>
  </si>
  <si>
    <t>本年折旧
账面数</t>
  </si>
  <si>
    <t>使用寿命 (月)
EY数</t>
  </si>
  <si>
    <t>残值率
EY数</t>
  </si>
  <si>
    <t>每月折旧额
EY数</t>
  </si>
  <si>
    <t>期末累计折旧月数
EY数</t>
  </si>
  <si>
    <t>期末累计折旧
EY数</t>
  </si>
  <si>
    <t>期末累计折旧差异</t>
  </si>
  <si>
    <t>标记</t>
  </si>
  <si>
    <t>年限平均法</t>
  </si>
  <si>
    <t>Note1</t>
  </si>
  <si>
    <t>表3.2-1</t>
  </si>
  <si>
    <t>本年固定资产处置清单</t>
  </si>
  <si>
    <t>报废原值</t>
  </si>
  <si>
    <t>处置或报废累计折旧转出</t>
  </si>
  <si>
    <t>K1_210</t>
  </si>
  <si>
    <t>处置日</t>
  </si>
  <si>
    <t>原值</t>
  </si>
  <si>
    <t>净值</t>
  </si>
  <si>
    <t>本年折旧
（账面数）</t>
  </si>
  <si>
    <t>与利润表科目核对</t>
  </si>
  <si>
    <t>交叉索引</t>
  </si>
  <si>
    <t>金额</t>
  </si>
  <si>
    <t>540102</t>
  </si>
  <si>
    <t>营业成本</t>
  </si>
  <si>
    <t>560218</t>
  </si>
  <si>
    <t>管理费用</t>
  </si>
  <si>
    <t>560114</t>
  </si>
  <si>
    <t>销售费用</t>
  </si>
  <si>
    <t>累计折旧科目-本年计提</t>
  </si>
  <si>
    <t>差异</t>
  </si>
  <si>
    <t>是否需要解释</t>
  </si>
  <si>
    <t>Notes：</t>
  </si>
  <si>
    <t>该差异是由于公司计提折旧年数短于税法最低折旧年限，折旧额大于以最低折旧年限测算的折旧金额。</t>
  </si>
  <si>
    <t>期初累计审计调整</t>
  </si>
  <si>
    <t>期末累计审计调整</t>
  </si>
  <si>
    <t>本期审计调整</t>
  </si>
  <si>
    <t>主营业务成本-设备折旧</t>
  </si>
  <si>
    <t>管理费用-折旧费</t>
  </si>
  <si>
    <t>客户反应固定资产系统调账不方便，故考虑简化调整</t>
  </si>
  <si>
    <t>固定资产折旧政策</t>
  </si>
  <si>
    <t>折旧计提月数</t>
  </si>
  <si>
    <t>税法最低折旧月数</t>
  </si>
  <si>
    <t>净残值率</t>
  </si>
  <si>
    <t>主要名称</t>
  </si>
  <si>
    <t>房屋及建筑物</t>
  </si>
  <si>
    <t>按产权年限摊销</t>
  </si>
  <si>
    <t>激光设备、手术器械、医疗消毒设备等；</t>
  </si>
  <si>
    <t>汽车等交通工具；</t>
  </si>
  <si>
    <t>包括电脑、电脑配件、投影仪、视频会议、数码相机、演播设备、监控设备、手机、服务器，交换器，防火墙等；</t>
  </si>
  <si>
    <t>打印机、复印机、传真机、冰箱、空调、热水器、家用电器等；</t>
  </si>
  <si>
    <t>桌子，椅子，书柜、沙发、茶几等；</t>
  </si>
  <si>
    <t>按照新税法规定，固定资产的折旧年限不得低于税法规定年限的60%。最低折旧年限如下：</t>
  </si>
  <si>
    <t>飞机，轮船，机械和其他生产设备的最低折旧年限为10年。</t>
  </si>
  <si>
    <t>与生产经营活动有关的器具、家具、工具的最低折旧年限为5年，电子设备为3年。</t>
  </si>
  <si>
    <t>除飞机，轮船以外的运输设备最低折旧年限为4年。</t>
  </si>
  <si>
    <r>
      <rPr>
        <b/>
        <sz val="12"/>
        <color rgb="FF000000"/>
        <rFont val="Arial"/>
        <charset val="134"/>
      </rPr>
      <t xml:space="preserve">K.03.1 </t>
    </r>
    <r>
      <rPr>
        <b/>
        <sz val="12"/>
        <color rgb="FF000000"/>
        <rFont val="微软雅黑"/>
        <charset val="134"/>
      </rPr>
      <t>实质性分析程序</t>
    </r>
  </si>
  <si>
    <t>可参考SAP示例：</t>
  </si>
  <si>
    <r>
      <rPr>
        <b/>
        <sz val="12"/>
        <color rgb="FF000000"/>
        <rFont val="Arial"/>
        <charset val="134"/>
      </rPr>
      <t>K.03.2</t>
    </r>
    <r>
      <rPr>
        <b/>
        <sz val="12"/>
        <color rgb="FF000000"/>
        <rFont val="微软雅黑"/>
        <charset val="134"/>
      </rPr>
      <t>：详细测试</t>
    </r>
    <r>
      <rPr>
        <b/>
        <sz val="12"/>
        <color rgb="FF000000"/>
        <rFont val="Arial"/>
        <charset val="134"/>
      </rPr>
      <t xml:space="preserve"> (</t>
    </r>
    <r>
      <rPr>
        <b/>
        <sz val="12"/>
        <color rgb="FF000000"/>
        <rFont val="微软雅黑"/>
        <charset val="134"/>
      </rPr>
      <t>折旧</t>
    </r>
    <r>
      <rPr>
        <b/>
        <sz val="12"/>
        <color rgb="FF000000"/>
        <rFont val="Arial"/>
        <charset val="134"/>
      </rPr>
      <t>)</t>
    </r>
  </si>
  <si>
    <r>
      <rPr>
        <sz val="10"/>
        <rFont val="微软雅黑"/>
        <charset val="134"/>
      </rPr>
      <t>折旧费用总体</t>
    </r>
  </si>
  <si>
    <r>
      <rPr>
        <sz val="10"/>
        <rFont val="Arial"/>
        <charset val="134"/>
      </rPr>
      <t>Breakdown</t>
    </r>
    <r>
      <rPr>
        <sz val="10"/>
        <rFont val="微软雅黑"/>
        <charset val="134"/>
      </rPr>
      <t>中折旧计提金额</t>
    </r>
  </si>
  <si>
    <t>/K.01</t>
  </si>
  <si>
    <r>
      <rPr>
        <b/>
        <sz val="10"/>
        <color theme="1"/>
        <rFont val="微软雅黑"/>
        <charset val="134"/>
      </rPr>
      <t>差异是否需要进一步调查？</t>
    </r>
    <r>
      <rPr>
        <b/>
        <sz val="10"/>
        <color theme="1"/>
        <rFont val="Arial"/>
        <charset val="134"/>
      </rPr>
      <t xml:space="preserve">     </t>
    </r>
  </si>
  <si>
    <r>
      <rPr>
        <sz val="10"/>
        <color rgb="FF000000"/>
        <rFont val="Arial"/>
        <charset val="134"/>
      </rPr>
      <t xml:space="preserve">1) </t>
    </r>
    <r>
      <rPr>
        <sz val="10"/>
        <color rgb="FF000000"/>
        <rFont val="微软雅黑"/>
        <charset val="134"/>
      </rPr>
      <t>管理层对测试项目采用的使用寿命和折旧率是适当的（符合实体的会计政策和适用的财务报告框架）。</t>
    </r>
  </si>
  <si>
    <r>
      <rPr>
        <sz val="10"/>
        <color rgb="FF000000"/>
        <rFont val="Arial"/>
        <charset val="134"/>
      </rPr>
      <t xml:space="preserve"> 2) </t>
    </r>
    <r>
      <rPr>
        <sz val="10"/>
        <color rgb="FF000000"/>
        <rFont val="微软雅黑"/>
        <charset val="134"/>
      </rPr>
      <t>该期间记录的折旧费用进行了适当的计算和分类与适用的财务报告框架一致。作为该程序的一部分，我们进行了调查，判断资产残值是否合理，如果不合理，则相应地调整使用寿命内的折旧成本。</t>
    </r>
  </si>
  <si>
    <r>
      <rPr>
        <b/>
        <sz val="10"/>
        <rFont val="微软雅黑"/>
        <charset val="134"/>
      </rPr>
      <t>样本数量</t>
    </r>
  </si>
  <si>
    <r>
      <rPr>
        <b/>
        <sz val="11"/>
        <color theme="1"/>
        <rFont val="微软雅黑"/>
        <charset val="134"/>
      </rPr>
      <t>可折旧金额
（考虑残值后金额）</t>
    </r>
  </si>
  <si>
    <r>
      <rPr>
        <b/>
        <sz val="10"/>
        <rFont val="微软雅黑"/>
        <charset val="134"/>
      </rPr>
      <t>资本开始折旧的日期
（即使用寿命开始时间）</t>
    </r>
  </si>
  <si>
    <r>
      <rPr>
        <b/>
        <sz val="10"/>
        <rFont val="微软雅黑"/>
        <charset val="134"/>
      </rPr>
      <t>本年应折旧月份</t>
    </r>
  </si>
  <si>
    <r>
      <rPr>
        <b/>
        <sz val="10"/>
        <rFont val="微软雅黑"/>
        <charset val="134"/>
      </rPr>
      <t>账面计提折旧费用</t>
    </r>
  </si>
  <si>
    <r>
      <rPr>
        <b/>
        <sz val="10"/>
        <rFont val="微软雅黑"/>
        <charset val="134"/>
      </rPr>
      <t>重新计算折旧费用
（自定义公式）</t>
    </r>
  </si>
  <si>
    <r>
      <rPr>
        <b/>
        <sz val="10"/>
        <rFont val="微软雅黑"/>
        <charset val="134"/>
      </rPr>
      <t>获得的证据</t>
    </r>
    <r>
      <rPr>
        <b/>
        <sz val="10"/>
        <rFont val="Arial"/>
        <charset val="134"/>
      </rPr>
      <t>/</t>
    </r>
    <r>
      <rPr>
        <b/>
        <sz val="10"/>
        <rFont val="微软雅黑"/>
        <charset val="134"/>
      </rPr>
      <t>支持的描述</t>
    </r>
  </si>
  <si>
    <r>
      <rPr>
        <b/>
        <sz val="12"/>
        <color rgb="FF000000"/>
        <rFont val="Arial"/>
        <charset val="134"/>
      </rPr>
      <t xml:space="preserve">K.03.3 </t>
    </r>
    <r>
      <rPr>
        <b/>
        <sz val="12"/>
        <color rgb="FF000000"/>
        <rFont val="微软雅黑"/>
        <charset val="134"/>
      </rPr>
      <t>折旧政策复核</t>
    </r>
  </si>
  <si>
    <t>折旧政策复核</t>
  </si>
  <si>
    <t>检查固定资产各项目的折旧政策是否符合有关规定，是否与上期一致，评价其合理性。若改变折旧政策，检查其依据是否充分。</t>
  </si>
  <si>
    <r>
      <rPr>
        <sz val="10"/>
        <rFont val="微软雅黑"/>
        <charset val="134"/>
      </rPr>
      <t>年折旧率</t>
    </r>
  </si>
  <si>
    <r>
      <rPr>
        <sz val="10"/>
        <rFont val="微软雅黑"/>
        <charset val="134"/>
      </rPr>
      <t>差异说明</t>
    </r>
  </si>
  <si>
    <t>5ES2Q2DY98XYQ9RK5JYREBX705SEZQ3H90BZKGH7HVN341984FA0</t>
  </si>
  <si>
    <t>Lisa Z Liu</t>
  </si>
  <si>
    <t>5AJH18F12ENV6SM1BH5B0D5KNYH2668TAQKER5S082RZ7067ANX0</t>
  </si>
  <si>
    <t>April YL Wang</t>
  </si>
  <si>
    <t>Create</t>
  </si>
  <si>
    <t>5404af35-b1ad-45b0-aec8-2eebc39f79c0</t>
  </si>
  <si>
    <t>{"id":"5404af35-b1ad-45b0-aec8-2eebc39f79c0","documentGroupId":"00000000-0000-0000-0000-000000000000","name":"杭州瑞丽_固定资产新增测试38万半岛极光白超皮秒.pdf","path":"C:\\Users\\VQ488QQ\\OneDrive - EY CHINA\\Desktop\\瑞丽doc材料证明\\杭州瑞丽_固定资产新增测试38万半岛极光白超皮秒.pdf","relativePath":"..\\..\\..\\..\\..\\OneDrive - EY CHINA\\Desktop\\瑞丽doc材料证明\\杭州瑞丽_固定资产新增测试38万半岛极光白超皮秒.pdf","storageType":1,"importedBy":"Lisa Z Liu","importedAt":"2026-03-16T11:43:43.5002938Z","compressed":false,"storageLocations":{"5ES2Q2DY98XYQ9RK5JYREBX705SEZQ3H90BZKGH7HVN341984FA0":["{01402E1E-20E6-4C58-A991-E670496D483A}"]},"checksum":"b93b6a36bf8dc00ee63fa392497c77fc9dc56439fe8694793ce127cee1c969d1"}</t>
  </si>
  <si>
    <t>Update</t>
  </si>
  <si>
    <t>{"id":"5404af35-b1ad-45b0-aec8-2eebc39f79c0","documentGroupId":"00000000-0000-0000-0000-000000000000","name":"杭州瑞丽_固定资产新增测试38万半岛极光白超皮秒.pdf","path":"C:\\Users\\VQ488QQ\\OneDrive - EY CHINA\\Desktop\\raily doc 资料\\杭州瑞丽_固定资产新增测试38万半岛极光白超皮秒.pdf","storageType":1,"importedBy":"Lisa Z Liu","importedAt":"2026-03-16T11:43:43.5002938Z","compressed":false,"storageLocations":{"5ES2Q2DY98XYQ9RK5JYREBX705SEZQ3H90BZKGH7HVN341984FA0":["{01402E1E-20E6-4C58-A991-E670496D483A}"]},"checksum":"b93b6a36bf8dc00ee63fa392497c77fc9dc56439fe8694793ce127cee1c969d1"}</t>
  </si>
  <si>
    <t>{"id":"5404af35-b1ad-45b0-aec8-2eebc39f79c0","documentGroupId":"00000000-0000-0000-0000-000000000000","name":"杭州瑞丽_固定资产新增测试38万半岛极光白超皮秒.pdf","path":"C:\\Users\\VQ488QQ\\OneDrive - EY CHINA\\Desktop\\raily doc 资料\\杭州瑞丽_固定资产新增测试38万半岛极光白超皮秒.pdf","storageType":1,"importedBy":"Lisa Z Liu","importedAt":"2026-03-16T11:43:43.5002938Z","compressed":true,"storageLocations":{"5ES2Q2DY98XYQ9RK5JYREBX705SEZQ3H90BZKGH7HVN341984FA0":["{49FA5EF9-B215-46ED-BE0F-DBA2BA97FEBE}"]},"checksum":"6670918b21f376e790da815e72b2b1cc173c8d5b7eb2178b99f01a243d0cdc8f"}</t>
  </si>
  <si>
    <t>Delete</t>
  </si>
  <si>
    <t>28030b87-5480-4674-806c-3b16068acb9b</t>
  </si>
  <si>
    <t>{"id":"28030b87-5480-4674-806c-3b16068acb9b","type":1,"name":"workbookId","value":"6655ad9b-ec74-41ee-9993-c31ad416688b"}</t>
  </si>
  <si>
    <t>1f46004b-997f-41d0-bf4c-3a485127ecb2</t>
  </si>
  <si>
    <t>{"id":"1f46004b-997f-41d0-bf4c-3a485127ecb2","type":0,"name":"dataSnipperSheetDeleted","value":"false"}</t>
  </si>
  <si>
    <t>c192321c-f67a-4a2f-8f27-bb467db8afd8</t>
  </si>
  <si>
    <t>{"id":"c192321c-f67a-4a2f-8f27-bb467db8afd8","type":0,"name":"embed-documents","value":"true"}</t>
  </si>
  <si>
    <t>2096865b-09bc-4260-a777-59363ec8fa29</t>
  </si>
  <si>
    <t>{"id":"2096865b-09bc-4260-a777-59363ec8fa29","type":0,"name":"table-snip-suggestions","value":"true"}</t>
  </si>
  <si>
    <t>30f7d5a0-833d-4b37-b6f6-b59d64cb2395</t>
  </si>
  <si>
    <t>{"id":"30f7d5a0-833d-4b37-b6f6-b59d64cb2395","type":1,"name":"migratedFssProjectId","value":""}</t>
  </si>
  <si>
    <t>{"id":"1f46004b-997f-41d0-bf4c-3a485127ecb2","type":0,"name":"dataSnipperSheetDeleted","value":"true"}</t>
  </si>
  <si>
    <t>430a3aa2-d46f-488b-8c83-95d66bac8e8c</t>
  </si>
  <si>
    <t>{"name":"DS__38.pdf_page.1_307234033","id":"430a3aa2-d46f-488b-8c83-95d66bac8e8c","documentId":"5404af35-b1ad-45b0-aec8-2eebc39f79c0","pageNumber":1,"type":6,"x1":370.520874,"x2":429.739746,"y1":466.835,"y2":481.983978}</t>
  </si>
  <si>
    <t>00192d83-9671-4489-8404-d8f487bdaa38</t>
  </si>
  <si>
    <t>{"name":"DS__38.pdf_page.1_624867928","id":"00192d83-9671-4489-8404-d8f487bdaa38","documentId":"5404af35-b1ad-45b0-aec8-2eebc39f79c0","pageNumber":1,"type":6,"x1":374.6524,"x2":506.861969,"y1":750.6574,"y2":781.644043}</t>
  </si>
  <si>
    <t>3c0ddfeb-fe43-4a10-83ce-e188bcbf9cce</t>
  </si>
  <si>
    <t>{"name":"DS__38.pdf_page.1_184859180","id":"3c0ddfeb-fe43-4a10-83ce-e188bcbf9cce","documentId":"5404af35-b1ad-45b0-aec8-2eebc39f79c0","pageNumber":1,"type":6,"x1":371.898071,"x2":504.1076,"y1":756.854736,"y2":780.955444}</t>
  </si>
  <si>
    <t>6cceea74-b745-4db8-9da8-6ec6734001c3</t>
  </si>
  <si>
    <t>{"name":"DS__38.pdf_page.1_381543837","id":"6cceea74-b745-4db8-9da8-6ec6734001c3","documentId":"5404af35-b1ad-45b0-aec8-2eebc39f79c0","pageNumber":1,"type":6,"x1":300.9731,"x2":510.304932,"y1":762.363464,"y2":777.512451}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</si>
</sst>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00000000_-;\-* #,##0.0000000000_-;_-* &quot;-&quot;??_-;_-@_-"/>
    <numFmt numFmtId="177" formatCode="0.0%"/>
    <numFmt numFmtId="178" formatCode="\¥#,##0;\-\¥#,##0"/>
    <numFmt numFmtId="179" formatCode="#,##0;\-#,##0;&quot;-&quot;"/>
    <numFmt numFmtId="180" formatCode="&quot;$&quot;#,##0;[Red]&quot;$&quot;&quot;$&quot;&quot;$&quot;&quot;$&quot;&quot;$&quot;&quot;$&quot;&quot;$&quot;\-#,##0"/>
    <numFmt numFmtId="181" formatCode="_(* #,##0_);_(* \(#,##0\);_(* &quot;-&quot;_);_(@_)"/>
    <numFmt numFmtId="182" formatCode="_-* #,##0.00_-;\-* #,##0.00_-;_-* &quot;-&quot;??_-;_-@_-"/>
    <numFmt numFmtId="183" formatCode="* #,##0.00;[Red]\(#,##0.00\);&quot;-&quot;;\ @"/>
    <numFmt numFmtId="184" formatCode="_(* #,##0.00_);_(* \(#,##0.00\);_(* &quot;-&quot;??_);_(@_)"/>
    <numFmt numFmtId="185" formatCode="#,##0;\(#,##0\)"/>
    <numFmt numFmtId="186" formatCode="#,##0.0_);\(#,##0.0\)"/>
    <numFmt numFmtId="187" formatCode="_-&quot;$&quot;* #,##0.00_-;\-&quot;$&quot;* #,##0.00_-;_-&quot;$&quot;* &quot;-&quot;??_-;_-@_-"/>
    <numFmt numFmtId="188" formatCode="_(&quot;$&quot;* #,##0.00_);_(&quot;$&quot;* \(#,##0.00\);_(&quot;$&quot;* &quot;-&quot;??_);_(@_)"/>
    <numFmt numFmtId="189" formatCode="&quot;$&quot;#,##0_);\(&quot;$&quot;#,##0\)"/>
    <numFmt numFmtId="190" formatCode="&quot;$&quot;#,##0.00_);\(&quot;$&quot;#,##0.00\)"/>
    <numFmt numFmtId="191" formatCode="\$#,##0.00;\(\$#,##0.00\)"/>
    <numFmt numFmtId="192" formatCode="\$#,##0;\(\$#,##0\)"/>
    <numFmt numFmtId="193" formatCode="_ [$€-2]* #,##0.00_ ;_ [$€-2]* \-#,##0.00_ ;_ [$€-2]* &quot;-&quot;??_ "/>
    <numFmt numFmtId="194" formatCode="[$-804]aaaa;@"/>
    <numFmt numFmtId="195" formatCode="_([$€-2]* #,##0.00_);_([$€-2]* \(#,##0.00\);_([$€-2]* &quot;-&quot;??_)"/>
    <numFmt numFmtId="196" formatCode="_-* #,##0\ _k_r_-;\-* #,##0\ _k_r_-;_-* &quot;-&quot;\ _k_r_-;_-@_-"/>
    <numFmt numFmtId="197" formatCode="_-* #,##0.00\ _k_r_-;\-* #,##0.00\ _k_r_-;_-* &quot;-&quot;??\ _k_r_-;_-@_-"/>
    <numFmt numFmtId="198" formatCode="#,##0.00_);#,##0.00\)"/>
    <numFmt numFmtId="199" formatCode="0.00000&quot;  &quot;"/>
    <numFmt numFmtId="200" formatCode="_-* #,##0_-;\-* #,##0_-;_-* &quot;-&quot;_-;_-@_-"/>
    <numFmt numFmtId="201" formatCode="_([$€-2]* #,##0.00000_);_([$€-2]* \(#,##0.00000\);_([$€-2]* &quot;-&quot;??_)"/>
    <numFmt numFmtId="202" formatCode="_(\¥* #,##0.00_);_(\¥* \(#,##0.00\);_(\¥* &quot;-&quot;??_);_(@_)"/>
    <numFmt numFmtId="203" formatCode="_-&quot;$&quot;* #,##0_-;\-&quot;$&quot;* #,##0_-;_-&quot;$&quot;* &quot;-&quot;_-;_-@_-"/>
    <numFmt numFmtId="204" formatCode="&quot;\&quot;#,##0;[Red]&quot;\&quot;&quot;\&quot;\-#,##0"/>
    <numFmt numFmtId="205" formatCode="&quot;\&quot;#,##0.00;[Red]&quot;\&quot;&quot;\&quot;&quot;\&quot;&quot;\&quot;&quot;\&quot;&quot;\&quot;\-#,##0.00"/>
    <numFmt numFmtId="206" formatCode="&quot;\&quot;#,##0.00;[Red]&quot;\&quot;\-#,##0.00"/>
    <numFmt numFmtId="207" formatCode="&quot;\&quot;#,##0;[Red]&quot;\&quot;\-#,##0"/>
    <numFmt numFmtId="208"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9" formatCode="#,##0.00_ ;[Red]\-#,##0.00\ "/>
    <numFmt numFmtId="210" formatCode="_(* #,##0_);_(* \(#,##0\);_(* &quot;-&quot;??_);_(@_)"/>
    <numFmt numFmtId="211" formatCode="#,##0.00_ "/>
    <numFmt numFmtId="212" formatCode="#,##0;\(#,##0\);0"/>
    <numFmt numFmtId="213" formatCode="_ \¥* #,##0.00_ ;_ \¥* \-#,##0.00_ ;_ \¥* &quot;-&quot;??_ ;_ @_ "/>
    <numFmt numFmtId="214" formatCode="0.00_ "/>
    <numFmt numFmtId="215" formatCode="0.00_);[Red]\(0.00\)"/>
    <numFmt numFmtId="216" formatCode="\¥#,##0.00;[Red]\¥\-#,##0.00"/>
    <numFmt numFmtId="217" formatCode="#,##0;\(#,##0\);\-#,##0"/>
    <numFmt numFmtId="218" formatCode="yyyy\/mm\/dd"/>
  </numFmts>
  <fonts count="239">
    <font>
      <sz val="11"/>
      <color theme="1"/>
      <name val="宋体"/>
      <charset val="134"/>
      <scheme val="minor"/>
    </font>
    <font>
      <sz val="12"/>
      <color theme="1"/>
      <name val="Arial"/>
      <charset val="134"/>
    </font>
    <font>
      <sz val="10"/>
      <color theme="1"/>
      <name val="Arial"/>
      <charset val="134"/>
    </font>
    <font>
      <sz val="10"/>
      <name val="Arial"/>
      <charset val="134"/>
    </font>
    <font>
      <sz val="11"/>
      <color theme="1"/>
      <name val="Arial"/>
      <charset val="134"/>
    </font>
    <font>
      <sz val="10"/>
      <color rgb="FF000000"/>
      <name val="Arial"/>
      <charset val="134"/>
    </font>
    <font>
      <b/>
      <sz val="14"/>
      <color theme="0"/>
      <name val="Arial"/>
      <charset val="134"/>
    </font>
    <font>
      <b/>
      <sz val="14"/>
      <color rgb="FFFFFFFF"/>
      <name val="Arial"/>
      <charset val="134"/>
    </font>
    <font>
      <sz val="12"/>
      <color rgb="FF000000"/>
      <name val="Arial"/>
      <charset val="134"/>
    </font>
    <font>
      <b/>
      <sz val="12"/>
      <color rgb="FF000000"/>
      <name val="Arial"/>
      <charset val="134"/>
    </font>
    <font>
      <sz val="10"/>
      <color rgb="FFFFFFFF"/>
      <name val="Arial"/>
      <charset val="134"/>
    </font>
    <font>
      <u/>
      <sz val="10"/>
      <color rgb="FFFF0000"/>
      <name val="Arial"/>
      <charset val="134"/>
    </font>
    <font>
      <b/>
      <sz val="10"/>
      <name val="Arial"/>
      <charset val="134"/>
    </font>
    <font>
      <b/>
      <sz val="10"/>
      <color rgb="FF000000"/>
      <name val="Arial"/>
      <charset val="134"/>
    </font>
    <font>
      <b/>
      <sz val="10"/>
      <name val="微软雅黑"/>
      <charset val="134"/>
    </font>
    <font>
      <sz val="10"/>
      <name val="微软雅黑"/>
      <charset val="134"/>
    </font>
    <font>
      <b/>
      <sz val="10"/>
      <color rgb="FFFF0000"/>
      <name val="Arial"/>
      <charset val="134"/>
    </font>
    <font>
      <sz val="10"/>
      <color indexed="0"/>
      <name val="Arial"/>
      <charset val="134"/>
    </font>
    <font>
      <sz val="10"/>
      <color theme="4" tint="-0.249977111117893"/>
      <name val="Arial"/>
      <charset val="134"/>
    </font>
    <font>
      <i/>
      <sz val="10"/>
      <color theme="1"/>
      <name val="微软雅黑"/>
      <charset val="134"/>
    </font>
    <font>
      <sz val="10"/>
      <color indexed="0"/>
      <name val="微软雅黑"/>
      <charset val="134"/>
    </font>
    <font>
      <sz val="11"/>
      <color theme="1"/>
      <name val="宋体"/>
      <charset val="134"/>
    </font>
    <font>
      <sz val="10"/>
      <color indexed="8"/>
      <name val="Arial"/>
      <charset val="134"/>
    </font>
    <font>
      <b/>
      <sz val="10"/>
      <color indexed="8"/>
      <name val="Arial"/>
      <charset val="134"/>
    </font>
    <font>
      <b/>
      <sz val="10"/>
      <color rgb="FFFFFFFF"/>
      <name val="Arial"/>
      <charset val="134"/>
    </font>
    <font>
      <i/>
      <sz val="10"/>
      <name val="Arial"/>
      <charset val="134"/>
    </font>
    <font>
      <b/>
      <sz val="10"/>
      <color theme="1"/>
      <name val="Arial"/>
      <charset val="134"/>
    </font>
    <font>
      <i/>
      <sz val="10"/>
      <color theme="1"/>
      <name val="Arial"/>
      <charset val="134"/>
    </font>
    <font>
      <sz val="10"/>
      <color theme="0"/>
      <name val="Arial"/>
      <charset val="134"/>
    </font>
    <font>
      <b/>
      <sz val="11"/>
      <color theme="1"/>
      <name val="Arial"/>
      <charset val="134"/>
    </font>
    <font>
      <b/>
      <u/>
      <sz val="10"/>
      <name val="Arial"/>
      <charset val="134"/>
    </font>
    <font>
      <sz val="10"/>
      <name val="宋体"/>
      <charset val="134"/>
    </font>
    <font>
      <b/>
      <sz val="10"/>
      <color indexed="10"/>
      <name val="Arial"/>
      <charset val="134"/>
    </font>
    <font>
      <sz val="10"/>
      <color indexed="10"/>
      <name val="Arial"/>
      <charset val="134"/>
    </font>
    <font>
      <b/>
      <sz val="10"/>
      <name val="宋体"/>
      <charset val="134"/>
    </font>
    <font>
      <b/>
      <sz val="10"/>
      <color rgb="FFFF0000"/>
      <name val="微软雅黑"/>
      <charset val="134"/>
    </font>
    <font>
      <sz val="10"/>
      <color theme="1"/>
      <name val="微软雅黑"/>
      <charset val="134"/>
    </font>
    <font>
      <b/>
      <sz val="10"/>
      <color rgb="FF0000FF"/>
      <name val="微软雅黑"/>
      <charset val="134"/>
    </font>
    <font>
      <b/>
      <sz val="8"/>
      <color rgb="FF0000FF"/>
      <name val="Arial"/>
      <charset val="134"/>
    </font>
    <font>
      <b/>
      <sz val="10"/>
      <color indexed="10"/>
      <name val="微软雅黑"/>
      <charset val="134"/>
    </font>
    <font>
      <sz val="10"/>
      <color rgb="FF00B0F0"/>
      <name val="微软雅黑"/>
      <charset val="134"/>
    </font>
    <font>
      <b/>
      <sz val="8"/>
      <color rgb="FFFF0000"/>
      <name val="Arial"/>
      <charset val="134"/>
    </font>
    <font>
      <b/>
      <strike/>
      <sz val="8"/>
      <color rgb="FF0000FF"/>
      <name val="Arial"/>
      <charset val="134"/>
    </font>
    <font>
      <b/>
      <sz val="14"/>
      <name val="Arial"/>
      <charset val="134"/>
    </font>
    <font>
      <b/>
      <sz val="14"/>
      <color rgb="FFFF0000"/>
      <name val="微软雅黑"/>
      <charset val="134"/>
    </font>
    <font>
      <sz val="10"/>
      <color rgb="FFFF0000"/>
      <name val="Arial"/>
      <charset val="134"/>
    </font>
    <font>
      <b/>
      <sz val="14"/>
      <color rgb="FFFF0000"/>
      <name val="Arial"/>
      <charset val="134"/>
    </font>
    <font>
      <sz val="10"/>
      <name val="Arail"/>
      <charset val="134"/>
    </font>
    <font>
      <sz val="10"/>
      <name val="Arail"/>
      <charset val="134"/>
    </font>
    <font>
      <sz val="11"/>
      <color rgb="FFFF0000"/>
      <name val="Arial"/>
      <charset val="134"/>
    </font>
    <font>
      <u/>
      <sz val="10"/>
      <color rgb="FF0563C1"/>
      <name val="Arial"/>
      <charset val="134"/>
    </font>
    <font>
      <i/>
      <sz val="10"/>
      <color rgb="FF000000"/>
      <name val="Arial"/>
      <charset val="134"/>
    </font>
    <font>
      <b/>
      <sz val="11"/>
      <color rgb="FFFFFFFF"/>
      <name val="Arial"/>
      <charset val="134"/>
    </font>
    <font>
      <sz val="11"/>
      <color rgb="FFFFFFFF"/>
      <name val="Arial"/>
      <charset val="134"/>
    </font>
    <font>
      <sz val="11"/>
      <color rgb="FF000000"/>
      <name val="Arial"/>
      <charset val="134"/>
    </font>
    <font>
      <b/>
      <sz val="11"/>
      <color rgb="FF1A1A24"/>
      <name val="Arial"/>
      <charset val="134"/>
    </font>
    <font>
      <sz val="11"/>
      <color rgb="FF1A1A24"/>
      <name val="Arial"/>
      <charset val="134"/>
    </font>
    <font>
      <b/>
      <sz val="11"/>
      <name val="Arial"/>
      <charset val="134"/>
    </font>
    <font>
      <b/>
      <sz val="11"/>
      <color rgb="FF1A1A24"/>
      <name val="微软雅黑"/>
      <charset val="134"/>
    </font>
    <font>
      <i/>
      <sz val="11"/>
      <color rgb="FFEBD621"/>
      <name val="Arial"/>
      <charset val="134"/>
    </font>
    <font>
      <i/>
      <sz val="11"/>
      <color rgb="FFF76900"/>
      <name val="Arial"/>
      <charset val="134"/>
    </font>
    <font>
      <b/>
      <sz val="11"/>
      <color rgb="FF000000"/>
      <name val="Arial"/>
      <charset val="134"/>
    </font>
    <font>
      <b/>
      <i/>
      <sz val="11"/>
      <color rgb="FF1A1A24"/>
      <name val="Arial"/>
      <charset val="134"/>
    </font>
    <font>
      <b/>
      <sz val="11"/>
      <color rgb="FFFFFFFF"/>
      <name val="微软雅黑"/>
      <charset val="134"/>
    </font>
    <font>
      <b/>
      <sz val="11"/>
      <color theme="1"/>
      <name val="微软雅黑"/>
      <charset val="134"/>
    </font>
    <font>
      <b/>
      <sz val="11"/>
      <color rgb="FFFF0000"/>
      <name val="Arial"/>
      <charset val="134"/>
    </font>
    <font>
      <sz val="10"/>
      <name val="Microsoft YaHei UI"/>
      <charset val="134"/>
    </font>
    <font>
      <sz val="10"/>
      <color rgb="FF000000"/>
      <name val="微软雅黑"/>
      <charset val="134"/>
    </font>
    <font>
      <b/>
      <sz val="10"/>
      <color theme="0"/>
      <name val="Arial"/>
      <charset val="134"/>
    </font>
    <font>
      <b/>
      <sz val="18"/>
      <name val="微软雅黑"/>
      <charset val="134"/>
    </font>
    <font>
      <sz val="14"/>
      <color theme="1"/>
      <name val="Arial"/>
      <charset val="134"/>
    </font>
    <font>
      <sz val="14"/>
      <color rgb="FFFFFFFF"/>
      <name val="Arial"/>
      <charset val="134"/>
    </font>
    <font>
      <sz val="10"/>
      <color theme="1"/>
      <name val="宋体"/>
      <charset val="134"/>
    </font>
    <font>
      <b/>
      <sz val="14"/>
      <color rgb="FFFFC000"/>
      <name val="Arial"/>
      <charset val="134"/>
    </font>
    <font>
      <b/>
      <sz val="10"/>
      <color rgb="FFFFC000"/>
      <name val="Arial"/>
      <charset val="134"/>
    </font>
    <font>
      <b/>
      <sz val="10"/>
      <color rgb="FF0000FF"/>
      <name val="Arial"/>
      <charset val="134"/>
    </font>
    <font>
      <i/>
      <sz val="10"/>
      <name val="等线"/>
      <charset val="134"/>
    </font>
    <font>
      <b/>
      <sz val="9"/>
      <color rgb="FFFF0000"/>
      <name val="Arial"/>
      <charset val="134"/>
    </font>
    <font>
      <i/>
      <sz val="10"/>
      <name val="微软雅黑"/>
      <charset val="134"/>
    </font>
    <font>
      <b/>
      <sz val="12"/>
      <name val="Arial"/>
      <charset val="134"/>
    </font>
    <font>
      <b/>
      <sz val="12"/>
      <name val="宋体"/>
      <charset val="134"/>
    </font>
    <font>
      <b/>
      <strike/>
      <sz val="10"/>
      <color rgb="FF0000FF"/>
      <name val="Arial"/>
      <charset val="134"/>
    </font>
    <font>
      <b/>
      <i/>
      <sz val="9"/>
      <color rgb="FFFF0000"/>
      <name val="Arial"/>
      <charset val="134"/>
    </font>
    <font>
      <i/>
      <sz val="9"/>
      <color theme="4" tint="-0.249977111117893"/>
      <name val="Arial"/>
      <charset val="134"/>
    </font>
    <font>
      <b/>
      <i/>
      <sz val="10"/>
      <color theme="1"/>
      <name val="Arial"/>
      <charset val="134"/>
    </font>
    <font>
      <b/>
      <i/>
      <sz val="10"/>
      <color rgb="FFFF0000"/>
      <name val="Arial"/>
      <charset val="134"/>
    </font>
    <font>
      <sz val="14"/>
      <name val="Arial"/>
      <charset val="134"/>
    </font>
    <font>
      <i/>
      <sz val="10"/>
      <color rgb="FFFF0000"/>
      <name val="Arial"/>
      <charset val="134"/>
    </font>
    <font>
      <b/>
      <sz val="10"/>
      <color rgb="FF000000"/>
      <name val="微软雅黑"/>
      <charset val="134"/>
    </font>
    <font>
      <sz val="10"/>
      <color rgb="FF242424"/>
      <name val="Arial"/>
      <charset val="134"/>
    </font>
    <font>
      <i/>
      <sz val="10"/>
      <color theme="1"/>
      <name val="宋体"/>
      <charset val="134"/>
    </font>
    <font>
      <sz val="10"/>
      <color rgb="FF000000"/>
      <name val="宋体"/>
      <charset val="134"/>
    </font>
    <font>
      <b/>
      <sz val="16"/>
      <color rgb="FFFF0000"/>
      <name val="Arial"/>
      <charset val="134"/>
    </font>
    <font>
      <b/>
      <sz val="14"/>
      <color rgb="FF000000"/>
      <name val="Arial"/>
      <charset val="134"/>
    </font>
    <font>
      <u/>
      <sz val="11"/>
      <color theme="4"/>
      <name val="Arial"/>
      <charset val="134"/>
    </font>
    <font>
      <b/>
      <u/>
      <sz val="10"/>
      <color theme="4"/>
      <name val="Arial"/>
      <charset val="134"/>
    </font>
    <font>
      <b/>
      <sz val="11"/>
      <color theme="1"/>
      <name val="宋体"/>
      <charset val="134"/>
      <scheme val="minor"/>
    </font>
    <font>
      <u/>
      <sz val="11"/>
      <color theme="1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indexed="9"/>
      <name val="宋体"/>
      <charset val="134"/>
    </font>
    <font>
      <sz val="11"/>
      <color theme="1"/>
      <name val="宋体"/>
      <charset val="0"/>
      <scheme val="minor"/>
    </font>
    <font>
      <sz val="11"/>
      <color theme="0"/>
      <name val="宋体"/>
      <charset val="0"/>
      <scheme val="minor"/>
    </font>
    <font>
      <sz val="12"/>
      <name val="宋体"/>
      <charset val="134"/>
    </font>
    <font>
      <sz val="13"/>
      <name val="Tms Rmn"/>
      <charset val="134"/>
    </font>
    <font>
      <sz val="12"/>
      <color indexed="9"/>
      <name val="宋体"/>
      <charset val="134"/>
    </font>
    <font>
      <sz val="12"/>
      <color indexed="8"/>
      <name val="宋体"/>
      <charset val="134"/>
    </font>
    <font>
      <sz val="11"/>
      <color theme="0"/>
      <name val="宋体"/>
      <charset val="134"/>
      <scheme val="minor"/>
    </font>
    <font>
      <sz val="11"/>
      <color rgb="FF9C0006"/>
      <name val="宋体"/>
      <charset val="134"/>
      <scheme val="minor"/>
    </font>
    <font>
      <b/>
      <sz val="10"/>
      <name val="Helv"/>
      <charset val="134"/>
    </font>
    <font>
      <sz val="11"/>
      <color theme="1"/>
      <name val="宋体"/>
      <charset val="134"/>
      <scheme val="minor"/>
    </font>
    <font>
      <b/>
      <sz val="11"/>
      <color theme="0"/>
      <name val="宋体"/>
      <charset val="134"/>
    </font>
    <font>
      <b/>
      <sz val="11"/>
      <color theme="0"/>
      <name val="宋体"/>
      <charset val="134"/>
      <scheme val="minor"/>
    </font>
    <font>
      <b/>
      <sz val="13"/>
      <name val="Tms Rmn"/>
      <charset val="134"/>
    </font>
    <font>
      <sz val="11"/>
      <color indexed="8"/>
      <name val="宋体"/>
      <charset val="134"/>
    </font>
    <font>
      <sz val="10"/>
      <color theme="1"/>
      <name val="times new roman"/>
      <charset val="134"/>
    </font>
    <font>
      <sz val="10"/>
      <name val="宋体"/>
      <charset val="134"/>
    </font>
    <font>
      <sz val="11"/>
      <color rgb="FF000000"/>
      <name val="Calibri"/>
      <charset val="134"/>
    </font>
    <font>
      <sz val="11"/>
      <color theme="1"/>
      <name val="SimSun"/>
      <charset val="134"/>
    </font>
    <font>
      <sz val="12"/>
      <name val="Times New Roman"/>
      <charset val="134"/>
    </font>
    <font>
      <sz val="10"/>
      <color theme="1"/>
      <name val="Tahoma"/>
      <charset val="134"/>
    </font>
    <font>
      <sz val="10"/>
      <name val="Times New Roman"/>
      <charset val="134"/>
    </font>
    <font>
      <b/>
      <sz val="11"/>
      <color rgb="FFFF0000"/>
      <name val="宋体"/>
      <charset val="134"/>
    </font>
    <font>
      <sz val="9"/>
      <name val="Times New Roman"/>
      <charset val="134"/>
    </font>
    <font>
      <sz val="8"/>
      <name val="Arial"/>
      <charset val="134"/>
    </font>
    <font>
      <sz val="11"/>
      <color rgb="FF006100"/>
      <name val="宋体"/>
      <charset val="134"/>
    </font>
    <font>
      <sz val="11"/>
      <color rgb="FF006100"/>
      <name val="宋体"/>
      <charset val="134"/>
      <scheme val="minor"/>
    </font>
    <font>
      <b/>
      <sz val="12"/>
      <name val="Helv"/>
      <charset val="134"/>
    </font>
    <font>
      <b/>
      <sz val="10"/>
      <color theme="1"/>
      <name val="宋体"/>
      <charset val="134"/>
    </font>
    <font>
      <u/>
      <sz val="11"/>
      <color theme="10"/>
      <name val="宋体"/>
      <charset val="134"/>
      <scheme val="minor"/>
    </font>
    <font>
      <u/>
      <sz val="11"/>
      <color theme="10"/>
      <name val="宋体"/>
      <charset val="134"/>
    </font>
    <font>
      <u/>
      <sz val="10"/>
      <color theme="10"/>
      <name val="Arial"/>
      <charset val="134"/>
    </font>
    <font>
      <u/>
      <sz val="12"/>
      <color theme="10"/>
      <name val="Arial"/>
      <charset val="134"/>
    </font>
    <font>
      <u/>
      <sz val="10"/>
      <color indexed="12"/>
      <name val="宋体"/>
      <charset val="134"/>
    </font>
    <font>
      <u/>
      <sz val="10"/>
      <color theme="10"/>
      <name val="等线"/>
      <charset val="134"/>
    </font>
    <font>
      <b/>
      <sz val="11"/>
      <name val="Helv"/>
      <charset val="134"/>
    </font>
    <font>
      <sz val="11"/>
      <color rgb="FF9C5700"/>
      <name val="宋体"/>
      <charset val="134"/>
      <scheme val="minor"/>
    </font>
    <font>
      <sz val="9"/>
      <color theme="1"/>
      <name val="Arial"/>
      <charset val="134"/>
    </font>
    <font>
      <sz val="8"/>
      <name val="EYInterstate Light"/>
      <charset val="134"/>
    </font>
    <font>
      <sz val="11"/>
      <color theme="1"/>
      <name val="宋体"/>
      <charset val="134"/>
    </font>
    <font>
      <sz val="12"/>
      <name val="Arial"/>
      <charset val="134"/>
    </font>
    <font>
      <sz val="8"/>
      <name val="EYInterstate Light"/>
      <charset val="134"/>
    </font>
    <font>
      <sz val="10"/>
      <name val="Tahoma"/>
      <charset val="134"/>
    </font>
    <font>
      <sz val="10"/>
      <name val="SimSun"/>
      <charset val="134"/>
    </font>
    <font>
      <sz val="11"/>
      <color indexed="8"/>
      <name val="宋体"/>
      <charset val="134"/>
      <scheme val="minor"/>
    </font>
    <font>
      <sz val="10"/>
      <color theme="1"/>
      <name val="Times New Roman"/>
      <charset val="134"/>
    </font>
    <font>
      <sz val="11"/>
      <color indexed="8"/>
      <name val="Calibri"/>
      <charset val="134"/>
    </font>
    <font>
      <sz val="11"/>
      <color rgb="FF000000"/>
      <name val="宋体"/>
      <charset val="134"/>
      <scheme val="minor"/>
    </font>
    <font>
      <sz val="9"/>
      <color theme="1"/>
      <name val="Arial Unicode MS"/>
      <charset val="134"/>
    </font>
    <font>
      <sz val="10"/>
      <name val="Helv"/>
      <charset val="134"/>
    </font>
    <font>
      <sz val="12"/>
      <color theme="1"/>
      <name val="宋体"/>
      <charset val="134"/>
    </font>
    <font>
      <sz val="10"/>
      <color theme="1"/>
      <name val="SimSun"/>
      <charset val="134"/>
    </font>
    <font>
      <strike/>
      <sz val="10"/>
      <name val="Arial"/>
      <charset val="134"/>
    </font>
    <font>
      <sz val="10"/>
      <color indexed="8"/>
      <name val="MS Sans Serif"/>
      <charset val="134"/>
    </font>
    <font>
      <sz val="9"/>
      <color rgb="FF000000"/>
      <name val="新宋体"/>
      <charset val="134"/>
    </font>
    <font>
      <sz val="8"/>
      <color indexed="16"/>
      <name val="Century Schoolbook"/>
      <charset val="134"/>
    </font>
    <font>
      <b/>
      <sz val="10"/>
      <color indexed="39"/>
      <name val="Arial"/>
      <charset val="134"/>
    </font>
    <font>
      <b/>
      <sz val="12"/>
      <color indexed="8"/>
      <name val="Arial"/>
      <charset val="134"/>
    </font>
    <font>
      <sz val="10"/>
      <color indexed="39"/>
      <name val="Arial"/>
      <charset val="134"/>
    </font>
    <font>
      <sz val="19"/>
      <color indexed="48"/>
      <name val="Arial"/>
      <charset val="134"/>
    </font>
    <font>
      <b/>
      <i/>
      <sz val="10"/>
      <name val="Times New Roman"/>
      <charset val="134"/>
    </font>
    <font>
      <b/>
      <sz val="9"/>
      <name val="Times New Roman"/>
      <charset val="134"/>
    </font>
    <font>
      <sz val="11"/>
      <name val="明朝"/>
      <charset val="134"/>
    </font>
    <font>
      <sz val="10"/>
      <name val="Arial Narrow"/>
      <charset val="134"/>
    </font>
    <font>
      <sz val="14"/>
      <name val="柧挬"/>
      <charset val="134"/>
    </font>
    <font>
      <b/>
      <sz val="18"/>
      <color indexed="35"/>
      <name val="宋体"/>
      <charset val="134"/>
    </font>
    <font>
      <sz val="8"/>
      <name val="Century Schoolbook"/>
      <charset val="134"/>
    </font>
    <font>
      <b/>
      <sz val="18"/>
      <color indexed="62"/>
      <name val="宋体"/>
      <charset val="134"/>
    </font>
    <font>
      <sz val="11"/>
      <color indexed="26"/>
      <name val="宋体"/>
      <charset val="134"/>
    </font>
    <font>
      <sz val="11"/>
      <color indexed="20"/>
      <name val="宋体"/>
      <charset val="134"/>
    </font>
    <font>
      <sz val="12"/>
      <color indexed="16"/>
      <name val="宋体"/>
      <charset val="134"/>
    </font>
    <font>
      <sz val="10"/>
      <name val="宋体"/>
      <charset val="134"/>
      <scheme val="minor"/>
    </font>
    <font>
      <sz val="10"/>
      <color theme="1"/>
      <name val="等线"/>
      <charset val="134"/>
    </font>
    <font>
      <sz val="12"/>
      <color rgb="FF000000"/>
      <name val="Calibri"/>
      <charset val="134"/>
    </font>
    <font>
      <u/>
      <sz val="12"/>
      <color indexed="12"/>
      <name val="宋体"/>
      <charset val="134"/>
    </font>
    <font>
      <u/>
      <sz val="11"/>
      <color theme="10"/>
      <name val="SimSun"/>
      <charset val="134"/>
    </font>
    <font>
      <sz val="11"/>
      <color indexed="38"/>
      <name val="宋体"/>
      <charset val="134"/>
    </font>
    <font>
      <sz val="11"/>
      <color indexed="17"/>
      <name val="宋体"/>
      <charset val="134"/>
    </font>
    <font>
      <sz val="12"/>
      <color indexed="17"/>
      <name val="宋体"/>
      <charset val="134"/>
    </font>
    <font>
      <sz val="11"/>
      <color indexed="21"/>
      <name val="宋体"/>
      <charset val="134"/>
    </font>
    <font>
      <sz val="10"/>
      <name val="Geneva"/>
      <charset val="134"/>
    </font>
    <font>
      <sz val="12"/>
      <name val="新細明體"/>
      <charset val="134"/>
    </font>
    <font>
      <sz val="12"/>
      <name val="官帕眉"/>
      <charset val="134"/>
    </font>
    <font>
      <sz val="10"/>
      <name val="奔覆眉"/>
      <charset val="134"/>
    </font>
    <font>
      <b/>
      <sz val="12"/>
      <color indexed="8"/>
      <name val="宋体"/>
      <charset val="134"/>
    </font>
    <font>
      <sz val="12"/>
      <name val="柧挬"/>
      <charset val="134"/>
    </font>
    <font>
      <sz val="11"/>
      <name val="ＭＳ Ｐゴシック"/>
      <charset val="134"/>
    </font>
    <font>
      <sz val="12"/>
      <name val="바탕체"/>
      <charset val="134"/>
    </font>
    <font>
      <b/>
      <i/>
      <sz val="10"/>
      <color theme="1"/>
      <name val="微软雅黑"/>
      <charset val="134"/>
    </font>
    <font>
      <b/>
      <sz val="12"/>
      <color rgb="FF000000"/>
      <name val="微软雅黑"/>
      <charset val="134"/>
    </font>
    <font>
      <b/>
      <sz val="10"/>
      <color theme="1"/>
      <name val="微软雅黑"/>
      <charset val="134"/>
    </font>
    <font>
      <b/>
      <sz val="10"/>
      <color rgb="FF000000"/>
      <name val="Microsoft YaHei"/>
      <charset val="134"/>
    </font>
    <font>
      <sz val="10"/>
      <color indexed="8"/>
      <name val="微软雅黑"/>
      <charset val="134"/>
    </font>
    <font>
      <b/>
      <sz val="11"/>
      <name val="微软雅黑"/>
      <charset val="134"/>
    </font>
    <font>
      <b/>
      <u/>
      <sz val="10"/>
      <name val="微软雅黑"/>
      <charset val="134"/>
    </font>
    <font>
      <b/>
      <u/>
      <sz val="10"/>
      <color rgb="FFFF0000"/>
      <name val="微软雅黑"/>
      <charset val="134"/>
    </font>
    <font>
      <i/>
      <sz val="10"/>
      <name val="宋体"/>
      <charset val="134"/>
    </font>
    <font>
      <b/>
      <sz val="12"/>
      <name val="微软雅黑"/>
      <charset val="134"/>
    </font>
    <font>
      <b/>
      <i/>
      <sz val="9"/>
      <color rgb="FFFF0000"/>
      <name val="微软雅黑"/>
      <charset val="134"/>
    </font>
    <font>
      <b/>
      <vertAlign val="superscript"/>
      <sz val="10"/>
      <color rgb="FFFF0000"/>
      <name val="Arial"/>
      <charset val="134"/>
    </font>
    <font>
      <u/>
      <sz val="10"/>
      <color rgb="FFFF0000"/>
      <name val="微软雅黑"/>
      <charset val="134"/>
    </font>
    <font>
      <b/>
      <sz val="10"/>
      <color rgb="FFFF0000"/>
      <name val="宋体"/>
      <charset val="134"/>
    </font>
    <font>
      <sz val="11"/>
      <color theme="1"/>
      <name val="微软雅黑"/>
      <charset val="134"/>
    </font>
    <font>
      <sz val="10"/>
      <name val="DengXian"/>
      <charset val="134"/>
    </font>
    <font>
      <b/>
      <sz val="10"/>
      <color rgb="FFFF0000"/>
      <name val="宋体"/>
      <charset val="134"/>
    </font>
    <font>
      <b/>
      <i/>
      <sz val="10"/>
      <color rgb="FFFF0000"/>
      <name val="微软雅黑"/>
      <charset val="134"/>
    </font>
    <font>
      <b/>
      <u/>
      <sz val="10"/>
      <color theme="4"/>
      <name val="微软雅黑"/>
      <charset val="134"/>
    </font>
    <font>
      <sz val="11"/>
      <color rgb="FFFFFFFF"/>
      <name val="微软雅黑"/>
      <charset val="134"/>
    </font>
    <font>
      <b/>
      <sz val="14"/>
      <color rgb="FFFFFFFF"/>
      <name val="微软雅黑"/>
      <charset val="134"/>
    </font>
    <font>
      <sz val="10"/>
      <color theme="1"/>
      <name val="等线"/>
      <charset val="134"/>
    </font>
    <font>
      <b/>
      <sz val="14"/>
      <color theme="0"/>
      <name val="微软雅黑"/>
      <charset val="134"/>
    </font>
    <font>
      <sz val="11"/>
      <color rgb="FF1A1A24"/>
      <name val="宋体"/>
      <charset val="134"/>
    </font>
    <font>
      <sz val="11"/>
      <color rgb="FF1A1A24"/>
      <name val="微软雅黑"/>
      <charset val="134"/>
    </font>
    <font>
      <sz val="11"/>
      <color rgb="FF000000"/>
      <name val="微软雅黑"/>
      <charset val="134"/>
    </font>
    <font>
      <b/>
      <sz val="11"/>
      <color rgb="FF000000"/>
      <name val="微软雅黑"/>
      <charset val="134"/>
    </font>
    <font>
      <i/>
      <sz val="10"/>
      <color rgb="FF000000"/>
      <name val="微软雅黑"/>
      <charset val="134"/>
    </font>
    <font>
      <sz val="10"/>
      <color rgb="FF000000"/>
      <name val="宋体"/>
      <charset val="134"/>
    </font>
    <font>
      <b/>
      <u/>
      <sz val="11"/>
      <color theme="4"/>
      <name val="微软雅黑"/>
      <charset val="134"/>
    </font>
    <font>
      <sz val="10"/>
      <color rgb="FF000000"/>
      <name val="Microsoft YaHei"/>
      <charset val="134"/>
    </font>
    <font>
      <sz val="10"/>
      <color rgb="FF000000"/>
      <name val="等线"/>
      <charset val="134"/>
    </font>
    <font>
      <b/>
      <sz val="14"/>
      <color rgb="FF000000"/>
      <name val="微软雅黑"/>
      <charset val="134"/>
    </font>
    <font>
      <sz val="10"/>
      <name val="等线"/>
      <charset val="134"/>
    </font>
    <font>
      <sz val="10"/>
      <name val="宋体"/>
      <charset val="134"/>
    </font>
  </fonts>
  <fills count="102">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rgb="FF000099"/>
        <bgColor indexed="64"/>
      </patternFill>
    </fill>
    <fill>
      <patternFill patternType="solid">
        <fgColor theme="0" tint="-0.0499893185216834"/>
        <bgColor rgb="FF000000"/>
      </patternFill>
    </fill>
    <fill>
      <patternFill patternType="solid">
        <fgColor theme="0" tint="-0.349986266670736"/>
        <bgColor indexed="64"/>
      </patternFill>
    </fill>
    <fill>
      <patternFill patternType="solid">
        <fgColor theme="0"/>
        <bgColor indexed="64"/>
      </patternFill>
    </fill>
    <fill>
      <patternFill patternType="solid">
        <fgColor rgb="FF333399"/>
        <bgColor indexed="64"/>
      </patternFill>
    </fill>
    <fill>
      <patternFill patternType="solid">
        <fgColor rgb="FFA6A6A6"/>
        <bgColor indexed="64"/>
      </patternFill>
    </fill>
    <fill>
      <patternFill patternType="solid">
        <fgColor theme="0" tint="-0.349925229651784"/>
        <bgColor indexed="64"/>
      </patternFill>
    </fill>
    <fill>
      <patternFill patternType="solid">
        <fgColor rgb="FFFFFFCC"/>
        <bgColor indexed="64"/>
      </patternFill>
    </fill>
    <fill>
      <patternFill patternType="solid">
        <fgColor theme="0" tint="-0.34995574816126"/>
        <bgColor indexed="64"/>
      </patternFill>
    </fill>
    <fill>
      <patternFill patternType="solid">
        <fgColor rgb="FF92D050"/>
        <bgColor indexed="64"/>
      </patternFill>
    </fill>
    <fill>
      <patternFill patternType="solid">
        <fgColor rgb="FFFFFFFF"/>
        <bgColor indexed="64"/>
      </patternFill>
    </fill>
    <fill>
      <patternFill patternType="solid">
        <fgColor theme="4" tint="0.799981688894314"/>
        <bgColor indexed="64"/>
      </patternFill>
    </fill>
    <fill>
      <patternFill patternType="solid">
        <fgColor theme="0" tint="-0.249977111117893"/>
        <bgColor indexed="64"/>
      </patternFill>
    </fill>
    <fill>
      <patternFill patternType="solid">
        <fgColor rgb="FFF2F2F2"/>
        <bgColor rgb="FF000000"/>
      </patternFill>
    </fill>
    <fill>
      <patternFill patternType="solid">
        <fgColor rgb="FFFFFFFF"/>
        <bgColor rgb="FF000000"/>
      </patternFill>
    </fill>
    <fill>
      <patternFill patternType="solid">
        <fgColor rgb="FF2E2E38"/>
        <bgColor indexed="64"/>
      </patternFill>
    </fill>
    <fill>
      <patternFill patternType="solid">
        <fgColor rgb="FF747480"/>
        <bgColor indexed="64"/>
      </patternFill>
    </fill>
    <fill>
      <patternFill patternType="solid">
        <fgColor rgb="FFF6F6FA"/>
        <bgColor indexed="64"/>
      </patternFill>
    </fill>
    <fill>
      <patternFill patternType="solid">
        <fgColor rgb="FFC4C4CD"/>
        <bgColor indexed="64"/>
      </patternFill>
    </fill>
    <fill>
      <patternFill patternType="solid">
        <fgColor rgb="FF808080"/>
        <bgColor indexed="64"/>
      </patternFill>
    </fill>
    <fill>
      <patternFill patternType="solid">
        <fgColor rgb="FFADFF2F"/>
        <bgColor indexed="64"/>
      </patternFill>
    </fill>
    <fill>
      <patternFill patternType="solid">
        <fgColor rgb="FFFFFF00"/>
        <bgColor indexed="64"/>
      </patternFill>
    </fill>
    <fill>
      <patternFill patternType="solid">
        <fgColor theme="0" tint="-0.0499893185216834"/>
        <bgColor indexed="64"/>
      </patternFill>
    </fill>
    <fill>
      <patternFill patternType="solid">
        <fgColor rgb="FF333399"/>
        <bgColor rgb="FF000000"/>
      </patternFill>
    </fill>
    <fill>
      <patternFill patternType="solid">
        <fgColor theme="0" tint="-0.349986266670736"/>
        <bgColor rgb="FF000000"/>
      </patternFill>
    </fill>
    <fill>
      <patternFill patternType="solid">
        <fgColor rgb="FFA6A6A6"/>
        <bgColor rgb="FF000000"/>
      </patternFill>
    </fill>
    <fill>
      <patternFill patternType="solid">
        <fgColor rgb="FFDCE6F1"/>
        <bgColor rgb="FF000000"/>
      </patternFill>
    </fill>
    <fill>
      <patternFill patternType="solid">
        <fgColor rgb="FFD3D3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indexed="43"/>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indexed="62"/>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indexed="2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indexed="47"/>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310281685843"/>
        <bgColor indexed="64"/>
      </patternFill>
    </fill>
    <fill>
      <patternFill patternType="solid">
        <fgColor theme="9" tint="0.799310281685843"/>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6"/>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theme="9"/>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FFEB9C"/>
        <bgColor indexed="64"/>
      </patternFill>
    </fill>
    <fill>
      <patternFill patternType="solid">
        <fgColor indexed="40"/>
        <bgColor indexed="64"/>
      </patternFill>
    </fill>
    <fill>
      <patternFill patternType="solid">
        <fgColor indexed="45"/>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115">
    <border>
      <left/>
      <right/>
      <top/>
      <bottom/>
      <diagonal/>
    </border>
    <border>
      <left style="thin">
        <color auto="1"/>
      </left>
      <right/>
      <top style="thin">
        <color auto="1"/>
      </top>
      <bottom style="thin">
        <color auto="1"/>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medium">
        <color auto="1"/>
      </top>
      <bottom style="medium">
        <color auto="1"/>
      </bottom>
      <diagonal/>
    </border>
    <border>
      <left style="medium">
        <color auto="1"/>
      </left>
      <right/>
      <top style="thin">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style="thin">
        <color auto="1"/>
      </left>
      <right/>
      <top style="thin">
        <color auto="1"/>
      </top>
      <bottom style="medium">
        <color auto="1"/>
      </bottom>
      <diagonal/>
    </border>
    <border>
      <left/>
      <right/>
      <top/>
      <bottom style="double">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right/>
      <top style="thin">
        <color auto="1"/>
      </top>
      <bottom style="double">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thin">
        <color auto="1"/>
      </left>
      <right style="thin">
        <color auto="1"/>
      </right>
      <top/>
      <bottom/>
      <diagonal/>
    </border>
    <border>
      <left/>
      <right style="thin">
        <color rgb="FF2E2E38"/>
      </right>
      <top/>
      <bottom/>
      <diagonal/>
    </border>
    <border>
      <left/>
      <right style="thin">
        <color rgb="FF2E2E38"/>
      </right>
      <top/>
      <bottom style="thin">
        <color auto="1"/>
      </bottom>
      <diagonal/>
    </border>
    <border>
      <left/>
      <right style="thin">
        <color rgb="FFC4C4CD"/>
      </right>
      <top/>
      <bottom/>
      <diagonal/>
    </border>
    <border>
      <left/>
      <right/>
      <top/>
      <bottom style="thin">
        <color rgb="FFC4C4CD"/>
      </bottom>
      <diagonal/>
    </border>
    <border>
      <left/>
      <right style="thin">
        <color rgb="FFC4C4CD"/>
      </right>
      <top style="thin">
        <color rgb="FFC4C4CD"/>
      </top>
      <bottom style="thin">
        <color rgb="FFC4C4CD"/>
      </bottom>
      <diagonal/>
    </border>
    <border>
      <left style="thin">
        <color rgb="FFC4C4CD"/>
      </left>
      <right/>
      <top style="thin">
        <color rgb="FFC4C4CD"/>
      </top>
      <bottom style="thin">
        <color rgb="FFC4C4CD"/>
      </bottom>
      <diagonal/>
    </border>
    <border>
      <left/>
      <right/>
      <top style="thin">
        <color rgb="FFC4C4CD"/>
      </top>
      <bottom style="thin">
        <color rgb="FFC4C4CD"/>
      </bottom>
      <diagonal/>
    </border>
    <border>
      <left/>
      <right style="thin">
        <color rgb="FFC4C4CD"/>
      </right>
      <top/>
      <bottom style="thin">
        <color rgb="FFC4C4CD"/>
      </bottom>
      <diagonal/>
    </border>
    <border>
      <left style="thin">
        <color rgb="FF000000"/>
      </left>
      <right/>
      <top style="thin">
        <color rgb="FF000000"/>
      </top>
      <bottom/>
      <diagonal/>
    </border>
    <border>
      <left/>
      <right/>
      <top style="thin">
        <color rgb="FF000000"/>
      </top>
      <bottom/>
      <diagonal/>
    </border>
    <border>
      <left style="medium">
        <color auto="1"/>
      </left>
      <right style="medium">
        <color auto="1"/>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auto="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auto="1"/>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s>
  <cellStyleXfs count="366">
    <xf numFmtId="0" fontId="0" fillId="0" borderId="0"/>
    <xf numFmtId="43" fontId="98" fillId="0" borderId="0" applyFont="0" applyFill="0" applyBorder="0" applyAlignment="0" applyProtection="0">
      <alignment vertical="center"/>
    </xf>
    <xf numFmtId="44" fontId="98" fillId="0" borderId="0" applyFont="0" applyFill="0" applyBorder="0" applyAlignment="0" applyProtection="0">
      <alignment vertical="center"/>
    </xf>
    <xf numFmtId="9" fontId="0" fillId="0" borderId="0" applyFont="0" applyFill="0" applyBorder="0" applyAlignment="0" applyProtection="0"/>
    <xf numFmtId="41" fontId="98" fillId="0" borderId="0" applyFont="0" applyFill="0" applyBorder="0" applyAlignment="0" applyProtection="0">
      <alignment vertical="center"/>
    </xf>
    <xf numFmtId="42" fontId="98" fillId="0" borderId="0" applyFont="0" applyFill="0" applyBorder="0" applyAlignment="0" applyProtection="0">
      <alignment vertical="center"/>
    </xf>
    <xf numFmtId="0" fontId="99"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98" fillId="32" borderId="104" applyNumberFormat="0" applyFont="0" applyAlignment="0" applyProtection="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4" fillId="0" borderId="105" applyNumberFormat="0" applyFill="0" applyAlignment="0" applyProtection="0">
      <alignment vertical="center"/>
    </xf>
    <xf numFmtId="0" fontId="105" fillId="0" borderId="105" applyNumberFormat="0" applyFill="0" applyAlignment="0" applyProtection="0">
      <alignment vertical="center"/>
    </xf>
    <xf numFmtId="0" fontId="106" fillId="0" borderId="106" applyNumberFormat="0" applyFill="0" applyAlignment="0" applyProtection="0">
      <alignment vertical="center"/>
    </xf>
    <xf numFmtId="0" fontId="106" fillId="0" borderId="0" applyNumberFormat="0" applyFill="0" applyBorder="0" applyAlignment="0" applyProtection="0">
      <alignment vertical="center"/>
    </xf>
    <xf numFmtId="0" fontId="107" fillId="33" borderId="107" applyNumberFormat="0" applyAlignment="0" applyProtection="0">
      <alignment vertical="center"/>
    </xf>
    <xf numFmtId="0" fontId="108" fillId="34" borderId="108" applyNumberFormat="0" applyAlignment="0" applyProtection="0">
      <alignment vertical="center"/>
    </xf>
    <xf numFmtId="0" fontId="109" fillId="34" borderId="107" applyNumberFormat="0" applyAlignment="0" applyProtection="0">
      <alignment vertical="center"/>
    </xf>
    <xf numFmtId="0" fontId="110" fillId="35" borderId="109" applyNumberFormat="0" applyAlignment="0" applyProtection="0">
      <alignment vertical="center"/>
    </xf>
    <xf numFmtId="0" fontId="111" fillId="0" borderId="110" applyNumberFormat="0" applyFill="0" applyAlignment="0" applyProtection="0">
      <alignment vertical="center"/>
    </xf>
    <xf numFmtId="0" fontId="112" fillId="0" borderId="111" applyNumberFormat="0" applyFill="0" applyAlignment="0" applyProtection="0">
      <alignment vertical="center"/>
    </xf>
    <xf numFmtId="0" fontId="113" fillId="36" borderId="0" applyNumberFormat="0" applyBorder="0" applyAlignment="0" applyProtection="0">
      <alignment vertical="center"/>
    </xf>
    <xf numFmtId="0" fontId="114" fillId="37" borderId="0" applyNumberFormat="0" applyBorder="0" applyAlignment="0" applyProtection="0">
      <alignment vertical="center"/>
    </xf>
    <xf numFmtId="0" fontId="115" fillId="38" borderId="0" applyNumberFormat="0" applyBorder="0" applyAlignment="0" applyProtection="0">
      <alignment vertical="center"/>
    </xf>
    <xf numFmtId="0" fontId="116" fillId="39" borderId="0" applyNumberFormat="0" applyBorder="0" applyProtection="0"/>
    <xf numFmtId="0" fontId="117" fillId="40" borderId="0" applyNumberFormat="0" applyBorder="0" applyAlignment="0" applyProtection="0">
      <alignment vertical="center"/>
    </xf>
    <xf numFmtId="0" fontId="117" fillId="41" borderId="0" applyNumberFormat="0" applyBorder="0" applyAlignment="0" applyProtection="0">
      <alignment vertical="center"/>
    </xf>
    <xf numFmtId="0" fontId="118" fillId="42" borderId="0" applyNumberFormat="0" applyBorder="0" applyAlignment="0" applyProtection="0">
      <alignment vertical="center"/>
    </xf>
    <xf numFmtId="0" fontId="116" fillId="43" borderId="0" applyNumberFormat="0" applyBorder="0" applyProtection="0"/>
    <xf numFmtId="0" fontId="117" fillId="44" borderId="0" applyNumberFormat="0" applyBorder="0" applyAlignment="0" applyProtection="0">
      <alignment vertical="center"/>
    </xf>
    <xf numFmtId="0" fontId="117" fillId="45" borderId="0" applyNumberFormat="0" applyBorder="0" applyAlignment="0" applyProtection="0">
      <alignment vertical="center"/>
    </xf>
    <xf numFmtId="0" fontId="118" fillId="46" borderId="0" applyNumberFormat="0" applyBorder="0" applyAlignment="0" applyProtection="0">
      <alignment vertical="center"/>
    </xf>
    <xf numFmtId="0" fontId="116" fillId="43" borderId="0" applyNumberFormat="0" applyBorder="0" applyProtection="0"/>
    <xf numFmtId="0" fontId="117" fillId="47" borderId="0" applyNumberFormat="0" applyBorder="0" applyAlignment="0" applyProtection="0">
      <alignment vertical="center"/>
    </xf>
    <xf numFmtId="0" fontId="117" fillId="48" borderId="0" applyNumberFormat="0" applyBorder="0" applyAlignment="0" applyProtection="0">
      <alignment vertical="center"/>
    </xf>
    <xf numFmtId="0" fontId="118" fillId="49" borderId="0" applyNumberFormat="0" applyBorder="0" applyAlignment="0" applyProtection="0">
      <alignment vertical="center"/>
    </xf>
    <xf numFmtId="0" fontId="116" fillId="50" borderId="0" applyNumberFormat="0" applyBorder="0" applyProtection="0"/>
    <xf numFmtId="0" fontId="117" fillId="51" borderId="0" applyNumberFormat="0" applyBorder="0" applyAlignment="0" applyProtection="0">
      <alignment vertical="center"/>
    </xf>
    <xf numFmtId="0" fontId="117" fillId="52" borderId="0" applyNumberFormat="0" applyBorder="0" applyAlignment="0" applyProtection="0">
      <alignment vertical="center"/>
    </xf>
    <xf numFmtId="0" fontId="118" fillId="53" borderId="0" applyNumberFormat="0" applyBorder="0" applyAlignment="0" applyProtection="0">
      <alignment vertical="center"/>
    </xf>
    <xf numFmtId="0" fontId="116" fillId="39" borderId="0" applyNumberFormat="0" applyBorder="0" applyProtection="0"/>
    <xf numFmtId="0" fontId="117" fillId="54" borderId="0" applyNumberFormat="0" applyBorder="0" applyAlignment="0" applyProtection="0">
      <alignment vertical="center"/>
    </xf>
    <xf numFmtId="0" fontId="117" fillId="55" borderId="0" applyNumberFormat="0" applyBorder="0" applyAlignment="0" applyProtection="0">
      <alignment vertical="center"/>
    </xf>
    <xf numFmtId="0" fontId="118" fillId="56" borderId="0" applyNumberFormat="0" applyBorder="0" applyAlignment="0" applyProtection="0">
      <alignment vertical="center"/>
    </xf>
    <xf numFmtId="0" fontId="116" fillId="57" borderId="0" applyNumberFormat="0" applyBorder="0" applyProtection="0"/>
    <xf numFmtId="0" fontId="117" fillId="58" borderId="0" applyNumberFormat="0" applyBorder="0" applyAlignment="0" applyProtection="0">
      <alignment vertical="center"/>
    </xf>
    <xf numFmtId="0" fontId="117" fillId="59" borderId="0" applyNumberFormat="0" applyBorder="0" applyAlignment="0" applyProtection="0">
      <alignment vertical="center"/>
    </xf>
    <xf numFmtId="0" fontId="118" fillId="60" borderId="0" applyNumberFormat="0" applyBorder="0" applyAlignment="0" applyProtection="0">
      <alignment vertical="center"/>
    </xf>
    <xf numFmtId="176" fontId="119" fillId="0" borderId="0" applyFont="0" applyFill="0" applyBorder="0" applyAlignment="0" applyProtection="0"/>
    <xf numFmtId="177" fontId="120" fillId="0" borderId="0" applyFont="0" applyFill="0" applyBorder="0" applyAlignment="0" applyProtection="0"/>
    <xf numFmtId="10" fontId="120" fillId="0" borderId="0" applyFont="0" applyFill="0" applyBorder="0" applyAlignment="0" applyProtection="0"/>
    <xf numFmtId="178" fontId="119" fillId="0" borderId="0" applyFont="0" applyFill="0" applyBorder="0" applyAlignment="0" applyProtection="0"/>
    <xf numFmtId="0" fontId="0" fillId="61" borderId="0" applyNumberFormat="0" applyBorder="0" applyProtection="0"/>
    <xf numFmtId="0" fontId="0" fillId="62" borderId="0" applyNumberFormat="0" applyBorder="0" applyProtection="0"/>
    <xf numFmtId="0" fontId="121" fillId="63" borderId="0" applyNumberFormat="0" applyBorder="0" applyAlignment="0" applyProtection="0"/>
    <xf numFmtId="0" fontId="122" fillId="64" borderId="0" applyNumberFormat="0" applyBorder="0" applyAlignment="0" applyProtection="0"/>
    <xf numFmtId="0" fontId="121" fillId="65" borderId="0" applyNumberFormat="0" applyBorder="0" applyAlignment="0" applyProtection="0"/>
    <xf numFmtId="0" fontId="123" fillId="66" borderId="0" applyNumberFormat="0" applyBorder="0" applyAlignment="0" applyProtection="0">
      <alignment vertical="center"/>
    </xf>
    <xf numFmtId="0" fontId="121" fillId="67" borderId="0" applyNumberFormat="0" applyBorder="0" applyAlignment="0" applyProtection="0"/>
    <xf numFmtId="0" fontId="122" fillId="68" borderId="0" applyNumberFormat="0" applyBorder="0" applyAlignment="0" applyProtection="0"/>
    <xf numFmtId="0" fontId="122" fillId="69" borderId="0" applyNumberFormat="0" applyBorder="0" applyAlignment="0" applyProtection="0"/>
    <xf numFmtId="0" fontId="121" fillId="70" borderId="0" applyNumberFormat="0" applyBorder="0" applyAlignment="0" applyProtection="0"/>
    <xf numFmtId="0" fontId="123" fillId="71" borderId="0" applyNumberFormat="0" applyBorder="0" applyProtection="0"/>
    <xf numFmtId="0" fontId="123" fillId="71" borderId="0" applyNumberFormat="0" applyBorder="0" applyAlignment="0" applyProtection="0">
      <alignment vertical="center"/>
    </xf>
    <xf numFmtId="0" fontId="122" fillId="72" borderId="0" applyNumberFormat="0" applyBorder="0" applyAlignment="0" applyProtection="0"/>
    <xf numFmtId="0" fontId="121" fillId="69" borderId="0" applyNumberFormat="0" applyBorder="0" applyAlignment="0" applyProtection="0"/>
    <xf numFmtId="0" fontId="123" fillId="73" borderId="0" applyNumberFormat="0" applyBorder="0" applyAlignment="0" applyProtection="0">
      <alignment vertical="center"/>
    </xf>
    <xf numFmtId="0" fontId="123" fillId="74" borderId="0" applyNumberFormat="0" applyBorder="0" applyAlignment="0" applyProtection="0">
      <alignment vertical="center"/>
    </xf>
    <xf numFmtId="0" fontId="121" fillId="75" borderId="0" applyNumberFormat="0" applyBorder="0" applyAlignment="0" applyProtection="0"/>
    <xf numFmtId="0" fontId="122" fillId="76" borderId="0" applyNumberFormat="0" applyBorder="0" applyAlignment="0" applyProtection="0"/>
    <xf numFmtId="0" fontId="123" fillId="77" borderId="0" applyNumberFormat="0" applyBorder="0" applyAlignment="0" applyProtection="0">
      <alignment vertical="center"/>
    </xf>
    <xf numFmtId="0" fontId="121" fillId="78" borderId="0" applyNumberFormat="0" applyBorder="0" applyAlignment="0" applyProtection="0"/>
    <xf numFmtId="0" fontId="122" fillId="57" borderId="0" applyNumberFormat="0" applyBorder="0" applyAlignment="0" applyProtection="0"/>
    <xf numFmtId="0" fontId="121" fillId="57" borderId="0" applyNumberFormat="0" applyBorder="0" applyAlignment="0" applyProtection="0"/>
    <xf numFmtId="0" fontId="123" fillId="79" borderId="0" applyNumberFormat="0" applyBorder="0" applyAlignment="0" applyProtection="0">
      <alignment vertical="center"/>
    </xf>
    <xf numFmtId="0" fontId="124" fillId="80" borderId="0" applyNumberFormat="0" applyBorder="0" applyProtection="0"/>
    <xf numFmtId="179" fontId="22" fillId="0" borderId="0" applyFill="0" applyBorder="0" applyAlignment="0"/>
    <xf numFmtId="0" fontId="125" fillId="0" borderId="0"/>
    <xf numFmtId="4" fontId="0" fillId="0" borderId="9">
      <alignment horizontal="right"/>
    </xf>
    <xf numFmtId="4" fontId="126" fillId="0" borderId="9">
      <alignment horizontal="right"/>
    </xf>
    <xf numFmtId="4" fontId="36" fillId="0" borderId="9">
      <alignment horizontal="right" vertical="center"/>
    </xf>
    <xf numFmtId="10" fontId="0" fillId="0" borderId="9" applyAlignment="0"/>
    <xf numFmtId="0" fontId="36" fillId="0" borderId="9">
      <alignment horizontal="right" vertical="center"/>
    </xf>
    <xf numFmtId="0" fontId="127" fillId="81" borderId="112" applyNumberFormat="0" applyAlignment="0" applyProtection="0"/>
    <xf numFmtId="0" fontId="128" fillId="82" borderId="109" applyNumberFormat="0" applyAlignment="0" applyProtection="0"/>
    <xf numFmtId="0" fontId="129" fillId="0" borderId="16" applyNumberFormat="0" applyFill="0" applyProtection="0">
      <alignment horizontal="center"/>
    </xf>
    <xf numFmtId="43" fontId="0" fillId="0" borderId="0" applyFont="0" applyFill="0" applyBorder="0" applyAlignment="0" applyProtection="0">
      <alignment vertical="center"/>
    </xf>
    <xf numFmtId="180" fontId="3" fillId="0" borderId="0"/>
    <xf numFmtId="181" fontId="0" fillId="0" borderId="0" applyFont="0" applyFill="0" applyBorder="0" applyAlignment="0" applyProtection="0"/>
    <xf numFmtId="41" fontId="126" fillId="0" borderId="0" applyFont="0" applyFill="0" applyBorder="0" applyAlignment="0" applyProtection="0"/>
    <xf numFmtId="41" fontId="0" fillId="0" borderId="0" applyFont="0" applyFill="0" applyBorder="0" applyAlignment="0" applyProtection="0"/>
    <xf numFmtId="41" fontId="130" fillId="0" borderId="0" applyFont="0" applyFill="0" applyBorder="0" applyAlignment="0" applyProtection="0"/>
    <xf numFmtId="181" fontId="130" fillId="0" borderId="0" applyFont="0" applyFill="0" applyBorder="0" applyAlignment="0" applyProtection="0"/>
    <xf numFmtId="181" fontId="119" fillId="0" borderId="0" applyFont="0" applyFill="0" applyBorder="0" applyAlignment="0" applyProtection="0"/>
    <xf numFmtId="41" fontId="119" fillId="0" borderId="0" applyFont="0" applyFill="0" applyBorder="0" applyAlignment="0" applyProtection="0"/>
    <xf numFmtId="43" fontId="126" fillId="0" borderId="0" applyFont="0" applyFill="0" applyBorder="0" applyProtection="0"/>
    <xf numFmtId="182" fontId="3" fillId="0" borderId="0" applyFont="0" applyFill="0" applyBorder="0" applyAlignment="0" applyProtection="0"/>
    <xf numFmtId="43" fontId="131" fillId="0" borderId="0" applyFont="0" applyFill="0" applyBorder="0" applyAlignment="0" applyProtection="0"/>
    <xf numFmtId="183" fontId="132" fillId="0" borderId="0" applyFont="0" applyFill="0" applyBorder="0" applyProtection="0"/>
    <xf numFmtId="43" fontId="132" fillId="0" borderId="0" applyFont="0" applyFill="0" applyBorder="0" applyProtection="0"/>
    <xf numFmtId="43" fontId="3" fillId="0" borderId="0" applyFont="0" applyFill="0" applyBorder="0" applyAlignment="0" applyProtection="0"/>
    <xf numFmtId="184" fontId="3" fillId="0" borderId="0" applyFont="0" applyFill="0" applyBorder="0" applyAlignment="0" applyProtection="0"/>
    <xf numFmtId="184" fontId="3" fillId="0" borderId="0" applyFont="0" applyFill="0" applyBorder="0" applyAlignment="0" applyProtection="0"/>
    <xf numFmtId="184" fontId="0" fillId="0" borderId="0" applyFont="0" applyAlignment="0" applyProtection="0"/>
    <xf numFmtId="43" fontId="0" fillId="0" borderId="0" applyFont="0" applyAlignment="0" applyProtection="0"/>
    <xf numFmtId="184" fontId="133" fillId="0" borderId="0" applyFont="0" applyAlignment="0" applyProtection="0"/>
    <xf numFmtId="184" fontId="0" fillId="0" borderId="0" applyAlignment="0"/>
    <xf numFmtId="43" fontId="0" fillId="0" borderId="0" applyAlignment="0"/>
    <xf numFmtId="184" fontId="133" fillId="0" borderId="0" applyAlignment="0"/>
    <xf numFmtId="43" fontId="134" fillId="0" borderId="0" applyFont="0" applyFill="0" applyBorder="0" applyAlignment="0" applyProtection="0"/>
    <xf numFmtId="184" fontId="0" fillId="0" borderId="0" applyFont="0" applyFill="0" applyBorder="0" applyProtection="0"/>
    <xf numFmtId="43" fontId="0" fillId="0" borderId="0" applyFont="0" applyFill="0" applyBorder="0" applyProtection="0"/>
    <xf numFmtId="183" fontId="119" fillId="0" borderId="0" applyFont="0" applyFill="0" applyBorder="0" applyAlignment="0" applyProtection="0"/>
    <xf numFmtId="43" fontId="119" fillId="0" borderId="0" applyFont="0" applyFill="0" applyBorder="0" applyAlignment="0" applyProtection="0"/>
    <xf numFmtId="181" fontId="3" fillId="0" borderId="0" applyFont="0" applyFill="0" applyBorder="0" applyAlignment="0" applyProtection="0"/>
    <xf numFmtId="41" fontId="3" fillId="0" borderId="0" applyFont="0" applyFill="0" applyBorder="0" applyAlignment="0" applyProtection="0"/>
    <xf numFmtId="184" fontId="119" fillId="0" borderId="0" applyFont="0" applyFill="0" applyBorder="0" applyAlignment="0" applyProtection="0"/>
    <xf numFmtId="184"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135" fillId="0" borderId="0" applyFont="0" applyFill="0" applyBorder="0" applyProtection="0"/>
    <xf numFmtId="43" fontId="2" fillId="0" borderId="0" applyFont="0" applyFill="0" applyBorder="0" applyAlignment="0" applyProtection="0"/>
    <xf numFmtId="43" fontId="135" fillId="0" borderId="0" applyFont="0" applyFill="0" applyBorder="0" applyAlignment="0" applyProtection="0"/>
    <xf numFmtId="184" fontId="0" fillId="0" borderId="0" applyFont="0" applyFill="0" applyBorder="0" applyAlignment="0" applyProtection="0"/>
    <xf numFmtId="43" fontId="136" fillId="0" borderId="0" applyFont="0" applyFill="0" applyBorder="0" applyAlignment="0" applyProtection="0"/>
    <xf numFmtId="185" fontId="137" fillId="0" borderId="0"/>
    <xf numFmtId="37" fontId="120" fillId="0" borderId="0" applyFont="0" applyFill="0" applyBorder="0" applyAlignment="0" applyProtection="0"/>
    <xf numFmtId="186" fontId="120" fillId="0" borderId="0" applyFont="0" applyFill="0" applyBorder="0" applyAlignment="0" applyProtection="0"/>
    <xf numFmtId="39" fontId="120" fillId="0" borderId="0" applyFont="0" applyFill="0" applyBorder="0" applyAlignment="0" applyProtection="0"/>
    <xf numFmtId="0" fontId="138" fillId="0" borderId="0" applyAlignment="0"/>
    <xf numFmtId="187" fontId="137" fillId="0" borderId="0" applyFont="0" applyFill="0" applyBorder="0" applyAlignment="0" applyProtection="0"/>
    <xf numFmtId="188" fontId="3" fillId="0" borderId="0" applyFont="0" applyFill="0" applyBorder="0" applyAlignment="0" applyProtection="0"/>
    <xf numFmtId="188" fontId="0" fillId="0" borderId="0" applyFont="0" applyFill="0" applyBorder="0" applyAlignment="0" applyProtection="0"/>
    <xf numFmtId="188" fontId="2" fillId="0" borderId="0" applyFont="0" applyFill="0" applyBorder="0" applyAlignment="0" applyProtection="0"/>
    <xf numFmtId="188" fontId="136" fillId="0" borderId="0" applyFont="0" applyFill="0" applyBorder="0" applyAlignment="0" applyProtection="0"/>
    <xf numFmtId="188" fontId="22" fillId="0" borderId="0" applyFont="0" applyFill="0" applyBorder="0" applyAlignment="0" applyProtection="0">
      <alignment vertical="top"/>
    </xf>
    <xf numFmtId="189" fontId="120" fillId="0" borderId="0" applyFont="0" applyFill="0" applyBorder="0" applyAlignment="0" applyProtection="0"/>
    <xf numFmtId="190" fontId="120" fillId="0" borderId="0" applyFont="0" applyFill="0" applyBorder="0" applyAlignment="0" applyProtection="0"/>
    <xf numFmtId="191" fontId="137" fillId="0" borderId="0"/>
    <xf numFmtId="0" fontId="0" fillId="0" borderId="9" applyAlignment="0"/>
    <xf numFmtId="0" fontId="126" fillId="0" borderId="9" applyAlignment="0"/>
    <xf numFmtId="192" fontId="137" fillId="0" borderId="0"/>
    <xf numFmtId="0" fontId="139" fillId="0" borderId="0">
      <alignment horizontal="left"/>
    </xf>
    <xf numFmtId="0" fontId="140" fillId="83" borderId="9"/>
    <xf numFmtId="193" fontId="132" fillId="0" borderId="0" applyFont="0" applyFill="0" applyBorder="0" applyAlignment="0" applyProtection="0"/>
    <xf numFmtId="0" fontId="36" fillId="0" borderId="9" applyAlignment="0"/>
    <xf numFmtId="0" fontId="141" fillId="84" borderId="0" applyNumberFormat="0" applyBorder="0" applyAlignment="0" applyProtection="0"/>
    <xf numFmtId="0" fontId="142" fillId="85" borderId="0" applyNumberFormat="0" applyBorder="0" applyAlignment="0" applyProtection="0"/>
    <xf numFmtId="0" fontId="142" fillId="85" borderId="0" applyNumberFormat="0" applyBorder="0" applyProtection="0"/>
    <xf numFmtId="0" fontId="140" fillId="69" borderId="0" applyNumberFormat="0" applyBorder="0" applyAlignment="0" applyProtection="0"/>
    <xf numFmtId="0" fontId="143" fillId="0" borderId="0">
      <alignment horizontal="left"/>
    </xf>
    <xf numFmtId="0" fontId="79" fillId="0" borderId="53" applyNumberFormat="0" applyProtection="0"/>
    <xf numFmtId="0" fontId="79" fillId="0" borderId="7">
      <alignment horizontal="left" vertical="center"/>
    </xf>
    <xf numFmtId="0" fontId="144" fillId="23" borderId="9">
      <alignment horizontal="center" vertical="center"/>
    </xf>
    <xf numFmtId="0" fontId="97" fillId="0" borderId="0" applyNumberFormat="0" applyFill="0" applyBorder="0" applyAlignment="0" applyProtection="0"/>
    <xf numFmtId="0" fontId="145" fillId="0" borderId="0" applyNumberFormat="0" applyFill="0" applyBorder="0" applyAlignment="0" applyProtection="0"/>
    <xf numFmtId="0" fontId="146" fillId="0" borderId="0" applyNumberFormat="0" applyFill="0" applyBorder="0" applyAlignment="0" applyProtection="0"/>
    <xf numFmtId="0" fontId="145" fillId="0" borderId="0" applyNumberFormat="0" applyFill="0" applyBorder="0" applyProtection="0"/>
    <xf numFmtId="0" fontId="147" fillId="0" borderId="0" applyNumberFormat="0" applyFill="0" applyBorder="0" applyAlignment="0" applyProtection="0">
      <alignment vertical="top"/>
      <protection locked="0"/>
    </xf>
    <xf numFmtId="0" fontId="148" fillId="0" borderId="0" applyNumberFormat="0" applyFill="0" applyBorder="0" applyAlignment="0" applyProtection="0"/>
    <xf numFmtId="0" fontId="147" fillId="0" borderId="0" applyNumberFormat="0" applyFill="0" applyBorder="0" applyAlignment="0" applyProtection="0"/>
    <xf numFmtId="0" fontId="149" fillId="0" borderId="0" applyNumberFormat="0" applyFill="0" applyBorder="0">
      <protection locked="0"/>
    </xf>
    <xf numFmtId="0" fontId="150" fillId="0" borderId="0" applyNumberFormat="0" applyFill="0" applyBorder="0" applyProtection="0"/>
    <xf numFmtId="0" fontId="140" fillId="68" borderId="9" applyNumberFormat="0" applyBorder="0" applyAlignment="0" applyProtection="0"/>
    <xf numFmtId="0" fontId="151" fillId="0" borderId="24"/>
    <xf numFmtId="0" fontId="152" fillId="86" borderId="0" applyNumberFormat="0" applyBorder="0" applyProtection="0"/>
    <xf numFmtId="177" fontId="119" fillId="0" borderId="0"/>
    <xf numFmtId="0" fontId="0" fillId="0" borderId="0" applyAlignment="0"/>
    <xf numFmtId="0" fontId="3" fillId="0" borderId="0"/>
    <xf numFmtId="0" fontId="3" fillId="0" borderId="0"/>
    <xf numFmtId="0" fontId="126" fillId="0" borderId="0" applyAlignment="0"/>
    <xf numFmtId="0" fontId="0" fillId="0" borderId="0"/>
    <xf numFmtId="0" fontId="0" fillId="0" borderId="0"/>
    <xf numFmtId="0" fontId="0" fillId="0" borderId="0"/>
    <xf numFmtId="0" fontId="0" fillId="0" borderId="0"/>
    <xf numFmtId="0" fontId="0" fillId="0" borderId="0"/>
    <xf numFmtId="0" fontId="0" fillId="0" borderId="0"/>
    <xf numFmtId="0" fontId="4" fillId="0" borderId="0"/>
    <xf numFmtId="0" fontId="31" fillId="0" borderId="0"/>
    <xf numFmtId="0" fontId="132" fillId="0" borderId="0"/>
    <xf numFmtId="0" fontId="153" fillId="0" borderId="0"/>
    <xf numFmtId="0" fontId="0" fillId="0" borderId="0"/>
    <xf numFmtId="0" fontId="154" fillId="0" borderId="0">
      <alignment vertical="center"/>
    </xf>
    <xf numFmtId="0" fontId="155" fillId="0" borderId="0"/>
    <xf numFmtId="0" fontId="3" fillId="0" borderId="0"/>
    <xf numFmtId="0" fontId="154" fillId="0" borderId="0">
      <alignment vertical="center"/>
    </xf>
    <xf numFmtId="0" fontId="156" fillId="0" borderId="0"/>
    <xf numFmtId="0" fontId="3" fillId="0" borderId="0"/>
    <xf numFmtId="0" fontId="157" fillId="0" borderId="0">
      <alignment vertical="center"/>
    </xf>
    <xf numFmtId="0" fontId="136" fillId="0" borderId="0"/>
    <xf numFmtId="0" fontId="133" fillId="0" borderId="0" applyAlignment="0"/>
    <xf numFmtId="0" fontId="158" fillId="0" borderId="0"/>
    <xf numFmtId="0" fontId="159" fillId="0" borderId="0"/>
    <xf numFmtId="0" fontId="0" fillId="0" borderId="0"/>
    <xf numFmtId="0" fontId="0" fillId="0" borderId="0"/>
    <xf numFmtId="0" fontId="135" fillId="0" borderId="0"/>
    <xf numFmtId="0" fontId="160" fillId="0" borderId="0"/>
    <xf numFmtId="0" fontId="0" fillId="0" borderId="0"/>
    <xf numFmtId="0" fontId="2" fillId="0" borderId="0"/>
    <xf numFmtId="194" fontId="161" fillId="0" borderId="0" applyAlignment="0">
      <protection locked="0"/>
    </xf>
    <xf numFmtId="0" fontId="162" fillId="0" borderId="0"/>
    <xf numFmtId="0" fontId="3" fillId="0" borderId="0">
      <alignment vertical="top"/>
    </xf>
    <xf numFmtId="0" fontId="2" fillId="0" borderId="0" applyAlignment="0"/>
    <xf numFmtId="0" fontId="163" fillId="0" borderId="0"/>
    <xf numFmtId="0" fontId="164" fillId="0" borderId="0"/>
    <xf numFmtId="0" fontId="2" fillId="0" borderId="0"/>
    <xf numFmtId="195" fontId="165" fillId="0" borderId="0">
      <protection locked="0"/>
    </xf>
    <xf numFmtId="0" fontId="166" fillId="0" borderId="0" applyAlignment="0"/>
    <xf numFmtId="0" fontId="133" fillId="0" borderId="0"/>
    <xf numFmtId="0" fontId="167" fillId="0" borderId="0"/>
    <xf numFmtId="194" fontId="0" fillId="0" borderId="0">
      <protection locked="0"/>
    </xf>
    <xf numFmtId="0" fontId="130" fillId="0" borderId="0" applyAlignment="0">
      <protection locked="0"/>
    </xf>
    <xf numFmtId="0" fontId="119" fillId="0" borderId="0"/>
    <xf numFmtId="0" fontId="131" fillId="0" borderId="0"/>
    <xf numFmtId="195" fontId="137" fillId="0" borderId="0">
      <protection locked="0"/>
    </xf>
    <xf numFmtId="9" fontId="0" fillId="0" borderId="0" applyAlignment="0"/>
    <xf numFmtId="9" fontId="133" fillId="0" borderId="0" applyAlignment="0"/>
    <xf numFmtId="184" fontId="162" fillId="0" borderId="0" applyAlignment="0"/>
    <xf numFmtId="43" fontId="162" fillId="0" borderId="0" applyAlignment="0"/>
    <xf numFmtId="0" fontId="168" fillId="0" borderId="0"/>
    <xf numFmtId="0" fontId="169" fillId="0" borderId="0"/>
    <xf numFmtId="10" fontId="3" fillId="0" borderId="0" applyFont="0" applyFill="0" applyBorder="0" applyAlignment="0" applyProtection="0"/>
    <xf numFmtId="177" fontId="0" fillId="0" borderId="0" applyFont="0" applyFill="0" applyBorder="0" applyAlignment="0" applyProtection="0"/>
    <xf numFmtId="177" fontId="126" fillId="0" borderId="0" applyFont="0" applyFill="0" applyBorder="0" applyAlignment="0" applyProtection="0"/>
    <xf numFmtId="9" fontId="3" fillId="0" borderId="0" applyFont="0" applyFill="0" applyBorder="0" applyAlignment="0" applyProtection="0"/>
    <xf numFmtId="9" fontId="119" fillId="0" borderId="0" applyFont="0" applyFill="0" applyBorder="0" applyAlignment="0" applyProtection="0"/>
    <xf numFmtId="9" fontId="126" fillId="0" borderId="0" applyFont="0" applyFill="0" applyBorder="0" applyAlignment="0" applyProtection="0"/>
    <xf numFmtId="9" fontId="0" fillId="0" borderId="0" applyFont="0" applyFill="0" applyBorder="0" applyProtection="0"/>
    <xf numFmtId="9" fontId="2" fillId="0" borderId="0" applyFont="0" applyFill="0" applyBorder="0" applyAlignment="0" applyProtection="0"/>
    <xf numFmtId="9" fontId="126" fillId="0" borderId="0" applyFont="0" applyFill="0" applyBorder="0" applyProtection="0"/>
    <xf numFmtId="40" fontId="170" fillId="0" borderId="9" applyFill="0" applyProtection="0">
      <alignment horizontal="right"/>
    </xf>
    <xf numFmtId="0" fontId="140" fillId="69" borderId="9"/>
    <xf numFmtId="4" fontId="139" fillId="0" borderId="0">
      <alignment horizontal="right"/>
    </xf>
    <xf numFmtId="4" fontId="171" fillId="0" borderId="0">
      <alignment horizontal="right"/>
    </xf>
    <xf numFmtId="181" fontId="137" fillId="0" borderId="0" applyFont="0" applyFill="0" applyBorder="0" applyAlignment="0" applyProtection="0"/>
    <xf numFmtId="0" fontId="23" fillId="39" borderId="113" applyNumberFormat="0" applyProtection="0">
      <alignment vertical="center"/>
    </xf>
    <xf numFmtId="0" fontId="172" fillId="39" borderId="113" applyNumberFormat="0" applyProtection="0">
      <alignment vertical="center"/>
    </xf>
    <xf numFmtId="0" fontId="23" fillId="39" borderId="113" applyNumberFormat="0" applyProtection="0">
      <alignment horizontal="left" vertical="center" indent="1"/>
    </xf>
    <xf numFmtId="0" fontId="23" fillId="39" borderId="113" applyNumberFormat="0" applyProtection="0">
      <alignment horizontal="left" vertical="top" indent="1"/>
    </xf>
    <xf numFmtId="0" fontId="23" fillId="87" borderId="0" applyNumberFormat="0" applyProtection="0">
      <alignment horizontal="left" vertical="center" indent="1"/>
    </xf>
    <xf numFmtId="0" fontId="22" fillId="88" borderId="113" applyNumberFormat="0" applyProtection="0">
      <alignment horizontal="right" vertical="center"/>
    </xf>
    <xf numFmtId="0" fontId="22" fillId="50" borderId="113" applyNumberFormat="0" applyProtection="0">
      <alignment horizontal="right" vertical="center"/>
    </xf>
    <xf numFmtId="0" fontId="22" fillId="89" borderId="113" applyNumberFormat="0" applyProtection="0">
      <alignment horizontal="right" vertical="center"/>
    </xf>
    <xf numFmtId="0" fontId="22" fillId="90" borderId="113" applyNumberFormat="0" applyProtection="0">
      <alignment horizontal="right" vertical="center"/>
    </xf>
    <xf numFmtId="0" fontId="22" fillId="78" borderId="113" applyNumberFormat="0" applyProtection="0">
      <alignment horizontal="right" vertical="center"/>
    </xf>
    <xf numFmtId="0" fontId="22" fillId="91" borderId="113" applyNumberFormat="0" applyProtection="0">
      <alignment horizontal="right" vertical="center"/>
    </xf>
    <xf numFmtId="0" fontId="22" fillId="92" borderId="113" applyNumberFormat="0" applyProtection="0">
      <alignment horizontal="right" vertical="center"/>
    </xf>
    <xf numFmtId="0" fontId="22" fillId="93" borderId="113" applyNumberFormat="0" applyProtection="0">
      <alignment horizontal="right" vertical="center"/>
    </xf>
    <xf numFmtId="0" fontId="22" fillId="94" borderId="113" applyNumberFormat="0" applyProtection="0">
      <alignment horizontal="right" vertical="center"/>
    </xf>
    <xf numFmtId="0" fontId="23" fillId="95" borderId="114" applyNumberFormat="0" applyProtection="0">
      <alignment horizontal="left" vertical="center" indent="1"/>
    </xf>
    <xf numFmtId="0" fontId="22" fillId="96" borderId="0" applyNumberFormat="0" applyProtection="0">
      <alignment horizontal="left" vertical="center" indent="1"/>
    </xf>
    <xf numFmtId="0" fontId="173" fillId="63" borderId="0" applyNumberFormat="0" applyProtection="0">
      <alignment horizontal="left" vertical="center" indent="1"/>
    </xf>
    <xf numFmtId="0" fontId="22" fillId="87" borderId="113" applyNumberFormat="0" applyProtection="0">
      <alignment horizontal="right" vertical="center"/>
    </xf>
    <xf numFmtId="0" fontId="22" fillId="87" borderId="0" applyNumberFormat="0" applyProtection="0">
      <alignment horizontal="left" vertical="center" indent="1"/>
    </xf>
    <xf numFmtId="0" fontId="3" fillId="63" borderId="113" applyNumberFormat="0" applyProtection="0">
      <alignment horizontal="left" vertical="center" indent="1"/>
    </xf>
    <xf numFmtId="0" fontId="3" fillId="63" borderId="113" applyNumberFormat="0" applyProtection="0">
      <alignment horizontal="left" vertical="top" indent="1"/>
    </xf>
    <xf numFmtId="0" fontId="3" fillId="87" borderId="113" applyNumberFormat="0" applyProtection="0">
      <alignment horizontal="left" vertical="center" indent="1"/>
    </xf>
    <xf numFmtId="0" fontId="3" fillId="87" borderId="113" applyNumberFormat="0" applyProtection="0">
      <alignment horizontal="left" vertical="top" indent="1"/>
    </xf>
    <xf numFmtId="0" fontId="3" fillId="65" borderId="113" applyNumberFormat="0" applyProtection="0">
      <alignment horizontal="left" vertical="center" indent="1"/>
    </xf>
    <xf numFmtId="0" fontId="3" fillId="65" borderId="113" applyNumberFormat="0" applyProtection="0">
      <alignment horizontal="left" vertical="top" indent="1"/>
    </xf>
    <xf numFmtId="0" fontId="3" fillId="96" borderId="113" applyNumberFormat="0" applyProtection="0">
      <alignment horizontal="left" vertical="center" indent="1"/>
    </xf>
    <xf numFmtId="0" fontId="3" fillId="96" borderId="113" applyNumberFormat="0" applyProtection="0">
      <alignment horizontal="left" vertical="top" indent="1"/>
    </xf>
    <xf numFmtId="0" fontId="22" fillId="68" borderId="113" applyNumberFormat="0" applyProtection="0">
      <alignment vertical="center"/>
    </xf>
    <xf numFmtId="0" fontId="174" fillId="68" borderId="113" applyNumberFormat="0" applyProtection="0">
      <alignment vertical="center"/>
    </xf>
    <xf numFmtId="0" fontId="22" fillId="68" borderId="113" applyNumberFormat="0" applyProtection="0">
      <alignment horizontal="left" vertical="center" indent="1"/>
    </xf>
    <xf numFmtId="0" fontId="22" fillId="68" borderId="113" applyNumberFormat="0" applyProtection="0">
      <alignment horizontal="left" vertical="top" indent="1"/>
    </xf>
    <xf numFmtId="0" fontId="22" fillId="96" borderId="113" applyNumberFormat="0" applyProtection="0">
      <alignment horizontal="right" vertical="center"/>
    </xf>
    <xf numFmtId="0" fontId="174" fillId="96" borderId="113" applyNumberFormat="0" applyProtection="0">
      <alignment horizontal="right" vertical="center"/>
    </xf>
    <xf numFmtId="0" fontId="22" fillId="87" borderId="113" applyNumberFormat="0" applyProtection="0">
      <alignment horizontal="left" vertical="center" indent="1"/>
    </xf>
    <xf numFmtId="0" fontId="22" fillId="87" borderId="113" applyNumberFormat="0" applyProtection="0">
      <alignment horizontal="left" vertical="top" indent="1"/>
    </xf>
    <xf numFmtId="0" fontId="175" fillId="97" borderId="0" applyNumberFormat="0" applyProtection="0">
      <alignment horizontal="left" vertical="center" indent="1"/>
    </xf>
    <xf numFmtId="0" fontId="33" fillId="96" borderId="113" applyNumberFormat="0" applyProtection="0">
      <alignment horizontal="right" vertical="center"/>
    </xf>
    <xf numFmtId="0" fontId="176" fillId="0" borderId="0">
      <alignment horizontal="left"/>
    </xf>
    <xf numFmtId="184" fontId="140" fillId="0" borderId="71"/>
    <xf numFmtId="43" fontId="140" fillId="0" borderId="71"/>
    <xf numFmtId="0" fontId="22" fillId="0" borderId="0">
      <alignment vertical="top"/>
    </xf>
    <xf numFmtId="0" fontId="151" fillId="0" borderId="0"/>
    <xf numFmtId="0" fontId="177" fillId="0" borderId="0">
      <alignment horizontal="center"/>
    </xf>
    <xf numFmtId="196" fontId="3" fillId="0" borderId="0" applyFont="0" applyFill="0" applyBorder="0" applyAlignment="0" applyProtection="0"/>
    <xf numFmtId="197" fontId="3" fillId="0" borderId="0" applyFont="0" applyFill="0" applyBorder="0" applyAlignment="0" applyProtection="0"/>
    <xf numFmtId="198" fontId="119" fillId="0" borderId="0" applyFont="0" applyFill="0" applyBorder="0" applyAlignment="0" applyProtection="0"/>
    <xf numFmtId="199" fontId="119" fillId="0" borderId="0" applyFont="0" applyFill="0" applyBorder="0" applyAlignment="0" applyProtection="0"/>
    <xf numFmtId="9" fontId="178" fillId="0" borderId="0" applyFont="0" applyFill="0" applyBorder="0" applyAlignment="0" applyProtection="0"/>
    <xf numFmtId="0" fontId="179" fillId="0" borderId="0"/>
    <xf numFmtId="200" fontId="135" fillId="0" borderId="0" applyFont="0" applyFill="0" applyBorder="0" applyAlignment="0" applyProtection="0"/>
    <xf numFmtId="182" fontId="135" fillId="0" borderId="0" applyFont="0" applyFill="0" applyBorder="0" applyAlignment="0" applyProtection="0"/>
    <xf numFmtId="9" fontId="135" fillId="0" borderId="0" applyFont="0" applyFill="0" applyBorder="0" applyAlignment="0" applyProtection="0"/>
    <xf numFmtId="9" fontId="162" fillId="0" borderId="0" applyAlignment="0"/>
    <xf numFmtId="9" fontId="132" fillId="0" borderId="0" applyFont="0" applyFill="0" applyBorder="0" applyProtection="0"/>
    <xf numFmtId="0" fontId="180" fillId="0" borderId="0" applyFont="0" applyFill="0" applyBorder="0" applyAlignment="0" applyProtection="0"/>
    <xf numFmtId="0" fontId="181" fillId="0" borderId="0" applyNumberFormat="0" applyFill="0" applyBorder="0" applyProtection="0"/>
    <xf numFmtId="4" fontId="182" fillId="0" borderId="0">
      <alignment horizontal="right"/>
    </xf>
    <xf numFmtId="0" fontId="183" fillId="0" borderId="0" applyNumberFormat="0" applyFill="0" applyBorder="0" applyAlignment="0" applyProtection="0"/>
    <xf numFmtId="0" fontId="184" fillId="90" borderId="0" applyNumberFormat="0" applyBorder="0" applyProtection="0"/>
    <xf numFmtId="0" fontId="185" fillId="88" borderId="0" applyNumberFormat="0" applyBorder="0" applyProtection="0"/>
    <xf numFmtId="0" fontId="186" fillId="88" borderId="0" applyNumberFormat="0" applyBorder="0" applyAlignment="0" applyProtection="0"/>
    <xf numFmtId="0" fontId="116" fillId="83" borderId="0" applyNumberFormat="0" applyBorder="0" applyProtection="0"/>
    <xf numFmtId="0" fontId="126" fillId="0" borderId="0">
      <alignment vertical="center"/>
    </xf>
    <xf numFmtId="0" fontId="0" fillId="0" borderId="0"/>
    <xf numFmtId="0" fontId="126" fillId="0" borderId="0"/>
    <xf numFmtId="0" fontId="0" fillId="0" borderId="0"/>
    <xf numFmtId="201" fontId="187" fillId="0" borderId="0"/>
    <xf numFmtId="0" fontId="162" fillId="0" borderId="0">
      <protection locked="0"/>
    </xf>
    <xf numFmtId="0" fontId="3" fillId="0" borderId="0">
      <protection locked="0"/>
    </xf>
    <xf numFmtId="0" fontId="0" fillId="0" borderId="0">
      <alignment vertical="center"/>
    </xf>
    <xf numFmtId="0" fontId="119" fillId="0" borderId="0">
      <alignment vertical="top"/>
    </xf>
    <xf numFmtId="195" fontId="3" fillId="0" borderId="0"/>
    <xf numFmtId="0" fontId="188" fillId="0" borderId="0">
      <alignment vertical="center"/>
    </xf>
    <xf numFmtId="201" fontId="132" fillId="0" borderId="0"/>
    <xf numFmtId="0" fontId="166" fillId="0" borderId="0"/>
    <xf numFmtId="0" fontId="134" fillId="0" borderId="0"/>
    <xf numFmtId="0" fontId="0" fillId="0" borderId="0">
      <alignment vertical="center"/>
      <protection locked="0"/>
    </xf>
    <xf numFmtId="0" fontId="126" fillId="0" borderId="0">
      <alignment vertical="center"/>
      <protection locked="0"/>
    </xf>
    <xf numFmtId="0" fontId="189" fillId="0" borderId="0"/>
    <xf numFmtId="0" fontId="119" fillId="0" borderId="0">
      <alignment vertical="center"/>
    </xf>
    <xf numFmtId="0" fontId="190" fillId="0" borderId="0" applyNumberFormat="0" applyFill="0" applyBorder="0">
      <protection locked="0"/>
    </xf>
    <xf numFmtId="0" fontId="147" fillId="0" borderId="0" applyNumberFormat="0" applyFill="0" applyBorder="0" applyAlignment="0" applyProtection="0"/>
    <xf numFmtId="0" fontId="191" fillId="0" borderId="0" applyNumberFormat="0" applyFill="0" applyBorder="0" applyAlignment="0" applyProtection="0"/>
    <xf numFmtId="0" fontId="97" fillId="0" borderId="0" applyNumberFormat="0" applyFill="0" applyBorder="0" applyAlignment="0" applyProtection="0">
      <alignment vertical="center"/>
    </xf>
    <xf numFmtId="0" fontId="97" fillId="0" borderId="0" applyNumberFormat="0" applyFill="0" applyBorder="0" applyAlignment="0" applyProtection="0"/>
    <xf numFmtId="0" fontId="192" fillId="84" borderId="0" applyNumberFormat="0" applyBorder="0" applyProtection="0"/>
    <xf numFmtId="0" fontId="193" fillId="72" borderId="0" applyNumberFormat="0" applyBorder="0" applyProtection="0"/>
    <xf numFmtId="0" fontId="193" fillId="84" borderId="0" applyNumberFormat="0" applyBorder="0" applyProtection="0"/>
    <xf numFmtId="0" fontId="194" fillId="72" borderId="0" applyNumberFormat="0" applyBorder="0" applyAlignment="0" applyProtection="0"/>
    <xf numFmtId="0" fontId="195" fillId="98" borderId="0" applyNumberFormat="0" applyBorder="0" applyProtection="0"/>
    <xf numFmtId="4" fontId="196" fillId="0" borderId="0" applyFont="0" applyFill="0" applyBorder="0" applyAlignment="0" applyProtection="0"/>
    <xf numFmtId="202" fontId="126" fillId="0" borderId="0" applyFont="0" applyFill="0" applyBorder="0" applyProtection="0"/>
    <xf numFmtId="203" fontId="197" fillId="0" borderId="0" applyFont="0" applyFill="0" applyBorder="0" applyAlignment="0" applyProtection="0"/>
    <xf numFmtId="187" fontId="197" fillId="0" borderId="0" applyFont="0" applyFill="0" applyBorder="0" applyAlignment="0" applyProtection="0"/>
    <xf numFmtId="204" fontId="3" fillId="0" borderId="0" applyFont="0" applyFill="0" applyBorder="0" applyAlignment="0" applyProtection="0"/>
    <xf numFmtId="205" fontId="3" fillId="0" borderId="0" applyFont="0" applyFill="0" applyBorder="0" applyAlignment="0" applyProtection="0"/>
    <xf numFmtId="206" fontId="198" fillId="0" borderId="0" applyFont="0" applyFill="0" applyBorder="0" applyAlignment="0" applyProtection="0"/>
    <xf numFmtId="207" fontId="198" fillId="0" borderId="0" applyFont="0" applyFill="0" applyBorder="0" applyAlignment="0" applyProtection="0"/>
    <xf numFmtId="203" fontId="135" fillId="0" borderId="0" applyFont="0" applyFill="0" applyBorder="0" applyAlignment="0" applyProtection="0"/>
    <xf numFmtId="187" fontId="135" fillId="0" borderId="0" applyFont="0" applyFill="0" applyBorder="0" applyAlignment="0" applyProtection="0"/>
    <xf numFmtId="0" fontId="137" fillId="0" borderId="0"/>
    <xf numFmtId="184" fontId="137"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126" fillId="0" borderId="0" applyFont="0" applyFill="0" applyBorder="0" applyAlignment="0" applyProtection="0"/>
    <xf numFmtId="184" fontId="134" fillId="0" borderId="0" applyFont="0" applyFill="0" applyBorder="0" applyAlignment="0" applyProtection="0"/>
    <xf numFmtId="0" fontId="0" fillId="0" borderId="0" applyFont="0" applyFill="0" applyBorder="0" applyProtection="0"/>
    <xf numFmtId="184" fontId="162" fillId="0" borderId="0" applyFont="0" applyAlignment="0" applyProtection="0"/>
    <xf numFmtId="184" fontId="0" fillId="0" borderId="0" applyFont="0" applyProtection="0"/>
    <xf numFmtId="43" fontId="0" fillId="0" borderId="0" applyFont="0" applyProtection="0"/>
    <xf numFmtId="43" fontId="162" fillId="0" borderId="0" applyFont="0" applyAlignment="0" applyProtection="0"/>
    <xf numFmtId="0" fontId="126" fillId="0" borderId="0" applyFont="0" applyFill="0" applyBorder="0" applyProtection="0"/>
    <xf numFmtId="184" fontId="133" fillId="0" borderId="0" applyFont="0" applyProtection="0"/>
    <xf numFmtId="184" fontId="132" fillId="0" borderId="0" applyFont="0" applyFill="0" applyBorder="0" applyAlignment="0" applyProtection="0"/>
    <xf numFmtId="43" fontId="132" fillId="0" borderId="0" applyFont="0" applyFill="0" applyBorder="0" applyAlignment="0" applyProtection="0"/>
    <xf numFmtId="184" fontId="0" fillId="0" borderId="0" applyFont="0" applyFill="0" applyBorder="0" applyAlignment="0" applyProtection="0"/>
    <xf numFmtId="0" fontId="199" fillId="0" borderId="0"/>
    <xf numFmtId="0" fontId="200" fillId="99" borderId="0" applyNumberFormat="0" applyBorder="0" applyAlignment="0" applyProtection="0"/>
    <xf numFmtId="0" fontId="200" fillId="100" borderId="0" applyNumberFormat="0" applyBorder="0" applyAlignment="0" applyProtection="0"/>
    <xf numFmtId="0" fontId="200" fillId="101" borderId="0" applyNumberFormat="0" applyBorder="0" applyAlignment="0" applyProtection="0"/>
    <xf numFmtId="208" fontId="196" fillId="0" borderId="0" applyFont="0" applyFill="0" applyBorder="0" applyAlignment="0" applyProtection="0"/>
    <xf numFmtId="0" fontId="201" fillId="0" borderId="0"/>
    <xf numFmtId="40" fontId="180" fillId="0" borderId="0" applyFont="0" applyFill="0" applyBorder="0" applyAlignment="0" applyProtection="0"/>
    <xf numFmtId="38" fontId="180" fillId="0" borderId="0" applyFont="0" applyFill="0" applyBorder="0" applyAlignment="0" applyProtection="0"/>
    <xf numFmtId="0" fontId="3" fillId="0" borderId="9" applyNumberFormat="0"/>
    <xf numFmtId="38" fontId="202" fillId="0" borderId="0" applyFont="0" applyFill="0" applyBorder="0" applyAlignment="0" applyProtection="0"/>
    <xf numFmtId="40" fontId="202" fillId="0" borderId="0" applyFont="0" applyFill="0" applyBorder="0" applyAlignment="0" applyProtection="0"/>
    <xf numFmtId="0" fontId="202" fillId="0" borderId="0" applyFont="0" applyFill="0" applyBorder="0" applyAlignment="0" applyProtection="0"/>
    <xf numFmtId="0" fontId="203" fillId="0" borderId="0"/>
  </cellStyleXfs>
  <cellXfs count="1258">
    <xf numFmtId="0" fontId="0" fillId="0" borderId="0" xfId="0"/>
    <xf numFmtId="0" fontId="1" fillId="0" borderId="0" xfId="0" applyFont="1"/>
    <xf numFmtId="0" fontId="2" fillId="0" borderId="0" xfId="312" applyFont="1" applyProtection="1">
      <protection locked="0"/>
    </xf>
    <xf numFmtId="0" fontId="3" fillId="0" borderId="0" xfId="0" applyFont="1" applyAlignment="1" applyProtection="1">
      <alignment vertical="center"/>
      <protection locked="0"/>
    </xf>
    <xf numFmtId="0" fontId="4" fillId="0" borderId="0" xfId="0" applyFont="1"/>
    <xf numFmtId="0" fontId="5" fillId="0" borderId="0" xfId="300" applyFont="1"/>
    <xf numFmtId="0" fontId="6" fillId="2" borderId="1" xfId="300" applyFont="1" applyFill="1" applyBorder="1" applyAlignment="1" applyProtection="1">
      <alignment horizontal="centerContinuous" vertical="center"/>
      <protection locked="0"/>
    </xf>
    <xf numFmtId="0" fontId="7" fillId="3" borderId="2" xfId="300" applyFont="1" applyFill="1" applyBorder="1" applyAlignment="1">
      <alignment horizontal="centerContinuous" vertical="center"/>
    </xf>
    <xf numFmtId="0" fontId="7" fillId="3" borderId="3" xfId="300" applyFont="1" applyFill="1" applyBorder="1" applyAlignment="1">
      <alignment horizontal="centerContinuous" vertical="center"/>
    </xf>
    <xf numFmtId="0" fontId="4" fillId="4" borderId="0" xfId="300" applyFont="1" applyFill="1"/>
    <xf numFmtId="0" fontId="8" fillId="0" borderId="0" xfId="300" applyFont="1" applyAlignment="1">
      <alignment vertical="center"/>
    </xf>
    <xf numFmtId="0" fontId="9" fillId="5" borderId="4" xfId="300" applyFont="1" applyFill="1" applyBorder="1" applyAlignment="1">
      <alignment vertical="center"/>
    </xf>
    <xf numFmtId="0" fontId="9" fillId="5" borderId="5" xfId="300" applyFont="1" applyFill="1" applyBorder="1" applyAlignment="1">
      <alignment vertical="center"/>
    </xf>
    <xf numFmtId="0" fontId="9" fillId="5" borderId="6" xfId="300" applyFont="1" applyFill="1" applyBorder="1" applyAlignment="1">
      <alignment vertical="center"/>
    </xf>
    <xf numFmtId="0" fontId="1" fillId="4" borderId="0" xfId="300" applyFont="1" applyFill="1" applyAlignment="1">
      <alignment vertical="center"/>
    </xf>
    <xf numFmtId="0" fontId="10" fillId="0" borderId="0" xfId="300" applyFont="1"/>
    <xf numFmtId="0" fontId="3" fillId="0" borderId="0" xfId="300" applyFont="1"/>
    <xf numFmtId="0" fontId="4" fillId="0" borderId="0" xfId="300" applyFont="1"/>
    <xf numFmtId="0" fontId="11" fillId="6" borderId="0" xfId="156" applyFont="1" applyFill="1" applyAlignment="1">
      <alignment vertical="center"/>
    </xf>
    <xf numFmtId="0" fontId="12" fillId="0" borderId="0" xfId="300" applyFont="1" applyAlignment="1" applyProtection="1">
      <alignment vertical="center" wrapText="1"/>
      <protection locked="0"/>
    </xf>
    <xf numFmtId="0" fontId="13" fillId="0" borderId="0" xfId="300" applyFont="1" applyAlignment="1">
      <alignment vertical="center"/>
    </xf>
    <xf numFmtId="0" fontId="14" fillId="0" borderId="0" xfId="312" applyFont="1" applyAlignment="1" applyProtection="1">
      <alignment vertical="top"/>
      <protection locked="0"/>
    </xf>
    <xf numFmtId="0" fontId="12" fillId="0" borderId="0" xfId="171" applyFont="1" applyAlignment="1" applyProtection="1">
      <alignment horizontal="center" vertical="center"/>
      <protection locked="0"/>
    </xf>
    <xf numFmtId="0" fontId="15" fillId="0" borderId="0" xfId="312" applyFont="1" applyAlignment="1" applyProtection="1">
      <alignment vertical="top"/>
      <protection locked="0"/>
    </xf>
    <xf numFmtId="10" fontId="3" fillId="0" borderId="0" xfId="0" applyNumberFormat="1" applyFont="1" applyAlignment="1" applyProtection="1">
      <alignment vertical="center"/>
      <protection locked="0"/>
    </xf>
    <xf numFmtId="184" fontId="3" fillId="0" borderId="0" xfId="342" applyFont="1" applyFill="1" applyAlignment="1" applyProtection="1">
      <alignment vertical="center"/>
      <protection locked="0"/>
    </xf>
    <xf numFmtId="184" fontId="12" fillId="0" borderId="0" xfId="342" applyFont="1" applyFill="1" applyAlignment="1" applyProtection="1">
      <alignment vertical="center"/>
      <protection locked="0"/>
    </xf>
    <xf numFmtId="184" fontId="16" fillId="0" borderId="0" xfId="342" applyFont="1" applyFill="1" applyAlignment="1" applyProtection="1">
      <alignment horizontal="center" vertical="center"/>
      <protection locked="0"/>
    </xf>
    <xf numFmtId="0" fontId="16" fillId="0" borderId="0" xfId="0" applyFont="1" applyAlignment="1" applyProtection="1">
      <alignment vertical="center"/>
      <protection locked="0"/>
    </xf>
    <xf numFmtId="0" fontId="3" fillId="0" borderId="1"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12" fillId="0" borderId="9" xfId="0" applyFont="1" applyBorder="1" applyAlignment="1" applyProtection="1">
      <alignment vertical="center"/>
      <protection locked="0"/>
    </xf>
    <xf numFmtId="14" fontId="3" fillId="0" borderId="9" xfId="0" applyNumberFormat="1"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3" fillId="6" borderId="9" xfId="0" applyFont="1" applyFill="1" applyBorder="1" applyAlignment="1" applyProtection="1">
      <alignment horizontal="center" vertical="center"/>
      <protection locked="0"/>
    </xf>
    <xf numFmtId="0" fontId="3" fillId="0" borderId="9" xfId="194" applyFont="1" applyBorder="1" applyAlignment="1" applyProtection="1">
      <alignment horizontal="center" vertical="center"/>
      <protection locked="0"/>
    </xf>
    <xf numFmtId="0" fontId="3" fillId="0" borderId="9" xfId="0" applyFont="1" applyBorder="1" applyAlignment="1" applyProtection="1">
      <alignment horizontal="left" vertical="center"/>
      <protection locked="0"/>
    </xf>
    <xf numFmtId="10" fontId="3" fillId="0" borderId="9" xfId="0" applyNumberFormat="1" applyFont="1" applyBorder="1" applyAlignment="1" applyProtection="1">
      <alignment horizontal="right" vertical="center" shrinkToFit="1"/>
      <protection locked="0"/>
    </xf>
    <xf numFmtId="9" fontId="3" fillId="0" borderId="9" xfId="3" applyFont="1" applyBorder="1" applyAlignment="1" applyProtection="1">
      <alignment horizontal="center" vertical="center"/>
      <protection locked="0"/>
    </xf>
    <xf numFmtId="184" fontId="17" fillId="0" borderId="9" xfId="194" applyNumberFormat="1" applyFont="1" applyBorder="1" applyAlignment="1" applyProtection="1">
      <alignment vertical="center"/>
      <protection locked="0"/>
    </xf>
    <xf numFmtId="0" fontId="17" fillId="7" borderId="9" xfId="194" applyFont="1" applyFill="1" applyBorder="1" applyAlignment="1" applyProtection="1">
      <alignment horizontal="center" vertical="center"/>
      <protection locked="0"/>
    </xf>
    <xf numFmtId="10" fontId="3" fillId="0" borderId="9" xfId="0" applyNumberFormat="1" applyFont="1" applyBorder="1" applyAlignment="1" applyProtection="1">
      <alignment horizontal="center" vertical="center"/>
      <protection locked="0"/>
    </xf>
    <xf numFmtId="0" fontId="15" fillId="0" borderId="0" xfId="193" applyFont="1" applyAlignment="1" applyProtection="1">
      <alignment vertical="center"/>
      <protection locked="0"/>
    </xf>
    <xf numFmtId="0" fontId="16" fillId="0" borderId="0" xfId="0" applyFont="1" applyProtection="1">
      <protection locked="0"/>
    </xf>
    <xf numFmtId="0" fontId="18" fillId="0" borderId="0" xfId="312" applyFont="1" applyAlignment="1" applyProtection="1">
      <alignment vertical="top"/>
      <protection locked="0"/>
    </xf>
    <xf numFmtId="0" fontId="19" fillId="0" borderId="1" xfId="312" applyFont="1" applyBorder="1" applyAlignment="1" applyProtection="1">
      <alignment horizontal="left" vertical="center" wrapText="1"/>
      <protection locked="0"/>
    </xf>
    <xf numFmtId="0" fontId="19" fillId="0" borderId="7" xfId="312" applyFont="1" applyBorder="1" applyAlignment="1" applyProtection="1">
      <alignment horizontal="left" vertical="center" wrapText="1"/>
      <protection locked="0"/>
    </xf>
    <xf numFmtId="0" fontId="19" fillId="0" borderId="8" xfId="312" applyFont="1" applyBorder="1" applyAlignment="1" applyProtection="1">
      <alignment horizontal="left" vertical="center" wrapText="1"/>
      <protection locked="0"/>
    </xf>
    <xf numFmtId="0" fontId="20" fillId="0" borderId="0" xfId="193" applyFont="1" applyAlignment="1" applyProtection="1">
      <alignment vertical="center"/>
      <protection locked="0"/>
    </xf>
    <xf numFmtId="0" fontId="14" fillId="0" borderId="0" xfId="171" applyFont="1" applyAlignment="1" applyProtection="1">
      <alignment horizontal="center" vertical="center"/>
      <protection locked="0"/>
    </xf>
    <xf numFmtId="0" fontId="21" fillId="0" borderId="0" xfId="0" applyFont="1"/>
    <xf numFmtId="0" fontId="22" fillId="0" borderId="0" xfId="202" applyFont="1" applyAlignment="1">
      <alignment vertical="center"/>
    </xf>
    <xf numFmtId="0" fontId="2" fillId="0" borderId="0" xfId="0" applyFont="1"/>
    <xf numFmtId="0" fontId="22" fillId="0" borderId="0" xfId="202" applyFont="1" applyAlignment="1">
      <alignment vertical="center" wrapText="1"/>
    </xf>
    <xf numFmtId="0" fontId="23" fillId="0" borderId="0" xfId="202" applyFont="1" applyAlignment="1">
      <alignment vertical="center"/>
    </xf>
    <xf numFmtId="0" fontId="16" fillId="0" borderId="0" xfId="0" applyFont="1" applyAlignment="1">
      <alignment vertical="center"/>
    </xf>
    <xf numFmtId="0" fontId="3" fillId="0" borderId="0" xfId="0" applyFont="1" applyAlignment="1">
      <alignment vertical="center"/>
    </xf>
    <xf numFmtId="14" fontId="3" fillId="0" borderId="0" xfId="0" applyNumberFormat="1" applyFont="1" applyAlignment="1">
      <alignment vertical="center"/>
    </xf>
    <xf numFmtId="10" fontId="3" fillId="0" borderId="0" xfId="0" applyNumberFormat="1" applyFont="1" applyAlignment="1">
      <alignment vertical="center"/>
    </xf>
    <xf numFmtId="0" fontId="24" fillId="3" borderId="2" xfId="300" applyFont="1" applyFill="1" applyBorder="1" applyAlignment="1">
      <alignment horizontal="centerContinuous" vertical="center"/>
    </xf>
    <xf numFmtId="0" fontId="4" fillId="8" borderId="0" xfId="300" applyFont="1" applyFill="1" applyAlignment="1" applyProtection="1">
      <alignment vertical="center"/>
      <protection locked="0"/>
    </xf>
    <xf numFmtId="0" fontId="5" fillId="0" borderId="0" xfId="300" applyFont="1" applyAlignment="1">
      <alignment vertical="center"/>
    </xf>
    <xf numFmtId="0" fontId="13" fillId="5" borderId="5" xfId="300" applyFont="1" applyFill="1" applyBorder="1" applyAlignment="1">
      <alignment vertical="center"/>
    </xf>
    <xf numFmtId="0" fontId="5" fillId="0" borderId="0" xfId="0" applyFont="1" applyAlignment="1">
      <alignment vertical="center"/>
    </xf>
    <xf numFmtId="0" fontId="12" fillId="0" borderId="0" xfId="0" applyFont="1" applyAlignment="1">
      <alignment horizontal="left" vertical="center" wrapText="1"/>
    </xf>
    <xf numFmtId="0" fontId="2" fillId="8" borderId="0" xfId="300" applyFont="1" applyFill="1" applyAlignment="1" applyProtection="1">
      <alignment vertical="center"/>
      <protection locked="0"/>
    </xf>
    <xf numFmtId="0" fontId="12" fillId="7" borderId="0" xfId="0" applyFont="1" applyFill="1" applyAlignment="1">
      <alignment vertical="center" wrapText="1"/>
    </xf>
    <xf numFmtId="0" fontId="16" fillId="0" borderId="0" xfId="202" applyFont="1" applyAlignment="1">
      <alignment vertical="center"/>
    </xf>
    <xf numFmtId="0" fontId="25" fillId="0" borderId="10" xfId="221" applyFont="1" applyBorder="1" applyAlignment="1" applyProtection="1">
      <alignment horizontal="left" vertical="center" wrapText="1"/>
      <protection locked="0"/>
    </xf>
    <xf numFmtId="0" fontId="25" fillId="0" borderId="11" xfId="221" applyFont="1" applyBorder="1" applyAlignment="1" applyProtection="1">
      <alignment horizontal="left" vertical="center" wrapText="1"/>
      <protection locked="0"/>
    </xf>
    <xf numFmtId="0" fontId="25" fillId="0" borderId="12" xfId="221" applyFont="1" applyBorder="1" applyAlignment="1" applyProtection="1">
      <alignment horizontal="left" vertical="center" wrapText="1"/>
      <protection locked="0"/>
    </xf>
    <xf numFmtId="0" fontId="22" fillId="0" borderId="0" xfId="202" applyFont="1" applyAlignment="1">
      <alignment horizontal="center" vertical="center"/>
    </xf>
    <xf numFmtId="0" fontId="25" fillId="0" borderId="13" xfId="221" applyFont="1" applyBorder="1" applyAlignment="1" applyProtection="1">
      <alignment horizontal="left" vertical="center" wrapText="1"/>
      <protection locked="0"/>
    </xf>
    <xf numFmtId="0" fontId="25" fillId="0" borderId="0" xfId="221" applyFont="1" applyAlignment="1" applyProtection="1">
      <alignment horizontal="left" vertical="center" wrapText="1"/>
      <protection locked="0"/>
    </xf>
    <xf numFmtId="0" fontId="25" fillId="0" borderId="14" xfId="221" applyFont="1" applyBorder="1" applyAlignment="1" applyProtection="1">
      <alignment horizontal="left" vertical="center" wrapText="1"/>
      <protection locked="0"/>
    </xf>
    <xf numFmtId="0" fontId="25" fillId="0" borderId="15" xfId="221" applyFont="1" applyBorder="1" applyAlignment="1" applyProtection="1">
      <alignment horizontal="left" vertical="center" wrapText="1"/>
      <protection locked="0"/>
    </xf>
    <xf numFmtId="0" fontId="25" fillId="0" borderId="16" xfId="221" applyFont="1" applyBorder="1" applyAlignment="1" applyProtection="1">
      <alignment horizontal="left" vertical="center" wrapText="1"/>
      <protection locked="0"/>
    </xf>
    <xf numFmtId="0" fontId="25" fillId="0" borderId="17" xfId="221" applyFont="1" applyBorder="1" applyAlignment="1" applyProtection="1">
      <alignment horizontal="left" vertical="center" wrapText="1"/>
      <protection locked="0"/>
    </xf>
    <xf numFmtId="209" fontId="22" fillId="0" borderId="0" xfId="202" applyNumberFormat="1" applyFont="1" applyAlignment="1">
      <alignment vertical="center"/>
    </xf>
    <xf numFmtId="0" fontId="3" fillId="0" borderId="0" xfId="321" applyFont="1" applyFill="1" applyBorder="1" applyAlignment="1" applyProtection="1">
      <alignment horizontal="left" vertical="center"/>
      <protection locked="0"/>
    </xf>
    <xf numFmtId="0" fontId="2" fillId="0" borderId="0" xfId="300" applyFont="1" applyAlignment="1" applyProtection="1">
      <alignment vertical="center"/>
      <protection locked="0"/>
    </xf>
    <xf numFmtId="184" fontId="2" fillId="0" borderId="0" xfId="87" applyNumberFormat="1" applyFont="1" applyFill="1" applyAlignment="1" applyProtection="1">
      <alignment horizontal="right" vertical="center" shrinkToFit="1"/>
      <protection locked="0"/>
    </xf>
    <xf numFmtId="0" fontId="3" fillId="0" borderId="0" xfId="0" applyFont="1" applyAlignment="1">
      <alignment horizontal="left" vertical="center"/>
    </xf>
    <xf numFmtId="184" fontId="2" fillId="0" borderId="0" xfId="339" applyNumberFormat="1" applyFont="1" applyFill="1" applyAlignment="1" applyProtection="1">
      <alignment horizontal="right" vertical="center" shrinkToFit="1"/>
      <protection locked="0"/>
    </xf>
    <xf numFmtId="0" fontId="16" fillId="0" borderId="0" xfId="300" applyFont="1" applyAlignment="1" applyProtection="1">
      <alignment horizontal="left" vertical="center"/>
      <protection locked="0"/>
    </xf>
    <xf numFmtId="0" fontId="3" fillId="0" borderId="11" xfId="321" applyFont="1" applyFill="1" applyBorder="1" applyAlignment="1" applyProtection="1">
      <alignment horizontal="left" vertical="center"/>
      <protection locked="0"/>
    </xf>
    <xf numFmtId="0" fontId="2" fillId="0" borderId="11" xfId="300" applyFont="1" applyBorder="1" applyAlignment="1" applyProtection="1">
      <alignment vertical="center"/>
      <protection locked="0"/>
    </xf>
    <xf numFmtId="184" fontId="2" fillId="0" borderId="11" xfId="339" applyNumberFormat="1" applyFont="1" applyFill="1" applyBorder="1" applyAlignment="1" applyProtection="1">
      <alignment horizontal="right" vertical="center" shrinkToFit="1"/>
      <protection locked="0"/>
    </xf>
    <xf numFmtId="0" fontId="26" fillId="0" borderId="0" xfId="300" applyFont="1" applyAlignment="1" applyProtection="1">
      <alignment horizontal="left" vertical="center"/>
      <protection locked="0"/>
    </xf>
    <xf numFmtId="0" fontId="3" fillId="0" borderId="9" xfId="300" applyFont="1" applyBorder="1" applyAlignment="1" applyProtection="1">
      <alignment horizontal="center" vertical="center"/>
      <protection locked="0"/>
    </xf>
    <xf numFmtId="0" fontId="2" fillId="0" borderId="0" xfId="300" applyFont="1" applyAlignment="1" applyProtection="1">
      <alignment horizontal="center" vertical="center"/>
      <protection locked="0"/>
    </xf>
    <xf numFmtId="0" fontId="27" fillId="0" borderId="0" xfId="300" applyFont="1" applyAlignment="1" applyProtection="1">
      <alignment horizontal="left" vertical="center" wrapText="1"/>
      <protection locked="0"/>
    </xf>
    <xf numFmtId="210" fontId="27" fillId="0" borderId="0" xfId="339" applyNumberFormat="1" applyFont="1" applyFill="1" applyAlignment="1" applyProtection="1">
      <alignment horizontal="left" vertical="center" wrapText="1"/>
      <protection locked="0"/>
    </xf>
    <xf numFmtId="0" fontId="3" fillId="0" borderId="0" xfId="300" applyFont="1" applyAlignment="1" applyProtection="1">
      <alignment vertical="center"/>
      <protection locked="0"/>
    </xf>
    <xf numFmtId="0" fontId="12" fillId="0" borderId="11" xfId="300" applyFont="1" applyBorder="1" applyAlignment="1" applyProtection="1">
      <alignment vertical="center" wrapText="1"/>
      <protection locked="0"/>
    </xf>
    <xf numFmtId="184" fontId="3" fillId="0" borderId="11" xfId="339" applyNumberFormat="1" applyFont="1" applyFill="1" applyBorder="1" applyAlignment="1" applyProtection="1">
      <alignment horizontal="right" vertical="center" shrinkToFit="1"/>
      <protection locked="0"/>
    </xf>
    <xf numFmtId="41" fontId="28" fillId="0" borderId="0" xfId="300" applyNumberFormat="1" applyFont="1" applyAlignment="1" applyProtection="1">
      <alignment horizontal="center" vertical="center"/>
      <protection locked="0"/>
    </xf>
    <xf numFmtId="0" fontId="26" fillId="0" borderId="0" xfId="300" applyFont="1" applyAlignment="1" applyProtection="1">
      <alignment vertical="center"/>
      <protection locked="0"/>
    </xf>
    <xf numFmtId="210" fontId="3" fillId="0" borderId="0" xfId="339" applyNumberFormat="1" applyFont="1" applyFill="1" applyBorder="1" applyAlignment="1" applyProtection="1">
      <alignment vertical="center" wrapText="1"/>
      <protection locked="0"/>
    </xf>
    <xf numFmtId="0" fontId="16" fillId="0" borderId="0" xfId="0" applyFont="1" applyAlignment="1">
      <alignment horizontal="center" vertical="center"/>
    </xf>
    <xf numFmtId="0" fontId="26" fillId="0" borderId="0" xfId="0" applyFont="1"/>
    <xf numFmtId="0" fontId="16" fillId="0" borderId="0" xfId="0" applyFont="1" applyAlignment="1">
      <alignment horizontal="center"/>
    </xf>
    <xf numFmtId="0" fontId="12" fillId="6" borderId="10" xfId="0" applyFont="1" applyFill="1" applyBorder="1" applyAlignment="1" applyProtection="1">
      <alignment vertical="center"/>
      <protection locked="0"/>
    </xf>
    <xf numFmtId="0" fontId="12" fillId="6" borderId="11" xfId="0" applyFont="1" applyFill="1" applyBorder="1" applyAlignment="1" applyProtection="1">
      <alignment vertical="center"/>
      <protection locked="0"/>
    </xf>
    <xf numFmtId="0" fontId="12" fillId="6" borderId="12" xfId="0" applyFont="1" applyFill="1" applyBorder="1" applyAlignment="1" applyProtection="1">
      <alignment vertical="center"/>
      <protection locked="0"/>
    </xf>
    <xf numFmtId="0" fontId="25" fillId="0" borderId="10" xfId="0" applyFont="1" applyBorder="1" applyAlignment="1">
      <alignment horizontal="left" vertical="center" wrapText="1"/>
    </xf>
    <xf numFmtId="0" fontId="25" fillId="0" borderId="11" xfId="0" applyFont="1" applyBorder="1" applyAlignment="1">
      <alignment horizontal="left" vertical="center" wrapText="1"/>
    </xf>
    <xf numFmtId="0" fontId="25" fillId="0" borderId="12" xfId="0" applyFont="1" applyBorder="1" applyAlignment="1">
      <alignment horizontal="left" vertical="center" wrapText="1"/>
    </xf>
    <xf numFmtId="0" fontId="22" fillId="0" borderId="0" xfId="202" applyFont="1" applyAlignment="1">
      <alignment horizontal="center" vertical="center" wrapText="1"/>
    </xf>
    <xf numFmtId="0" fontId="2" fillId="8" borderId="0" xfId="300" applyFont="1" applyFill="1" applyAlignment="1" applyProtection="1">
      <alignment vertical="center" wrapText="1"/>
      <protection locked="0"/>
    </xf>
    <xf numFmtId="0" fontId="5" fillId="0" borderId="13"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14" xfId="0" applyFont="1" applyBorder="1" applyAlignment="1" applyProtection="1">
      <alignment horizontal="left" vertical="center" wrapText="1"/>
      <protection locked="0"/>
    </xf>
    <xf numFmtId="0" fontId="5" fillId="0" borderId="15" xfId="0" applyFont="1" applyBorder="1" applyAlignment="1" applyProtection="1">
      <alignment horizontal="left" vertical="top" wrapText="1"/>
      <protection locked="0"/>
    </xf>
    <xf numFmtId="0" fontId="2" fillId="0" borderId="16" xfId="0" applyFont="1" applyBorder="1" applyAlignment="1" applyProtection="1">
      <alignment horizontal="left" vertical="top" wrapText="1"/>
      <protection locked="0"/>
    </xf>
    <xf numFmtId="0" fontId="2" fillId="0" borderId="17" xfId="0" applyFont="1" applyBorder="1" applyAlignment="1" applyProtection="1">
      <alignment horizontal="left" vertical="top" wrapText="1"/>
      <protection locked="0"/>
    </xf>
    <xf numFmtId="0" fontId="3" fillId="0" borderId="0" xfId="186" applyAlignment="1">
      <alignment vertical="center"/>
    </xf>
    <xf numFmtId="0" fontId="16" fillId="0" borderId="0" xfId="300" applyFont="1" applyAlignment="1" applyProtection="1">
      <alignment horizontal="center" vertical="center"/>
      <protection locked="0"/>
    </xf>
    <xf numFmtId="0" fontId="16" fillId="6" borderId="1" xfId="0" applyFont="1" applyFill="1" applyBorder="1" applyAlignment="1">
      <alignment horizontal="center" vertical="center"/>
    </xf>
    <xf numFmtId="0" fontId="16" fillId="6" borderId="8" xfId="0" applyFont="1" applyFill="1" applyBorder="1" applyAlignment="1">
      <alignment horizontal="center" vertical="center"/>
    </xf>
    <xf numFmtId="0" fontId="24" fillId="0" borderId="0" xfId="202" applyFont="1" applyAlignment="1">
      <alignment vertical="center"/>
    </xf>
    <xf numFmtId="0" fontId="12" fillId="9" borderId="9" xfId="0" applyFont="1" applyFill="1" applyBorder="1" applyAlignment="1">
      <alignment horizontal="center" vertical="center" wrapText="1"/>
    </xf>
    <xf numFmtId="0" fontId="12" fillId="10" borderId="9" xfId="0" applyFont="1" applyFill="1" applyBorder="1" applyAlignment="1">
      <alignment horizontal="center" vertical="center" wrapText="1"/>
    </xf>
    <xf numFmtId="0" fontId="12" fillId="6" borderId="9" xfId="0" applyFont="1" applyFill="1" applyBorder="1" applyAlignment="1">
      <alignment horizontal="center" vertical="center" wrapText="1"/>
    </xf>
    <xf numFmtId="0" fontId="29" fillId="6" borderId="9" xfId="0" applyFont="1" applyFill="1" applyBorder="1" applyAlignment="1">
      <alignment horizontal="center" vertical="center" wrapText="1"/>
    </xf>
    <xf numFmtId="211" fontId="12" fillId="9" borderId="9" xfId="0" applyNumberFormat="1" applyFont="1" applyFill="1" applyBorder="1" applyAlignment="1">
      <alignment horizontal="center" vertical="center" wrapText="1"/>
    </xf>
    <xf numFmtId="0" fontId="29" fillId="8" borderId="0" xfId="300" applyFont="1" applyFill="1" applyAlignment="1" applyProtection="1">
      <alignment vertical="center"/>
      <protection locked="0"/>
    </xf>
    <xf numFmtId="0" fontId="10" fillId="0" borderId="0" xfId="202" applyFont="1" applyAlignment="1">
      <alignment vertical="center"/>
    </xf>
    <xf numFmtId="0" fontId="3" fillId="0" borderId="9" xfId="0" applyFont="1" applyBorder="1" applyAlignment="1">
      <alignment horizontal="center" vertical="center" shrinkToFit="1"/>
    </xf>
    <xf numFmtId="0" fontId="3" fillId="0" borderId="9" xfId="0" applyFont="1" applyBorder="1" applyAlignment="1">
      <alignment horizontal="left" vertical="center" shrinkToFit="1"/>
    </xf>
    <xf numFmtId="184" fontId="3" fillId="0" borderId="9" xfId="0" applyNumberFormat="1" applyFont="1" applyBorder="1" applyAlignment="1">
      <alignment horizontal="right" vertical="center" shrinkToFit="1"/>
    </xf>
    <xf numFmtId="14" fontId="3" fillId="0" borderId="9" xfId="0" applyNumberFormat="1" applyFont="1" applyBorder="1" applyAlignment="1">
      <alignment horizontal="left" vertical="center" shrinkToFit="1"/>
    </xf>
    <xf numFmtId="0" fontId="3" fillId="0" borderId="9" xfId="0" applyFont="1" applyBorder="1" applyAlignment="1">
      <alignment horizontal="right" vertical="center" shrinkToFit="1"/>
    </xf>
    <xf numFmtId="184" fontId="3" fillId="0" borderId="9" xfId="87" applyNumberFormat="1" applyFont="1" applyBorder="1" applyAlignment="1">
      <alignment horizontal="right" vertical="center" shrinkToFit="1"/>
    </xf>
    <xf numFmtId="0" fontId="3" fillId="0" borderId="9" xfId="87" applyNumberFormat="1" applyFont="1" applyBorder="1" applyAlignment="1">
      <alignment horizontal="left" vertical="center" shrinkToFit="1"/>
    </xf>
    <xf numFmtId="49" fontId="3" fillId="0" borderId="0" xfId="0" applyNumberFormat="1" applyFont="1" applyAlignment="1">
      <alignment horizontal="left" vertical="center" shrinkToFit="1"/>
    </xf>
    <xf numFmtId="14" fontId="3" fillId="0" borderId="0" xfId="0" applyNumberFormat="1" applyFont="1" applyAlignment="1">
      <alignment horizontal="left" vertical="center" shrinkToFit="1"/>
    </xf>
    <xf numFmtId="0" fontId="3" fillId="0" borderId="0" xfId="0" applyFont="1" applyAlignment="1">
      <alignment vertical="center" shrinkToFit="1"/>
    </xf>
    <xf numFmtId="10" fontId="3" fillId="0" borderId="0" xfId="0" applyNumberFormat="1" applyFont="1" applyAlignment="1">
      <alignment horizontal="right" vertical="center" shrinkToFit="1"/>
    </xf>
    <xf numFmtId="184" fontId="3" fillId="0" borderId="0" xfId="0" applyNumberFormat="1" applyFont="1" applyAlignment="1">
      <alignment horizontal="right" vertical="center" shrinkToFit="1"/>
    </xf>
    <xf numFmtId="0" fontId="1" fillId="0" borderId="0" xfId="300" applyFont="1" applyAlignment="1">
      <alignment vertical="center"/>
    </xf>
    <xf numFmtId="0" fontId="14" fillId="0" borderId="0" xfId="184" applyFont="1">
      <alignment vertical="center"/>
    </xf>
    <xf numFmtId="0" fontId="3" fillId="7" borderId="1" xfId="300" applyFont="1" applyFill="1" applyBorder="1" applyAlignment="1" applyProtection="1">
      <alignment horizontal="left" vertical="center" wrapText="1"/>
      <protection locked="0"/>
    </xf>
    <xf numFmtId="0" fontId="3" fillId="7" borderId="7" xfId="300" applyFont="1" applyFill="1" applyBorder="1" applyAlignment="1" applyProtection="1">
      <alignment horizontal="left" vertical="center" wrapText="1"/>
      <protection locked="0"/>
    </xf>
    <xf numFmtId="0" fontId="3" fillId="7" borderId="8" xfId="300" applyFont="1" applyFill="1" applyBorder="1" applyAlignment="1" applyProtection="1">
      <alignment horizontal="left" vertical="center" wrapText="1"/>
      <protection locked="0"/>
    </xf>
    <xf numFmtId="0" fontId="3" fillId="0" borderId="10" xfId="300" applyFont="1" applyBorder="1" applyAlignment="1">
      <alignment horizontal="left" vertical="center" wrapText="1"/>
    </xf>
    <xf numFmtId="0" fontId="3" fillId="0" borderId="11" xfId="300" applyFont="1" applyBorder="1" applyAlignment="1">
      <alignment horizontal="left" vertical="center" wrapText="1"/>
    </xf>
    <xf numFmtId="0" fontId="3" fillId="0" borderId="12" xfId="300" applyFont="1" applyBorder="1" applyAlignment="1">
      <alignment horizontal="left" vertical="center" wrapText="1"/>
    </xf>
    <xf numFmtId="0" fontId="3" fillId="0" borderId="13" xfId="300" applyFont="1" applyBorder="1" applyAlignment="1">
      <alignment horizontal="left" vertical="center" wrapText="1"/>
    </xf>
    <xf numFmtId="0" fontId="3" fillId="0" borderId="0" xfId="300" applyFont="1" applyAlignment="1">
      <alignment horizontal="left" vertical="center" wrapText="1"/>
    </xf>
    <xf numFmtId="0" fontId="3" fillId="0" borderId="14" xfId="300" applyFont="1" applyBorder="1" applyAlignment="1">
      <alignment horizontal="left" vertical="center" wrapText="1"/>
    </xf>
    <xf numFmtId="0" fontId="3" fillId="0" borderId="15" xfId="300" applyFont="1" applyBorder="1" applyAlignment="1">
      <alignment horizontal="left" vertical="center" wrapText="1"/>
    </xf>
    <xf numFmtId="0" fontId="3" fillId="0" borderId="16" xfId="300" applyFont="1" applyBorder="1" applyAlignment="1">
      <alignment horizontal="left" vertical="center" wrapText="1"/>
    </xf>
    <xf numFmtId="0" fontId="3" fillId="0" borderId="17" xfId="300" applyFont="1" applyBorder="1" applyAlignment="1">
      <alignment horizontal="left" vertical="center" wrapText="1"/>
    </xf>
    <xf numFmtId="0" fontId="2" fillId="7" borderId="0" xfId="0" applyFont="1" applyFill="1" applyAlignment="1">
      <alignment vertical="center"/>
    </xf>
    <xf numFmtId="0" fontId="3" fillId="7" borderId="0" xfId="0" applyFont="1" applyFill="1" applyAlignment="1">
      <alignment vertical="center"/>
    </xf>
    <xf numFmtId="0" fontId="15" fillId="0" borderId="0" xfId="0" applyFont="1" applyAlignment="1">
      <alignment vertical="center"/>
    </xf>
    <xf numFmtId="0" fontId="10" fillId="7" borderId="0" xfId="0" applyFont="1" applyFill="1" applyAlignment="1">
      <alignment vertical="center"/>
    </xf>
    <xf numFmtId="0" fontId="2" fillId="10" borderId="18" xfId="196" applyFont="1" applyFill="1" applyBorder="1" applyAlignment="1" applyProtection="1">
      <alignment vertical="center"/>
      <protection locked="0"/>
    </xf>
    <xf numFmtId="0" fontId="2" fillId="10" borderId="19" xfId="196" applyFont="1" applyFill="1" applyBorder="1" applyAlignment="1" applyProtection="1">
      <alignment vertical="center"/>
      <protection locked="0"/>
    </xf>
    <xf numFmtId="0" fontId="2" fillId="10" borderId="20" xfId="196" applyFont="1" applyFill="1" applyBorder="1" applyAlignment="1" applyProtection="1">
      <alignment vertical="center"/>
      <protection locked="0"/>
    </xf>
    <xf numFmtId="0" fontId="11" fillId="10" borderId="0" xfId="318" applyFont="1" applyFill="1" applyAlignment="1">
      <alignment vertical="center"/>
    </xf>
    <xf numFmtId="0" fontId="2" fillId="7" borderId="0" xfId="0" applyFont="1" applyFill="1" applyAlignment="1">
      <alignment horizontal="center" vertical="center"/>
    </xf>
    <xf numFmtId="0" fontId="2" fillId="0" borderId="21" xfId="196" applyFont="1" applyBorder="1" applyAlignment="1">
      <alignment vertical="center"/>
    </xf>
    <xf numFmtId="49" fontId="2" fillId="7" borderId="0" xfId="121" applyNumberFormat="1" applyFont="1" applyFill="1" applyBorder="1" applyAlignment="1" applyProtection="1">
      <alignment horizontal="center" vertical="center" shrinkToFit="1"/>
      <protection locked="0"/>
    </xf>
    <xf numFmtId="0" fontId="2" fillId="10" borderId="0" xfId="196" applyFont="1" applyFill="1" applyAlignment="1" applyProtection="1">
      <alignment vertical="center"/>
      <protection locked="0"/>
    </xf>
    <xf numFmtId="0" fontId="2" fillId="0" borderId="0" xfId="196" applyFont="1" applyAlignment="1" applyProtection="1">
      <alignment vertical="center"/>
      <protection locked="0"/>
    </xf>
    <xf numFmtId="184" fontId="2" fillId="7" borderId="22" xfId="121" applyNumberFormat="1" applyFont="1" applyFill="1" applyBorder="1" applyAlignment="1" applyProtection="1">
      <alignment horizontal="right" vertical="center" shrinkToFit="1"/>
      <protection locked="0"/>
    </xf>
    <xf numFmtId="0" fontId="2" fillId="10" borderId="21" xfId="196" applyFont="1" applyFill="1" applyBorder="1" applyAlignment="1">
      <alignment vertical="center"/>
    </xf>
    <xf numFmtId="0" fontId="2" fillId="10" borderId="0" xfId="196" applyFont="1" applyFill="1" applyAlignment="1" applyProtection="1">
      <alignment horizontal="center" vertical="center"/>
      <protection locked="0"/>
    </xf>
    <xf numFmtId="184" fontId="2" fillId="10" borderId="22" xfId="121" applyNumberFormat="1" applyFont="1" applyFill="1" applyBorder="1" applyAlignment="1" applyProtection="1">
      <alignment horizontal="right" vertical="center" shrinkToFit="1"/>
      <protection locked="0"/>
    </xf>
    <xf numFmtId="14" fontId="2" fillId="7" borderId="0" xfId="121" applyNumberFormat="1" applyFont="1" applyFill="1" applyBorder="1" applyAlignment="1" applyProtection="1">
      <alignment horizontal="center" vertical="center" shrinkToFit="1"/>
      <protection locked="0"/>
    </xf>
    <xf numFmtId="0" fontId="2" fillId="10" borderId="21" xfId="196" applyFont="1" applyFill="1" applyBorder="1" applyAlignment="1" applyProtection="1">
      <alignment vertical="center"/>
      <protection locked="0"/>
    </xf>
    <xf numFmtId="0" fontId="2" fillId="0" borderId="0" xfId="196" applyFont="1" applyAlignment="1" applyProtection="1">
      <alignment vertical="center" shrinkToFit="1"/>
      <protection locked="0"/>
    </xf>
    <xf numFmtId="184" fontId="2" fillId="0" borderId="22" xfId="121" applyNumberFormat="1" applyFont="1" applyBorder="1" applyAlignment="1">
      <alignment horizontal="right" vertical="center" shrinkToFit="1"/>
    </xf>
    <xf numFmtId="9" fontId="2" fillId="10" borderId="0" xfId="3" applyFont="1" applyFill="1" applyBorder="1" applyAlignment="1">
      <alignment horizontal="center" vertical="center"/>
    </xf>
    <xf numFmtId="0" fontId="2" fillId="10" borderId="21" xfId="0" applyFont="1" applyFill="1" applyBorder="1" applyAlignment="1">
      <alignment vertical="center"/>
    </xf>
    <xf numFmtId="0" fontId="2" fillId="10" borderId="0" xfId="0" applyFont="1" applyFill="1" applyAlignment="1">
      <alignment vertical="center"/>
    </xf>
    <xf numFmtId="0" fontId="2" fillId="10" borderId="23" xfId="196" applyFont="1" applyFill="1" applyBorder="1" applyAlignment="1" applyProtection="1">
      <alignment vertical="center"/>
      <protection locked="0"/>
    </xf>
    <xf numFmtId="0" fontId="2" fillId="10" borderId="24" xfId="196" applyFont="1" applyFill="1" applyBorder="1" applyAlignment="1" applyProtection="1">
      <alignment vertical="center"/>
      <protection locked="0"/>
    </xf>
    <xf numFmtId="0" fontId="2" fillId="10" borderId="25" xfId="196" applyFont="1" applyFill="1" applyBorder="1" applyAlignment="1" applyProtection="1">
      <alignment vertical="center"/>
      <protection locked="0"/>
    </xf>
    <xf numFmtId="0" fontId="10" fillId="0" borderId="0" xfId="0" applyFont="1" applyAlignment="1">
      <alignment vertical="center"/>
    </xf>
    <xf numFmtId="0" fontId="28" fillId="0" borderId="0" xfId="0" applyFont="1" applyAlignment="1">
      <alignment vertical="center"/>
    </xf>
    <xf numFmtId="0" fontId="30" fillId="11" borderId="18" xfId="193" applyFont="1" applyFill="1" applyBorder="1" applyAlignment="1">
      <alignment vertical="center"/>
    </xf>
    <xf numFmtId="0" fontId="16" fillId="11" borderId="19" xfId="0" applyFont="1" applyFill="1" applyBorder="1" applyAlignment="1">
      <alignment vertical="center"/>
    </xf>
    <xf numFmtId="0" fontId="3" fillId="11" borderId="19" xfId="0" applyFont="1" applyFill="1" applyBorder="1" applyAlignment="1">
      <alignment vertical="center"/>
    </xf>
    <xf numFmtId="0" fontId="3" fillId="11" borderId="20" xfId="0" applyFont="1" applyFill="1" applyBorder="1" applyAlignment="1">
      <alignment vertical="center"/>
    </xf>
    <xf numFmtId="0" fontId="2" fillId="0" borderId="0" xfId="0" applyFont="1" applyAlignment="1">
      <alignment vertical="center"/>
    </xf>
    <xf numFmtId="0" fontId="5" fillId="11" borderId="21" xfId="193" applyFont="1" applyFill="1" applyBorder="1" applyAlignment="1">
      <alignment vertical="center"/>
    </xf>
    <xf numFmtId="0" fontId="17" fillId="11" borderId="0" xfId="193" applyFont="1" applyFill="1" applyAlignment="1">
      <alignment vertical="center"/>
    </xf>
    <xf numFmtId="0" fontId="3" fillId="11" borderId="0" xfId="0" applyFont="1" applyFill="1" applyAlignment="1">
      <alignment vertical="center"/>
    </xf>
    <xf numFmtId="0" fontId="3" fillId="11" borderId="22" xfId="0" applyFont="1" applyFill="1" applyBorder="1" applyAlignment="1">
      <alignment vertical="center"/>
    </xf>
    <xf numFmtId="0" fontId="17" fillId="11" borderId="21" xfId="193" applyFont="1" applyFill="1" applyBorder="1" applyAlignment="1">
      <alignment vertical="center"/>
    </xf>
    <xf numFmtId="0" fontId="30" fillId="11" borderId="21" xfId="186" applyFont="1" applyFill="1" applyBorder="1" applyAlignment="1">
      <alignment vertical="center"/>
    </xf>
    <xf numFmtId="0" fontId="3" fillId="11" borderId="21" xfId="0" applyFont="1" applyFill="1" applyBorder="1" applyAlignment="1">
      <alignment horizontal="left" vertical="center" wrapText="1"/>
    </xf>
    <xf numFmtId="0" fontId="3" fillId="11" borderId="0" xfId="0" applyFont="1" applyFill="1" applyAlignment="1">
      <alignment horizontal="left" vertical="center" wrapText="1"/>
    </xf>
    <xf numFmtId="0" fontId="3" fillId="11" borderId="22" xfId="0" applyFont="1" applyFill="1" applyBorder="1" applyAlignment="1">
      <alignment horizontal="left" vertical="center" wrapText="1"/>
    </xf>
    <xf numFmtId="0" fontId="3" fillId="11" borderId="21" xfId="0" applyFont="1" applyFill="1" applyBorder="1" applyAlignment="1">
      <alignment vertical="center"/>
    </xf>
    <xf numFmtId="0" fontId="3" fillId="11" borderId="0" xfId="0" applyFont="1" applyFill="1" applyAlignment="1">
      <alignment vertical="center" wrapText="1"/>
    </xf>
    <xf numFmtId="0" fontId="3" fillId="11" borderId="22" xfId="0" applyFont="1" applyFill="1" applyBorder="1" applyAlignment="1">
      <alignment vertical="center" wrapText="1"/>
    </xf>
    <xf numFmtId="0" fontId="22" fillId="11" borderId="21" xfId="186" applyFont="1" applyFill="1" applyBorder="1" applyAlignment="1">
      <alignment horizontal="left" vertical="center"/>
    </xf>
    <xf numFmtId="212" fontId="30" fillId="11" borderId="21" xfId="178" applyNumberFormat="1" applyFont="1" applyFill="1" applyBorder="1" applyAlignment="1">
      <alignment vertical="center"/>
    </xf>
    <xf numFmtId="0" fontId="16" fillId="11" borderId="0" xfId="0" applyFont="1" applyFill="1" applyAlignment="1">
      <alignment vertical="center" wrapText="1"/>
    </xf>
    <xf numFmtId="0" fontId="2" fillId="11" borderId="23" xfId="0" applyFont="1" applyFill="1" applyBorder="1" applyAlignment="1">
      <alignment horizontal="left" vertical="center" wrapText="1"/>
    </xf>
    <xf numFmtId="0" fontId="2" fillId="11" borderId="24" xfId="0" applyFont="1" applyFill="1" applyBorder="1" applyAlignment="1">
      <alignment horizontal="left" vertical="center" wrapText="1"/>
    </xf>
    <xf numFmtId="0" fontId="2" fillId="11" borderId="25" xfId="0" applyFont="1" applyFill="1" applyBorder="1" applyAlignment="1">
      <alignment horizontal="left" vertical="center" wrapText="1"/>
    </xf>
    <xf numFmtId="0" fontId="17" fillId="0" borderId="0" xfId="193" applyFont="1" applyAlignment="1">
      <alignment vertical="center"/>
    </xf>
    <xf numFmtId="0" fontId="12" fillId="0" borderId="0" xfId="0" applyFont="1" applyAlignment="1">
      <alignment vertical="center"/>
    </xf>
    <xf numFmtId="0" fontId="12" fillId="0" borderId="26" xfId="0" applyFont="1" applyBorder="1" applyAlignment="1">
      <alignment vertical="center"/>
    </xf>
    <xf numFmtId="14" fontId="3" fillId="0" borderId="27" xfId="0" applyNumberFormat="1" applyFont="1" applyBorder="1" applyAlignment="1">
      <alignment horizontal="center" vertical="center"/>
    </xf>
    <xf numFmtId="0" fontId="16" fillId="10" borderId="28" xfId="0" applyFont="1" applyFill="1" applyBorder="1" applyAlignment="1">
      <alignment horizontal="center" vertical="center"/>
    </xf>
    <xf numFmtId="0" fontId="12" fillId="0" borderId="29" xfId="0" applyFont="1" applyBorder="1" applyAlignment="1">
      <alignment horizontal="center" vertical="center"/>
    </xf>
    <xf numFmtId="0" fontId="3" fillId="11" borderId="9" xfId="0" applyFont="1" applyFill="1" applyBorder="1" applyAlignment="1">
      <alignment horizontal="center" vertical="center"/>
    </xf>
    <xf numFmtId="0" fontId="16" fillId="10" borderId="30" xfId="0" applyFont="1" applyFill="1" applyBorder="1" applyAlignment="1">
      <alignment horizontal="center" vertical="center"/>
    </xf>
    <xf numFmtId="0" fontId="3" fillId="0" borderId="29" xfId="0" applyFont="1" applyBorder="1" applyAlignment="1">
      <alignment vertical="center"/>
    </xf>
    <xf numFmtId="0" fontId="3" fillId="10" borderId="9" xfId="0" applyFont="1" applyFill="1" applyBorder="1" applyAlignment="1">
      <alignment horizontal="center" vertical="center"/>
    </xf>
    <xf numFmtId="10" fontId="3" fillId="10" borderId="9" xfId="0" applyNumberFormat="1" applyFont="1" applyFill="1" applyBorder="1" applyAlignment="1">
      <alignment horizontal="center" vertical="center"/>
    </xf>
    <xf numFmtId="0" fontId="16" fillId="10" borderId="31" xfId="0" applyFont="1" applyFill="1" applyBorder="1" applyAlignment="1">
      <alignment horizontal="center" vertical="center"/>
    </xf>
    <xf numFmtId="0" fontId="3" fillId="0" borderId="9" xfId="0" applyFont="1" applyBorder="1" applyAlignment="1">
      <alignment vertical="center" shrinkToFit="1"/>
    </xf>
    <xf numFmtId="9" fontId="3" fillId="0" borderId="9" xfId="0" applyNumberFormat="1" applyFont="1" applyBorder="1" applyAlignment="1">
      <alignment vertical="center" shrinkToFit="1"/>
    </xf>
    <xf numFmtId="10" fontId="3" fillId="0" borderId="9" xfId="0" applyNumberFormat="1" applyFont="1" applyBorder="1" applyAlignment="1">
      <alignment vertical="center" shrinkToFit="1"/>
    </xf>
    <xf numFmtId="0" fontId="3" fillId="0" borderId="32"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shrinkToFit="1"/>
    </xf>
    <xf numFmtId="9" fontId="3" fillId="0" borderId="36" xfId="0" applyNumberFormat="1" applyFont="1" applyBorder="1" applyAlignment="1">
      <alignment vertical="center" shrinkToFit="1"/>
    </xf>
    <xf numFmtId="10" fontId="3" fillId="0" borderId="36" xfId="0" applyNumberFormat="1" applyFont="1" applyBorder="1" applyAlignment="1">
      <alignment vertical="center" shrinkToFit="1"/>
    </xf>
    <xf numFmtId="0" fontId="3" fillId="0" borderId="37" xfId="0" applyFont="1" applyBorder="1" applyAlignment="1">
      <alignment vertical="center"/>
    </xf>
    <xf numFmtId="0" fontId="12" fillId="0" borderId="0" xfId="193" applyFont="1" applyAlignment="1">
      <alignment vertical="center"/>
    </xf>
    <xf numFmtId="10" fontId="26" fillId="0" borderId="0" xfId="0" applyNumberFormat="1" applyFont="1" applyAlignment="1">
      <alignment horizontal="center" vertical="center"/>
    </xf>
    <xf numFmtId="0" fontId="3" fillId="0" borderId="38" xfId="193" applyFont="1" applyBorder="1" applyAlignment="1">
      <alignment horizontal="center" vertical="center"/>
    </xf>
    <xf numFmtId="0" fontId="3" fillId="0" borderId="39" xfId="193" applyFont="1" applyBorder="1" applyAlignment="1">
      <alignment horizontal="center" vertical="center"/>
    </xf>
    <xf numFmtId="0" fontId="3" fillId="9" borderId="40" xfId="193" applyFont="1" applyFill="1" applyBorder="1" applyAlignment="1">
      <alignment horizontal="center" vertical="center"/>
    </xf>
    <xf numFmtId="0" fontId="3" fillId="9" borderId="41" xfId="193" applyFont="1" applyFill="1" applyBorder="1" applyAlignment="1">
      <alignment horizontal="center" vertical="center"/>
    </xf>
    <xf numFmtId="0" fontId="3" fillId="0" borderId="27" xfId="193" applyFont="1" applyBorder="1" applyAlignment="1">
      <alignment horizontal="center" vertical="center"/>
    </xf>
    <xf numFmtId="0" fontId="3" fillId="0" borderId="42" xfId="193" applyFont="1" applyBorder="1" applyAlignment="1">
      <alignment horizontal="center" vertical="center"/>
    </xf>
    <xf numFmtId="0" fontId="17" fillId="0" borderId="29" xfId="193" applyFont="1" applyBorder="1" applyAlignment="1">
      <alignment vertical="center"/>
    </xf>
    <xf numFmtId="184" fontId="3" fillId="0" borderId="9" xfId="121" applyNumberFormat="1" applyFont="1" applyBorder="1" applyAlignment="1">
      <alignment horizontal="right" vertical="center" shrinkToFit="1"/>
    </xf>
    <xf numFmtId="184" fontId="17" fillId="0" borderId="9" xfId="193" applyNumberFormat="1" applyFont="1" applyBorder="1" applyAlignment="1">
      <alignment vertical="center"/>
    </xf>
    <xf numFmtId="0" fontId="17" fillId="7" borderId="32" xfId="193" applyFont="1" applyFill="1" applyBorder="1" applyAlignment="1">
      <alignment horizontal="center" vertical="center"/>
    </xf>
    <xf numFmtId="213" fontId="3" fillId="0" borderId="0" xfId="0" applyNumberFormat="1" applyFont="1" applyAlignment="1">
      <alignment vertical="center"/>
    </xf>
    <xf numFmtId="0" fontId="17" fillId="0" borderId="32" xfId="193" applyFont="1" applyBorder="1" applyAlignment="1">
      <alignment horizontal="center" vertical="center"/>
    </xf>
    <xf numFmtId="0" fontId="17" fillId="0" borderId="35" xfId="193" applyFont="1" applyBorder="1" applyAlignment="1">
      <alignment vertical="center"/>
    </xf>
    <xf numFmtId="184" fontId="17" fillId="0" borderId="36" xfId="193" applyNumberFormat="1" applyFont="1" applyBorder="1" applyAlignment="1">
      <alignment vertical="center"/>
    </xf>
    <xf numFmtId="0" fontId="17" fillId="0" borderId="37" xfId="193" applyFont="1" applyBorder="1" applyAlignment="1">
      <alignment horizontal="center" vertical="center"/>
    </xf>
    <xf numFmtId="214" fontId="16" fillId="11" borderId="43" xfId="0" applyNumberFormat="1" applyFont="1" applyFill="1" applyBorder="1" applyAlignment="1">
      <alignment vertical="center"/>
    </xf>
    <xf numFmtId="214" fontId="3" fillId="11" borderId="44" xfId="0" applyNumberFormat="1" applyFont="1" applyFill="1" applyBorder="1" applyAlignment="1">
      <alignment vertical="center"/>
    </xf>
    <xf numFmtId="214" fontId="3" fillId="11" borderId="45" xfId="0" applyNumberFormat="1" applyFont="1" applyFill="1" applyBorder="1" applyAlignment="1">
      <alignment vertical="center"/>
    </xf>
    <xf numFmtId="214" fontId="31" fillId="11" borderId="46" xfId="0" applyNumberFormat="1" applyFont="1" applyFill="1" applyBorder="1" applyAlignment="1">
      <alignment vertical="center"/>
    </xf>
    <xf numFmtId="214" fontId="3" fillId="11" borderId="0" xfId="0" applyNumberFormat="1" applyFont="1" applyFill="1" applyAlignment="1">
      <alignment vertical="center"/>
    </xf>
    <xf numFmtId="214" fontId="3" fillId="11" borderId="47" xfId="0" applyNumberFormat="1" applyFont="1" applyFill="1" applyBorder="1" applyAlignment="1">
      <alignment vertical="center"/>
    </xf>
    <xf numFmtId="214" fontId="3" fillId="11" borderId="46" xfId="0" applyNumberFormat="1" applyFont="1" applyFill="1" applyBorder="1" applyAlignment="1">
      <alignment vertical="center"/>
    </xf>
    <xf numFmtId="214" fontId="3" fillId="11" borderId="48" xfId="0" applyNumberFormat="1" applyFont="1" applyFill="1" applyBorder="1" applyAlignment="1">
      <alignment vertical="center"/>
    </xf>
    <xf numFmtId="214" fontId="3" fillId="11" borderId="49" xfId="0" applyNumberFormat="1" applyFont="1" applyFill="1" applyBorder="1" applyAlignment="1">
      <alignment vertical="center"/>
    </xf>
    <xf numFmtId="214" fontId="3" fillId="11" borderId="50" xfId="0" applyNumberFormat="1" applyFont="1" applyFill="1" applyBorder="1" applyAlignment="1">
      <alignment vertical="center"/>
    </xf>
    <xf numFmtId="0" fontId="12" fillId="0" borderId="0" xfId="171" applyFont="1" applyAlignment="1">
      <alignment horizontal="center" vertical="center"/>
    </xf>
    <xf numFmtId="0" fontId="32" fillId="0" borderId="0" xfId="0" applyFont="1" applyAlignment="1">
      <alignment horizontal="center" vertical="center"/>
    </xf>
    <xf numFmtId="0" fontId="32" fillId="0" borderId="0" xfId="0" applyFont="1" applyAlignment="1">
      <alignment vertical="center"/>
    </xf>
    <xf numFmtId="0" fontId="3" fillId="0" borderId="0" xfId="193" applyFont="1" applyAlignment="1">
      <alignment vertical="center"/>
    </xf>
    <xf numFmtId="0" fontId="2" fillId="0" borderId="0" xfId="207" applyAlignment="1">
      <alignment vertical="center"/>
    </xf>
    <xf numFmtId="0" fontId="26" fillId="0" borderId="18" xfId="207" applyFont="1" applyBorder="1" applyAlignment="1">
      <alignment horizontal="center" vertical="center"/>
    </xf>
    <xf numFmtId="0" fontId="26" fillId="0" borderId="19" xfId="207" applyFont="1" applyBorder="1" applyAlignment="1">
      <alignment horizontal="center" vertical="center"/>
    </xf>
    <xf numFmtId="0" fontId="26" fillId="0" borderId="20" xfId="207" applyFont="1" applyBorder="1" applyAlignment="1">
      <alignment horizontal="center" vertical="center"/>
    </xf>
    <xf numFmtId="0" fontId="26" fillId="0" borderId="0" xfId="207" applyFont="1" applyAlignment="1">
      <alignment horizontal="center" vertical="center"/>
    </xf>
    <xf numFmtId="0" fontId="33" fillId="0" borderId="0" xfId="207" applyFont="1" applyAlignment="1">
      <alignment horizontal="center" vertical="center"/>
    </xf>
    <xf numFmtId="0" fontId="26" fillId="0" borderId="18" xfId="207" applyFont="1" applyBorder="1" applyAlignment="1">
      <alignment horizontal="center" vertical="center" wrapText="1"/>
    </xf>
    <xf numFmtId="0" fontId="26" fillId="0" borderId="20" xfId="207" applyFont="1" applyBorder="1" applyAlignment="1">
      <alignment horizontal="center" vertical="center" wrapText="1"/>
    </xf>
    <xf numFmtId="210" fontId="26" fillId="7" borderId="0" xfId="121" applyNumberFormat="1" applyFont="1" applyFill="1" applyAlignment="1">
      <alignment horizontal="center" vertical="center" wrapText="1"/>
    </xf>
    <xf numFmtId="0" fontId="26" fillId="0" borderId="0" xfId="207" applyFont="1" applyAlignment="1">
      <alignment vertical="center"/>
    </xf>
    <xf numFmtId="0" fontId="12" fillId="0" borderId="40" xfId="186" applyFont="1" applyBorder="1" applyAlignment="1">
      <alignment vertical="center"/>
    </xf>
    <xf numFmtId="14" fontId="12" fillId="0" borderId="27" xfId="207" applyNumberFormat="1" applyFont="1" applyBorder="1" applyAlignment="1">
      <alignment horizontal="center" vertical="center" wrapText="1"/>
    </xf>
    <xf numFmtId="14" fontId="34" fillId="0" borderId="27" xfId="207" applyNumberFormat="1" applyFont="1" applyBorder="1" applyAlignment="1">
      <alignment horizontal="center" vertical="center" wrapText="1"/>
    </xf>
    <xf numFmtId="195" fontId="12" fillId="0" borderId="27" xfId="208" applyFont="1" applyBorder="1" applyAlignment="1" applyProtection="1">
      <alignment horizontal="center" vertical="center" wrapText="1"/>
    </xf>
    <xf numFmtId="0" fontId="12" fillId="0" borderId="27" xfId="207" applyFont="1" applyBorder="1" applyAlignment="1">
      <alignment horizontal="center" vertical="center" wrapText="1"/>
    </xf>
    <xf numFmtId="0" fontId="12" fillId="0" borderId="42" xfId="207" applyFont="1" applyBorder="1" applyAlignment="1">
      <alignment horizontal="center" vertical="center" wrapText="1"/>
    </xf>
    <xf numFmtId="210" fontId="2" fillId="0" borderId="32" xfId="121" applyNumberFormat="1" applyFont="1" applyBorder="1" applyAlignment="1">
      <alignment horizontal="center" vertical="center"/>
    </xf>
    <xf numFmtId="0" fontId="12" fillId="0" borderId="35" xfId="193" applyFont="1" applyBorder="1" applyAlignment="1">
      <alignment vertical="center"/>
    </xf>
    <xf numFmtId="184" fontId="3" fillId="0" borderId="36" xfId="121" applyNumberFormat="1" applyFont="1" applyBorder="1" applyAlignment="1">
      <alignment horizontal="right" vertical="center" shrinkToFit="1"/>
    </xf>
    <xf numFmtId="210" fontId="2" fillId="0" borderId="37" xfId="121" applyNumberFormat="1" applyFont="1" applyBorder="1" applyAlignment="1">
      <alignment horizontal="center" vertical="center"/>
    </xf>
    <xf numFmtId="184" fontId="3" fillId="0" borderId="0" xfId="121" applyNumberFormat="1" applyFont="1" applyFill="1" applyBorder="1" applyAlignment="1">
      <alignment vertical="center"/>
    </xf>
    <xf numFmtId="0" fontId="16" fillId="11" borderId="10" xfId="0" applyFont="1" applyFill="1" applyBorder="1" applyAlignment="1">
      <alignment vertical="center"/>
    </xf>
    <xf numFmtId="0" fontId="31" fillId="11" borderId="11" xfId="0" applyFont="1" applyFill="1" applyBorder="1" applyAlignment="1">
      <alignment vertical="center"/>
    </xf>
    <xf numFmtId="0" fontId="3" fillId="11" borderId="11" xfId="0" applyFont="1" applyFill="1" applyBorder="1" applyAlignment="1">
      <alignment vertical="center"/>
    </xf>
    <xf numFmtId="14" fontId="3" fillId="11" borderId="11" xfId="0" applyNumberFormat="1" applyFont="1" applyFill="1" applyBorder="1" applyAlignment="1">
      <alignment vertical="center"/>
    </xf>
    <xf numFmtId="184" fontId="3" fillId="11" borderId="11" xfId="121" applyNumberFormat="1" applyFont="1" applyFill="1" applyBorder="1" applyAlignment="1">
      <alignment vertical="center"/>
    </xf>
    <xf numFmtId="10" fontId="3" fillId="11" borderId="12" xfId="0" applyNumberFormat="1" applyFont="1" applyFill="1" applyBorder="1" applyAlignment="1">
      <alignment vertical="center"/>
    </xf>
    <xf numFmtId="0" fontId="3" fillId="11" borderId="13" xfId="0" applyFont="1" applyFill="1" applyBorder="1" applyAlignment="1">
      <alignment vertical="center"/>
    </xf>
    <xf numFmtId="0" fontId="31" fillId="11" borderId="0" xfId="0" applyFont="1" applyFill="1" applyAlignment="1">
      <alignment horizontal="left" vertical="center"/>
    </xf>
    <xf numFmtId="211" fontId="3" fillId="11" borderId="0" xfId="0" applyNumberFormat="1" applyFont="1" applyFill="1" applyAlignment="1">
      <alignment vertical="center"/>
    </xf>
    <xf numFmtId="14" fontId="3" fillId="11" borderId="0" xfId="0" applyNumberFormat="1" applyFont="1" applyFill="1" applyAlignment="1">
      <alignment vertical="center"/>
    </xf>
    <xf numFmtId="10" fontId="3" fillId="11" borderId="14" xfId="0" applyNumberFormat="1" applyFont="1" applyFill="1" applyBorder="1" applyAlignment="1">
      <alignment vertical="center"/>
    </xf>
    <xf numFmtId="0" fontId="3" fillId="11" borderId="15" xfId="0" applyFont="1" applyFill="1" applyBorder="1" applyAlignment="1">
      <alignment vertical="center"/>
    </xf>
    <xf numFmtId="0" fontId="3" fillId="11" borderId="16" xfId="0" applyFont="1" applyFill="1" applyBorder="1" applyAlignment="1">
      <alignment vertical="center"/>
    </xf>
    <xf numFmtId="14" fontId="3" fillId="11" borderId="16" xfId="0" applyNumberFormat="1" applyFont="1" applyFill="1" applyBorder="1" applyAlignment="1">
      <alignment vertical="center"/>
    </xf>
    <xf numFmtId="10" fontId="3" fillId="11" borderId="17" xfId="0" applyNumberFormat="1" applyFont="1" applyFill="1" applyBorder="1" applyAlignment="1">
      <alignment vertical="center"/>
    </xf>
    <xf numFmtId="10" fontId="15" fillId="0" borderId="0" xfId="0" applyNumberFormat="1" applyFont="1" applyAlignment="1">
      <alignment vertical="center"/>
    </xf>
    <xf numFmtId="0" fontId="35" fillId="0" borderId="0" xfId="0" applyFont="1" applyAlignment="1">
      <alignment vertical="center"/>
    </xf>
    <xf numFmtId="184" fontId="15" fillId="0" borderId="0" xfId="121" applyNumberFormat="1" applyFont="1" applyFill="1" applyBorder="1" applyAlignment="1">
      <alignment vertical="center"/>
    </xf>
    <xf numFmtId="0" fontId="14" fillId="0" borderId="18" xfId="171" applyFont="1" applyBorder="1" applyAlignment="1">
      <alignment horizontal="left" vertical="center"/>
    </xf>
    <xf numFmtId="14" fontId="14" fillId="0" borderId="20" xfId="171" applyNumberFormat="1" applyFont="1" applyBorder="1" applyAlignment="1">
      <alignment horizontal="center" vertical="center"/>
    </xf>
    <xf numFmtId="14" fontId="14" fillId="0" borderId="0" xfId="171" applyNumberFormat="1" applyFont="1" applyAlignment="1">
      <alignment horizontal="center" vertical="center"/>
    </xf>
    <xf numFmtId="0" fontId="14" fillId="0" borderId="0" xfId="171" applyFont="1" applyAlignment="1">
      <alignment horizontal="center" vertical="center"/>
    </xf>
    <xf numFmtId="0" fontId="14" fillId="0" borderId="23" xfId="171" applyFont="1" applyBorder="1" applyAlignment="1">
      <alignment horizontal="left" vertical="center"/>
    </xf>
    <xf numFmtId="14" fontId="14" fillId="0" borderId="25" xfId="171" applyNumberFormat="1" applyFont="1" applyBorder="1" applyAlignment="1">
      <alignment horizontal="center" vertical="center"/>
    </xf>
    <xf numFmtId="0" fontId="14" fillId="0" borderId="0" xfId="0" applyFont="1" applyAlignment="1">
      <alignment vertical="center"/>
    </xf>
    <xf numFmtId="0" fontId="36" fillId="0" borderId="0" xfId="0" applyFont="1" applyAlignment="1">
      <alignment vertical="center"/>
    </xf>
    <xf numFmtId="0" fontId="37" fillId="0" borderId="0" xfId="0" applyFont="1" applyAlignment="1">
      <alignment horizontal="centerContinuous" vertical="center"/>
    </xf>
    <xf numFmtId="0" fontId="37" fillId="0" borderId="0" xfId="0" applyFont="1" applyAlignment="1">
      <alignment horizontal="center" vertical="center"/>
    </xf>
    <xf numFmtId="0" fontId="14" fillId="0" borderId="0" xfId="171" applyFont="1" applyAlignment="1">
      <alignment vertical="center"/>
    </xf>
    <xf numFmtId="0" fontId="35" fillId="0" borderId="0" xfId="0" applyFont="1" applyAlignment="1">
      <alignment horizontal="center" vertical="center"/>
    </xf>
    <xf numFmtId="10" fontId="35" fillId="0" borderId="0" xfId="0" applyNumberFormat="1" applyFont="1" applyAlignment="1">
      <alignment horizontal="center" vertical="center"/>
    </xf>
    <xf numFmtId="184" fontId="35" fillId="0" borderId="0" xfId="0" applyNumberFormat="1" applyFont="1" applyAlignment="1">
      <alignment horizontal="center" vertical="center"/>
    </xf>
    <xf numFmtId="184" fontId="35" fillId="0" borderId="0" xfId="0" applyNumberFormat="1" applyFont="1" applyAlignment="1">
      <alignment horizontal="center" vertical="center" wrapText="1"/>
    </xf>
    <xf numFmtId="184" fontId="35" fillId="0" borderId="24" xfId="171" applyNumberFormat="1" applyFont="1" applyBorder="1" applyAlignment="1">
      <alignment horizontal="center" vertical="center"/>
    </xf>
    <xf numFmtId="0" fontId="38" fillId="0" borderId="0" xfId="0" applyFont="1"/>
    <xf numFmtId="0" fontId="15" fillId="0" borderId="29" xfId="193" applyFont="1" applyBorder="1" applyAlignment="1">
      <alignment horizontal="center" vertical="center"/>
    </xf>
    <xf numFmtId="0" fontId="15" fillId="0" borderId="9" xfId="193" applyFont="1" applyBorder="1" applyAlignment="1">
      <alignment horizontal="center" vertical="center"/>
    </xf>
    <xf numFmtId="0" fontId="15" fillId="0" borderId="9" xfId="193" applyFont="1" applyBorder="1" applyAlignment="1">
      <alignment horizontal="left" vertical="center"/>
    </xf>
    <xf numFmtId="10" fontId="15" fillId="0" borderId="9" xfId="193" applyNumberFormat="1" applyFont="1" applyBorder="1" applyAlignment="1">
      <alignment horizontal="center" vertical="center"/>
    </xf>
    <xf numFmtId="184" fontId="15" fillId="0" borderId="9" xfId="200" applyNumberFormat="1" applyFont="1" applyBorder="1" applyAlignment="1">
      <alignment horizontal="center" vertical="center"/>
    </xf>
    <xf numFmtId="184" fontId="15" fillId="0" borderId="1" xfId="200" applyNumberFormat="1" applyFont="1" applyBorder="1" applyAlignment="1">
      <alignment horizontal="center" vertical="center" wrapText="1"/>
    </xf>
    <xf numFmtId="184" fontId="15" fillId="0" borderId="29" xfId="200" applyNumberFormat="1" applyFont="1" applyBorder="1" applyAlignment="1">
      <alignment horizontal="center" vertical="center"/>
    </xf>
    <xf numFmtId="0" fontId="14" fillId="0" borderId="51" xfId="0" applyFont="1" applyBorder="1" applyAlignment="1">
      <alignment horizontal="center" vertical="center" wrapText="1"/>
    </xf>
    <xf numFmtId="14" fontId="14" fillId="0" borderId="51" xfId="0" applyNumberFormat="1" applyFont="1" applyBorder="1" applyAlignment="1">
      <alignment horizontal="center" vertical="center" wrapText="1"/>
    </xf>
    <xf numFmtId="0" fontId="14" fillId="0" borderId="51" xfId="200" applyFont="1" applyBorder="1" applyAlignment="1">
      <alignment horizontal="center" vertical="center"/>
    </xf>
    <xf numFmtId="184" fontId="14" fillId="0" borderId="51" xfId="200" applyNumberFormat="1" applyFont="1" applyBorder="1" applyAlignment="1">
      <alignment horizontal="center" vertical="center"/>
    </xf>
    <xf numFmtId="0" fontId="36" fillId="0" borderId="31" xfId="0" applyFont="1" applyBorder="1" applyAlignment="1">
      <alignment horizontal="center" vertical="center"/>
    </xf>
    <xf numFmtId="0" fontId="14" fillId="0" borderId="9" xfId="0" applyFont="1" applyBorder="1" applyAlignment="1">
      <alignment horizontal="center" vertical="center" wrapText="1"/>
    </xf>
    <xf numFmtId="14" fontId="14" fillId="0" borderId="9" xfId="0" applyNumberFormat="1" applyFont="1" applyBorder="1" applyAlignment="1">
      <alignment horizontal="center" vertical="center" wrapText="1"/>
    </xf>
    <xf numFmtId="0" fontId="14" fillId="0" borderId="9" xfId="200" applyFont="1" applyBorder="1" applyAlignment="1">
      <alignment horizontal="center" vertical="center"/>
    </xf>
    <xf numFmtId="184" fontId="14" fillId="0" borderId="9" xfId="200" applyNumberFormat="1" applyFont="1" applyBorder="1" applyAlignment="1">
      <alignment horizontal="center" vertical="center"/>
    </xf>
    <xf numFmtId="0" fontId="36" fillId="0" borderId="32" xfId="0" applyFont="1" applyBorder="1" applyAlignment="1">
      <alignment horizontal="center" vertical="center"/>
    </xf>
    <xf numFmtId="49" fontId="15" fillId="0" borderId="33" xfId="0" applyNumberFormat="1" applyFont="1" applyBorder="1" applyAlignment="1">
      <alignment horizontal="left" vertical="center" shrinkToFit="1"/>
    </xf>
    <xf numFmtId="49" fontId="15" fillId="0" borderId="52" xfId="121" applyNumberFormat="1" applyFont="1" applyFill="1" applyBorder="1" applyAlignment="1">
      <alignment horizontal="left" vertical="center" shrinkToFit="1"/>
    </xf>
    <xf numFmtId="14" fontId="15" fillId="0" borderId="52" xfId="193" applyNumberFormat="1" applyFont="1" applyBorder="1" applyAlignment="1">
      <alignment horizontal="left" vertical="center" shrinkToFit="1"/>
    </xf>
    <xf numFmtId="49" fontId="15" fillId="0" borderId="52" xfId="193" applyNumberFormat="1" applyFont="1" applyBorder="1" applyAlignment="1">
      <alignment horizontal="left" vertical="center" shrinkToFit="1"/>
    </xf>
    <xf numFmtId="10" fontId="15" fillId="0" borderId="52" xfId="121" applyNumberFormat="1" applyFont="1" applyFill="1" applyBorder="1" applyAlignment="1">
      <alignment horizontal="right" vertical="center" shrinkToFit="1"/>
    </xf>
    <xf numFmtId="10" fontId="15" fillId="0" borderId="52" xfId="200" applyNumberFormat="1" applyFont="1" applyBorder="1" applyAlignment="1">
      <alignment horizontal="right" vertical="center" shrinkToFit="1"/>
    </xf>
    <xf numFmtId="184" fontId="15" fillId="0" borderId="52" xfId="200" applyNumberFormat="1" applyFont="1" applyBorder="1" applyAlignment="1">
      <alignment horizontal="right" vertical="center" shrinkToFit="1"/>
    </xf>
    <xf numFmtId="184" fontId="15" fillId="0" borderId="10" xfId="200" applyNumberFormat="1" applyFont="1" applyBorder="1" applyAlignment="1">
      <alignment horizontal="right" vertical="center" shrinkToFit="1"/>
    </xf>
    <xf numFmtId="184" fontId="15" fillId="0" borderId="33" xfId="200" applyNumberFormat="1" applyFont="1" applyBorder="1" applyAlignment="1">
      <alignment horizontal="right" vertical="center" shrinkToFit="1"/>
    </xf>
    <xf numFmtId="49" fontId="15" fillId="0" borderId="52" xfId="200" applyNumberFormat="1" applyFont="1" applyBorder="1" applyAlignment="1">
      <alignment horizontal="left" vertical="center" shrinkToFit="1"/>
    </xf>
    <xf numFmtId="0" fontId="15" fillId="0" borderId="52" xfId="200" applyFont="1" applyBorder="1" applyAlignment="1">
      <alignment horizontal="center" vertical="center" shrinkToFit="1"/>
    </xf>
    <xf numFmtId="0" fontId="36" fillId="0" borderId="34" xfId="0" applyFont="1" applyBorder="1" applyAlignment="1">
      <alignment horizontal="center" vertical="center" shrinkToFit="1"/>
    </xf>
    <xf numFmtId="0" fontId="39" fillId="0" borderId="0" xfId="0" applyFont="1" applyAlignment="1">
      <alignment horizontal="right" vertical="center"/>
    </xf>
    <xf numFmtId="0" fontId="15" fillId="0" borderId="40" xfId="200" applyFont="1" applyBorder="1" applyAlignment="1">
      <alignment horizontal="center" vertical="center"/>
    </xf>
    <xf numFmtId="0" fontId="15" fillId="0" borderId="27" xfId="200" applyFont="1" applyBorder="1" applyAlignment="1">
      <alignment horizontal="center" vertical="center"/>
    </xf>
    <xf numFmtId="10" fontId="15" fillId="0" borderId="27" xfId="200" applyNumberFormat="1" applyFont="1" applyBorder="1" applyAlignment="1">
      <alignment horizontal="center" vertical="center"/>
    </xf>
    <xf numFmtId="0" fontId="15" fillId="0" borderId="27" xfId="200" applyFont="1" applyBorder="1" applyAlignment="1">
      <alignment horizontal="center" vertical="center" wrapText="1"/>
    </xf>
    <xf numFmtId="0" fontId="15" fillId="12" borderId="27" xfId="0" applyFont="1" applyFill="1" applyBorder="1" applyAlignment="1">
      <alignment horizontal="center" vertical="center" wrapText="1" shrinkToFit="1"/>
    </xf>
    <xf numFmtId="0" fontId="14" fillId="13" borderId="27" xfId="0" applyFont="1" applyFill="1" applyBorder="1" applyAlignment="1">
      <alignment horizontal="center" vertical="center" wrapText="1" shrinkToFit="1"/>
    </xf>
    <xf numFmtId="0" fontId="15" fillId="12" borderId="42" xfId="0" applyFont="1" applyFill="1" applyBorder="1" applyAlignment="1">
      <alignment horizontal="center" vertical="center" wrapText="1" shrinkToFit="1"/>
    </xf>
    <xf numFmtId="0" fontId="39" fillId="0" borderId="0" xfId="0" applyFont="1" applyAlignment="1">
      <alignment horizontal="right"/>
    </xf>
    <xf numFmtId="0" fontId="15" fillId="0" borderId="29" xfId="0" applyFont="1" applyBorder="1" applyAlignment="1">
      <alignment horizontal="center" vertical="center"/>
    </xf>
    <xf numFmtId="0" fontId="15" fillId="0" borderId="9" xfId="121" applyNumberFormat="1" applyFont="1" applyFill="1" applyBorder="1" applyAlignment="1">
      <alignment horizontal="left" vertical="center" shrinkToFit="1"/>
    </xf>
    <xf numFmtId="14" fontId="15" fillId="0" borderId="9" xfId="193" applyNumberFormat="1" applyFont="1" applyBorder="1" applyAlignment="1">
      <alignment horizontal="center" vertical="center" shrinkToFit="1"/>
    </xf>
    <xf numFmtId="0" fontId="15" fillId="0" borderId="9" xfId="193" applyFont="1" applyBorder="1" applyAlignment="1">
      <alignment horizontal="center" vertical="center" shrinkToFit="1"/>
    </xf>
    <xf numFmtId="9" fontId="15" fillId="0" borderId="9" xfId="3" applyFont="1" applyFill="1" applyBorder="1" applyAlignment="1">
      <alignment horizontal="center" vertical="center" shrinkToFit="1"/>
    </xf>
    <xf numFmtId="10" fontId="15" fillId="0" borderId="9" xfId="200" applyNumberFormat="1" applyFont="1" applyBorder="1" applyAlignment="1">
      <alignment horizontal="center" vertical="center" shrinkToFit="1"/>
    </xf>
    <xf numFmtId="184" fontId="15" fillId="0" borderId="9" xfId="200" applyNumberFormat="1" applyFont="1" applyBorder="1" applyAlignment="1">
      <alignment vertical="center" shrinkToFit="1"/>
    </xf>
    <xf numFmtId="0" fontId="15" fillId="0" borderId="9" xfId="200" applyFont="1" applyBorder="1" applyAlignment="1">
      <alignment horizontal="center" vertical="center" shrinkToFit="1"/>
    </xf>
    <xf numFmtId="9" fontId="36" fillId="0" borderId="9" xfId="0" applyNumberFormat="1" applyFont="1" applyBorder="1" applyAlignment="1">
      <alignment horizontal="center"/>
    </xf>
    <xf numFmtId="184" fontId="36" fillId="0" borderId="9" xfId="121" applyNumberFormat="1" applyFont="1" applyFill="1" applyBorder="1" applyAlignment="1">
      <alignment horizontal="center"/>
    </xf>
    <xf numFmtId="0" fontId="36" fillId="0" borderId="9" xfId="121" applyNumberFormat="1" applyFont="1" applyFill="1" applyBorder="1" applyAlignment="1">
      <alignment horizontal="center" vertical="center" shrinkToFit="1"/>
    </xf>
    <xf numFmtId="184" fontId="36" fillId="0" borderId="9" xfId="121" applyNumberFormat="1" applyFont="1" applyFill="1" applyBorder="1" applyAlignment="1">
      <alignment horizontal="left" vertical="center" shrinkToFit="1"/>
    </xf>
    <xf numFmtId="49" fontId="15" fillId="0" borderId="9" xfId="121" applyNumberFormat="1" applyFont="1" applyFill="1" applyBorder="1" applyAlignment="1">
      <alignment horizontal="left" vertical="center" shrinkToFit="1"/>
    </xf>
    <xf numFmtId="0" fontId="14" fillId="0" borderId="9" xfId="121" applyNumberFormat="1" applyFont="1" applyFill="1" applyBorder="1" applyAlignment="1">
      <alignment horizontal="left" vertical="center" shrinkToFit="1"/>
    </xf>
    <xf numFmtId="184" fontId="14" fillId="0" borderId="9" xfId="200" applyNumberFormat="1" applyFont="1" applyBorder="1" applyAlignment="1">
      <alignment vertical="center" shrinkToFit="1"/>
    </xf>
    <xf numFmtId="9" fontId="3" fillId="0" borderId="9" xfId="102" applyNumberFormat="1" applyFont="1" applyFill="1" applyBorder="1" applyAlignment="1">
      <alignment horizontal="center" vertical="center"/>
    </xf>
    <xf numFmtId="184" fontId="14" fillId="7" borderId="9" xfId="200" applyNumberFormat="1" applyFont="1" applyFill="1" applyBorder="1" applyAlignment="1">
      <alignment vertical="center" shrinkToFit="1"/>
    </xf>
    <xf numFmtId="49" fontId="3" fillId="7" borderId="9" xfId="0" applyNumberFormat="1" applyFont="1" applyFill="1" applyBorder="1" applyAlignment="1" applyProtection="1">
      <alignment horizontal="left" vertical="center"/>
      <protection locked="0"/>
    </xf>
    <xf numFmtId="0" fontId="3" fillId="7" borderId="9" xfId="0" applyFont="1" applyFill="1" applyBorder="1" applyAlignment="1" applyProtection="1">
      <alignment horizontal="left" vertical="center" shrinkToFit="1"/>
      <protection locked="0"/>
    </xf>
    <xf numFmtId="9" fontId="3" fillId="7" borderId="9" xfId="3" applyFont="1" applyFill="1" applyBorder="1" applyAlignment="1" applyProtection="1">
      <alignment horizontal="center" vertical="center"/>
      <protection locked="0"/>
    </xf>
    <xf numFmtId="213" fontId="15" fillId="0" borderId="0" xfId="0" applyNumberFormat="1" applyFont="1" applyAlignment="1">
      <alignment vertical="center"/>
    </xf>
    <xf numFmtId="9" fontId="15" fillId="0" borderId="9" xfId="200" applyNumberFormat="1" applyFont="1" applyBorder="1" applyAlignment="1">
      <alignment vertical="center" shrinkToFit="1"/>
    </xf>
    <xf numFmtId="0" fontId="15" fillId="0" borderId="29" xfId="0" applyFont="1" applyBorder="1" applyAlignment="1">
      <alignment horizontal="left" vertical="center"/>
    </xf>
    <xf numFmtId="184" fontId="15" fillId="0" borderId="9" xfId="121" applyNumberFormat="1" applyFont="1" applyFill="1" applyBorder="1" applyAlignment="1">
      <alignment horizontal="left" vertical="center" shrinkToFit="1"/>
    </xf>
    <xf numFmtId="14" fontId="15" fillId="0" borderId="9" xfId="193" applyNumberFormat="1" applyFont="1" applyBorder="1" applyAlignment="1">
      <alignment horizontal="left" vertical="center" shrinkToFit="1"/>
    </xf>
    <xf numFmtId="210" fontId="15" fillId="0" borderId="9" xfId="193" applyNumberFormat="1" applyFont="1" applyBorder="1" applyAlignment="1">
      <alignment vertical="center" shrinkToFit="1"/>
    </xf>
    <xf numFmtId="184" fontId="15" fillId="0" borderId="9" xfId="121" applyNumberFormat="1" applyFont="1" applyFill="1" applyBorder="1" applyAlignment="1">
      <alignment vertical="center" shrinkToFit="1"/>
    </xf>
    <xf numFmtId="0" fontId="14" fillId="0" borderId="0" xfId="0" applyFont="1"/>
    <xf numFmtId="0" fontId="15" fillId="0" borderId="35" xfId="0" applyFont="1" applyBorder="1" applyAlignment="1">
      <alignment horizontal="left" vertical="center"/>
    </xf>
    <xf numFmtId="184" fontId="15" fillId="0" borderId="36" xfId="121" applyNumberFormat="1" applyFont="1" applyFill="1" applyBorder="1" applyAlignment="1">
      <alignment horizontal="left" vertical="center"/>
    </xf>
    <xf numFmtId="14" fontId="15" fillId="0" borderId="36" xfId="193" applyNumberFormat="1" applyFont="1" applyBorder="1" applyAlignment="1">
      <alignment horizontal="left" vertical="center"/>
    </xf>
    <xf numFmtId="210" fontId="15" fillId="0" borderId="36" xfId="0" applyNumberFormat="1" applyFont="1" applyBorder="1" applyAlignment="1">
      <alignment vertical="center"/>
    </xf>
    <xf numFmtId="184" fontId="15" fillId="0" borderId="36" xfId="121" applyNumberFormat="1" applyFont="1" applyFill="1" applyBorder="1" applyAlignment="1">
      <alignment horizontal="center" vertical="center"/>
    </xf>
    <xf numFmtId="10" fontId="15" fillId="0" borderId="36" xfId="3" applyNumberFormat="1" applyFont="1" applyFill="1" applyBorder="1" applyAlignment="1">
      <alignment vertical="center"/>
    </xf>
    <xf numFmtId="184" fontId="14" fillId="0" borderId="36" xfId="121" applyNumberFormat="1" applyFont="1" applyFill="1" applyBorder="1" applyAlignment="1" applyProtection="1">
      <alignment horizontal="right" vertical="center" shrinkToFit="1"/>
    </xf>
    <xf numFmtId="184" fontId="15" fillId="0" borderId="36" xfId="121" applyNumberFormat="1" applyFont="1" applyFill="1" applyBorder="1" applyAlignment="1">
      <alignment vertical="center" shrinkToFit="1"/>
    </xf>
    <xf numFmtId="184" fontId="15" fillId="0" borderId="36" xfId="121" applyNumberFormat="1" applyFont="1" applyFill="1" applyBorder="1" applyAlignment="1">
      <alignment horizontal="left"/>
    </xf>
    <xf numFmtId="184" fontId="14" fillId="0" borderId="36" xfId="200" applyNumberFormat="1" applyFont="1" applyBorder="1" applyAlignment="1">
      <alignment vertical="center" shrinkToFit="1"/>
    </xf>
    <xf numFmtId="0" fontId="38" fillId="0" borderId="37" xfId="0" applyFont="1" applyBorder="1" applyAlignment="1">
      <alignment horizontal="center" vertical="center"/>
    </xf>
    <xf numFmtId="0" fontId="15" fillId="7" borderId="0" xfId="193" applyFont="1" applyFill="1" applyAlignment="1">
      <alignment horizontal="left" vertical="center"/>
    </xf>
    <xf numFmtId="14" fontId="15" fillId="7" borderId="0" xfId="193" applyNumberFormat="1" applyFont="1" applyFill="1" applyAlignment="1">
      <alignment vertical="center"/>
    </xf>
    <xf numFmtId="210" fontId="15" fillId="7" borderId="0" xfId="0" applyNumberFormat="1" applyFont="1" applyFill="1" applyAlignment="1">
      <alignment vertical="center"/>
    </xf>
    <xf numFmtId="0" fontId="15" fillId="7" borderId="0" xfId="0" applyFont="1" applyFill="1" applyAlignment="1">
      <alignment horizontal="center" vertical="center"/>
    </xf>
    <xf numFmtId="10" fontId="15" fillId="7" borderId="0" xfId="3" applyNumberFormat="1" applyFont="1" applyFill="1" applyBorder="1" applyAlignment="1">
      <alignment vertical="center"/>
    </xf>
    <xf numFmtId="184" fontId="35" fillId="7" borderId="0" xfId="0" applyNumberFormat="1" applyFont="1" applyFill="1" applyAlignment="1">
      <alignment horizontal="right" vertical="center"/>
    </xf>
    <xf numFmtId="14" fontId="15" fillId="7" borderId="0" xfId="0" applyNumberFormat="1" applyFont="1" applyFill="1" applyAlignment="1">
      <alignment vertical="center"/>
    </xf>
    <xf numFmtId="0" fontId="15" fillId="7" borderId="0" xfId="0" applyFont="1" applyFill="1" applyAlignment="1">
      <alignment vertical="center"/>
    </xf>
    <xf numFmtId="184" fontId="15" fillId="0" borderId="0" xfId="0" applyNumberFormat="1" applyFont="1" applyAlignment="1">
      <alignment vertical="center"/>
    </xf>
    <xf numFmtId="0" fontId="40" fillId="7" borderId="0" xfId="0" applyFont="1" applyFill="1" applyAlignment="1">
      <alignment horizontal="center" vertical="center"/>
    </xf>
    <xf numFmtId="14" fontId="15" fillId="0" borderId="0" xfId="0" applyNumberFormat="1" applyFont="1" applyAlignment="1">
      <alignment vertical="center"/>
    </xf>
    <xf numFmtId="9" fontId="15" fillId="0" borderId="0" xfId="0" applyNumberFormat="1" applyFont="1" applyAlignment="1">
      <alignment vertical="center"/>
    </xf>
    <xf numFmtId="184" fontId="15" fillId="0" borderId="0" xfId="121" applyNumberFormat="1" applyFont="1" applyAlignment="1">
      <alignment vertical="center"/>
    </xf>
    <xf numFmtId="181" fontId="15" fillId="0" borderId="0" xfId="0" applyNumberFormat="1" applyFont="1" applyAlignment="1">
      <alignment vertical="center"/>
    </xf>
    <xf numFmtId="0" fontId="15" fillId="0" borderId="0" xfId="0" applyFont="1" applyAlignment="1">
      <alignment horizontal="center" vertical="center"/>
    </xf>
    <xf numFmtId="0" fontId="14" fillId="0" borderId="24" xfId="171" applyFont="1" applyBorder="1" applyAlignment="1">
      <alignment vertical="center"/>
    </xf>
    <xf numFmtId="14" fontId="35" fillId="0" borderId="0" xfId="0" applyNumberFormat="1" applyFont="1" applyAlignment="1">
      <alignment horizontal="center" vertical="center"/>
    </xf>
    <xf numFmtId="210" fontId="35" fillId="0" borderId="0" xfId="0" applyNumberFormat="1" applyFont="1" applyAlignment="1">
      <alignment horizontal="center" vertical="center"/>
    </xf>
    <xf numFmtId="0" fontId="35" fillId="0" borderId="22" xfId="0" applyFont="1" applyBorder="1" applyAlignment="1">
      <alignment horizontal="right" vertical="center" wrapText="1"/>
    </xf>
    <xf numFmtId="184" fontId="35" fillId="0" borderId="38" xfId="171" applyNumberFormat="1" applyFont="1" applyBorder="1" applyAlignment="1">
      <alignment horizontal="center" vertical="center" wrapText="1"/>
    </xf>
    <xf numFmtId="210" fontId="35" fillId="0" borderId="53" xfId="171" applyNumberFormat="1" applyFont="1" applyBorder="1" applyAlignment="1">
      <alignment horizontal="center" vertical="center"/>
    </xf>
    <xf numFmtId="14" fontId="35" fillId="0" borderId="53" xfId="171" applyNumberFormat="1" applyFont="1" applyBorder="1" applyAlignment="1">
      <alignment horizontal="center" vertical="center"/>
    </xf>
    <xf numFmtId="0" fontId="35" fillId="0" borderId="53" xfId="171" applyFont="1" applyBorder="1" applyAlignment="1">
      <alignment horizontal="center" vertical="center"/>
    </xf>
    <xf numFmtId="184" fontId="35" fillId="0" borderId="53" xfId="171" applyNumberFormat="1" applyFont="1" applyBorder="1" applyAlignment="1">
      <alignment vertical="center"/>
    </xf>
    <xf numFmtId="0" fontId="35" fillId="0" borderId="39" xfId="171" applyFont="1" applyBorder="1" applyAlignment="1">
      <alignment horizontal="center" vertical="center"/>
    </xf>
    <xf numFmtId="0" fontId="15" fillId="0" borderId="9" xfId="200" applyFont="1" applyBorder="1" applyAlignment="1">
      <alignment horizontal="center" vertical="center"/>
    </xf>
    <xf numFmtId="14" fontId="15" fillId="0" borderId="9" xfId="200" applyNumberFormat="1" applyFont="1" applyBorder="1" applyAlignment="1">
      <alignment horizontal="left" vertical="center"/>
    </xf>
    <xf numFmtId="210" fontId="15" fillId="0" borderId="9" xfId="121" applyNumberFormat="1" applyFont="1" applyFill="1" applyBorder="1" applyAlignment="1">
      <alignment horizontal="center" vertical="center"/>
    </xf>
    <xf numFmtId="10" fontId="15" fillId="0" borderId="9" xfId="3" applyNumberFormat="1" applyFont="1" applyFill="1" applyBorder="1" applyAlignment="1">
      <alignment horizontal="center" vertical="center"/>
    </xf>
    <xf numFmtId="184" fontId="15" fillId="0" borderId="9" xfId="121" applyNumberFormat="1" applyFont="1" applyFill="1" applyBorder="1" applyAlignment="1">
      <alignment horizontal="center" vertical="center"/>
    </xf>
    <xf numFmtId="0" fontId="15" fillId="0" borderId="9" xfId="121" applyNumberFormat="1" applyFont="1" applyFill="1" applyBorder="1" applyAlignment="1">
      <alignment horizontal="right" vertical="center" wrapText="1"/>
    </xf>
    <xf numFmtId="184" fontId="15" fillId="0" borderId="8" xfId="121" applyNumberFormat="1" applyFont="1" applyFill="1" applyBorder="1" applyAlignment="1">
      <alignment horizontal="center" vertical="center" wrapText="1"/>
    </xf>
    <xf numFmtId="14" fontId="15" fillId="0" borderId="9" xfId="121" applyNumberFormat="1" applyFont="1" applyFill="1" applyBorder="1" applyAlignment="1">
      <alignment horizontal="center" vertical="center"/>
    </xf>
    <xf numFmtId="0" fontId="15" fillId="0" borderId="9" xfId="121" applyNumberFormat="1" applyFont="1" applyFill="1" applyBorder="1" applyAlignment="1">
      <alignment horizontal="center" vertical="center"/>
    </xf>
    <xf numFmtId="184" fontId="15" fillId="0" borderId="9" xfId="121" applyNumberFormat="1" applyFont="1" applyFill="1" applyBorder="1" applyAlignment="1">
      <alignment vertical="center"/>
    </xf>
    <xf numFmtId="49" fontId="15" fillId="0" borderId="54" xfId="0" applyNumberFormat="1" applyFont="1" applyBorder="1" applyAlignment="1">
      <alignment horizontal="left" vertical="center" shrinkToFit="1"/>
    </xf>
    <xf numFmtId="49" fontId="15" fillId="0" borderId="9" xfId="0" applyNumberFormat="1" applyFont="1" applyBorder="1" applyAlignment="1">
      <alignment horizontal="left" vertical="center" shrinkToFit="1"/>
    </xf>
    <xf numFmtId="49" fontId="15" fillId="0" borderId="8" xfId="0" applyNumberFormat="1" applyFont="1" applyBorder="1" applyAlignment="1">
      <alignment horizontal="left" vertical="center" shrinkToFit="1"/>
    </xf>
    <xf numFmtId="14" fontId="15" fillId="0" borderId="9" xfId="200" applyNumberFormat="1" applyFont="1" applyBorder="1" applyAlignment="1">
      <alignment horizontal="left" vertical="center" shrinkToFit="1"/>
    </xf>
    <xf numFmtId="9" fontId="15" fillId="0" borderId="9" xfId="3" applyFont="1" applyFill="1" applyBorder="1" applyAlignment="1">
      <alignment horizontal="right" vertical="center" shrinkToFit="1"/>
    </xf>
    <xf numFmtId="10" fontId="15" fillId="0" borderId="9" xfId="3" applyNumberFormat="1" applyFont="1" applyFill="1" applyBorder="1" applyAlignment="1">
      <alignment horizontal="right" vertical="center" shrinkToFit="1"/>
    </xf>
    <xf numFmtId="184" fontId="15" fillId="0" borderId="9" xfId="121" applyNumberFormat="1" applyFont="1" applyFill="1" applyBorder="1" applyAlignment="1">
      <alignment horizontal="right" vertical="center" shrinkToFit="1"/>
    </xf>
    <xf numFmtId="184" fontId="15" fillId="0" borderId="8" xfId="121" applyNumberFormat="1" applyFont="1" applyFill="1" applyBorder="1" applyAlignment="1">
      <alignment horizontal="right" vertical="center" shrinkToFit="1"/>
    </xf>
    <xf numFmtId="184" fontId="15" fillId="0" borderId="9" xfId="200" applyNumberFormat="1" applyFont="1" applyBorder="1" applyAlignment="1">
      <alignment horizontal="right" vertical="center" shrinkToFit="1"/>
    </xf>
    <xf numFmtId="49" fontId="15" fillId="0" borderId="9" xfId="200" applyNumberFormat="1" applyFont="1" applyBorder="1" applyAlignment="1">
      <alignment horizontal="left" vertical="center" shrinkToFit="1"/>
    </xf>
    <xf numFmtId="0" fontId="36" fillId="0" borderId="32" xfId="0" applyFont="1" applyBorder="1" applyAlignment="1">
      <alignment horizontal="center" vertical="center" shrinkToFit="1"/>
    </xf>
    <xf numFmtId="0" fontId="15" fillId="0" borderId="55" xfId="200" applyFont="1" applyBorder="1" applyAlignment="1">
      <alignment horizontal="center" vertical="center"/>
    </xf>
    <xf numFmtId="0" fontId="15" fillId="0" borderId="42" xfId="200" applyFont="1" applyBorder="1" applyAlignment="1">
      <alignment horizontal="center" vertical="center"/>
    </xf>
    <xf numFmtId="0" fontId="15" fillId="0" borderId="42" xfId="200" applyFont="1" applyBorder="1" applyAlignment="1">
      <alignment horizontal="center" vertical="center" wrapText="1" shrinkToFit="1"/>
    </xf>
    <xf numFmtId="0" fontId="15" fillId="12" borderId="40" xfId="0" applyFont="1" applyFill="1" applyBorder="1" applyAlignment="1">
      <alignment horizontal="center" vertical="center" wrapText="1" shrinkToFit="1"/>
    </xf>
    <xf numFmtId="0" fontId="41" fillId="0" borderId="0" xfId="0" applyFont="1" applyAlignment="1">
      <alignment horizontal="right"/>
    </xf>
    <xf numFmtId="0" fontId="15" fillId="0" borderId="56" xfId="200" applyFont="1" applyBorder="1" applyAlignment="1">
      <alignment horizontal="center" vertical="center"/>
    </xf>
    <xf numFmtId="0" fontId="15" fillId="0" borderId="17" xfId="200" applyFont="1" applyBorder="1" applyAlignment="1">
      <alignment horizontal="center" vertical="center"/>
    </xf>
    <xf numFmtId="0" fontId="15" fillId="0" borderId="51" xfId="200" applyFont="1" applyBorder="1" applyAlignment="1">
      <alignment horizontal="center" vertical="center"/>
    </xf>
    <xf numFmtId="10" fontId="15" fillId="0" borderId="51" xfId="200" applyNumberFormat="1" applyFont="1" applyBorder="1" applyAlignment="1">
      <alignment horizontal="center" vertical="center"/>
    </xf>
    <xf numFmtId="0" fontId="15" fillId="0" borderId="31" xfId="200" applyFont="1" applyBorder="1" applyAlignment="1">
      <alignment horizontal="center" vertical="center"/>
    </xf>
    <xf numFmtId="0" fontId="15" fillId="0" borderId="51" xfId="200" applyFont="1" applyBorder="1" applyAlignment="1">
      <alignment horizontal="center" vertical="center" wrapText="1"/>
    </xf>
    <xf numFmtId="0" fontId="15" fillId="0" borderId="31" xfId="200" applyFont="1" applyBorder="1" applyAlignment="1">
      <alignment horizontal="center" vertical="center" wrapText="1" shrinkToFit="1"/>
    </xf>
    <xf numFmtId="0" fontId="15" fillId="0" borderId="17" xfId="0" applyFont="1" applyBorder="1" applyAlignment="1">
      <alignment horizontal="center" vertical="center" wrapText="1" shrinkToFit="1"/>
    </xf>
    <xf numFmtId="0" fontId="15" fillId="0" borderId="51" xfId="0" applyFont="1" applyBorder="1" applyAlignment="1">
      <alignment horizontal="center" vertical="center" wrapText="1" shrinkToFit="1"/>
    </xf>
    <xf numFmtId="0" fontId="14" fillId="0" borderId="51" xfId="0" applyFont="1" applyBorder="1" applyAlignment="1">
      <alignment horizontal="center" vertical="center" wrapText="1" shrinkToFit="1"/>
    </xf>
    <xf numFmtId="0" fontId="36" fillId="0" borderId="34" xfId="0" applyFont="1" applyBorder="1" applyAlignment="1">
      <alignment horizontal="center" vertical="center"/>
    </xf>
    <xf numFmtId="0" fontId="41" fillId="0" borderId="0" xfId="0" applyFont="1" applyAlignment="1">
      <alignment horizontal="left"/>
    </xf>
    <xf numFmtId="0" fontId="15" fillId="0" borderId="9" xfId="0" applyFont="1" applyBorder="1" applyAlignment="1">
      <alignment horizontal="left" vertical="center"/>
    </xf>
    <xf numFmtId="14" fontId="15" fillId="0" borderId="9" xfId="200" applyNumberFormat="1" applyFont="1" applyBorder="1" applyAlignment="1">
      <alignment horizontal="center" vertical="center"/>
    </xf>
    <xf numFmtId="9" fontId="15" fillId="0" borderId="9" xfId="3" applyFont="1" applyFill="1" applyBorder="1" applyAlignment="1">
      <alignment horizontal="center" vertical="center"/>
    </xf>
    <xf numFmtId="10" fontId="15" fillId="0" borderId="32" xfId="200" applyNumberFormat="1" applyFont="1" applyBorder="1" applyAlignment="1">
      <alignment horizontal="center" vertical="center" shrinkToFit="1"/>
    </xf>
    <xf numFmtId="184" fontId="15" fillId="0" borderId="8" xfId="121" applyNumberFormat="1" applyFont="1" applyFill="1" applyBorder="1" applyAlignment="1">
      <alignment vertical="center"/>
    </xf>
    <xf numFmtId="184" fontId="15" fillId="0" borderId="9" xfId="121" applyNumberFormat="1" applyFont="1" applyFill="1" applyBorder="1" applyAlignment="1">
      <alignment horizontal="right" vertical="center" wrapText="1"/>
    </xf>
    <xf numFmtId="184" fontId="15" fillId="0" borderId="32" xfId="121" applyNumberFormat="1" applyFont="1" applyFill="1" applyBorder="1" applyAlignment="1">
      <alignment horizontal="right" vertical="center"/>
    </xf>
    <xf numFmtId="0" fontId="15" fillId="0" borderId="8" xfId="200" applyFont="1" applyBorder="1" applyAlignment="1">
      <alignment horizontal="center" vertical="center" shrinkToFit="1"/>
    </xf>
    <xf numFmtId="0" fontId="15" fillId="0" borderId="33" xfId="0" applyFont="1" applyBorder="1" applyAlignment="1">
      <alignment horizontal="center" vertical="center"/>
    </xf>
    <xf numFmtId="0" fontId="14" fillId="0" borderId="52" xfId="0" applyFont="1" applyBorder="1" applyAlignment="1">
      <alignment horizontal="left" vertical="center"/>
    </xf>
    <xf numFmtId="0" fontId="15" fillId="0" borderId="52" xfId="0" applyFont="1" applyBorder="1" applyAlignment="1">
      <alignment horizontal="left" vertical="center"/>
    </xf>
    <xf numFmtId="14" fontId="15" fillId="0" borderId="52" xfId="200" applyNumberFormat="1" applyFont="1" applyBorder="1" applyAlignment="1">
      <alignment horizontal="center" vertical="center"/>
    </xf>
    <xf numFmtId="0" fontId="15" fillId="0" borderId="52" xfId="121" applyNumberFormat="1" applyFont="1" applyFill="1" applyBorder="1" applyAlignment="1">
      <alignment horizontal="center" vertical="center"/>
    </xf>
    <xf numFmtId="9" fontId="15" fillId="0" borderId="52" xfId="3" applyFont="1" applyFill="1" applyBorder="1" applyAlignment="1">
      <alignment horizontal="center" vertical="center"/>
    </xf>
    <xf numFmtId="10" fontId="15" fillId="0" borderId="34" xfId="200" applyNumberFormat="1" applyFont="1" applyBorder="1" applyAlignment="1">
      <alignment horizontal="center" vertical="center" shrinkToFit="1"/>
    </xf>
    <xf numFmtId="184" fontId="15" fillId="0" borderId="12" xfId="121" applyNumberFormat="1" applyFont="1" applyFill="1" applyBorder="1" applyAlignment="1">
      <alignment vertical="center"/>
    </xf>
    <xf numFmtId="184" fontId="15" fillId="0" borderId="11" xfId="121" applyNumberFormat="1" applyFont="1" applyFill="1" applyBorder="1" applyAlignment="1">
      <alignment horizontal="right" vertical="center" wrapText="1"/>
    </xf>
    <xf numFmtId="184" fontId="15" fillId="0" borderId="34" xfId="121" applyNumberFormat="1" applyFont="1" applyFill="1" applyBorder="1" applyAlignment="1">
      <alignment horizontal="right" vertical="center"/>
    </xf>
    <xf numFmtId="0" fontId="15" fillId="0" borderId="12" xfId="200" applyFont="1" applyBorder="1" applyAlignment="1">
      <alignment horizontal="center" vertical="center" shrinkToFit="1"/>
    </xf>
    <xf numFmtId="9" fontId="36" fillId="0" borderId="12" xfId="0" applyNumberFormat="1" applyFont="1" applyBorder="1" applyAlignment="1">
      <alignment horizontal="center"/>
    </xf>
    <xf numFmtId="184" fontId="36" fillId="0" borderId="52" xfId="121" applyNumberFormat="1" applyFont="1" applyFill="1" applyBorder="1" applyAlignment="1">
      <alignment horizontal="center"/>
    </xf>
    <xf numFmtId="0" fontId="36" fillId="0" borderId="52" xfId="121" applyNumberFormat="1" applyFont="1" applyFill="1" applyBorder="1" applyAlignment="1">
      <alignment horizontal="center" vertical="center" shrinkToFit="1"/>
    </xf>
    <xf numFmtId="184" fontId="36" fillId="0" borderId="52" xfId="121" applyNumberFormat="1" applyFont="1" applyFill="1" applyBorder="1" applyAlignment="1">
      <alignment horizontal="left" vertical="center" shrinkToFit="1"/>
    </xf>
    <xf numFmtId="184" fontId="36" fillId="0" borderId="10" xfId="121" applyNumberFormat="1" applyFont="1" applyFill="1" applyBorder="1" applyAlignment="1">
      <alignment horizontal="left" vertical="center" shrinkToFit="1"/>
    </xf>
    <xf numFmtId="0" fontId="15" fillId="0" borderId="57" xfId="0" applyFont="1" applyBorder="1" applyAlignment="1">
      <alignment horizontal="left" vertical="center"/>
    </xf>
    <xf numFmtId="0" fontId="15" fillId="0" borderId="36" xfId="0" applyFont="1" applyBorder="1" applyAlignment="1">
      <alignment horizontal="left" vertical="center"/>
    </xf>
    <xf numFmtId="14" fontId="15" fillId="0" borderId="36" xfId="200" applyNumberFormat="1" applyFont="1" applyBorder="1" applyAlignment="1">
      <alignment horizontal="left" vertical="center"/>
    </xf>
    <xf numFmtId="210" fontId="15" fillId="0" borderId="36" xfId="121" applyNumberFormat="1" applyFont="1" applyFill="1" applyBorder="1" applyAlignment="1">
      <alignment vertical="center"/>
    </xf>
    <xf numFmtId="10" fontId="15" fillId="0" borderId="36" xfId="3" applyNumberFormat="1" applyFont="1" applyFill="1" applyBorder="1" applyAlignment="1">
      <alignment horizontal="center" vertical="center"/>
    </xf>
    <xf numFmtId="10" fontId="15" fillId="0" borderId="37" xfId="3" applyNumberFormat="1" applyFont="1" applyFill="1" applyBorder="1" applyAlignment="1">
      <alignment vertical="center"/>
    </xf>
    <xf numFmtId="184" fontId="14" fillId="0" borderId="35" xfId="121" applyNumberFormat="1" applyFont="1" applyFill="1" applyBorder="1" applyAlignment="1" applyProtection="1">
      <alignment horizontal="right" vertical="center" shrinkToFit="1"/>
    </xf>
    <xf numFmtId="184" fontId="14" fillId="0" borderId="57" xfId="200" applyNumberFormat="1" applyFont="1" applyBorder="1" applyAlignment="1">
      <alignment vertical="center" shrinkToFit="1"/>
    </xf>
    <xf numFmtId="184" fontId="14" fillId="0" borderId="58" xfId="200" applyNumberFormat="1" applyFont="1" applyBorder="1" applyAlignment="1">
      <alignment vertical="center" shrinkToFit="1"/>
    </xf>
    <xf numFmtId="184" fontId="15" fillId="0" borderId="37" xfId="121" applyNumberFormat="1" applyFont="1" applyFill="1" applyBorder="1" applyAlignment="1">
      <alignment vertical="center" shrinkToFit="1"/>
    </xf>
    <xf numFmtId="184" fontId="15" fillId="0" borderId="57" xfId="200" applyNumberFormat="1" applyFont="1" applyBorder="1" applyAlignment="1">
      <alignment vertical="center" shrinkToFit="1"/>
    </xf>
    <xf numFmtId="0" fontId="15" fillId="0" borderId="36" xfId="0" applyFont="1" applyBorder="1" applyAlignment="1">
      <alignment horizontal="center"/>
    </xf>
    <xf numFmtId="0" fontId="15" fillId="0" borderId="36" xfId="200" applyFont="1" applyBorder="1" applyAlignment="1">
      <alignment horizontal="center" vertical="center" shrinkToFit="1"/>
    </xf>
    <xf numFmtId="184" fontId="15" fillId="0" borderId="59" xfId="121" applyNumberFormat="1" applyFont="1" applyFill="1" applyBorder="1" applyAlignment="1">
      <alignment vertical="center" shrinkToFit="1"/>
    </xf>
    <xf numFmtId="184" fontId="15" fillId="7" borderId="0" xfId="0" applyNumberFormat="1" applyFont="1" applyFill="1" applyAlignment="1">
      <alignment vertical="center"/>
    </xf>
    <xf numFmtId="184" fontId="15" fillId="7" borderId="0" xfId="0" applyNumberFormat="1" applyFont="1" applyFill="1" applyAlignment="1">
      <alignment horizontal="right" vertical="center"/>
    </xf>
    <xf numFmtId="0" fontId="14" fillId="7" borderId="18" xfId="0" applyFont="1" applyFill="1" applyBorder="1" applyAlignment="1">
      <alignment vertical="center"/>
    </xf>
    <xf numFmtId="0" fontId="35" fillId="7" borderId="19" xfId="0" applyFont="1" applyFill="1" applyBorder="1" applyAlignment="1">
      <alignment vertical="center"/>
    </xf>
    <xf numFmtId="0" fontId="15" fillId="7" borderId="19" xfId="0" applyFont="1" applyFill="1" applyBorder="1" applyAlignment="1">
      <alignment vertical="center"/>
    </xf>
    <xf numFmtId="0" fontId="15" fillId="7" borderId="20" xfId="0" applyFont="1" applyFill="1" applyBorder="1" applyAlignment="1">
      <alignment vertical="center"/>
    </xf>
    <xf numFmtId="10" fontId="15" fillId="7" borderId="0" xfId="0" applyNumberFormat="1" applyFont="1" applyFill="1" applyAlignment="1">
      <alignment vertical="center"/>
    </xf>
    <xf numFmtId="0" fontId="15" fillId="7" borderId="21" xfId="0" applyFont="1" applyFill="1" applyBorder="1" applyAlignment="1">
      <alignment vertical="center"/>
    </xf>
    <xf numFmtId="0" fontId="35" fillId="7" borderId="0" xfId="0" applyFont="1" applyFill="1" applyAlignment="1">
      <alignment vertical="center"/>
    </xf>
    <xf numFmtId="0" fontId="15" fillId="7" borderId="22" xfId="0" applyFont="1" applyFill="1" applyBorder="1" applyAlignment="1">
      <alignment vertical="center"/>
    </xf>
    <xf numFmtId="0" fontId="35" fillId="0" borderId="21" xfId="0" applyFont="1" applyBorder="1" applyAlignment="1">
      <alignment vertical="center"/>
    </xf>
    <xf numFmtId="184" fontId="15" fillId="11" borderId="0" xfId="0" applyNumberFormat="1" applyFont="1" applyFill="1" applyAlignment="1">
      <alignment horizontal="center" vertical="center"/>
    </xf>
    <xf numFmtId="0" fontId="15" fillId="0" borderId="22" xfId="0" applyFont="1" applyBorder="1" applyAlignment="1">
      <alignment vertical="center"/>
    </xf>
    <xf numFmtId="0" fontId="31" fillId="0" borderId="0" xfId="0" applyFont="1" applyAlignment="1">
      <alignment vertical="center"/>
    </xf>
    <xf numFmtId="0" fontId="15" fillId="0" borderId="21" xfId="0" applyFont="1" applyBorder="1" applyAlignment="1">
      <alignment vertical="center"/>
    </xf>
    <xf numFmtId="184" fontId="15" fillId="0" borderId="16" xfId="121" applyNumberFormat="1" applyFont="1" applyFill="1" applyBorder="1" applyAlignment="1">
      <alignment vertical="center"/>
    </xf>
    <xf numFmtId="184" fontId="15" fillId="14" borderId="0" xfId="121" applyNumberFormat="1" applyFont="1" applyFill="1" applyBorder="1" applyAlignment="1">
      <alignment vertical="center"/>
    </xf>
    <xf numFmtId="184" fontId="15" fillId="0" borderId="60" xfId="121" applyNumberFormat="1" applyFont="1" applyFill="1" applyBorder="1" applyAlignment="1">
      <alignment vertical="center"/>
    </xf>
    <xf numFmtId="0" fontId="42" fillId="0" borderId="22" xfId="0" applyFont="1" applyBorder="1" applyAlignment="1">
      <alignment horizontal="left" vertical="center"/>
    </xf>
    <xf numFmtId="184" fontId="15" fillId="0" borderId="0" xfId="121" applyNumberFormat="1" applyFont="1" applyFill="1" applyBorder="1" applyAlignment="1">
      <alignment horizontal="right" vertical="center"/>
    </xf>
    <xf numFmtId="0" fontId="15" fillId="0" borderId="23" xfId="0" applyFont="1" applyBorder="1" applyAlignment="1">
      <alignment vertical="center"/>
    </xf>
    <xf numFmtId="0" fontId="15" fillId="0" borderId="24" xfId="0" applyFont="1" applyBorder="1" applyAlignment="1">
      <alignment vertical="center"/>
    </xf>
    <xf numFmtId="14" fontId="15" fillId="0" borderId="25" xfId="0" applyNumberFormat="1" applyFont="1" applyBorder="1" applyAlignment="1">
      <alignment vertical="center"/>
    </xf>
    <xf numFmtId="0" fontId="35" fillId="11" borderId="18" xfId="173" applyFont="1" applyFill="1" applyBorder="1" applyAlignment="1" applyProtection="1">
      <alignment vertical="center"/>
      <protection locked="0"/>
    </xf>
    <xf numFmtId="0" fontId="36" fillId="11" borderId="19" xfId="173" applyFont="1" applyFill="1" applyBorder="1" applyAlignment="1" applyProtection="1">
      <alignment vertical="center"/>
      <protection locked="0"/>
    </xf>
    <xf numFmtId="0" fontId="36" fillId="11" borderId="20" xfId="173" applyFont="1" applyFill="1" applyBorder="1" applyAlignment="1" applyProtection="1">
      <alignment vertical="center"/>
      <protection locked="0"/>
    </xf>
    <xf numFmtId="0" fontId="36" fillId="11" borderId="21" xfId="173" applyFont="1" applyFill="1" applyBorder="1" applyAlignment="1" applyProtection="1">
      <alignment vertical="center"/>
      <protection locked="0"/>
    </xf>
    <xf numFmtId="0" fontId="36" fillId="11" borderId="0" xfId="173" applyFont="1" applyFill="1" applyAlignment="1" applyProtection="1">
      <alignment vertical="center"/>
      <protection locked="0"/>
    </xf>
    <xf numFmtId="0" fontId="36" fillId="11" borderId="22" xfId="173" applyFont="1" applyFill="1" applyBorder="1" applyAlignment="1" applyProtection="1">
      <alignment vertical="center"/>
      <protection locked="0"/>
    </xf>
    <xf numFmtId="0" fontId="38" fillId="11" borderId="21" xfId="173" applyFont="1" applyFill="1" applyBorder="1" applyAlignment="1" applyProtection="1">
      <alignment vertical="center"/>
      <protection locked="0"/>
    </xf>
    <xf numFmtId="0" fontId="36" fillId="11" borderId="61" xfId="173" applyFont="1" applyFill="1" applyBorder="1" applyAlignment="1" applyProtection="1">
      <alignment vertical="center"/>
      <protection locked="0"/>
    </xf>
    <xf numFmtId="0" fontId="36" fillId="11" borderId="62" xfId="173" applyFont="1" applyFill="1" applyBorder="1" applyAlignment="1" applyProtection="1">
      <alignment horizontal="right" vertical="center"/>
      <protection locked="0"/>
    </xf>
    <xf numFmtId="0" fontId="36" fillId="11" borderId="63" xfId="173" applyFont="1" applyFill="1" applyBorder="1" applyAlignment="1" applyProtection="1">
      <alignment horizontal="right" vertical="center"/>
      <protection locked="0"/>
    </xf>
    <xf numFmtId="0" fontId="36" fillId="11" borderId="64" xfId="173" applyFont="1" applyFill="1" applyBorder="1" applyAlignment="1" applyProtection="1">
      <alignment vertical="center"/>
      <protection locked="0"/>
    </xf>
    <xf numFmtId="0" fontId="36" fillId="11" borderId="0" xfId="173" applyFont="1" applyFill="1" applyAlignment="1" applyProtection="1">
      <alignment horizontal="right" vertical="center"/>
      <protection locked="0"/>
    </xf>
    <xf numFmtId="0" fontId="36" fillId="11" borderId="65" xfId="173" applyFont="1" applyFill="1" applyBorder="1" applyAlignment="1" applyProtection="1">
      <alignment horizontal="right" vertical="center"/>
      <protection locked="0"/>
    </xf>
    <xf numFmtId="184" fontId="36" fillId="11" borderId="0" xfId="121" applyNumberFormat="1" applyFont="1" applyFill="1" applyBorder="1" applyAlignment="1" applyProtection="1">
      <alignment vertical="center"/>
    </xf>
    <xf numFmtId="184" fontId="36" fillId="11" borderId="65" xfId="121" applyNumberFormat="1" applyFont="1" applyFill="1" applyBorder="1" applyAlignment="1" applyProtection="1">
      <alignment vertical="center"/>
    </xf>
    <xf numFmtId="184" fontId="36" fillId="11" borderId="66" xfId="173" applyNumberFormat="1" applyFont="1" applyFill="1" applyBorder="1" applyAlignment="1">
      <alignment vertical="center"/>
    </xf>
    <xf numFmtId="184" fontId="36" fillId="11" borderId="65" xfId="173" applyNumberFormat="1" applyFont="1" applyFill="1" applyBorder="1" applyAlignment="1" applyProtection="1">
      <alignment vertical="center"/>
      <protection locked="0"/>
    </xf>
    <xf numFmtId="0" fontId="36" fillId="11" borderId="67" xfId="173" applyFont="1" applyFill="1" applyBorder="1" applyAlignment="1" applyProtection="1">
      <alignment vertical="center"/>
      <protection locked="0"/>
    </xf>
    <xf numFmtId="0" fontId="35" fillId="11" borderId="68" xfId="173" applyFont="1" applyFill="1" applyBorder="1" applyAlignment="1">
      <alignment horizontal="right" vertical="center"/>
    </xf>
    <xf numFmtId="0" fontId="36" fillId="11" borderId="69" xfId="173" applyFont="1" applyFill="1" applyBorder="1" applyAlignment="1" applyProtection="1">
      <alignment vertical="center"/>
      <protection locked="0"/>
    </xf>
    <xf numFmtId="0" fontId="35" fillId="11" borderId="61" xfId="173" applyFont="1" applyFill="1" applyBorder="1" applyAlignment="1" applyProtection="1">
      <alignment vertical="center"/>
      <protection locked="0"/>
    </xf>
    <xf numFmtId="0" fontId="36" fillId="11" borderId="62" xfId="173" applyFont="1" applyFill="1" applyBorder="1" applyAlignment="1" applyProtection="1">
      <alignment vertical="center"/>
      <protection locked="0"/>
    </xf>
    <xf numFmtId="184" fontId="36" fillId="11" borderId="63" xfId="121" applyNumberFormat="1" applyFont="1" applyFill="1" applyBorder="1" applyAlignment="1" applyProtection="1">
      <alignment horizontal="center" vertical="center"/>
    </xf>
    <xf numFmtId="213" fontId="36" fillId="11" borderId="0" xfId="173" applyNumberFormat="1" applyFont="1" applyFill="1" applyAlignment="1" applyProtection="1">
      <alignment vertical="center"/>
      <protection locked="0"/>
    </xf>
    <xf numFmtId="0" fontId="36" fillId="11" borderId="68" xfId="173" applyFont="1" applyFill="1" applyBorder="1" applyAlignment="1" applyProtection="1">
      <alignment vertical="center"/>
      <protection locked="0"/>
    </xf>
    <xf numFmtId="184" fontId="36" fillId="11" borderId="69" xfId="121" applyNumberFormat="1" applyFont="1" applyFill="1" applyBorder="1" applyAlignment="1" applyProtection="1">
      <alignment vertical="center"/>
    </xf>
    <xf numFmtId="184" fontId="36" fillId="11" borderId="0" xfId="173" applyNumberFormat="1" applyFont="1" applyFill="1" applyAlignment="1" applyProtection="1">
      <alignment vertical="center"/>
      <protection locked="0"/>
    </xf>
    <xf numFmtId="0" fontId="36" fillId="11" borderId="23" xfId="173" applyFont="1" applyFill="1" applyBorder="1" applyAlignment="1" applyProtection="1">
      <alignment vertical="center"/>
      <protection locked="0"/>
    </xf>
    <xf numFmtId="0" fontId="36" fillId="11" borderId="24" xfId="173" applyFont="1" applyFill="1" applyBorder="1" applyAlignment="1" applyProtection="1">
      <alignment vertical="center"/>
      <protection locked="0"/>
    </xf>
    <xf numFmtId="0" fontId="36" fillId="11" borderId="25" xfId="173" applyFont="1" applyFill="1" applyBorder="1" applyAlignment="1" applyProtection="1">
      <alignment vertical="center"/>
      <protection locked="0"/>
    </xf>
    <xf numFmtId="0" fontId="15" fillId="11" borderId="18" xfId="0" applyFont="1" applyFill="1" applyBorder="1" applyAlignment="1">
      <alignment vertical="center"/>
    </xf>
    <xf numFmtId="0" fontId="15" fillId="11" borderId="19" xfId="0" applyFont="1" applyFill="1" applyBorder="1" applyAlignment="1">
      <alignment vertical="center"/>
    </xf>
    <xf numFmtId="14" fontId="15" fillId="11" borderId="19" xfId="0" applyNumberFormat="1" applyFont="1" applyFill="1" applyBorder="1" applyAlignment="1">
      <alignment vertical="center"/>
    </xf>
    <xf numFmtId="10" fontId="15" fillId="11" borderId="19" xfId="0" applyNumberFormat="1" applyFont="1" applyFill="1" applyBorder="1" applyAlignment="1">
      <alignment vertical="center"/>
    </xf>
    <xf numFmtId="0" fontId="15" fillId="11" borderId="20" xfId="0" applyFont="1" applyFill="1" applyBorder="1" applyAlignment="1">
      <alignment vertical="center"/>
    </xf>
    <xf numFmtId="0" fontId="14" fillId="11" borderId="21" xfId="0" applyFont="1" applyFill="1" applyBorder="1" applyAlignment="1">
      <alignment vertical="center"/>
    </xf>
    <xf numFmtId="0" fontId="15" fillId="11" borderId="0" xfId="0" applyFont="1" applyFill="1" applyAlignment="1">
      <alignment vertical="center"/>
    </xf>
    <xf numFmtId="14" fontId="15" fillId="11" borderId="0" xfId="0" applyNumberFormat="1" applyFont="1" applyFill="1" applyAlignment="1">
      <alignment vertical="center"/>
    </xf>
    <xf numFmtId="10" fontId="15" fillId="11" borderId="0" xfId="0" applyNumberFormat="1" applyFont="1" applyFill="1" applyAlignment="1">
      <alignment vertical="center"/>
    </xf>
    <xf numFmtId="0" fontId="15" fillId="11" borderId="22" xfId="0" applyFont="1" applyFill="1" applyBorder="1" applyAlignment="1">
      <alignment vertical="center"/>
    </xf>
    <xf numFmtId="0" fontId="15" fillId="11" borderId="21" xfId="0" applyFont="1" applyFill="1" applyBorder="1" applyAlignment="1">
      <alignment vertical="center"/>
    </xf>
    <xf numFmtId="0" fontId="15" fillId="11" borderId="70" xfId="0" applyFont="1" applyFill="1" applyBorder="1" applyAlignment="1">
      <alignment vertical="center"/>
    </xf>
    <xf numFmtId="0" fontId="15" fillId="11" borderId="71" xfId="0" applyFont="1" applyFill="1" applyBorder="1" applyAlignment="1">
      <alignment horizontal="left" vertical="center"/>
    </xf>
    <xf numFmtId="14" fontId="15" fillId="11" borderId="71" xfId="0" applyNumberFormat="1" applyFont="1" applyFill="1" applyBorder="1" applyAlignment="1">
      <alignment horizontal="left" vertical="center"/>
    </xf>
    <xf numFmtId="0" fontId="15" fillId="11" borderId="72" xfId="0" applyFont="1" applyFill="1" applyBorder="1" applyAlignment="1">
      <alignment horizontal="left" vertical="center"/>
    </xf>
    <xf numFmtId="9" fontId="15" fillId="11" borderId="71" xfId="3" applyFont="1" applyFill="1" applyBorder="1" applyAlignment="1">
      <alignment horizontal="left" vertical="center"/>
    </xf>
    <xf numFmtId="0" fontId="15" fillId="11" borderId="23" xfId="0" applyFont="1" applyFill="1" applyBorder="1" applyAlignment="1">
      <alignment vertical="center"/>
    </xf>
    <xf numFmtId="0" fontId="15" fillId="11" borderId="24" xfId="0" applyFont="1" applyFill="1" applyBorder="1" applyAlignment="1">
      <alignment vertical="center"/>
    </xf>
    <xf numFmtId="14" fontId="15" fillId="11" borderId="24" xfId="0" applyNumberFormat="1" applyFont="1" applyFill="1" applyBorder="1" applyAlignment="1">
      <alignment vertical="center"/>
    </xf>
    <xf numFmtId="10" fontId="15" fillId="11" borderId="24" xfId="0" applyNumberFormat="1" applyFont="1" applyFill="1" applyBorder="1" applyAlignment="1">
      <alignment vertical="center"/>
    </xf>
    <xf numFmtId="0" fontId="15" fillId="11" borderId="25" xfId="0" applyFont="1" applyFill="1" applyBorder="1" applyAlignment="1">
      <alignment vertical="center"/>
    </xf>
    <xf numFmtId="0" fontId="3" fillId="0" borderId="0" xfId="173" applyFont="1" applyAlignment="1">
      <alignment vertical="center"/>
    </xf>
    <xf numFmtId="0" fontId="43" fillId="0" borderId="0" xfId="186" applyFont="1" applyAlignment="1">
      <alignment vertical="center"/>
    </xf>
    <xf numFmtId="0" fontId="44" fillId="0" borderId="0" xfId="0" applyFont="1" applyAlignment="1">
      <alignment vertical="center"/>
    </xf>
    <xf numFmtId="0" fontId="45" fillId="0" borderId="0" xfId="0" applyFont="1" applyAlignment="1">
      <alignment vertical="center"/>
    </xf>
    <xf numFmtId="0" fontId="43" fillId="0" borderId="0" xfId="173" applyFont="1" applyAlignment="1">
      <alignment vertical="center"/>
    </xf>
    <xf numFmtId="0" fontId="46" fillId="15" borderId="0" xfId="0" applyFont="1" applyFill="1" applyAlignment="1">
      <alignment vertical="center"/>
    </xf>
    <xf numFmtId="0" fontId="44" fillId="15" borderId="0" xfId="0" applyFont="1" applyFill="1" applyAlignment="1">
      <alignment vertical="center"/>
    </xf>
    <xf numFmtId="0" fontId="16" fillId="15" borderId="0" xfId="0" applyFont="1" applyFill="1" applyAlignment="1">
      <alignment vertical="center"/>
    </xf>
    <xf numFmtId="0" fontId="45" fillId="15" borderId="0" xfId="173" applyFont="1" applyFill="1" applyAlignment="1">
      <alignment vertical="center"/>
    </xf>
    <xf numFmtId="0" fontId="47" fillId="0" borderId="40" xfId="0" applyFont="1" applyBorder="1" applyAlignment="1" applyProtection="1">
      <alignment horizontal="center" vertical="center"/>
      <protection locked="0"/>
    </xf>
    <xf numFmtId="0" fontId="48" fillId="0" borderId="27"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48" fillId="16" borderId="41" xfId="0" applyFont="1" applyFill="1" applyBorder="1" applyAlignment="1" applyProtection="1">
      <alignment horizontal="center" vertical="center" wrapText="1"/>
      <protection locked="0"/>
    </xf>
    <xf numFmtId="0" fontId="2" fillId="0" borderId="9" xfId="173" applyFont="1" applyBorder="1" applyAlignment="1">
      <alignment horizontal="center" vertical="center"/>
    </xf>
    <xf numFmtId="0" fontId="3" fillId="7" borderId="29" xfId="0" applyFont="1" applyFill="1" applyBorder="1" applyAlignment="1" applyProtection="1">
      <alignment horizontal="left" vertical="center" wrapText="1"/>
      <protection locked="0"/>
    </xf>
    <xf numFmtId="14" fontId="3" fillId="7" borderId="9" xfId="0" applyNumberFormat="1" applyFont="1" applyFill="1" applyBorder="1" applyAlignment="1" applyProtection="1">
      <alignment horizontal="left" vertical="center" shrinkToFit="1"/>
      <protection locked="0"/>
    </xf>
    <xf numFmtId="9" fontId="3" fillId="7" borderId="9" xfId="3" applyFont="1" applyFill="1" applyBorder="1" applyAlignment="1" applyProtection="1">
      <alignment horizontal="left" vertical="center"/>
      <protection locked="0"/>
    </xf>
    <xf numFmtId="184" fontId="3" fillId="0" borderId="51" xfId="121" applyNumberFormat="1" applyFont="1" applyBorder="1" applyAlignment="1" applyProtection="1">
      <alignment horizontal="left" vertical="center"/>
      <protection locked="0"/>
    </xf>
    <xf numFmtId="184" fontId="3" fillId="7" borderId="9" xfId="121" applyNumberFormat="1" applyFont="1" applyFill="1" applyBorder="1" applyAlignment="1" applyProtection="1">
      <alignment horizontal="left" vertical="center"/>
      <protection locked="0"/>
    </xf>
    <xf numFmtId="184" fontId="3" fillId="7" borderId="52" xfId="121" applyNumberFormat="1" applyFont="1" applyFill="1" applyBorder="1" applyAlignment="1" applyProtection="1">
      <alignment horizontal="center" vertical="center"/>
      <protection locked="0"/>
    </xf>
    <xf numFmtId="184" fontId="3" fillId="0" borderId="52" xfId="121" applyNumberFormat="1" applyFont="1" applyFill="1" applyBorder="1" applyAlignment="1" applyProtection="1">
      <alignment horizontal="center" vertical="center"/>
      <protection locked="0"/>
    </xf>
    <xf numFmtId="184" fontId="2" fillId="0" borderId="1" xfId="173" applyNumberFormat="1" applyFont="1" applyBorder="1" applyAlignment="1">
      <alignment horizontal="center" vertical="center"/>
    </xf>
    <xf numFmtId="0" fontId="2" fillId="7" borderId="9" xfId="173" applyFont="1" applyFill="1" applyBorder="1" applyAlignment="1">
      <alignment vertical="center"/>
    </xf>
    <xf numFmtId="213" fontId="4" fillId="0" borderId="0" xfId="0" applyNumberFormat="1" applyFont="1"/>
    <xf numFmtId="184" fontId="3" fillId="7" borderId="73" xfId="121" applyNumberFormat="1" applyFont="1" applyFill="1" applyBorder="1" applyAlignment="1" applyProtection="1">
      <alignment horizontal="center" vertical="center"/>
      <protection locked="0"/>
    </xf>
    <xf numFmtId="184" fontId="3" fillId="0" borderId="73" xfId="121" applyNumberFormat="1" applyFont="1" applyFill="1" applyBorder="1" applyAlignment="1" applyProtection="1">
      <alignment horizontal="center" vertical="center"/>
      <protection locked="0"/>
    </xf>
    <xf numFmtId="213" fontId="49" fillId="0" borderId="0" xfId="0" applyNumberFormat="1" applyFont="1"/>
    <xf numFmtId="184" fontId="3" fillId="7" borderId="51" xfId="121" applyNumberFormat="1" applyFont="1" applyFill="1" applyBorder="1" applyAlignment="1" applyProtection="1">
      <alignment horizontal="center" vertical="center"/>
      <protection locked="0"/>
    </xf>
    <xf numFmtId="184" fontId="3" fillId="0" borderId="51" xfId="121" applyNumberFormat="1" applyFont="1" applyFill="1" applyBorder="1" applyAlignment="1" applyProtection="1">
      <alignment horizontal="center" vertical="center"/>
      <protection locked="0"/>
    </xf>
    <xf numFmtId="0" fontId="49" fillId="0" borderId="0" xfId="0" applyFont="1"/>
    <xf numFmtId="213" fontId="2" fillId="0" borderId="0" xfId="0" applyNumberFormat="1" applyFont="1"/>
    <xf numFmtId="0" fontId="4" fillId="0" borderId="0" xfId="0" applyFont="1" applyAlignment="1">
      <alignment horizontal="left"/>
    </xf>
    <xf numFmtId="0" fontId="21" fillId="0" borderId="10" xfId="0" applyFont="1" applyBorder="1" applyAlignment="1">
      <alignment vertical="top"/>
    </xf>
    <xf numFmtId="0" fontId="4" fillId="0" borderId="11" xfId="0" applyFont="1" applyBorder="1" applyAlignment="1">
      <alignment vertical="top"/>
    </xf>
    <xf numFmtId="0" fontId="4" fillId="0" borderId="11" xfId="0" applyFont="1" applyBorder="1"/>
    <xf numFmtId="0" fontId="4" fillId="0" borderId="12" xfId="0" applyFont="1" applyBorder="1"/>
    <xf numFmtId="4" fontId="4" fillId="0" borderId="0" xfId="0" applyNumberFormat="1" applyFont="1"/>
    <xf numFmtId="213" fontId="4" fillId="0" borderId="0" xfId="0" applyNumberFormat="1" applyFont="1" applyAlignment="1">
      <alignment horizontal="left"/>
    </xf>
    <xf numFmtId="0" fontId="4" fillId="0" borderId="15" xfId="0" applyFont="1" applyBorder="1" applyAlignment="1">
      <alignment vertical="top"/>
    </xf>
    <xf numFmtId="0" fontId="4" fillId="0" borderId="16" xfId="0" applyFont="1" applyBorder="1" applyAlignment="1">
      <alignment vertical="top"/>
    </xf>
    <xf numFmtId="0" fontId="4" fillId="0" borderId="16" xfId="0" applyFont="1" applyBorder="1"/>
    <xf numFmtId="0" fontId="4" fillId="0" borderId="17" xfId="0" applyFont="1" applyBorder="1"/>
    <xf numFmtId="215" fontId="4" fillId="0" borderId="0" xfId="0" applyNumberFormat="1" applyFont="1" applyAlignment="1">
      <alignment horizontal="left"/>
    </xf>
    <xf numFmtId="211" fontId="4" fillId="0" borderId="0" xfId="0" applyNumberFormat="1" applyFont="1"/>
    <xf numFmtId="0" fontId="4" fillId="0" borderId="0" xfId="0" applyFont="1" applyAlignment="1">
      <alignment vertical="top"/>
    </xf>
    <xf numFmtId="4" fontId="0" fillId="0" borderId="0" xfId="170" applyNumberFormat="1" applyFont="1"/>
    <xf numFmtId="216" fontId="2" fillId="0" borderId="0" xfId="0" applyNumberFormat="1" applyFont="1"/>
    <xf numFmtId="216" fontId="4" fillId="0" borderId="0" xfId="0" applyNumberFormat="1" applyFont="1"/>
    <xf numFmtId="49" fontId="0" fillId="0" borderId="0" xfId="0" applyNumberFormat="1"/>
    <xf numFmtId="0" fontId="2" fillId="7" borderId="0" xfId="0" applyFont="1" applyFill="1"/>
    <xf numFmtId="0" fontId="5" fillId="7" borderId="0" xfId="0" applyFont="1" applyFill="1" applyAlignment="1">
      <alignment vertical="center"/>
    </xf>
    <xf numFmtId="0" fontId="7" fillId="3" borderId="1"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9" fillId="17" borderId="1" xfId="0" applyFont="1" applyFill="1" applyBorder="1" applyAlignment="1">
      <alignment vertical="center"/>
    </xf>
    <xf numFmtId="0" fontId="13" fillId="17" borderId="7" xfId="0" applyFont="1" applyFill="1" applyBorder="1" applyAlignment="1">
      <alignment vertical="center" wrapText="1"/>
    </xf>
    <xf numFmtId="0" fontId="13" fillId="17" borderId="8" xfId="0" applyFont="1" applyFill="1" applyBorder="1" applyAlignment="1">
      <alignment vertical="center" wrapText="1"/>
    </xf>
    <xf numFmtId="0" fontId="16" fillId="7" borderId="0" xfId="0" applyFont="1" applyFill="1" applyAlignment="1">
      <alignment vertical="center"/>
    </xf>
    <xf numFmtId="0" fontId="50" fillId="0" borderId="0" xfId="0" applyFont="1" applyAlignment="1">
      <alignment vertical="center"/>
    </xf>
    <xf numFmtId="0" fontId="50" fillId="0" borderId="0" xfId="0" applyFont="1" applyAlignment="1">
      <alignment horizontal="right" vertical="center"/>
    </xf>
    <xf numFmtId="0" fontId="3" fillId="0" borderId="0" xfId="176" applyFont="1" applyAlignment="1" applyProtection="1">
      <alignment horizontal="left" vertical="center" wrapText="1"/>
      <protection locked="0"/>
    </xf>
    <xf numFmtId="0" fontId="50" fillId="0" borderId="0" xfId="0" applyFont="1" applyAlignment="1">
      <alignment horizontal="left" vertical="center"/>
    </xf>
    <xf numFmtId="0" fontId="51" fillId="0" borderId="0" xfId="0" applyFont="1" applyAlignment="1">
      <alignment horizontal="left" vertical="center" wrapText="1"/>
    </xf>
    <xf numFmtId="0" fontId="13" fillId="0" borderId="0" xfId="0" applyFont="1" applyAlignment="1">
      <alignment horizontal="center" vertical="center"/>
    </xf>
    <xf numFmtId="0" fontId="5" fillId="0" borderId="0" xfId="0" applyFont="1" applyAlignment="1">
      <alignment horizontal="left" vertical="center"/>
    </xf>
    <xf numFmtId="0" fontId="12" fillId="0" borderId="16" xfId="0" applyFont="1" applyBorder="1" applyAlignment="1">
      <alignment horizontal="center" vertical="center" wrapText="1"/>
    </xf>
    <xf numFmtId="184" fontId="5" fillId="18" borderId="0" xfId="87" applyNumberFormat="1" applyFont="1" applyFill="1" applyAlignment="1">
      <alignment horizontal="right" vertical="center" shrinkToFit="1"/>
    </xf>
    <xf numFmtId="0" fontId="16" fillId="0" borderId="0" xfId="0" applyFont="1" applyAlignment="1">
      <alignment horizontal="left" vertical="center"/>
    </xf>
    <xf numFmtId="184" fontId="5" fillId="0" borderId="0" xfId="87" applyNumberFormat="1" applyFont="1" applyAlignment="1">
      <alignment horizontal="right" vertical="center" shrinkToFit="1"/>
    </xf>
    <xf numFmtId="0" fontId="3" fillId="0" borderId="11" xfId="0" applyFont="1" applyBorder="1" applyAlignment="1">
      <alignment horizontal="left" vertical="center"/>
    </xf>
    <xf numFmtId="0" fontId="5" fillId="0" borderId="11" xfId="0" applyFont="1" applyBorder="1" applyAlignment="1">
      <alignment vertical="center"/>
    </xf>
    <xf numFmtId="184" fontId="5" fillId="0" borderId="11" xfId="87" applyNumberFormat="1" applyFont="1" applyBorder="1" applyAlignment="1">
      <alignment horizontal="right" vertical="center" shrinkToFit="1"/>
    </xf>
    <xf numFmtId="0" fontId="12" fillId="0" borderId="0" xfId="162" applyFont="1" applyFill="1" applyAlignment="1" applyProtection="1">
      <alignment horizontal="left" vertical="center"/>
      <protection locked="0"/>
    </xf>
    <xf numFmtId="0" fontId="3" fillId="0" borderId="9" xfId="0" applyFont="1" applyBorder="1" applyAlignment="1">
      <alignment horizontal="center" vertical="center"/>
    </xf>
    <xf numFmtId="184" fontId="5" fillId="0" borderId="0" xfId="87" applyNumberFormat="1" applyFont="1" applyBorder="1" applyAlignment="1">
      <alignment vertical="center"/>
    </xf>
    <xf numFmtId="0" fontId="12" fillId="0" borderId="0" xfId="0" applyFont="1" applyAlignment="1">
      <alignment vertical="center" wrapText="1"/>
    </xf>
    <xf numFmtId="0" fontId="12" fillId="0" borderId="11" xfId="0" applyFont="1" applyBorder="1" applyAlignment="1">
      <alignment vertical="center" wrapText="1"/>
    </xf>
    <xf numFmtId="184" fontId="3" fillId="0" borderId="11" xfId="0" applyNumberFormat="1" applyFont="1" applyBorder="1" applyAlignment="1">
      <alignment horizontal="right" vertical="center" shrinkToFit="1"/>
    </xf>
    <xf numFmtId="184" fontId="22" fillId="0" borderId="0" xfId="87" applyNumberFormat="1" applyFont="1" applyBorder="1" applyAlignment="1">
      <alignment vertical="center"/>
    </xf>
    <xf numFmtId="184" fontId="22" fillId="0" borderId="0" xfId="202" applyNumberFormat="1" applyFont="1" applyAlignment="1">
      <alignment vertical="center"/>
    </xf>
    <xf numFmtId="0" fontId="16" fillId="7" borderId="0" xfId="0" applyFont="1" applyFill="1" applyAlignment="1">
      <alignment horizontal="center" vertical="center"/>
    </xf>
    <xf numFmtId="0" fontId="22" fillId="7" borderId="0" xfId="202" applyFont="1" applyFill="1" applyAlignment="1">
      <alignment vertical="center"/>
    </xf>
    <xf numFmtId="0" fontId="3" fillId="0" borderId="0" xfId="202" applyFont="1" applyAlignment="1">
      <alignment horizontal="left" vertical="center" wrapText="1"/>
    </xf>
    <xf numFmtId="0" fontId="16" fillId="7" borderId="0" xfId="0" applyFont="1" applyFill="1"/>
    <xf numFmtId="0" fontId="25" fillId="0" borderId="10" xfId="0" applyFont="1" applyBorder="1" applyAlignment="1">
      <alignment vertical="center"/>
    </xf>
    <xf numFmtId="0" fontId="45" fillId="0" borderId="11" xfId="0" applyFont="1" applyBorder="1" applyAlignment="1" applyProtection="1">
      <alignment vertical="center"/>
      <protection locked="0"/>
    </xf>
    <xf numFmtId="0" fontId="45" fillId="0" borderId="12" xfId="0" applyFont="1" applyBorder="1" applyAlignment="1" applyProtection="1">
      <alignment vertical="center"/>
      <protection locked="0"/>
    </xf>
    <xf numFmtId="0" fontId="5" fillId="0" borderId="13" xfId="0" applyFont="1" applyBorder="1" applyAlignment="1" applyProtection="1">
      <alignment horizontal="left" vertical="center" wrapText="1" indent="2"/>
      <protection locked="0"/>
    </xf>
    <xf numFmtId="0" fontId="3" fillId="0" borderId="0" xfId="0" applyFont="1" applyAlignment="1" applyProtection="1">
      <alignment horizontal="left" vertical="center" wrapText="1" indent="2"/>
      <protection locked="0"/>
    </xf>
    <xf numFmtId="0" fontId="3" fillId="0" borderId="14" xfId="0" applyFont="1" applyBorder="1" applyAlignment="1" applyProtection="1">
      <alignment horizontal="left" vertical="center" wrapText="1" indent="2"/>
      <protection locked="0"/>
    </xf>
    <xf numFmtId="0" fontId="3" fillId="0" borderId="13" xfId="0" applyFont="1" applyBorder="1" applyAlignment="1" applyProtection="1">
      <alignment horizontal="left" vertical="center" wrapText="1" indent="2"/>
      <protection locked="0"/>
    </xf>
    <xf numFmtId="0" fontId="5" fillId="0" borderId="15" xfId="0" applyFont="1" applyBorder="1" applyAlignment="1" applyProtection="1">
      <alignment horizontal="left" vertical="center" wrapText="1" indent="2"/>
      <protection locked="0"/>
    </xf>
    <xf numFmtId="0" fontId="3" fillId="0" borderId="16" xfId="0" applyFont="1" applyBorder="1" applyAlignment="1" applyProtection="1">
      <alignment horizontal="left" vertical="center" wrapText="1" indent="2"/>
      <protection locked="0"/>
    </xf>
    <xf numFmtId="0" fontId="3" fillId="0" borderId="17" xfId="0" applyFont="1" applyBorder="1" applyAlignment="1" applyProtection="1">
      <alignment horizontal="left" vertical="center" wrapText="1" indent="2"/>
      <protection locked="0"/>
    </xf>
    <xf numFmtId="184" fontId="16" fillId="0" borderId="0" xfId="87" applyNumberFormat="1" applyFont="1" applyFill="1" applyBorder="1" applyAlignment="1">
      <alignment horizontal="center" vertical="center"/>
    </xf>
    <xf numFmtId="184" fontId="3" fillId="0" borderId="0" xfId="87" applyNumberFormat="1" applyFont="1" applyFill="1" applyBorder="1" applyAlignment="1">
      <alignment vertical="center"/>
    </xf>
    <xf numFmtId="0" fontId="16" fillId="6" borderId="7" xfId="0" applyFont="1" applyFill="1" applyBorder="1" applyAlignment="1">
      <alignment horizontal="center" vertical="center"/>
    </xf>
    <xf numFmtId="0" fontId="12" fillId="10" borderId="51" xfId="0" applyFont="1" applyFill="1" applyBorder="1" applyAlignment="1">
      <alignment horizontal="center" vertical="center" wrapText="1"/>
    </xf>
    <xf numFmtId="0" fontId="12" fillId="0" borderId="9" xfId="0" applyFont="1" applyBorder="1" applyAlignment="1">
      <alignment horizontal="center" vertical="center" shrinkToFit="1"/>
    </xf>
    <xf numFmtId="0" fontId="2" fillId="0" borderId="9" xfId="175" applyFont="1" applyBorder="1" applyAlignment="1">
      <alignment horizontal="left" vertical="center" shrinkToFit="1"/>
    </xf>
    <xf numFmtId="184" fontId="3" fillId="0" borderId="9" xfId="103" applyFont="1" applyFill="1" applyBorder="1" applyAlignment="1">
      <alignment horizontal="right" vertical="center" shrinkToFit="1"/>
    </xf>
    <xf numFmtId="184" fontId="3" fillId="0" borderId="9" xfId="87" applyNumberFormat="1" applyFont="1" applyFill="1" applyBorder="1" applyAlignment="1">
      <alignment horizontal="right" vertical="center" shrinkToFit="1"/>
    </xf>
    <xf numFmtId="0" fontId="3" fillId="0" borderId="9" xfId="87" applyNumberFormat="1" applyFont="1" applyFill="1" applyBorder="1" applyAlignment="1">
      <alignment horizontal="left" vertical="center" shrinkToFit="1"/>
    </xf>
    <xf numFmtId="49" fontId="3" fillId="0" borderId="9" xfId="0" applyNumberFormat="1" applyFont="1" applyBorder="1" applyAlignment="1">
      <alignment horizontal="left" vertical="center" shrinkToFit="1"/>
    </xf>
    <xf numFmtId="14" fontId="2" fillId="0" borderId="0" xfId="0" applyNumberFormat="1" applyFont="1"/>
    <xf numFmtId="217" fontId="25" fillId="7" borderId="10" xfId="221" applyNumberFormat="1" applyFont="1" applyFill="1" applyBorder="1" applyAlignment="1" applyProtection="1">
      <alignment horizontal="left" vertical="center" wrapText="1"/>
      <protection locked="0"/>
    </xf>
    <xf numFmtId="217" fontId="25" fillId="7" borderId="11" xfId="221" applyNumberFormat="1" applyFont="1" applyFill="1" applyBorder="1" applyAlignment="1" applyProtection="1">
      <alignment horizontal="left" vertical="center" wrapText="1"/>
      <protection locked="0"/>
    </xf>
    <xf numFmtId="217" fontId="25" fillId="7" borderId="12" xfId="221" applyNumberFormat="1" applyFont="1" applyFill="1" applyBorder="1" applyAlignment="1" applyProtection="1">
      <alignment horizontal="left" vertical="center" wrapText="1"/>
      <protection locked="0"/>
    </xf>
    <xf numFmtId="217" fontId="25" fillId="7" borderId="13" xfId="221" applyNumberFormat="1" applyFont="1" applyFill="1" applyBorder="1" applyAlignment="1" applyProtection="1">
      <alignment horizontal="left" vertical="center" wrapText="1"/>
      <protection locked="0"/>
    </xf>
    <xf numFmtId="217" fontId="25" fillId="7" borderId="0" xfId="221" applyNumberFormat="1" applyFont="1" applyFill="1" applyAlignment="1" applyProtection="1">
      <alignment horizontal="left" vertical="center" wrapText="1"/>
      <protection locked="0"/>
    </xf>
    <xf numFmtId="217" fontId="25" fillId="7" borderId="14" xfId="221" applyNumberFormat="1" applyFont="1" applyFill="1" applyBorder="1" applyAlignment="1" applyProtection="1">
      <alignment horizontal="left" vertical="center" wrapText="1"/>
      <protection locked="0"/>
    </xf>
    <xf numFmtId="217" fontId="25" fillId="7" borderId="15" xfId="221" applyNumberFormat="1" applyFont="1" applyFill="1" applyBorder="1" applyAlignment="1" applyProtection="1">
      <alignment horizontal="left" vertical="center" wrapText="1"/>
      <protection locked="0"/>
    </xf>
    <xf numFmtId="217" fontId="25" fillId="7" borderId="16" xfId="221" applyNumberFormat="1" applyFont="1" applyFill="1" applyBorder="1" applyAlignment="1" applyProtection="1">
      <alignment horizontal="left" vertical="center" wrapText="1"/>
      <protection locked="0"/>
    </xf>
    <xf numFmtId="217" fontId="25" fillId="7" borderId="17" xfId="221" applyNumberFormat="1" applyFont="1" applyFill="1" applyBorder="1" applyAlignment="1" applyProtection="1">
      <alignment horizontal="left" vertical="center" wrapText="1"/>
      <protection locked="0"/>
    </xf>
    <xf numFmtId="0" fontId="2" fillId="8" borderId="16" xfId="300" applyFont="1" applyFill="1" applyBorder="1" applyAlignment="1" applyProtection="1">
      <alignment vertical="center"/>
      <protection locked="0"/>
    </xf>
    <xf numFmtId="0" fontId="4" fillId="0" borderId="0" xfId="306" applyFont="1" applyAlignment="1"/>
    <xf numFmtId="0" fontId="4" fillId="19" borderId="0" xfId="306" applyFont="1" applyFill="1" applyAlignment="1"/>
    <xf numFmtId="0" fontId="52" fillId="19" borderId="0" xfId="306" applyFont="1" applyFill="1" applyAlignment="1">
      <alignment horizontal="left" vertical="center"/>
    </xf>
    <xf numFmtId="0" fontId="53" fillId="19" borderId="0" xfId="306" applyFont="1" applyFill="1" applyAlignment="1">
      <alignment horizontal="right" vertical="center" indent="2"/>
    </xf>
    <xf numFmtId="0" fontId="53" fillId="19" borderId="74" xfId="306" applyFont="1" applyFill="1" applyBorder="1" applyAlignment="1">
      <alignment horizontal="right" vertical="center" indent="2"/>
    </xf>
    <xf numFmtId="0" fontId="49" fillId="0" borderId="0" xfId="306" applyFont="1" applyAlignment="1"/>
    <xf numFmtId="0" fontId="53" fillId="20" borderId="0" xfId="306" applyFont="1" applyFill="1" applyAlignment="1">
      <alignment horizontal="left" indent="1"/>
    </xf>
    <xf numFmtId="0" fontId="54" fillId="21" borderId="0" xfId="306" applyFont="1" applyFill="1" applyAlignment="1">
      <alignment horizontal="left" indent="1"/>
    </xf>
    <xf numFmtId="0" fontId="54" fillId="21" borderId="74" xfId="306" applyFont="1" applyFill="1" applyBorder="1" applyAlignment="1">
      <alignment horizontal="left" indent="1"/>
    </xf>
    <xf numFmtId="0" fontId="54" fillId="21" borderId="16" xfId="306" applyFont="1" applyFill="1" applyBorder="1" applyAlignment="1">
      <alignment horizontal="left" indent="1"/>
    </xf>
    <xf numFmtId="0" fontId="54" fillId="21" borderId="75" xfId="306" applyFont="1" applyFill="1" applyBorder="1" applyAlignment="1">
      <alignment horizontal="left" indent="1"/>
    </xf>
    <xf numFmtId="0" fontId="52" fillId="20" borderId="0" xfId="306" applyFont="1" applyFill="1" applyAlignment="1">
      <alignment horizontal="center" vertical="center"/>
    </xf>
    <xf numFmtId="0" fontId="4" fillId="0" borderId="76" xfId="306" applyFont="1" applyBorder="1" applyAlignment="1"/>
    <xf numFmtId="0" fontId="55" fillId="0" borderId="0" xfId="306" applyFont="1" applyAlignment="1">
      <alignment horizontal="left" vertical="top"/>
    </xf>
    <xf numFmtId="0" fontId="56" fillId="0" borderId="0" xfId="306" applyFont="1" applyAlignment="1">
      <alignment horizontal="left" vertical="top"/>
    </xf>
    <xf numFmtId="0" fontId="56" fillId="0" borderId="76" xfId="306" applyFont="1" applyBorder="1" applyAlignment="1">
      <alignment horizontal="left" vertical="top"/>
    </xf>
    <xf numFmtId="0" fontId="57" fillId="0" borderId="0" xfId="306" applyFont="1" applyAlignment="1">
      <alignment horizontal="left" vertical="top"/>
    </xf>
    <xf numFmtId="0" fontId="58" fillId="0" borderId="0" xfId="306" applyFont="1" applyAlignment="1">
      <alignment horizontal="left" vertical="top"/>
    </xf>
    <xf numFmtId="0" fontId="59" fillId="0" borderId="0" xfId="306" applyFont="1" applyAlignment="1">
      <alignment horizontal="left" vertical="top" indent="1"/>
    </xf>
    <xf numFmtId="0" fontId="60" fillId="0" borderId="0" xfId="306" applyFont="1" applyAlignment="1">
      <alignment horizontal="left" vertical="top" indent="1"/>
    </xf>
    <xf numFmtId="0" fontId="55" fillId="0" borderId="0" xfId="306" applyFont="1" applyAlignment="1"/>
    <xf numFmtId="0" fontId="61" fillId="22" borderId="0" xfId="306" applyFont="1" applyFill="1" applyAlignment="1"/>
    <xf numFmtId="0" fontId="61" fillId="22" borderId="77" xfId="306" applyFont="1" applyFill="1" applyBorder="1" applyAlignment="1">
      <alignment horizontal="left"/>
    </xf>
    <xf numFmtId="0" fontId="54" fillId="0" borderId="78" xfId="306" applyFont="1" applyBorder="1" applyAlignment="1"/>
    <xf numFmtId="0" fontId="54" fillId="0" borderId="79" xfId="306" applyFont="1" applyBorder="1" applyAlignment="1">
      <alignment horizontal="center"/>
    </xf>
    <xf numFmtId="0" fontId="54" fillId="0" borderId="78" xfId="306" applyFont="1" applyBorder="1" applyAlignment="1">
      <alignment horizontal="center"/>
    </xf>
    <xf numFmtId="0" fontId="4" fillId="0" borderId="0" xfId="306" applyFont="1" applyAlignment="1">
      <alignment horizontal="left"/>
    </xf>
    <xf numFmtId="0" fontId="54" fillId="0" borderId="79" xfId="306" applyFont="1" applyBorder="1" applyAlignment="1">
      <alignment horizontal="left"/>
    </xf>
    <xf numFmtId="0" fontId="54" fillId="0" borderId="80" xfId="306" applyFont="1" applyBorder="1" applyAlignment="1">
      <alignment horizontal="left"/>
    </xf>
    <xf numFmtId="0" fontId="54" fillId="0" borderId="78" xfId="306" applyFont="1" applyBorder="1" applyAlignment="1">
      <alignment horizontal="left"/>
    </xf>
    <xf numFmtId="0" fontId="4" fillId="0" borderId="0" xfId="306" applyFont="1">
      <alignment vertical="center"/>
    </xf>
    <xf numFmtId="0" fontId="29" fillId="0" borderId="0" xfId="306" applyFont="1" applyAlignment="1"/>
    <xf numFmtId="0" fontId="29" fillId="0" borderId="0" xfId="306" applyFont="1" applyAlignment="1">
      <alignment horizontal="left"/>
    </xf>
    <xf numFmtId="0" fontId="4" fillId="0" borderId="0" xfId="306" applyFont="1" applyAlignment="1">
      <alignment horizontal="right"/>
    </xf>
    <xf numFmtId="0" fontId="62" fillId="0" borderId="0" xfId="306" applyFont="1" applyAlignment="1">
      <alignment horizontal="left" vertical="top" indent="1"/>
    </xf>
    <xf numFmtId="0" fontId="56" fillId="0" borderId="0" xfId="306" applyFont="1" applyAlignment="1">
      <alignment horizontal="left" vertical="top" wrapText="1"/>
    </xf>
    <xf numFmtId="0" fontId="4" fillId="0" borderId="0" xfId="306" applyFont="1" applyAlignment="1">
      <alignment horizontal="left" vertical="top" wrapText="1"/>
    </xf>
    <xf numFmtId="0" fontId="56" fillId="0" borderId="0" xfId="306" applyFont="1" applyAlignment="1">
      <alignment horizontal="right" vertical="top" wrapText="1"/>
    </xf>
    <xf numFmtId="0" fontId="63" fillId="20" borderId="0" xfId="306" applyFont="1" applyFill="1" applyAlignment="1">
      <alignment horizontal="center" vertical="center"/>
    </xf>
    <xf numFmtId="0" fontId="54" fillId="0" borderId="0" xfId="306" applyFont="1" applyAlignment="1"/>
    <xf numFmtId="0" fontId="4" fillId="0" borderId="0" xfId="306" applyFont="1" applyAlignment="1">
      <alignment wrapText="1"/>
    </xf>
    <xf numFmtId="0" fontId="4" fillId="0" borderId="77" xfId="306" applyFont="1" applyBorder="1" applyAlignment="1"/>
    <xf numFmtId="0" fontId="4" fillId="0" borderId="81" xfId="306" applyFont="1" applyBorder="1" applyAlignment="1"/>
    <xf numFmtId="0" fontId="64" fillId="0" borderId="0" xfId="306" applyFont="1" applyAlignment="1">
      <alignment horizontal="left"/>
    </xf>
    <xf numFmtId="0" fontId="56" fillId="0" borderId="0" xfId="306" applyFont="1" applyAlignment="1">
      <alignment horizontal="left" vertical="top" indent="1"/>
    </xf>
    <xf numFmtId="0" fontId="4" fillId="23" borderId="0" xfId="306" applyFont="1" applyFill="1" applyAlignment="1"/>
    <xf numFmtId="0" fontId="4" fillId="24" borderId="0" xfId="306" applyFont="1" applyFill="1" applyAlignment="1"/>
    <xf numFmtId="0" fontId="4" fillId="25" borderId="0" xfId="306" applyFont="1" applyFill="1" applyAlignment="1"/>
    <xf numFmtId="4" fontId="4" fillId="0" borderId="0" xfId="306" applyNumberFormat="1" applyFont="1" applyAlignment="1"/>
    <xf numFmtId="0" fontId="65" fillId="0" borderId="0" xfId="0" applyFont="1"/>
    <xf numFmtId="184" fontId="31" fillId="0" borderId="51" xfId="121" applyNumberFormat="1" applyFont="1" applyBorder="1" applyAlignment="1" applyProtection="1">
      <alignment horizontal="left" vertical="center"/>
      <protection locked="0"/>
    </xf>
    <xf numFmtId="0" fontId="31" fillId="7" borderId="29" xfId="0" applyFont="1" applyFill="1" applyBorder="1" applyAlignment="1" applyProtection="1">
      <alignment horizontal="left" vertical="center" wrapText="1"/>
      <protection locked="0"/>
    </xf>
    <xf numFmtId="0" fontId="4" fillId="0" borderId="9" xfId="0" applyFont="1" applyBorder="1"/>
    <xf numFmtId="0" fontId="3" fillId="7" borderId="0" xfId="202" applyFont="1" applyFill="1" applyAlignment="1">
      <alignment vertical="center"/>
    </xf>
    <xf numFmtId="0" fontId="2" fillId="0" borderId="0" xfId="183" applyFont="1" applyAlignment="1" applyProtection="1">
      <alignment vertical="center"/>
      <protection locked="0"/>
    </xf>
    <xf numFmtId="0" fontId="2" fillId="8" borderId="0" xfId="183" applyFont="1" applyFill="1" applyAlignment="1" applyProtection="1">
      <alignment vertical="center"/>
      <protection locked="0"/>
    </xf>
    <xf numFmtId="0" fontId="13" fillId="17" borderId="7" xfId="0" applyFont="1" applyFill="1" applyBorder="1" applyAlignment="1">
      <alignment vertical="center"/>
    </xf>
    <xf numFmtId="0" fontId="13" fillId="17" borderId="8" xfId="0" applyFont="1" applyFill="1" applyBorder="1" applyAlignment="1">
      <alignment vertical="center"/>
    </xf>
    <xf numFmtId="0" fontId="13" fillId="0" borderId="0" xfId="0" applyFont="1" applyAlignment="1">
      <alignment vertical="center" wrapText="1"/>
    </xf>
    <xf numFmtId="0" fontId="12" fillId="0" borderId="0" xfId="162" applyFont="1" applyAlignment="1" applyProtection="1">
      <alignment horizontal="left" vertical="center"/>
      <protection locked="0"/>
    </xf>
    <xf numFmtId="0" fontId="16" fillId="0" borderId="11" xfId="0" applyFont="1" applyBorder="1" applyAlignment="1">
      <alignment horizontal="left" vertical="center"/>
    </xf>
    <xf numFmtId="0" fontId="10" fillId="0" borderId="0" xfId="0" applyFont="1" applyAlignment="1">
      <alignment horizontal="center" vertical="center"/>
    </xf>
    <xf numFmtId="0" fontId="13" fillId="0" borderId="0" xfId="0" applyFont="1" applyAlignment="1">
      <alignment vertical="center"/>
    </xf>
    <xf numFmtId="0" fontId="12" fillId="7" borderId="0" xfId="0" applyFont="1" applyFill="1" applyAlignment="1">
      <alignment horizontal="center" vertical="center"/>
    </xf>
    <xf numFmtId="0" fontId="66" fillId="0" borderId="10" xfId="0" applyFont="1" applyBorder="1" applyAlignment="1">
      <alignment horizontal="left" vertical="top" wrapText="1"/>
    </xf>
    <xf numFmtId="0" fontId="66" fillId="0" borderId="11" xfId="0" applyFont="1" applyBorder="1" applyAlignment="1">
      <alignment horizontal="left" vertical="top" wrapText="1"/>
    </xf>
    <xf numFmtId="0" fontId="66" fillId="0" borderId="12" xfId="0" applyFont="1" applyBorder="1" applyAlignment="1">
      <alignment horizontal="left" vertical="top" wrapText="1"/>
    </xf>
    <xf numFmtId="0" fontId="66" fillId="0" borderId="13" xfId="0" applyFont="1" applyBorder="1" applyAlignment="1">
      <alignment horizontal="left" vertical="top" wrapText="1"/>
    </xf>
    <xf numFmtId="0" fontId="66" fillId="0" borderId="0" xfId="0" applyFont="1" applyAlignment="1">
      <alignment horizontal="left" vertical="top" wrapText="1"/>
    </xf>
    <xf numFmtId="0" fontId="66" fillId="0" borderId="14" xfId="0" applyFont="1" applyBorder="1" applyAlignment="1">
      <alignment horizontal="left" vertical="top" wrapText="1"/>
    </xf>
    <xf numFmtId="0" fontId="66" fillId="0" borderId="15" xfId="0" applyFont="1" applyBorder="1" applyAlignment="1">
      <alignment horizontal="left" vertical="top" wrapText="1"/>
    </xf>
    <xf numFmtId="0" fontId="66" fillId="0" borderId="16" xfId="0" applyFont="1" applyBorder="1" applyAlignment="1">
      <alignment horizontal="left" vertical="top" wrapText="1"/>
    </xf>
    <xf numFmtId="0" fontId="66" fillId="0" borderId="17" xfId="0" applyFont="1" applyBorder="1" applyAlignment="1">
      <alignment horizontal="left" vertical="top" wrapText="1"/>
    </xf>
    <xf numFmtId="0" fontId="12" fillId="7" borderId="0" xfId="0" applyFont="1" applyFill="1" applyAlignment="1">
      <alignment horizontal="center"/>
    </xf>
    <xf numFmtId="0" fontId="12" fillId="6" borderId="10" xfId="0" applyFont="1" applyFill="1" applyBorder="1" applyAlignment="1" applyProtection="1">
      <alignment horizontal="left" vertical="center"/>
      <protection locked="0"/>
    </xf>
    <xf numFmtId="0" fontId="12" fillId="6" borderId="11" xfId="0" applyFont="1" applyFill="1" applyBorder="1" applyAlignment="1" applyProtection="1">
      <alignment horizontal="left" vertical="center"/>
      <protection locked="0"/>
    </xf>
    <xf numFmtId="0" fontId="12" fillId="6" borderId="12" xfId="0" applyFont="1" applyFill="1" applyBorder="1" applyAlignment="1" applyProtection="1">
      <alignment horizontal="left" vertical="center"/>
      <protection locked="0"/>
    </xf>
    <xf numFmtId="0" fontId="25" fillId="0" borderId="13" xfId="0" applyFont="1" applyBorder="1" applyAlignment="1">
      <alignment vertical="center"/>
    </xf>
    <xf numFmtId="0" fontId="25" fillId="0" borderId="0" xfId="0" applyFont="1" applyAlignment="1">
      <alignment vertical="center"/>
    </xf>
    <xf numFmtId="0" fontId="25" fillId="0" borderId="14" xfId="0" applyFont="1" applyBorder="1" applyAlignment="1">
      <alignment vertical="center"/>
    </xf>
    <xf numFmtId="0" fontId="3" fillId="0" borderId="13" xfId="0" applyFont="1" applyBorder="1" applyAlignment="1" applyProtection="1">
      <alignment vertical="center"/>
      <protection locked="0"/>
    </xf>
    <xf numFmtId="0" fontId="3" fillId="0" borderId="14" xfId="0" applyFont="1" applyBorder="1" applyAlignment="1" applyProtection="1">
      <alignment vertical="center"/>
      <protection locked="0"/>
    </xf>
    <xf numFmtId="0" fontId="3" fillId="0" borderId="0" xfId="0" applyFont="1" applyAlignment="1" applyProtection="1">
      <alignment vertical="center" wrapText="1"/>
      <protection locked="0"/>
    </xf>
    <xf numFmtId="0" fontId="3" fillId="0" borderId="14" xfId="0" applyFont="1" applyBorder="1" applyAlignment="1" applyProtection="1">
      <alignment vertical="center" wrapText="1"/>
      <protection locked="0"/>
    </xf>
    <xf numFmtId="0" fontId="3" fillId="0" borderId="15" xfId="0" applyFont="1" applyBorder="1" applyAlignment="1" applyProtection="1">
      <alignment vertical="center"/>
      <protection locked="0"/>
    </xf>
    <xf numFmtId="0" fontId="3" fillId="0" borderId="16" xfId="0" applyFont="1" applyBorder="1" applyAlignment="1" applyProtection="1">
      <alignment vertical="center"/>
      <protection locked="0"/>
    </xf>
    <xf numFmtId="0" fontId="3" fillId="0" borderId="17" xfId="0" applyFont="1" applyBorder="1" applyAlignment="1" applyProtection="1">
      <alignment vertical="center"/>
      <protection locked="0"/>
    </xf>
    <xf numFmtId="0" fontId="16" fillId="0" borderId="0" xfId="183" applyFont="1" applyAlignment="1" applyProtection="1">
      <alignment horizontal="center" vertical="center"/>
      <protection locked="0"/>
    </xf>
    <xf numFmtId="0" fontId="31" fillId="0" borderId="9" xfId="0" applyFont="1" applyBorder="1" applyAlignment="1">
      <alignment horizontal="left" vertical="center" shrinkToFit="1"/>
    </xf>
    <xf numFmtId="10" fontId="3" fillId="0" borderId="9" xfId="0" applyNumberFormat="1" applyFont="1" applyBorder="1" applyAlignment="1">
      <alignment horizontal="right" vertical="center" shrinkToFit="1"/>
    </xf>
    <xf numFmtId="184" fontId="3" fillId="0" borderId="9" xfId="125" applyFont="1" applyFill="1" applyBorder="1" applyAlignment="1" applyProtection="1">
      <alignment horizontal="right" vertical="center" shrinkToFit="1"/>
      <protection locked="0"/>
    </xf>
    <xf numFmtId="0" fontId="67" fillId="0" borderId="51" xfId="0" applyFont="1" applyBorder="1" applyAlignment="1">
      <alignment horizontal="left" vertical="center" wrapText="1"/>
    </xf>
    <xf numFmtId="0" fontId="12" fillId="7" borderId="0" xfId="202" applyFont="1" applyFill="1" applyAlignment="1">
      <alignment horizontal="right" vertical="center"/>
    </xf>
    <xf numFmtId="0" fontId="3" fillId="0" borderId="0" xfId="173" applyFont="1" applyAlignment="1" applyProtection="1">
      <alignment vertical="center" wrapText="1"/>
      <protection locked="0"/>
    </xf>
    <xf numFmtId="0" fontId="3" fillId="0" borderId="0" xfId="202" applyFont="1" applyAlignment="1">
      <alignment vertical="center"/>
    </xf>
    <xf numFmtId="0" fontId="2" fillId="0" borderId="0" xfId="173" applyFont="1" applyAlignment="1">
      <alignment vertical="center"/>
    </xf>
    <xf numFmtId="0" fontId="2" fillId="7" borderId="0" xfId="173" applyFont="1" applyFill="1" applyAlignment="1">
      <alignment vertical="center"/>
    </xf>
    <xf numFmtId="0" fontId="26" fillId="7" borderId="0" xfId="173" applyFont="1" applyFill="1" applyAlignment="1">
      <alignment vertical="center"/>
    </xf>
    <xf numFmtId="0" fontId="2" fillId="0" borderId="0" xfId="173" applyFont="1" applyAlignment="1">
      <alignment horizontal="center" vertical="center"/>
    </xf>
    <xf numFmtId="184" fontId="2" fillId="0" borderId="0" xfId="121" applyNumberFormat="1" applyFont="1" applyFill="1" applyBorder="1" applyAlignment="1">
      <alignment vertical="center"/>
    </xf>
    <xf numFmtId="0" fontId="68" fillId="0" borderId="0" xfId="173" applyFont="1" applyAlignment="1">
      <alignment vertical="center"/>
    </xf>
    <xf numFmtId="0" fontId="32" fillId="0" borderId="0" xfId="173" applyFont="1" applyAlignment="1">
      <alignment vertical="center"/>
    </xf>
    <xf numFmtId="0" fontId="3" fillId="0" borderId="0" xfId="184" applyFont="1" applyAlignment="1">
      <alignment horizontal="left" vertical="center"/>
    </xf>
    <xf numFmtId="0" fontId="12" fillId="0" borderId="0" xfId="184" applyFont="1" applyAlignment="1">
      <alignment horizontal="right" vertical="center"/>
    </xf>
    <xf numFmtId="184" fontId="12" fillId="0" borderId="0" xfId="121" applyNumberFormat="1" applyFont="1" applyFill="1" applyBorder="1" applyAlignment="1">
      <alignment vertical="center" wrapText="1"/>
    </xf>
    <xf numFmtId="0" fontId="12" fillId="0" borderId="0" xfId="184" applyFont="1" applyAlignment="1">
      <alignment vertical="center" wrapText="1"/>
    </xf>
    <xf numFmtId="49" fontId="2" fillId="0" borderId="0" xfId="173" applyNumberFormat="1" applyFont="1" applyAlignment="1">
      <alignment vertical="center"/>
    </xf>
    <xf numFmtId="0" fontId="69" fillId="0" borderId="0" xfId="0" applyFont="1" applyAlignment="1">
      <alignment vertical="center"/>
    </xf>
    <xf numFmtId="0" fontId="11" fillId="10" borderId="0" xfId="156" applyFont="1" applyFill="1" applyAlignment="1">
      <alignment vertical="center"/>
    </xf>
    <xf numFmtId="0" fontId="16" fillId="0" borderId="0" xfId="173" applyFont="1" applyAlignment="1">
      <alignment vertical="center"/>
    </xf>
    <xf numFmtId="0" fontId="10" fillId="0" borderId="0" xfId="173" applyFont="1" applyAlignment="1">
      <alignment vertical="center"/>
    </xf>
    <xf numFmtId="0" fontId="26" fillId="0" borderId="38" xfId="173" applyFont="1" applyBorder="1" applyAlignment="1">
      <alignment vertical="center"/>
    </xf>
    <xf numFmtId="0" fontId="26" fillId="0" borderId="53" xfId="173" applyFont="1" applyBorder="1" applyAlignment="1">
      <alignment vertical="center"/>
    </xf>
    <xf numFmtId="0" fontId="26" fillId="0" borderId="53" xfId="173" applyFont="1" applyBorder="1" applyAlignment="1">
      <alignment horizontal="center" vertical="center"/>
    </xf>
    <xf numFmtId="0" fontId="26" fillId="0" borderId="39" xfId="173" applyFont="1" applyBorder="1" applyAlignment="1">
      <alignment vertical="center"/>
    </xf>
    <xf numFmtId="0" fontId="12" fillId="0" borderId="18" xfId="0" applyFont="1" applyBorder="1" applyAlignment="1" applyProtection="1">
      <alignment vertical="center"/>
      <protection locked="0"/>
    </xf>
    <xf numFmtId="0" fontId="12" fillId="0" borderId="19" xfId="0" applyFont="1" applyBorder="1" applyAlignment="1" applyProtection="1">
      <alignment horizontal="center" vertical="center"/>
      <protection locked="0"/>
    </xf>
    <xf numFmtId="0" fontId="12" fillId="0" borderId="19" xfId="0" applyFont="1" applyBorder="1" applyAlignment="1" applyProtection="1">
      <alignment vertical="center"/>
      <protection locked="0"/>
    </xf>
    <xf numFmtId="0" fontId="12" fillId="0" borderId="20" xfId="0" applyFont="1" applyBorder="1" applyAlignment="1" applyProtection="1">
      <alignment vertical="center"/>
      <protection locked="0"/>
    </xf>
    <xf numFmtId="0" fontId="26" fillId="0" borderId="40" xfId="173" applyFont="1" applyBorder="1" applyAlignment="1">
      <alignment horizontal="center" vertical="center"/>
    </xf>
    <xf numFmtId="0" fontId="26" fillId="0" borderId="27" xfId="0" applyFont="1" applyBorder="1" applyAlignment="1">
      <alignment horizontal="center" vertical="center"/>
    </xf>
    <xf numFmtId="0" fontId="26" fillId="0" borderId="42" xfId="0" applyFont="1" applyBorder="1" applyAlignment="1">
      <alignment horizontal="center" vertical="center"/>
    </xf>
    <xf numFmtId="0" fontId="26" fillId="0" borderId="40" xfId="0" applyFont="1" applyBorder="1" applyAlignment="1">
      <alignment horizontal="center" vertical="center"/>
    </xf>
    <xf numFmtId="0" fontId="2" fillId="0" borderId="29" xfId="173" applyFont="1" applyBorder="1" applyAlignment="1">
      <alignment vertical="center"/>
    </xf>
    <xf numFmtId="184" fontId="2" fillId="0" borderId="9" xfId="121" applyNumberFormat="1" applyFont="1" applyBorder="1" applyAlignment="1">
      <alignment vertical="center"/>
    </xf>
    <xf numFmtId="184" fontId="2" fillId="0" borderId="32" xfId="121" applyNumberFormat="1" applyFont="1" applyBorder="1" applyAlignment="1">
      <alignment vertical="center"/>
    </xf>
    <xf numFmtId="184" fontId="2" fillId="0" borderId="29" xfId="121" applyNumberFormat="1" applyFont="1" applyBorder="1" applyAlignment="1">
      <alignment vertical="center"/>
    </xf>
    <xf numFmtId="184" fontId="2" fillId="0" borderId="9" xfId="121" applyNumberFormat="1" applyFont="1" applyFill="1" applyBorder="1" applyAlignment="1">
      <alignment vertical="center"/>
    </xf>
    <xf numFmtId="184" fontId="2" fillId="0" borderId="32" xfId="121" applyNumberFormat="1" applyFont="1" applyFill="1" applyBorder="1" applyAlignment="1">
      <alignment vertical="center"/>
    </xf>
    <xf numFmtId="184" fontId="2" fillId="0" borderId="29" xfId="121" applyNumberFormat="1" applyFont="1" applyFill="1" applyBorder="1" applyAlignment="1">
      <alignment vertical="center"/>
    </xf>
    <xf numFmtId="0" fontId="70" fillId="0" borderId="0" xfId="0" applyFont="1" applyAlignment="1">
      <alignment vertical="center"/>
    </xf>
    <xf numFmtId="0" fontId="46" fillId="15" borderId="0" xfId="0" applyFont="1" applyFill="1" applyAlignment="1">
      <alignment horizontal="left" vertical="top" wrapText="1"/>
    </xf>
    <xf numFmtId="0" fontId="71" fillId="0" borderId="0" xfId="173" applyFont="1" applyAlignment="1">
      <alignment vertical="center"/>
    </xf>
    <xf numFmtId="0" fontId="26" fillId="0" borderId="35" xfId="173" applyFont="1" applyBorder="1" applyAlignment="1">
      <alignment vertical="center"/>
    </xf>
    <xf numFmtId="184" fontId="26" fillId="0" borderId="36" xfId="121" applyNumberFormat="1" applyFont="1" applyBorder="1" applyAlignment="1">
      <alignment vertical="center"/>
    </xf>
    <xf numFmtId="184" fontId="26" fillId="0" borderId="37" xfId="121" applyNumberFormat="1" applyFont="1" applyBorder="1" applyAlignment="1">
      <alignment vertical="center"/>
    </xf>
    <xf numFmtId="0" fontId="26" fillId="0" borderId="0" xfId="0" applyFont="1" applyAlignment="1">
      <alignment vertical="center"/>
    </xf>
    <xf numFmtId="184" fontId="3" fillId="0" borderId="35" xfId="0" applyNumberFormat="1" applyFont="1" applyBorder="1" applyAlignment="1">
      <alignment horizontal="justify" vertical="center"/>
    </xf>
    <xf numFmtId="184" fontId="2" fillId="0" borderId="36" xfId="121" applyNumberFormat="1" applyFont="1" applyBorder="1" applyAlignment="1">
      <alignment vertical="center"/>
    </xf>
    <xf numFmtId="184" fontId="2" fillId="0" borderId="37" xfId="121" applyNumberFormat="1" applyFont="1" applyBorder="1" applyAlignment="1">
      <alignment vertical="center"/>
    </xf>
    <xf numFmtId="0" fontId="16" fillId="0" borderId="0" xfId="173" applyFont="1" applyAlignment="1">
      <alignment horizontal="left" shrinkToFit="1"/>
    </xf>
    <xf numFmtId="0" fontId="70" fillId="0" borderId="0" xfId="173" applyFont="1" applyAlignment="1">
      <alignment vertical="center"/>
    </xf>
    <xf numFmtId="0" fontId="16" fillId="0" borderId="19" xfId="195" applyFont="1" applyBorder="1" applyAlignment="1" applyProtection="1">
      <alignment horizontal="center" vertical="top"/>
      <protection locked="0"/>
    </xf>
    <xf numFmtId="0" fontId="16" fillId="7" borderId="0" xfId="173" applyFont="1" applyFill="1" applyAlignment="1">
      <alignment vertical="center"/>
    </xf>
    <xf numFmtId="0" fontId="32" fillId="0" borderId="0" xfId="316" applyFont="1" applyAlignment="1"/>
    <xf numFmtId="0" fontId="12" fillId="0" borderId="0" xfId="316" applyFont="1" applyAlignment="1"/>
    <xf numFmtId="0" fontId="14" fillId="0" borderId="0" xfId="316" applyFont="1" applyAlignment="1"/>
    <xf numFmtId="0" fontId="13" fillId="0" borderId="0" xfId="0" applyFont="1" applyAlignment="1" applyProtection="1">
      <alignment horizontal="center" vertical="center"/>
      <protection locked="0"/>
    </xf>
    <xf numFmtId="14" fontId="13" fillId="0" borderId="0" xfId="0" applyNumberFormat="1" applyFont="1" applyAlignment="1" applyProtection="1">
      <alignment horizontal="center" vertical="center"/>
      <protection locked="0"/>
    </xf>
    <xf numFmtId="0" fontId="13" fillId="7" borderId="0" xfId="173" applyFont="1" applyFill="1" applyAlignment="1">
      <alignment horizontal="center" vertical="center"/>
    </xf>
    <xf numFmtId="0" fontId="5" fillId="7" borderId="0" xfId="173" applyFont="1" applyFill="1" applyAlignment="1">
      <alignment vertical="center"/>
    </xf>
    <xf numFmtId="0" fontId="26" fillId="7" borderId="0" xfId="173" applyFont="1" applyFill="1" applyAlignment="1">
      <alignment horizontal="center" vertical="center"/>
    </xf>
    <xf numFmtId="0" fontId="16" fillId="0" borderId="0" xfId="173" applyFont="1" applyAlignment="1">
      <alignment horizontal="center" vertical="center"/>
    </xf>
    <xf numFmtId="0" fontId="3" fillId="0" borderId="0" xfId="0" applyFont="1" applyAlignment="1" applyProtection="1">
      <alignment horizontal="center" vertical="center"/>
      <protection locked="0"/>
    </xf>
    <xf numFmtId="49" fontId="3" fillId="0" borderId="56" xfId="0" applyNumberFormat="1" applyFont="1" applyBorder="1" applyAlignment="1" applyProtection="1">
      <alignment horizontal="left" vertical="center" wrapText="1"/>
      <protection locked="0"/>
    </xf>
    <xf numFmtId="49" fontId="3" fillId="0" borderId="51" xfId="0" applyNumberFormat="1" applyFont="1" applyBorder="1" applyAlignment="1" applyProtection="1">
      <alignment horizontal="left" vertical="center"/>
      <protection locked="0"/>
    </xf>
    <xf numFmtId="49" fontId="3" fillId="0" borderId="51" xfId="0" applyNumberFormat="1" applyFont="1" applyBorder="1" applyAlignment="1" applyProtection="1">
      <alignment horizontal="left" vertical="center" shrinkToFit="1"/>
      <protection locked="0"/>
    </xf>
    <xf numFmtId="9" fontId="3" fillId="0" borderId="51" xfId="3" applyFont="1" applyBorder="1" applyAlignment="1" applyProtection="1">
      <alignment horizontal="left" vertical="center"/>
      <protection locked="0"/>
    </xf>
    <xf numFmtId="184" fontId="3" fillId="0" borderId="51" xfId="121" applyNumberFormat="1" applyFont="1" applyFill="1" applyBorder="1" applyAlignment="1" applyProtection="1">
      <alignment horizontal="left" vertical="center"/>
      <protection locked="0"/>
    </xf>
    <xf numFmtId="49" fontId="3" fillId="0" borderId="29" xfId="0" applyNumberFormat="1" applyFont="1" applyBorder="1" applyAlignment="1" applyProtection="1">
      <alignment horizontal="left" vertical="center" wrapText="1"/>
      <protection locked="0"/>
    </xf>
    <xf numFmtId="49" fontId="3" fillId="0" borderId="9" xfId="0" applyNumberFormat="1" applyFont="1" applyBorder="1" applyAlignment="1" applyProtection="1">
      <alignment horizontal="left" vertical="center"/>
      <protection locked="0"/>
    </xf>
    <xf numFmtId="49" fontId="3" fillId="0" borderId="9" xfId="0" applyNumberFormat="1" applyFont="1" applyBorder="1" applyAlignment="1" applyProtection="1">
      <alignment horizontal="left" vertical="center" shrinkToFit="1"/>
      <protection locked="0"/>
    </xf>
    <xf numFmtId="9" fontId="3" fillId="0" borderId="9" xfId="3" applyFont="1" applyBorder="1" applyAlignment="1" applyProtection="1">
      <alignment horizontal="left" vertical="center"/>
      <protection locked="0"/>
    </xf>
    <xf numFmtId="184" fontId="2" fillId="7" borderId="0" xfId="121" applyNumberFormat="1" applyFont="1" applyFill="1" applyBorder="1" applyAlignment="1">
      <alignment vertical="center"/>
    </xf>
    <xf numFmtId="0" fontId="72" fillId="7" borderId="0" xfId="173" applyFont="1" applyFill="1" applyAlignment="1">
      <alignment vertical="center"/>
    </xf>
    <xf numFmtId="0" fontId="12" fillId="0" borderId="35" xfId="0" applyFont="1" applyBorder="1" applyAlignment="1" applyProtection="1">
      <alignment horizontal="justify" vertical="center"/>
      <protection locked="0"/>
    </xf>
    <xf numFmtId="0" fontId="26" fillId="0" borderId="36" xfId="121" applyNumberFormat="1" applyFont="1" applyFill="1" applyBorder="1" applyAlignment="1">
      <alignment vertical="center"/>
    </xf>
    <xf numFmtId="0" fontId="12" fillId="0" borderId="36" xfId="0" applyFont="1" applyBorder="1" applyAlignment="1" applyProtection="1">
      <alignment horizontal="center" vertical="center"/>
      <protection locked="0"/>
    </xf>
    <xf numFmtId="0" fontId="12" fillId="0" borderId="36" xfId="0" applyFont="1" applyBorder="1" applyAlignment="1" applyProtection="1">
      <alignment horizontal="left" vertical="center"/>
      <protection locked="0"/>
    </xf>
    <xf numFmtId="184" fontId="12" fillId="0" borderId="36" xfId="121" applyNumberFormat="1" applyFont="1" applyBorder="1" applyAlignment="1" applyProtection="1">
      <alignment horizontal="left" vertical="center"/>
      <protection locked="0"/>
    </xf>
    <xf numFmtId="0" fontId="2" fillId="7" borderId="59" xfId="173" applyFont="1" applyFill="1" applyBorder="1" applyAlignment="1">
      <alignment vertical="center"/>
    </xf>
    <xf numFmtId="0" fontId="3" fillId="0" borderId="19" xfId="0" applyFont="1" applyBorder="1" applyAlignment="1" applyProtection="1">
      <alignment horizontal="left" vertical="center"/>
      <protection locked="0"/>
    </xf>
    <xf numFmtId="0" fontId="3" fillId="0" borderId="19" xfId="0" applyFont="1" applyBorder="1" applyAlignment="1" applyProtection="1">
      <alignment horizontal="center" vertical="center"/>
      <protection locked="0"/>
    </xf>
    <xf numFmtId="184" fontId="3" fillId="0" borderId="19" xfId="0" applyNumberFormat="1" applyFont="1" applyBorder="1" applyAlignment="1" applyProtection="1">
      <alignment horizontal="justify" vertical="center"/>
      <protection locked="0"/>
    </xf>
    <xf numFmtId="0" fontId="16" fillId="0" borderId="19" xfId="195" applyFont="1" applyBorder="1" applyAlignment="1" applyProtection="1">
      <alignment horizontal="center" vertical="center"/>
      <protection locked="0"/>
    </xf>
    <xf numFmtId="0" fontId="2" fillId="0" borderId="19" xfId="173" applyFont="1" applyBorder="1" applyAlignment="1">
      <alignment vertical="center"/>
    </xf>
    <xf numFmtId="184" fontId="2" fillId="0" borderId="0" xfId="121" applyNumberFormat="1" applyFont="1" applyFill="1" applyBorder="1" applyAlignment="1" applyProtection="1">
      <alignment horizontal="left" vertical="center"/>
      <protection locked="0"/>
    </xf>
    <xf numFmtId="184" fontId="16" fillId="0" borderId="0" xfId="121" applyNumberFormat="1" applyFont="1" applyFill="1" applyBorder="1" applyAlignment="1" applyProtection="1">
      <alignment horizontal="right" vertical="center" shrinkToFit="1"/>
    </xf>
    <xf numFmtId="181" fontId="16" fillId="0" borderId="0" xfId="115" applyFont="1" applyFill="1" applyAlignment="1" applyProtection="1">
      <alignment horizontal="right" vertical="center"/>
    </xf>
    <xf numFmtId="184" fontId="16" fillId="0" borderId="0" xfId="115" applyNumberFormat="1" applyFont="1" applyFill="1" applyBorder="1" applyAlignment="1" applyProtection="1">
      <alignment horizontal="right" vertical="center" shrinkToFit="1"/>
    </xf>
    <xf numFmtId="213" fontId="0" fillId="0" borderId="0" xfId="0" applyNumberFormat="1"/>
    <xf numFmtId="184" fontId="2" fillId="0" borderId="0" xfId="121" applyNumberFormat="1" applyFont="1" applyFill="1" applyBorder="1" applyAlignment="1" applyProtection="1">
      <alignment vertical="center"/>
    </xf>
    <xf numFmtId="0" fontId="3" fillId="0" borderId="0" xfId="0" applyFont="1" applyAlignment="1" applyProtection="1">
      <alignment horizontal="justify" vertical="center"/>
      <protection locked="0"/>
    </xf>
    <xf numFmtId="184" fontId="3" fillId="0" borderId="0" xfId="0" applyNumberFormat="1" applyFont="1" applyAlignment="1" applyProtection="1">
      <alignment horizontal="justify" vertical="center"/>
      <protection locked="0"/>
    </xf>
    <xf numFmtId="49" fontId="16" fillId="0" borderId="0" xfId="0" applyNumberFormat="1" applyFont="1" applyAlignment="1">
      <alignment vertical="center"/>
    </xf>
    <xf numFmtId="0" fontId="2" fillId="0" borderId="0" xfId="0" applyFont="1" applyAlignment="1" applyProtection="1">
      <alignment vertical="center"/>
      <protection locked="0"/>
    </xf>
    <xf numFmtId="0" fontId="4" fillId="0" borderId="0" xfId="0" applyFont="1" applyAlignment="1" applyProtection="1">
      <alignment vertical="center"/>
      <protection locked="0"/>
    </xf>
    <xf numFmtId="0" fontId="3" fillId="0" borderId="0" xfId="0" applyFont="1" applyAlignment="1">
      <alignment horizontal="center" vertical="center"/>
    </xf>
    <xf numFmtId="184" fontId="2" fillId="0" borderId="0" xfId="87" applyNumberFormat="1" applyFont="1" applyFill="1" applyBorder="1" applyAlignment="1">
      <alignment vertical="center"/>
    </xf>
    <xf numFmtId="0" fontId="16" fillId="0" borderId="0" xfId="173" applyFont="1" applyAlignment="1" applyProtection="1">
      <alignment vertical="center"/>
      <protection locked="0"/>
    </xf>
    <xf numFmtId="0" fontId="2" fillId="0" borderId="0" xfId="173" applyFont="1" applyAlignment="1" applyProtection="1">
      <alignment vertical="center"/>
      <protection locked="0"/>
    </xf>
    <xf numFmtId="184" fontId="2" fillId="0" borderId="0" xfId="87" applyNumberFormat="1" applyFont="1" applyAlignment="1" applyProtection="1">
      <alignment vertical="center"/>
      <protection locked="0"/>
    </xf>
    <xf numFmtId="184" fontId="2" fillId="0" borderId="0" xfId="173" applyNumberFormat="1" applyFont="1" applyAlignment="1" applyProtection="1">
      <alignment vertical="center"/>
      <protection locked="0"/>
    </xf>
    <xf numFmtId="0" fontId="6" fillId="2" borderId="1" xfId="0" applyFont="1" applyFill="1" applyBorder="1" applyAlignment="1" applyProtection="1">
      <alignment horizontal="centerContinuous" vertical="center"/>
      <protection locked="0"/>
    </xf>
    <xf numFmtId="0" fontId="6" fillId="2" borderId="7" xfId="0" applyFont="1" applyFill="1" applyBorder="1" applyAlignment="1" applyProtection="1">
      <alignment horizontal="centerContinuous" vertical="center"/>
      <protection locked="0"/>
    </xf>
    <xf numFmtId="0" fontId="73" fillId="2" borderId="7" xfId="0" applyFont="1" applyFill="1" applyBorder="1" applyAlignment="1" applyProtection="1">
      <alignment horizontal="centerContinuous" vertical="center"/>
      <protection locked="0"/>
    </xf>
    <xf numFmtId="0" fontId="74" fillId="2" borderId="7" xfId="0" applyFont="1" applyFill="1" applyBorder="1" applyAlignment="1" applyProtection="1">
      <alignment horizontal="centerContinuous" vertical="center"/>
      <protection locked="0"/>
    </xf>
    <xf numFmtId="0" fontId="2" fillId="2" borderId="7" xfId="0" applyFont="1" applyFill="1" applyBorder="1" applyAlignment="1" applyProtection="1">
      <alignment horizontal="centerContinuous" vertical="center"/>
      <protection locked="0"/>
    </xf>
    <xf numFmtId="0" fontId="3" fillId="2" borderId="7" xfId="0" applyFont="1" applyFill="1" applyBorder="1" applyAlignment="1" applyProtection="1">
      <alignment horizontal="centerContinuous" vertical="center"/>
      <protection locked="0"/>
    </xf>
    <xf numFmtId="0" fontId="3" fillId="2" borderId="8" xfId="0" applyFont="1" applyFill="1" applyBorder="1" applyAlignment="1" applyProtection="1">
      <alignment horizontal="centerContinuous" vertical="center"/>
      <protection locked="0"/>
    </xf>
    <xf numFmtId="0" fontId="2" fillId="8" borderId="0" xfId="0" applyFont="1" applyFill="1" applyAlignment="1" applyProtection="1">
      <alignment vertical="center"/>
      <protection locked="0"/>
    </xf>
    <xf numFmtId="0" fontId="9" fillId="26" borderId="15" xfId="0" applyFont="1" applyFill="1" applyBorder="1" applyAlignment="1" applyProtection="1">
      <alignment vertical="center"/>
      <protection locked="0"/>
    </xf>
    <xf numFmtId="0" fontId="9" fillId="26" borderId="16" xfId="0" applyFont="1" applyFill="1" applyBorder="1" applyAlignment="1" applyProtection="1">
      <alignment vertical="center"/>
      <protection locked="0"/>
    </xf>
    <xf numFmtId="0" fontId="9" fillId="26" borderId="16" xfId="0" applyFont="1" applyFill="1" applyBorder="1" applyAlignment="1" applyProtection="1">
      <alignment vertical="center" wrapText="1"/>
      <protection locked="0"/>
    </xf>
    <xf numFmtId="0" fontId="9" fillId="26" borderId="16" xfId="0" applyFont="1" applyFill="1" applyBorder="1" applyAlignment="1" applyProtection="1">
      <alignment horizontal="left" vertical="center" wrapText="1"/>
      <protection locked="0"/>
    </xf>
    <xf numFmtId="0" fontId="13" fillId="26" borderId="16" xfId="0" applyFont="1" applyFill="1" applyBorder="1" applyAlignment="1" applyProtection="1">
      <alignment vertical="center" wrapText="1"/>
      <protection locked="0"/>
    </xf>
    <xf numFmtId="0" fontId="9" fillId="26" borderId="17" xfId="0" applyFont="1" applyFill="1" applyBorder="1" applyAlignment="1" applyProtection="1">
      <alignment vertical="center" wrapText="1"/>
      <protection locked="0"/>
    </xf>
    <xf numFmtId="0" fontId="9" fillId="0" borderId="0" xfId="0" applyFont="1" applyAlignment="1" applyProtection="1">
      <alignment horizontal="left" vertical="center" wrapText="1"/>
      <protection locked="0"/>
    </xf>
    <xf numFmtId="0" fontId="4" fillId="8" borderId="0" xfId="0" applyFont="1" applyFill="1" applyAlignment="1" applyProtection="1">
      <alignment vertical="center"/>
      <protection locked="0"/>
    </xf>
    <xf numFmtId="0" fontId="2" fillId="0" borderId="0" xfId="173" applyFont="1" applyAlignment="1">
      <alignment vertical="center" wrapText="1"/>
    </xf>
    <xf numFmtId="184" fontId="2" fillId="0" borderId="0" xfId="0" applyNumberFormat="1" applyFont="1" applyAlignment="1">
      <alignment vertical="center"/>
    </xf>
    <xf numFmtId="0" fontId="2" fillId="0" borderId="0" xfId="0" applyFont="1" applyAlignment="1">
      <alignment horizontal="left" vertical="center"/>
    </xf>
    <xf numFmtId="0" fontId="12" fillId="0" borderId="0" xfId="173" applyFont="1" applyAlignment="1">
      <alignment vertical="center"/>
    </xf>
    <xf numFmtId="0" fontId="12" fillId="0" borderId="0" xfId="0" applyFont="1" applyAlignment="1">
      <alignment horizontal="center" vertical="center"/>
    </xf>
    <xf numFmtId="0" fontId="12" fillId="0" borderId="10" xfId="0" applyFont="1" applyBorder="1" applyAlignment="1">
      <alignment vertical="center"/>
    </xf>
    <xf numFmtId="0" fontId="12" fillId="0" borderId="12" xfId="0" applyFont="1" applyBorder="1" applyAlignment="1">
      <alignment horizontal="left"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14" fillId="0" borderId="7" xfId="0" applyFont="1" applyBorder="1" applyAlignment="1">
      <alignment horizontal="center" vertical="center"/>
    </xf>
    <xf numFmtId="0" fontId="12" fillId="0" borderId="8" xfId="0" applyFont="1" applyBorder="1" applyAlignment="1">
      <alignment horizontal="center" vertical="center"/>
    </xf>
    <xf numFmtId="0" fontId="12" fillId="0" borderId="7" xfId="0" applyFont="1" applyBorder="1" applyAlignment="1">
      <alignment horizontal="center" vertical="center"/>
    </xf>
    <xf numFmtId="0" fontId="12" fillId="0" borderId="52" xfId="0" applyFont="1" applyBorder="1" applyAlignment="1">
      <alignment vertical="center"/>
    </xf>
    <xf numFmtId="0" fontId="26" fillId="0" borderId="0" xfId="173" applyFont="1" applyAlignment="1">
      <alignment vertical="center"/>
    </xf>
    <xf numFmtId="0" fontId="29" fillId="8" borderId="0" xfId="0" applyFont="1" applyFill="1" applyAlignment="1" applyProtection="1">
      <alignment vertical="center"/>
      <protection locked="0"/>
    </xf>
    <xf numFmtId="0" fontId="3" fillId="0" borderId="15" xfId="0" applyFont="1" applyBorder="1" applyAlignment="1">
      <alignment vertical="center"/>
    </xf>
    <xf numFmtId="0" fontId="3" fillId="0" borderId="17" xfId="0" applyFont="1" applyBorder="1" applyAlignment="1">
      <alignment horizontal="left"/>
    </xf>
    <xf numFmtId="0" fontId="3" fillId="0" borderId="9" xfId="0" applyFont="1" applyBorder="1" applyAlignment="1">
      <alignment horizontal="center" vertical="center" wrapText="1"/>
    </xf>
    <xf numFmtId="0" fontId="16" fillId="0" borderId="51" xfId="0" applyFont="1" applyBorder="1" applyAlignment="1">
      <alignment horizontal="center" vertical="top"/>
    </xf>
    <xf numFmtId="0" fontId="3" fillId="0" borderId="52" xfId="0" applyFont="1" applyBorder="1" applyAlignment="1">
      <alignment vertical="center" wrapText="1"/>
    </xf>
    <xf numFmtId="218" fontId="12" fillId="0" borderId="9" xfId="0" applyNumberFormat="1" applyFont="1" applyBorder="1" applyAlignment="1">
      <alignment horizontal="left" vertical="center" wrapText="1"/>
    </xf>
    <xf numFmtId="0" fontId="75" fillId="0" borderId="9" xfId="0" applyFont="1" applyBorder="1" applyAlignment="1">
      <alignment horizontal="center" vertical="center" wrapText="1"/>
    </xf>
    <xf numFmtId="43" fontId="12" fillId="0" borderId="9" xfId="87" applyFont="1" applyFill="1" applyBorder="1" applyAlignment="1">
      <alignment horizontal="right" vertical="center" shrinkToFit="1"/>
    </xf>
    <xf numFmtId="43" fontId="12" fillId="7" borderId="9" xfId="87" applyFont="1" applyFill="1" applyBorder="1" applyAlignment="1">
      <alignment horizontal="right" vertical="center" shrinkToFit="1"/>
    </xf>
    <xf numFmtId="43" fontId="16" fillId="0" borderId="9" xfId="87" applyFont="1" applyFill="1" applyBorder="1" applyAlignment="1">
      <alignment horizontal="right" vertical="center"/>
    </xf>
    <xf numFmtId="0" fontId="12" fillId="0" borderId="73" xfId="0" applyFont="1" applyBorder="1" applyAlignment="1">
      <alignment vertical="center" wrapText="1"/>
    </xf>
    <xf numFmtId="0" fontId="3" fillId="0" borderId="9" xfId="0" applyFont="1" applyBorder="1" applyAlignment="1">
      <alignment horizontal="left" vertical="center"/>
    </xf>
    <xf numFmtId="0" fontId="16" fillId="0" borderId="9" xfId="0" applyFont="1" applyBorder="1" applyAlignment="1">
      <alignment horizontal="center" vertical="center" wrapText="1"/>
    </xf>
    <xf numFmtId="43" fontId="3" fillId="0" borderId="9" xfId="87" applyFont="1" applyFill="1" applyBorder="1" applyAlignment="1">
      <alignment horizontal="right" vertical="center" shrinkToFit="1"/>
    </xf>
    <xf numFmtId="43" fontId="16" fillId="0" borderId="9" xfId="0" applyNumberFormat="1" applyFont="1" applyBorder="1" applyAlignment="1">
      <alignment horizontal="right" vertical="center"/>
    </xf>
    <xf numFmtId="0" fontId="16" fillId="0" borderId="9" xfId="0" applyFont="1" applyBorder="1" applyAlignment="1">
      <alignment horizontal="center" vertical="center"/>
    </xf>
    <xf numFmtId="0" fontId="12" fillId="0" borderId="73" xfId="0" applyFont="1" applyBorder="1" applyAlignment="1">
      <alignment horizontal="center" vertical="center" wrapText="1"/>
    </xf>
    <xf numFmtId="0" fontId="3" fillId="0" borderId="9" xfId="0" applyFont="1" applyBorder="1" applyAlignment="1">
      <alignment horizontal="left" vertical="center" wrapText="1"/>
    </xf>
    <xf numFmtId="0" fontId="12" fillId="0" borderId="51" xfId="0" applyFont="1" applyBorder="1" applyAlignment="1">
      <alignment vertical="center" wrapText="1"/>
    </xf>
    <xf numFmtId="0" fontId="12" fillId="0" borderId="9" xfId="0" applyFont="1" applyBorder="1" applyAlignment="1">
      <alignment horizontal="left" vertical="center" wrapText="1"/>
    </xf>
    <xf numFmtId="0" fontId="16" fillId="0" borderId="9" xfId="195" applyFont="1" applyBorder="1" applyAlignment="1" applyProtection="1">
      <alignment horizontal="center" vertical="center"/>
      <protection locked="0"/>
    </xf>
    <xf numFmtId="0" fontId="12" fillId="0" borderId="52" xfId="0" applyFont="1" applyBorder="1" applyAlignment="1">
      <alignment vertical="center" wrapText="1"/>
    </xf>
    <xf numFmtId="0" fontId="3" fillId="0" borderId="8" xfId="0" applyFont="1" applyBorder="1" applyAlignment="1">
      <alignment horizontal="left" vertical="center"/>
    </xf>
    <xf numFmtId="0" fontId="12" fillId="0" borderId="52" xfId="0" applyFont="1" applyBorder="1" applyAlignment="1">
      <alignment horizontal="center" vertical="center" wrapText="1"/>
    </xf>
    <xf numFmtId="43" fontId="3" fillId="0" borderId="52" xfId="87" applyFont="1" applyFill="1" applyBorder="1" applyAlignment="1">
      <alignment horizontal="right" vertical="center" shrinkToFit="1"/>
    </xf>
    <xf numFmtId="0" fontId="12" fillId="0" borderId="8" xfId="0" applyFont="1" applyBorder="1" applyAlignment="1">
      <alignment horizontal="left" vertical="center" wrapText="1"/>
    </xf>
    <xf numFmtId="43" fontId="12" fillId="0" borderId="1" xfId="87" applyFont="1" applyFill="1" applyBorder="1" applyAlignment="1" applyProtection="1">
      <alignment horizontal="right" vertical="center" shrinkToFit="1"/>
    </xf>
    <xf numFmtId="43" fontId="12" fillId="0" borderId="9" xfId="87" applyFont="1" applyFill="1" applyBorder="1" applyAlignment="1" applyProtection="1">
      <alignment horizontal="right" vertical="center" shrinkToFit="1"/>
    </xf>
    <xf numFmtId="43" fontId="12" fillId="0" borderId="8" xfId="87" applyFont="1" applyFill="1" applyBorder="1" applyAlignment="1" applyProtection="1">
      <alignment horizontal="right" vertical="center" shrinkToFit="1"/>
    </xf>
    <xf numFmtId="10" fontId="3" fillId="0" borderId="9" xfId="3" applyNumberFormat="1" applyFont="1" applyFill="1" applyBorder="1" applyAlignment="1">
      <alignment vertical="center" shrinkToFit="1"/>
    </xf>
    <xf numFmtId="184" fontId="3" fillId="0" borderId="9" xfId="87" applyNumberFormat="1" applyFont="1" applyFill="1" applyBorder="1" applyAlignment="1">
      <alignment vertical="center" shrinkToFit="1"/>
    </xf>
    <xf numFmtId="0" fontId="12" fillId="0" borderId="5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shrinkToFit="1"/>
    </xf>
    <xf numFmtId="0" fontId="3" fillId="0" borderId="0" xfId="0" applyFont="1" applyAlignment="1">
      <alignment horizontal="center" vertical="center" shrinkToFit="1"/>
    </xf>
    <xf numFmtId="10" fontId="3" fillId="0" borderId="0" xfId="3" applyNumberFormat="1" applyFont="1" applyFill="1" applyBorder="1" applyAlignment="1">
      <alignment vertical="center" shrinkToFit="1"/>
    </xf>
    <xf numFmtId="184" fontId="3" fillId="0" borderId="0" xfId="87" applyNumberFormat="1" applyFont="1" applyFill="1" applyBorder="1" applyAlignment="1">
      <alignment vertical="center" shrinkToFit="1"/>
    </xf>
    <xf numFmtId="0" fontId="16" fillId="0" borderId="0" xfId="174" applyFont="1" applyAlignment="1">
      <alignment vertical="center"/>
    </xf>
    <xf numFmtId="43" fontId="16" fillId="0" borderId="0" xfId="341" applyFont="1" applyFill="1" applyBorder="1" applyAlignment="1" applyProtection="1">
      <alignment horizontal="left" vertical="center"/>
      <protection locked="0"/>
    </xf>
    <xf numFmtId="43" fontId="16" fillId="0" borderId="0" xfId="116" applyNumberFormat="1" applyFont="1" applyFill="1" applyBorder="1" applyAlignment="1" applyProtection="1">
      <alignment horizontal="right" vertical="center" shrinkToFit="1"/>
      <protection locked="0"/>
    </xf>
    <xf numFmtId="43" fontId="3" fillId="0" borderId="0" xfId="87" applyFont="1" applyFill="1" applyBorder="1" applyAlignment="1">
      <alignment horizontal="right" vertical="center" shrinkToFit="1"/>
    </xf>
    <xf numFmtId="43" fontId="3" fillId="0" borderId="0" xfId="116" applyNumberFormat="1" applyFont="1" applyFill="1" applyBorder="1" applyAlignment="1" applyProtection="1">
      <alignment horizontal="right" vertical="center" shrinkToFit="1"/>
      <protection locked="0"/>
    </xf>
    <xf numFmtId="43" fontId="2" fillId="0" borderId="0" xfId="174" applyNumberFormat="1" applyFont="1" applyAlignment="1">
      <alignment horizontal="right" vertical="center"/>
    </xf>
    <xf numFmtId="0" fontId="2" fillId="0" borderId="0" xfId="174" applyFont="1" applyAlignment="1">
      <alignment vertical="center"/>
    </xf>
    <xf numFmtId="43" fontId="16" fillId="0" borderId="0" xfId="340" applyFont="1" applyFill="1" applyBorder="1" applyAlignment="1">
      <alignment vertical="center"/>
    </xf>
    <xf numFmtId="43" fontId="2" fillId="0" borderId="0" xfId="119" applyFont="1" applyFill="1" applyBorder="1" applyAlignment="1" applyProtection="1">
      <alignment horizontal="right" vertical="center" shrinkToFit="1"/>
      <protection locked="0"/>
    </xf>
    <xf numFmtId="43" fontId="16" fillId="0" borderId="0" xfId="340" applyFont="1" applyFill="1" applyBorder="1" applyAlignment="1" applyProtection="1">
      <alignment horizontal="right" vertical="center" shrinkToFit="1"/>
      <protection locked="0"/>
    </xf>
    <xf numFmtId="43" fontId="3" fillId="0" borderId="0" xfId="340" applyFont="1" applyFill="1" applyBorder="1" applyAlignment="1" applyProtection="1">
      <alignment horizontal="right" vertical="center" shrinkToFit="1"/>
      <protection locked="0"/>
    </xf>
    <xf numFmtId="43" fontId="3" fillId="0" borderId="0" xfId="340" applyFont="1" applyFill="1" applyBorder="1" applyAlignment="1">
      <alignment horizontal="right" vertical="center"/>
    </xf>
    <xf numFmtId="43" fontId="3" fillId="0" borderId="0" xfId="340" applyFont="1" applyFill="1" applyBorder="1" applyAlignment="1">
      <alignment vertical="center"/>
    </xf>
    <xf numFmtId="43" fontId="2" fillId="0" borderId="0" xfId="340" applyFont="1" applyFill="1" applyBorder="1" applyAlignment="1">
      <alignment vertical="center"/>
    </xf>
    <xf numFmtId="184" fontId="16" fillId="0" borderId="0" xfId="87" applyNumberFormat="1" applyFont="1" applyFill="1" applyBorder="1" applyAlignment="1">
      <alignment vertical="center"/>
    </xf>
    <xf numFmtId="184" fontId="16" fillId="0" borderId="0" xfId="87" applyNumberFormat="1" applyFont="1" applyFill="1" applyBorder="1" applyAlignment="1" applyProtection="1">
      <alignment horizontal="left" vertical="center"/>
      <protection locked="0"/>
    </xf>
    <xf numFmtId="184" fontId="2" fillId="0" borderId="0" xfId="118" applyFont="1" applyFill="1" applyBorder="1" applyAlignment="1" applyProtection="1">
      <alignment horizontal="right" vertical="center" shrinkToFit="1"/>
      <protection locked="0"/>
    </xf>
    <xf numFmtId="184" fontId="16" fillId="0" borderId="0" xfId="87" applyNumberFormat="1" applyFont="1" applyFill="1" applyBorder="1" applyAlignment="1" applyProtection="1">
      <alignment horizontal="right" vertical="center" shrinkToFit="1"/>
      <protection locked="0"/>
    </xf>
    <xf numFmtId="184" fontId="3" fillId="0" borderId="0" xfId="87" applyNumberFormat="1" applyFont="1" applyFill="1" applyBorder="1" applyAlignment="1" applyProtection="1">
      <alignment horizontal="right" vertical="center" shrinkToFit="1"/>
      <protection locked="0"/>
    </xf>
    <xf numFmtId="0" fontId="16" fillId="0" borderId="0" xfId="173" applyFont="1" applyAlignment="1">
      <alignment horizontal="left" vertical="center"/>
    </xf>
    <xf numFmtId="0" fontId="26" fillId="0" borderId="10" xfId="173" applyFont="1" applyBorder="1" applyAlignment="1">
      <alignment vertical="center"/>
    </xf>
    <xf numFmtId="0" fontId="26" fillId="0" borderId="11" xfId="173" applyFont="1" applyBorder="1" applyAlignment="1">
      <alignment vertical="center"/>
    </xf>
    <xf numFmtId="0" fontId="26" fillId="0" borderId="11" xfId="173" applyFont="1" applyBorder="1" applyAlignment="1">
      <alignment horizontal="center" vertical="center"/>
    </xf>
    <xf numFmtId="0" fontId="26" fillId="0" borderId="12" xfId="173" applyFont="1" applyBorder="1" applyAlignment="1">
      <alignment vertical="center"/>
    </xf>
    <xf numFmtId="0" fontId="16" fillId="0" borderId="1" xfId="0" applyFont="1" applyBorder="1" applyAlignment="1" applyProtection="1">
      <alignment horizontal="center" vertical="center"/>
      <protection locked="0"/>
    </xf>
    <xf numFmtId="0" fontId="16" fillId="0" borderId="7" xfId="0" applyFont="1" applyBorder="1" applyAlignment="1" applyProtection="1">
      <alignment horizontal="center" vertical="center"/>
      <protection locked="0"/>
    </xf>
    <xf numFmtId="0" fontId="16" fillId="0" borderId="8" xfId="0" applyFont="1" applyBorder="1" applyAlignment="1" applyProtection="1">
      <alignment horizontal="center" vertical="center"/>
      <protection locked="0"/>
    </xf>
    <xf numFmtId="0" fontId="26" fillId="0" borderId="9" xfId="173" applyFont="1" applyBorder="1" applyAlignment="1">
      <alignment horizontal="center" vertical="center"/>
    </xf>
    <xf numFmtId="0" fontId="26" fillId="0" borderId="9" xfId="0" applyFont="1" applyBorder="1" applyAlignment="1">
      <alignment horizontal="center" vertical="center"/>
    </xf>
    <xf numFmtId="0" fontId="2" fillId="0" borderId="0" xfId="0" applyFont="1" applyAlignment="1">
      <alignment horizontal="center" vertical="center"/>
    </xf>
    <xf numFmtId="0" fontId="5" fillId="0" borderId="9" xfId="87" applyNumberFormat="1" applyFont="1" applyFill="1" applyBorder="1" applyAlignment="1" applyProtection="1">
      <alignment vertical="center"/>
      <protection locked="0"/>
    </xf>
    <xf numFmtId="184" fontId="5" fillId="0" borderId="9" xfId="87" applyNumberFormat="1" applyFont="1" applyFill="1" applyBorder="1" applyAlignment="1" applyProtection="1">
      <alignment horizontal="right" vertical="center" shrinkToFit="1"/>
      <protection locked="0"/>
    </xf>
    <xf numFmtId="184" fontId="2" fillId="0" borderId="9" xfId="87" applyNumberFormat="1" applyFont="1" applyBorder="1" applyAlignment="1">
      <alignment horizontal="right" vertical="center" shrinkToFit="1"/>
    </xf>
    <xf numFmtId="184" fontId="2" fillId="0" borderId="9" xfId="87" applyNumberFormat="1" applyFont="1" applyFill="1" applyBorder="1" applyAlignment="1">
      <alignment horizontal="right" vertical="center" shrinkToFit="1"/>
    </xf>
    <xf numFmtId="184" fontId="2" fillId="7" borderId="9" xfId="87" applyNumberFormat="1" applyFont="1" applyFill="1" applyBorder="1" applyAlignment="1">
      <alignment horizontal="right" vertical="center" shrinkToFit="1"/>
    </xf>
    <xf numFmtId="0" fontId="26" fillId="0" borderId="9" xfId="173" applyFont="1" applyBorder="1" applyAlignment="1">
      <alignment vertical="center"/>
    </xf>
    <xf numFmtId="184" fontId="26" fillId="0" borderId="9" xfId="87" applyNumberFormat="1" applyFont="1" applyBorder="1" applyAlignment="1">
      <alignment horizontal="right" vertical="center" shrinkToFit="1"/>
    </xf>
    <xf numFmtId="0" fontId="16" fillId="0" borderId="0" xfId="195" applyFont="1" applyAlignment="1" applyProtection="1">
      <alignment horizontal="center" vertical="top"/>
      <protection locked="0"/>
    </xf>
    <xf numFmtId="0" fontId="3" fillId="0" borderId="0" xfId="87" applyNumberFormat="1" applyFont="1" applyFill="1" applyBorder="1" applyAlignment="1" applyProtection="1">
      <alignment horizontal="left" vertical="center"/>
      <protection locked="0"/>
    </xf>
    <xf numFmtId="184" fontId="3" fillId="0" borderId="0" xfId="87" applyNumberFormat="1" applyFont="1" applyFill="1" applyBorder="1" applyAlignment="1" applyProtection="1">
      <alignment horizontal="right" vertical="center"/>
      <protection locked="0"/>
    </xf>
    <xf numFmtId="184" fontId="16" fillId="0" borderId="0" xfId="87" applyNumberFormat="1" applyFont="1" applyFill="1" applyBorder="1" applyAlignment="1" applyProtection="1">
      <alignment horizontal="right" vertical="center"/>
      <protection locked="0"/>
    </xf>
    <xf numFmtId="184" fontId="3" fillId="0" borderId="0" xfId="87" applyNumberFormat="1" applyFont="1" applyBorder="1" applyAlignment="1">
      <alignment horizontal="right" vertical="center"/>
    </xf>
    <xf numFmtId="184" fontId="16" fillId="0" borderId="0" xfId="87" applyNumberFormat="1" applyFont="1" applyFill="1" applyAlignment="1" applyProtection="1">
      <alignment horizontal="right" vertical="center"/>
      <protection locked="0"/>
    </xf>
    <xf numFmtId="0" fontId="12" fillId="0" borderId="0" xfId="171" applyFont="1" applyAlignment="1">
      <alignment horizontal="left" vertical="center"/>
    </xf>
    <xf numFmtId="14" fontId="12" fillId="0" borderId="0" xfId="171" applyNumberFormat="1" applyFont="1" applyAlignment="1">
      <alignment horizontal="center" vertical="center"/>
    </xf>
    <xf numFmtId="0" fontId="76" fillId="0" borderId="10" xfId="0" applyFont="1" applyBorder="1" applyAlignment="1">
      <alignment horizontal="left" vertical="center" wrapText="1"/>
    </xf>
    <xf numFmtId="0" fontId="76" fillId="0" borderId="11" xfId="0" applyFont="1" applyBorder="1" applyAlignment="1">
      <alignment horizontal="left" vertical="center" wrapText="1"/>
    </xf>
    <xf numFmtId="0" fontId="76" fillId="0" borderId="12" xfId="0" applyFont="1" applyBorder="1" applyAlignment="1">
      <alignment horizontal="left" vertical="center" wrapText="1"/>
    </xf>
    <xf numFmtId="0" fontId="76" fillId="0" borderId="13" xfId="0" applyFont="1" applyBorder="1" applyAlignment="1">
      <alignment horizontal="left" vertical="center" wrapText="1"/>
    </xf>
    <xf numFmtId="0" fontId="76" fillId="0" borderId="0" xfId="0" applyFont="1" applyAlignment="1">
      <alignment horizontal="left" vertical="center" wrapText="1"/>
    </xf>
    <xf numFmtId="0" fontId="76" fillId="0" borderId="14" xfId="0" applyFont="1" applyBorder="1" applyAlignment="1">
      <alignment horizontal="left" vertical="center" wrapText="1"/>
    </xf>
    <xf numFmtId="0" fontId="76" fillId="0" borderId="15" xfId="0" applyFont="1" applyBorder="1" applyAlignment="1">
      <alignment horizontal="left" vertical="center" wrapText="1"/>
    </xf>
    <xf numFmtId="0" fontId="76" fillId="0" borderId="16" xfId="0" applyFont="1" applyBorder="1" applyAlignment="1">
      <alignment horizontal="left" vertical="center" wrapText="1"/>
    </xf>
    <xf numFmtId="0" fontId="76" fillId="0" borderId="17" xfId="0" applyFont="1" applyBorder="1" applyAlignment="1">
      <alignment horizontal="left" vertical="center" wrapText="1"/>
    </xf>
    <xf numFmtId="217" fontId="25" fillId="0" borderId="0" xfId="221" applyNumberFormat="1" applyFont="1" applyAlignment="1" applyProtection="1">
      <alignment horizontal="left" vertical="center" wrapText="1"/>
      <protection locked="0"/>
    </xf>
    <xf numFmtId="0" fontId="14" fillId="0" borderId="0" xfId="0" applyFont="1" applyAlignment="1">
      <alignment horizontal="left" vertical="top"/>
    </xf>
    <xf numFmtId="0" fontId="67" fillId="0" borderId="0" xfId="0" applyFont="1" applyAlignment="1">
      <alignment vertical="center"/>
    </xf>
    <xf numFmtId="184" fontId="3" fillId="0" borderId="0" xfId="352" applyFont="1" applyAlignment="1">
      <alignment vertical="center"/>
    </xf>
    <xf numFmtId="184" fontId="3" fillId="0" borderId="0" xfId="352" applyFont="1" applyFill="1" applyAlignment="1">
      <alignment vertical="center"/>
    </xf>
    <xf numFmtId="0" fontId="35" fillId="0" borderId="0" xfId="173" applyFont="1" applyAlignment="1">
      <alignment horizontal="left" vertical="center"/>
    </xf>
    <xf numFmtId="0" fontId="12" fillId="0" borderId="11" xfId="0" applyFont="1" applyBorder="1" applyAlignment="1">
      <alignment vertical="center"/>
    </xf>
    <xf numFmtId="0" fontId="16" fillId="0" borderId="11" xfId="0" applyFont="1" applyBorder="1" applyAlignment="1">
      <alignment vertical="center"/>
    </xf>
    <xf numFmtId="0" fontId="3" fillId="0" borderId="11" xfId="0" applyFont="1" applyBorder="1" applyAlignment="1">
      <alignment vertical="center"/>
    </xf>
    <xf numFmtId="0" fontId="3" fillId="0" borderId="12" xfId="0" applyFont="1" applyBorder="1" applyAlignment="1">
      <alignment vertical="center"/>
    </xf>
    <xf numFmtId="0" fontId="12" fillId="0" borderId="13" xfId="0" applyFont="1" applyBorder="1" applyAlignment="1">
      <alignment vertical="center"/>
    </xf>
    <xf numFmtId="0" fontId="3" fillId="0" borderId="14" xfId="0" applyFont="1" applyBorder="1" applyAlignment="1">
      <alignment vertical="center"/>
    </xf>
    <xf numFmtId="0" fontId="3" fillId="0" borderId="13" xfId="0" applyFont="1" applyBorder="1" applyAlignment="1">
      <alignment horizontal="left" vertical="center"/>
    </xf>
    <xf numFmtId="0" fontId="31" fillId="0" borderId="13" xfId="0" applyFont="1" applyBorder="1" applyAlignment="1">
      <alignment horizontal="left" vertical="center"/>
    </xf>
    <xf numFmtId="0" fontId="16" fillId="0" borderId="0" xfId="0" applyFont="1" applyAlignment="1">
      <alignment horizontal="left" vertical="top"/>
    </xf>
    <xf numFmtId="0" fontId="3" fillId="0" borderId="13" xfId="0" applyFont="1" applyBorder="1" applyAlignment="1">
      <alignment vertical="center"/>
    </xf>
    <xf numFmtId="184" fontId="3" fillId="0" borderId="16" xfId="352" applyFont="1" applyBorder="1" applyAlignment="1">
      <alignment horizontal="right" vertical="center" shrinkToFit="1"/>
    </xf>
    <xf numFmtId="0" fontId="16" fillId="0" borderId="13" xfId="0" applyFont="1" applyBorder="1" applyAlignment="1">
      <alignment vertical="center"/>
    </xf>
    <xf numFmtId="184" fontId="3" fillId="0" borderId="0" xfId="352" applyFont="1" applyBorder="1" applyAlignment="1">
      <alignment horizontal="right" vertical="center" shrinkToFit="1"/>
    </xf>
    <xf numFmtId="184" fontId="3" fillId="0" borderId="60" xfId="352" applyFont="1" applyBorder="1" applyAlignment="1">
      <alignment horizontal="right" vertical="center" shrinkToFit="1"/>
    </xf>
    <xf numFmtId="0" fontId="3" fillId="0" borderId="16" xfId="0" applyFont="1" applyBorder="1" applyAlignment="1">
      <alignment vertical="center"/>
    </xf>
    <xf numFmtId="14" fontId="3" fillId="0" borderId="17" xfId="0" applyNumberFormat="1" applyFont="1" applyBorder="1" applyAlignment="1">
      <alignment vertical="center"/>
    </xf>
    <xf numFmtId="184" fontId="3" fillId="0" borderId="0" xfId="352" applyFont="1" applyAlignment="1">
      <alignment horizontal="right" vertical="center" shrinkToFit="1"/>
    </xf>
    <xf numFmtId="0" fontId="77" fillId="0" borderId="0" xfId="0" applyFont="1" applyAlignment="1">
      <alignment horizontal="center" vertical="center"/>
    </xf>
    <xf numFmtId="0" fontId="78" fillId="0" borderId="10" xfId="0" applyFont="1" applyBorder="1" applyAlignment="1">
      <alignment horizontal="left" vertical="center" wrapText="1"/>
    </xf>
    <xf numFmtId="0" fontId="78" fillId="0" borderId="11" xfId="0" applyFont="1" applyBorder="1" applyAlignment="1">
      <alignment horizontal="left" vertical="center" wrapText="1"/>
    </xf>
    <xf numFmtId="0" fontId="78" fillId="0" borderId="12" xfId="0" applyFont="1" applyBorder="1" applyAlignment="1">
      <alignment horizontal="left" vertical="center" wrapText="1"/>
    </xf>
    <xf numFmtId="0" fontId="78" fillId="0" borderId="13" xfId="0" applyFont="1" applyBorder="1" applyAlignment="1">
      <alignment horizontal="left" vertical="center" wrapText="1"/>
    </xf>
    <xf numFmtId="0" fontId="78" fillId="0" borderId="0" xfId="0" applyFont="1" applyAlignment="1">
      <alignment horizontal="left" vertical="center" wrapText="1"/>
    </xf>
    <xf numFmtId="0" fontId="78" fillId="0" borderId="14" xfId="0" applyFont="1" applyBorder="1" applyAlignment="1">
      <alignment horizontal="left" vertical="center" wrapText="1"/>
    </xf>
    <xf numFmtId="0" fontId="78" fillId="0" borderId="15" xfId="0" applyFont="1" applyBorder="1" applyAlignment="1">
      <alignment horizontal="left" vertical="center" wrapText="1"/>
    </xf>
    <xf numFmtId="0" fontId="78" fillId="0" borderId="16" xfId="0" applyFont="1" applyBorder="1" applyAlignment="1">
      <alignment horizontal="left" vertical="center" wrapText="1"/>
    </xf>
    <xf numFmtId="0" fontId="78" fillId="0" borderId="17" xfId="0" applyFont="1" applyBorder="1" applyAlignment="1">
      <alignment horizontal="left" vertical="center" wrapText="1"/>
    </xf>
    <xf numFmtId="0" fontId="2" fillId="0" borderId="0" xfId="173" applyFont="1" applyAlignment="1" applyProtection="1">
      <alignment horizontal="left" vertical="center"/>
      <protection locked="0"/>
    </xf>
    <xf numFmtId="0" fontId="2" fillId="7" borderId="0" xfId="0" applyFont="1" applyFill="1" applyAlignment="1">
      <alignment horizontal="left" vertical="center"/>
    </xf>
    <xf numFmtId="10" fontId="2" fillId="7" borderId="0" xfId="0" applyNumberFormat="1" applyFont="1" applyFill="1" applyAlignment="1">
      <alignment vertical="center"/>
    </xf>
    <xf numFmtId="49" fontId="10" fillId="7" borderId="0" xfId="0" applyNumberFormat="1" applyFont="1" applyFill="1" applyAlignment="1">
      <alignment vertical="center"/>
    </xf>
    <xf numFmtId="0" fontId="2" fillId="0" borderId="0" xfId="184" applyFont="1" applyProtection="1">
      <alignment vertical="center"/>
      <protection locked="0"/>
    </xf>
    <xf numFmtId="0" fontId="2" fillId="0" borderId="0" xfId="0" applyFont="1" applyAlignment="1" applyProtection="1">
      <alignment horizontal="left" vertical="center"/>
      <protection locked="0"/>
    </xf>
    <xf numFmtId="0" fontId="2" fillId="0" borderId="0" xfId="183" applyFont="1" applyAlignment="1" applyProtection="1">
      <alignment horizontal="left" vertical="center"/>
      <protection locked="0"/>
    </xf>
    <xf numFmtId="0" fontId="7" fillId="2" borderId="82" xfId="0" applyFont="1" applyFill="1" applyBorder="1" applyAlignment="1" applyProtection="1">
      <alignment horizontal="left" vertical="center"/>
      <protection locked="0"/>
    </xf>
    <xf numFmtId="0" fontId="70" fillId="2" borderId="83" xfId="0" applyFont="1" applyFill="1" applyBorder="1" applyAlignment="1" applyProtection="1">
      <alignment horizontal="centerContinuous" vertical="center"/>
      <protection locked="0"/>
    </xf>
    <xf numFmtId="0" fontId="73" fillId="3" borderId="84" xfId="0" applyFont="1" applyFill="1" applyBorder="1" applyAlignment="1" applyProtection="1">
      <alignment horizontal="centerContinuous" vertical="center"/>
      <protection locked="0"/>
    </xf>
    <xf numFmtId="0" fontId="74" fillId="3" borderId="84" xfId="0" applyFont="1" applyFill="1" applyBorder="1" applyAlignment="1" applyProtection="1">
      <alignment horizontal="centerContinuous" vertical="center"/>
      <protection locked="0"/>
    </xf>
    <xf numFmtId="0" fontId="73" fillId="3" borderId="85" xfId="0" applyFont="1" applyFill="1" applyBorder="1" applyAlignment="1" applyProtection="1">
      <alignment horizontal="centerContinuous" vertical="center"/>
      <protection locked="0"/>
    </xf>
    <xf numFmtId="0" fontId="5" fillId="27" borderId="0" xfId="0" applyFont="1" applyFill="1" applyAlignment="1">
      <alignment vertical="center"/>
    </xf>
    <xf numFmtId="0" fontId="79" fillId="26" borderId="86" xfId="0" applyFont="1" applyFill="1" applyBorder="1" applyAlignment="1">
      <alignment horizontal="left" vertical="center"/>
    </xf>
    <xf numFmtId="0" fontId="79" fillId="26" borderId="52" xfId="189" applyFont="1" applyFill="1" applyBorder="1" applyAlignment="1" applyProtection="1">
      <alignment horizontal="right" vertical="center"/>
      <protection locked="0"/>
    </xf>
    <xf numFmtId="0" fontId="9" fillId="26" borderId="82" xfId="0" applyFont="1" applyFill="1" applyBorder="1" applyAlignment="1">
      <alignment horizontal="left" vertical="center" wrapText="1" indent="16"/>
    </xf>
    <xf numFmtId="0" fontId="9" fillId="26" borderId="83" xfId="0" applyFont="1" applyFill="1" applyBorder="1" applyAlignment="1">
      <alignment horizontal="left" vertical="center" wrapText="1" indent="16"/>
    </xf>
    <xf numFmtId="0" fontId="9" fillId="26" borderId="87" xfId="0" applyFont="1" applyFill="1" applyBorder="1" applyAlignment="1">
      <alignment horizontal="left" vertical="center" wrapText="1" indent="16"/>
    </xf>
    <xf numFmtId="0" fontId="79" fillId="26" borderId="88" xfId="0" applyFont="1" applyFill="1" applyBorder="1" applyAlignment="1">
      <alignment horizontal="left" vertical="center"/>
    </xf>
    <xf numFmtId="14" fontId="79" fillId="26" borderId="73" xfId="189" applyNumberFormat="1" applyFont="1" applyFill="1" applyBorder="1" applyAlignment="1" applyProtection="1">
      <alignment horizontal="right" vertical="center"/>
      <protection locked="0"/>
    </xf>
    <xf numFmtId="0" fontId="9" fillId="26" borderId="88" xfId="0" applyFont="1" applyFill="1" applyBorder="1" applyAlignment="1">
      <alignment horizontal="left" vertical="center" wrapText="1" indent="16"/>
    </xf>
    <xf numFmtId="0" fontId="9" fillId="26" borderId="0" xfId="0" applyFont="1" applyFill="1" applyAlignment="1">
      <alignment horizontal="left" vertical="center" wrapText="1" indent="16"/>
    </xf>
    <xf numFmtId="0" fontId="9" fillId="26" borderId="89" xfId="0" applyFont="1" applyFill="1" applyBorder="1" applyAlignment="1">
      <alignment horizontal="left" vertical="center" wrapText="1" indent="16"/>
    </xf>
    <xf numFmtId="184" fontId="79" fillId="26" borderId="73" xfId="87" applyNumberFormat="1" applyFont="1" applyFill="1" applyBorder="1" applyAlignment="1" applyProtection="1">
      <alignment horizontal="right" vertical="center" shrinkToFit="1"/>
      <protection locked="0"/>
    </xf>
    <xf numFmtId="0" fontId="79" fillId="26" borderId="90" xfId="0" applyFont="1" applyFill="1" applyBorder="1" applyAlignment="1">
      <alignment horizontal="left" vertical="center"/>
    </xf>
    <xf numFmtId="0" fontId="80" fillId="26" borderId="73" xfId="102" applyNumberFormat="1" applyFont="1" applyFill="1" applyBorder="1" applyAlignment="1" applyProtection="1">
      <alignment horizontal="right" vertical="center"/>
      <protection locked="0"/>
    </xf>
    <xf numFmtId="0" fontId="79" fillId="26" borderId="73" xfId="189" applyFont="1" applyFill="1" applyBorder="1" applyAlignment="1" applyProtection="1">
      <alignment horizontal="right" vertical="center"/>
      <protection locked="0"/>
    </xf>
    <xf numFmtId="0" fontId="9" fillId="26" borderId="91" xfId="0" applyFont="1" applyFill="1" applyBorder="1" applyAlignment="1" applyProtection="1">
      <alignment vertical="center"/>
      <protection locked="0"/>
    </xf>
    <xf numFmtId="0" fontId="9" fillId="26" borderId="92" xfId="0" applyFont="1" applyFill="1" applyBorder="1" applyAlignment="1" applyProtection="1">
      <alignment vertical="center" wrapText="1"/>
      <protection locked="0"/>
    </xf>
    <xf numFmtId="0" fontId="13" fillId="26" borderId="92" xfId="0" applyFont="1" applyFill="1" applyBorder="1" applyAlignment="1" applyProtection="1">
      <alignment vertical="center" wrapText="1"/>
      <protection locked="0"/>
    </xf>
    <xf numFmtId="0" fontId="9" fillId="26" borderId="93" xfId="0" applyFont="1" applyFill="1" applyBorder="1" applyAlignment="1" applyProtection="1">
      <alignment vertical="center" wrapText="1"/>
      <protection locked="0"/>
    </xf>
    <xf numFmtId="0" fontId="12" fillId="6" borderId="1" xfId="0" applyFont="1" applyFill="1" applyBorder="1" applyAlignment="1">
      <alignment horizontal="center" vertical="center"/>
    </xf>
    <xf numFmtId="0" fontId="12" fillId="6" borderId="8" xfId="0" applyFont="1" applyFill="1" applyBorder="1" applyAlignment="1">
      <alignment horizontal="centerContinuous" vertical="center"/>
    </xf>
    <xf numFmtId="0" fontId="12" fillId="28" borderId="1" xfId="0" applyFont="1" applyFill="1" applyBorder="1" applyAlignment="1">
      <alignment horizontal="center" vertical="center"/>
    </xf>
    <xf numFmtId="0" fontId="12" fillId="28" borderId="7" xfId="0" applyFont="1" applyFill="1" applyBorder="1" applyAlignment="1">
      <alignment horizontal="center" vertical="center"/>
    </xf>
    <xf numFmtId="0" fontId="12" fillId="28" borderId="92" xfId="0" applyFont="1" applyFill="1" applyBorder="1" applyAlignment="1">
      <alignment horizontal="center" vertical="center"/>
    </xf>
    <xf numFmtId="0" fontId="12" fillId="28" borderId="8" xfId="0" applyFont="1" applyFill="1" applyBorder="1" applyAlignment="1">
      <alignment horizontal="center" vertical="center"/>
    </xf>
    <xf numFmtId="0" fontId="12" fillId="6" borderId="9" xfId="0" applyFont="1" applyFill="1" applyBorder="1" applyAlignment="1">
      <alignment horizontal="center" vertical="center"/>
    </xf>
    <xf numFmtId="0" fontId="5" fillId="0" borderId="1" xfId="0" applyFont="1" applyBorder="1" applyAlignment="1">
      <alignment vertical="center"/>
    </xf>
    <xf numFmtId="0" fontId="5" fillId="0" borderId="16" xfId="0" applyFont="1" applyBorder="1" applyAlignment="1">
      <alignment vertical="center"/>
    </xf>
    <xf numFmtId="0" fontId="5" fillId="0" borderId="17" xfId="0" applyFont="1" applyBorder="1" applyAlignment="1">
      <alignment vertical="center"/>
    </xf>
    <xf numFmtId="0" fontId="5" fillId="0" borderId="9" xfId="0" applyFont="1" applyBorder="1" applyAlignment="1">
      <alignment horizontal="center" vertical="center"/>
    </xf>
    <xf numFmtId="0" fontId="5" fillId="7" borderId="9" xfId="0" applyFont="1" applyFill="1" applyBorder="1" applyAlignment="1" applyProtection="1">
      <alignment horizontal="center" vertical="center"/>
      <protection locked="0"/>
    </xf>
    <xf numFmtId="184" fontId="5" fillId="7" borderId="51" xfId="87" applyNumberFormat="1" applyFont="1" applyFill="1" applyBorder="1" applyAlignment="1" applyProtection="1">
      <alignment horizontal="right" vertical="center" shrinkToFit="1"/>
      <protection locked="0"/>
    </xf>
    <xf numFmtId="184" fontId="2" fillId="7" borderId="73" xfId="87" applyNumberFormat="1" applyFont="1" applyFill="1" applyBorder="1" applyAlignment="1" applyProtection="1">
      <alignment horizontal="right" vertical="center" shrinkToFit="1"/>
      <protection locked="0"/>
    </xf>
    <xf numFmtId="0" fontId="75" fillId="0" borderId="9" xfId="0" applyFont="1" applyBorder="1" applyAlignment="1">
      <alignment horizontal="center" vertical="center"/>
    </xf>
    <xf numFmtId="0" fontId="5" fillId="0" borderId="7" xfId="0" applyFont="1" applyBorder="1" applyAlignment="1">
      <alignment vertical="center"/>
    </xf>
    <xf numFmtId="0" fontId="5" fillId="0" borderId="8" xfId="0" applyFont="1" applyBorder="1" applyAlignment="1">
      <alignment vertical="center"/>
    </xf>
    <xf numFmtId="0" fontId="5" fillId="18" borderId="1" xfId="0" applyFont="1" applyFill="1" applyBorder="1" applyAlignment="1" applyProtection="1">
      <alignment horizontal="center" vertical="center"/>
      <protection locked="0"/>
    </xf>
    <xf numFmtId="184" fontId="5" fillId="7" borderId="9" xfId="87" applyNumberFormat="1" applyFont="1" applyFill="1" applyBorder="1" applyAlignment="1" applyProtection="1">
      <alignment horizontal="right" vertical="center" shrinkToFit="1"/>
      <protection locked="0"/>
    </xf>
    <xf numFmtId="210" fontId="2" fillId="7" borderId="73" xfId="87" applyNumberFormat="1" applyFont="1" applyFill="1" applyBorder="1" applyAlignment="1" applyProtection="1">
      <alignment vertical="top"/>
      <protection locked="0"/>
    </xf>
    <xf numFmtId="0" fontId="3" fillId="0" borderId="1" xfId="0" applyFont="1" applyBorder="1" applyAlignment="1">
      <alignment vertical="center"/>
    </xf>
    <xf numFmtId="0" fontId="5" fillId="0" borderId="83" xfId="0" applyFont="1" applyBorder="1" applyAlignment="1">
      <alignment vertical="center"/>
    </xf>
    <xf numFmtId="0" fontId="5" fillId="0" borderId="92" xfId="0" applyFont="1" applyBorder="1" applyAlignment="1">
      <alignment vertical="center"/>
    </xf>
    <xf numFmtId="0" fontId="5" fillId="0" borderId="9" xfId="0" applyFont="1" applyBorder="1" applyAlignment="1">
      <alignment horizontal="center" vertical="center" wrapText="1"/>
    </xf>
    <xf numFmtId="210" fontId="2" fillId="7" borderId="51" xfId="87" applyNumberFormat="1" applyFont="1" applyFill="1" applyBorder="1" applyAlignment="1" applyProtection="1">
      <alignment vertical="top"/>
      <protection locked="0"/>
    </xf>
    <xf numFmtId="0" fontId="81" fillId="0" borderId="9" xfId="0" applyFont="1" applyBorder="1" applyAlignment="1">
      <alignment horizontal="center" vertical="center"/>
    </xf>
    <xf numFmtId="0" fontId="82" fillId="0" borderId="11" xfId="0" applyFont="1" applyBorder="1" applyAlignment="1">
      <alignment horizontal="left" vertical="center" wrapText="1"/>
    </xf>
    <xf numFmtId="0" fontId="82" fillId="0" borderId="0" xfId="0" applyFont="1" applyAlignment="1">
      <alignment horizontal="left" vertical="center"/>
    </xf>
    <xf numFmtId="0" fontId="82" fillId="0" borderId="0" xfId="0" applyFont="1" applyAlignment="1">
      <alignment horizontal="left" vertical="center" wrapText="1"/>
    </xf>
    <xf numFmtId="0" fontId="83" fillId="0" borderId="0" xfId="0" applyFont="1" applyAlignment="1">
      <alignment horizontal="left" vertical="center" wrapText="1"/>
    </xf>
    <xf numFmtId="0" fontId="83" fillId="0" borderId="0" xfId="0" applyFont="1" applyAlignment="1">
      <alignment horizontal="left" vertical="center"/>
    </xf>
    <xf numFmtId="0" fontId="16" fillId="0" borderId="94" xfId="0" applyFont="1" applyBorder="1" applyAlignment="1">
      <alignment horizontal="center" vertical="center"/>
    </xf>
    <xf numFmtId="0" fontId="5" fillId="0" borderId="95" xfId="0" applyFont="1" applyBorder="1" applyAlignment="1">
      <alignment vertical="center"/>
    </xf>
    <xf numFmtId="0" fontId="5" fillId="0" borderId="96" xfId="0" applyFont="1" applyBorder="1" applyAlignment="1">
      <alignment vertical="center"/>
    </xf>
    <xf numFmtId="0" fontId="51" fillId="0" borderId="0" xfId="0" applyFont="1" applyAlignment="1" applyProtection="1">
      <alignment horizontal="left" vertical="center" wrapText="1"/>
      <protection locked="0"/>
    </xf>
    <xf numFmtId="0" fontId="2" fillId="0" borderId="0" xfId="0" applyFont="1" applyAlignment="1" applyProtection="1">
      <alignment horizontal="center" vertical="center" wrapText="1"/>
      <protection locked="0"/>
    </xf>
    <xf numFmtId="0" fontId="12" fillId="6" borderId="9" xfId="0" applyFont="1" applyFill="1" applyBorder="1" applyAlignment="1">
      <alignment horizontal="left" vertical="center"/>
    </xf>
    <xf numFmtId="0" fontId="26" fillId="6" borderId="9" xfId="0" applyFont="1" applyFill="1" applyBorder="1" applyAlignment="1" applyProtection="1">
      <alignment horizontal="center" vertical="center"/>
      <protection locked="0"/>
    </xf>
    <xf numFmtId="0" fontId="84" fillId="0" borderId="9" xfId="0" applyFont="1" applyBorder="1" applyAlignment="1" applyProtection="1">
      <alignment horizontal="left" vertical="center"/>
      <protection locked="0"/>
    </xf>
    <xf numFmtId="0" fontId="67" fillId="18" borderId="1" xfId="0" applyFont="1" applyFill="1" applyBorder="1" applyAlignment="1">
      <alignment horizontal="left" vertical="center" wrapText="1"/>
    </xf>
    <xf numFmtId="0" fontId="67" fillId="18" borderId="7" xfId="0" applyFont="1" applyFill="1" applyBorder="1" applyAlignment="1">
      <alignment horizontal="left" vertical="center" wrapText="1"/>
    </xf>
    <xf numFmtId="0" fontId="67" fillId="18" borderId="8" xfId="0" applyFont="1" applyFill="1" applyBorder="1" applyAlignment="1">
      <alignment horizontal="left" vertical="center" wrapText="1"/>
    </xf>
    <xf numFmtId="0" fontId="15" fillId="18" borderId="1" xfId="0" applyFont="1" applyFill="1" applyBorder="1" applyAlignment="1">
      <alignment horizontal="left" vertical="center" wrapText="1"/>
    </xf>
    <xf numFmtId="0" fontId="15" fillId="18" borderId="7" xfId="0" applyFont="1" applyFill="1" applyBorder="1" applyAlignment="1">
      <alignment horizontal="left" vertical="center" wrapText="1"/>
    </xf>
    <xf numFmtId="0" fontId="15" fillId="18" borderId="8" xfId="0" applyFont="1" applyFill="1" applyBorder="1" applyAlignment="1">
      <alignment horizontal="left" vertical="center" wrapText="1"/>
    </xf>
    <xf numFmtId="0" fontId="84" fillId="0" borderId="9" xfId="0" applyFont="1" applyBorder="1" applyAlignment="1" applyProtection="1">
      <alignment horizontal="left" vertical="center" wrapText="1"/>
      <protection locked="0"/>
    </xf>
    <xf numFmtId="0" fontId="5" fillId="0" borderId="0" xfId="0" applyFont="1" applyAlignment="1" applyProtection="1">
      <alignment horizontal="left" vertical="center"/>
      <protection locked="0"/>
    </xf>
    <xf numFmtId="0" fontId="85" fillId="0" borderId="0" xfId="0" applyFont="1" applyAlignment="1" applyProtection="1">
      <alignment vertical="center" wrapText="1"/>
      <protection locked="0"/>
    </xf>
    <xf numFmtId="0" fontId="16" fillId="0" borderId="0" xfId="0" applyFont="1" applyAlignment="1" applyProtection="1">
      <alignment horizontal="left" vertical="center" wrapText="1"/>
      <protection locked="0"/>
    </xf>
    <xf numFmtId="0" fontId="3" fillId="0" borderId="0" xfId="170" applyAlignment="1" applyProtection="1">
      <alignment vertical="center"/>
      <protection locked="0"/>
    </xf>
    <xf numFmtId="0" fontId="2" fillId="7" borderId="0" xfId="0" applyFont="1" applyFill="1" applyAlignment="1" applyProtection="1">
      <alignment vertical="center"/>
      <protection locked="0"/>
    </xf>
    <xf numFmtId="0" fontId="45" fillId="0" borderId="0" xfId="0" applyFont="1" applyAlignment="1" applyProtection="1">
      <alignment vertical="center"/>
      <protection locked="0"/>
    </xf>
    <xf numFmtId="0" fontId="12" fillId="6" borderId="1" xfId="0" applyFont="1" applyFill="1" applyBorder="1" applyAlignment="1">
      <alignment horizontal="centerContinuous" vertical="center"/>
    </xf>
    <xf numFmtId="210" fontId="3" fillId="0" borderId="0" xfId="87" applyNumberFormat="1" applyFont="1" applyFill="1" applyBorder="1" applyAlignment="1" applyProtection="1">
      <alignment vertical="center" wrapText="1"/>
      <protection locked="0"/>
    </xf>
    <xf numFmtId="0" fontId="3" fillId="0" borderId="0" xfId="190" applyFont="1" applyAlignment="1" applyProtection="1">
      <alignment horizontal="center" vertical="center" wrapText="1"/>
      <protection locked="0"/>
    </xf>
    <xf numFmtId="0" fontId="12" fillId="6" borderId="9" xfId="189" applyFont="1" applyFill="1" applyBorder="1" applyAlignment="1">
      <alignment horizontal="left" vertical="center"/>
    </xf>
    <xf numFmtId="210" fontId="3" fillId="0" borderId="9" xfId="87" applyNumberFormat="1" applyFont="1" applyFill="1" applyBorder="1" applyAlignment="1" applyProtection="1">
      <alignment horizontal="center" vertical="center" wrapText="1"/>
      <protection locked="0"/>
    </xf>
    <xf numFmtId="9" fontId="3" fillId="0" borderId="0" xfId="190" applyNumberFormat="1" applyFont="1" applyAlignment="1" applyProtection="1">
      <alignment vertical="center" wrapText="1"/>
      <protection locked="0"/>
    </xf>
    <xf numFmtId="9" fontId="3" fillId="0" borderId="9" xfId="189" applyNumberFormat="1" applyBorder="1" applyAlignment="1" applyProtection="1">
      <alignment horizontal="right" vertical="center" wrapText="1"/>
      <protection locked="0"/>
    </xf>
    <xf numFmtId="9" fontId="3" fillId="0" borderId="0" xfId="190" applyNumberFormat="1" applyFont="1" applyAlignment="1" applyProtection="1">
      <alignment horizontal="left" vertical="center" wrapText="1"/>
      <protection locked="0"/>
    </xf>
    <xf numFmtId="0" fontId="45" fillId="0" borderId="0" xfId="0" applyFont="1" applyAlignment="1" applyProtection="1">
      <alignment horizontal="left" vertical="center"/>
      <protection locked="0"/>
    </xf>
    <xf numFmtId="17" fontId="86" fillId="0" borderId="0" xfId="0" applyNumberFormat="1" applyFont="1" applyAlignment="1">
      <alignment horizontal="center" vertical="center"/>
    </xf>
    <xf numFmtId="0" fontId="43" fillId="0" borderId="0" xfId="0" applyFont="1" applyAlignment="1">
      <alignment vertical="center"/>
    </xf>
    <xf numFmtId="0" fontId="43" fillId="0" borderId="0" xfId="187" applyFont="1" applyAlignment="1">
      <alignment vertical="center" wrapText="1"/>
    </xf>
    <xf numFmtId="0" fontId="14" fillId="0" borderId="0" xfId="183" applyFont="1" applyAlignment="1">
      <alignment vertical="center"/>
    </xf>
    <xf numFmtId="0" fontId="4" fillId="0" borderId="0" xfId="183" applyFont="1" applyAlignment="1" applyProtection="1">
      <alignment vertical="center"/>
      <protection locked="0"/>
    </xf>
    <xf numFmtId="0" fontId="2" fillId="8" borderId="0" xfId="183" applyFont="1" applyFill="1" applyAlignment="1" applyProtection="1">
      <alignment horizontal="left" vertical="center"/>
      <protection locked="0"/>
    </xf>
    <xf numFmtId="0" fontId="45" fillId="0" borderId="0" xfId="183" applyFont="1" applyAlignment="1" applyProtection="1">
      <alignment horizontal="left" vertical="center"/>
      <protection locked="0"/>
    </xf>
    <xf numFmtId="0" fontId="12" fillId="0" borderId="0" xfId="183" applyFont="1" applyAlignment="1">
      <alignment vertical="center"/>
    </xf>
    <xf numFmtId="0" fontId="5" fillId="0" borderId="0" xfId="0" applyFont="1"/>
    <xf numFmtId="0" fontId="87" fillId="0" borderId="0" xfId="0" applyFont="1" applyAlignment="1" applyProtection="1">
      <alignment vertical="center"/>
      <protection locked="0"/>
    </xf>
    <xf numFmtId="0" fontId="12" fillId="0" borderId="0" xfId="177" applyFont="1" applyAlignment="1">
      <alignment vertical="center"/>
    </xf>
    <xf numFmtId="0" fontId="54" fillId="0" borderId="0" xfId="0" applyFont="1" applyAlignment="1">
      <alignment vertical="center"/>
    </xf>
    <xf numFmtId="0" fontId="75" fillId="0" borderId="0" xfId="0" applyFont="1" applyAlignment="1">
      <alignment horizontal="center" vertical="center"/>
    </xf>
    <xf numFmtId="0" fontId="61" fillId="0" borderId="0" xfId="0" applyFont="1" applyAlignment="1">
      <alignment vertical="center"/>
    </xf>
    <xf numFmtId="0" fontId="61" fillId="18" borderId="0" xfId="0" applyFont="1" applyFill="1" applyAlignment="1">
      <alignment vertical="center"/>
    </xf>
    <xf numFmtId="0" fontId="13" fillId="29" borderId="1" xfId="0" applyFont="1" applyFill="1" applyBorder="1" applyAlignment="1">
      <alignment horizontal="center" vertical="center"/>
    </xf>
    <xf numFmtId="0" fontId="13" fillId="29" borderId="7" xfId="0" applyFont="1" applyFill="1" applyBorder="1" applyAlignment="1">
      <alignment horizontal="center" vertical="center"/>
    </xf>
    <xf numFmtId="0" fontId="13" fillId="29" borderId="8" xfId="0" applyFont="1" applyFill="1" applyBorder="1" applyAlignment="1">
      <alignment horizontal="center" vertical="center"/>
    </xf>
    <xf numFmtId="0" fontId="54" fillId="18" borderId="0" xfId="0" applyFont="1" applyFill="1" applyAlignment="1">
      <alignment vertical="center"/>
    </xf>
    <xf numFmtId="0" fontId="12" fillId="29" borderId="97" xfId="0" applyFont="1" applyFill="1" applyBorder="1" applyAlignment="1">
      <alignment horizontal="center" vertical="center" wrapText="1"/>
    </xf>
    <xf numFmtId="14" fontId="12" fillId="29" borderId="98" xfId="0" applyNumberFormat="1" applyFont="1" applyFill="1" applyBorder="1" applyAlignment="1">
      <alignment horizontal="center" vertical="center"/>
    </xf>
    <xf numFmtId="14" fontId="12" fillId="29" borderId="7" xfId="0" applyNumberFormat="1" applyFont="1" applyFill="1" applyBorder="1" applyAlignment="1">
      <alignment horizontal="center" vertical="center"/>
    </xf>
    <xf numFmtId="14" fontId="12" fillId="29" borderId="8" xfId="0" applyNumberFormat="1" applyFont="1" applyFill="1" applyBorder="1" applyAlignment="1">
      <alignment horizontal="center" vertical="center"/>
    </xf>
    <xf numFmtId="14" fontId="12" fillId="29" borderId="9" xfId="0" applyNumberFormat="1" applyFont="1" applyFill="1" applyBorder="1" applyAlignment="1">
      <alignment horizontal="center" vertical="center"/>
    </xf>
    <xf numFmtId="0" fontId="14" fillId="29" borderId="1" xfId="0" applyFont="1" applyFill="1" applyBorder="1" applyAlignment="1">
      <alignment horizontal="center" vertical="center"/>
    </xf>
    <xf numFmtId="0" fontId="14" fillId="29" borderId="99" xfId="0" applyFont="1" applyFill="1" applyBorder="1" applyAlignment="1">
      <alignment horizontal="center" vertical="center"/>
    </xf>
    <xf numFmtId="0" fontId="16" fillId="29" borderId="97" xfId="0" applyFont="1" applyFill="1" applyBorder="1" applyAlignment="1">
      <alignment vertical="center"/>
    </xf>
    <xf numFmtId="0" fontId="88" fillId="29" borderId="97" xfId="0" applyFont="1" applyFill="1" applyBorder="1" applyAlignment="1">
      <alignment horizontal="center" vertical="center" wrapText="1"/>
    </xf>
    <xf numFmtId="0" fontId="14" fillId="29" borderId="100" xfId="0" applyFont="1" applyFill="1" applyBorder="1" applyAlignment="1">
      <alignment horizontal="center" vertical="center" wrapText="1"/>
    </xf>
    <xf numFmtId="0" fontId="13" fillId="29" borderId="9" xfId="0" applyFont="1" applyFill="1" applyBorder="1" applyAlignment="1">
      <alignment horizontal="center" vertical="center" wrapText="1"/>
    </xf>
    <xf numFmtId="0" fontId="12" fillId="29" borderId="9" xfId="0" applyFont="1" applyFill="1" applyBorder="1" applyAlignment="1">
      <alignment horizontal="center" vertical="center"/>
    </xf>
    <xf numFmtId="0" fontId="14" fillId="29" borderId="9" xfId="0" applyFont="1" applyFill="1" applyBorder="1" applyAlignment="1">
      <alignment horizontal="center" vertical="center"/>
    </xf>
    <xf numFmtId="0" fontId="16" fillId="29" borderId="100" xfId="0" applyFont="1" applyFill="1" applyBorder="1" applyAlignment="1">
      <alignment horizontal="center" vertical="center" wrapText="1"/>
    </xf>
    <xf numFmtId="0" fontId="88" fillId="29" borderId="101" xfId="0" applyFont="1" applyFill="1" applyBorder="1" applyAlignment="1">
      <alignment horizontal="center" vertical="center" wrapText="1"/>
    </xf>
    <xf numFmtId="0" fontId="3" fillId="7" borderId="0" xfId="0" applyFont="1" applyFill="1" applyAlignment="1" applyProtection="1">
      <alignment horizontal="left" vertical="center"/>
      <protection locked="0"/>
    </xf>
    <xf numFmtId="0" fontId="12" fillId="0" borderId="0" xfId="0" applyFont="1" applyAlignment="1">
      <alignment horizontal="left" vertical="center"/>
    </xf>
    <xf numFmtId="184" fontId="5" fillId="0" borderId="0" xfId="0" applyNumberFormat="1" applyFont="1" applyAlignment="1">
      <alignment horizontal="right" vertical="center" shrinkToFit="1"/>
    </xf>
    <xf numFmtId="184" fontId="3" fillId="0" borderId="0" xfId="120" applyNumberFormat="1" applyFont="1" applyFill="1" applyAlignment="1" applyProtection="1">
      <alignment horizontal="right" vertical="center" shrinkToFit="1"/>
      <protection locked="0"/>
    </xf>
    <xf numFmtId="10" fontId="5" fillId="0" borderId="0" xfId="3" applyNumberFormat="1" applyFont="1" applyAlignment="1">
      <alignment horizontal="center" vertical="center" wrapText="1"/>
    </xf>
    <xf numFmtId="0" fontId="3" fillId="0" borderId="0" xfId="300" applyFont="1" applyAlignment="1" applyProtection="1">
      <alignment horizontal="left" vertical="center"/>
      <protection locked="0"/>
    </xf>
    <xf numFmtId="0" fontId="3" fillId="0" borderId="0" xfId="183" applyFont="1" applyAlignment="1" applyProtection="1">
      <alignment horizontal="left" vertical="center"/>
      <protection locked="0"/>
    </xf>
    <xf numFmtId="0" fontId="5" fillId="27" borderId="0" xfId="0" applyFont="1" applyFill="1" applyAlignment="1">
      <alignment horizontal="left" vertical="center"/>
    </xf>
    <xf numFmtId="0" fontId="16" fillId="0" borderId="0" xfId="0" applyFont="1" applyAlignment="1">
      <alignment horizontal="left" vertical="center" wrapText="1"/>
    </xf>
    <xf numFmtId="0" fontId="5" fillId="7" borderId="0" xfId="0" applyFont="1" applyFill="1" applyAlignment="1" applyProtection="1">
      <alignment horizontal="left" vertical="center"/>
      <protection locked="0"/>
    </xf>
    <xf numFmtId="0" fontId="13" fillId="0" borderId="0" xfId="0" applyFont="1" applyAlignment="1">
      <alignment horizontal="left" vertical="center"/>
    </xf>
    <xf numFmtId="0" fontId="16" fillId="0" borderId="0" xfId="0" applyFont="1" applyAlignment="1">
      <alignment horizontal="right" vertical="center"/>
    </xf>
    <xf numFmtId="184" fontId="5" fillId="0" borderId="0" xfId="0" applyNumberFormat="1" applyFont="1" applyAlignment="1">
      <alignment horizontal="right" vertical="center"/>
    </xf>
    <xf numFmtId="184" fontId="5" fillId="0" borderId="0" xfId="87" applyNumberFormat="1" applyFont="1" applyAlignment="1">
      <alignment horizontal="right" vertical="center"/>
    </xf>
    <xf numFmtId="184" fontId="3" fillId="0" borderId="0" xfId="120" applyNumberFormat="1" applyFont="1" applyFill="1" applyAlignment="1" applyProtection="1">
      <alignment horizontal="right" vertical="center"/>
      <protection locked="0"/>
    </xf>
    <xf numFmtId="184" fontId="13" fillId="0" borderId="0" xfId="87" applyNumberFormat="1" applyFont="1" applyAlignment="1">
      <alignment horizontal="right" vertical="center" wrapText="1"/>
    </xf>
    <xf numFmtId="0" fontId="13" fillId="0" borderId="0" xfId="0" applyFont="1" applyAlignment="1">
      <alignment horizontal="left" vertical="center" wrapText="1"/>
    </xf>
    <xf numFmtId="0" fontId="89" fillId="0" borderId="0" xfId="300" applyFont="1" applyAlignment="1" applyProtection="1">
      <alignment horizontal="center" vertical="center"/>
      <protection locked="0"/>
    </xf>
    <xf numFmtId="0" fontId="89" fillId="0" borderId="0" xfId="183" applyFont="1" applyAlignment="1" applyProtection="1">
      <alignment horizontal="left" vertical="center"/>
      <protection locked="0"/>
    </xf>
    <xf numFmtId="184" fontId="13" fillId="0" borderId="66" xfId="0" applyNumberFormat="1" applyFont="1" applyBorder="1" applyAlignment="1">
      <alignment horizontal="right" vertical="center" shrinkToFit="1"/>
    </xf>
    <xf numFmtId="10" fontId="13" fillId="0" borderId="66" xfId="3" applyNumberFormat="1" applyFont="1" applyFill="1" applyBorder="1" applyAlignment="1">
      <alignment horizontal="center" vertical="center"/>
    </xf>
    <xf numFmtId="184" fontId="13" fillId="0" borderId="0" xfId="0" applyNumberFormat="1" applyFont="1" applyAlignment="1">
      <alignment horizontal="right" vertical="center"/>
    </xf>
    <xf numFmtId="10" fontId="5" fillId="0" borderId="0" xfId="3" applyNumberFormat="1" applyFont="1" applyFill="1" applyBorder="1" applyAlignment="1">
      <alignment horizontal="center" vertical="center"/>
    </xf>
    <xf numFmtId="0" fontId="13" fillId="0" borderId="0" xfId="0" applyFont="1" applyAlignment="1">
      <alignment horizontal="right" vertical="center"/>
    </xf>
    <xf numFmtId="0" fontId="3" fillId="0" borderId="0" xfId="0" applyFont="1" applyAlignment="1">
      <alignment horizontal="right" vertical="center"/>
    </xf>
    <xf numFmtId="184" fontId="5" fillId="0" borderId="0" xfId="87" applyNumberFormat="1" applyFont="1" applyAlignment="1">
      <alignment horizontal="right"/>
    </xf>
    <xf numFmtId="0" fontId="35" fillId="0" borderId="0" xfId="0" applyFont="1" applyAlignment="1">
      <alignment horizontal="left" vertical="center"/>
    </xf>
    <xf numFmtId="0" fontId="28" fillId="0" borderId="0" xfId="177" applyFont="1" applyAlignment="1">
      <alignment vertical="center"/>
    </xf>
    <xf numFmtId="0" fontId="90" fillId="0" borderId="9" xfId="0" applyFont="1" applyBorder="1" applyAlignment="1">
      <alignment horizontal="left" vertical="center" wrapText="1"/>
    </xf>
    <xf numFmtId="0" fontId="85" fillId="0" borderId="9" xfId="0" applyFont="1" applyBorder="1" applyAlignment="1">
      <alignment horizontal="left" vertical="center" wrapText="1"/>
    </xf>
    <xf numFmtId="0" fontId="91" fillId="0" borderId="10" xfId="0" applyFont="1" applyBorder="1" applyAlignment="1">
      <alignment vertical="center" wrapText="1"/>
    </xf>
    <xf numFmtId="0" fontId="91" fillId="0" borderId="11" xfId="0" applyFont="1" applyBorder="1" applyAlignment="1">
      <alignment horizontal="left" vertical="center" wrapText="1"/>
    </xf>
    <xf numFmtId="0" fontId="91" fillId="0" borderId="12" xfId="0" applyFont="1" applyBorder="1" applyAlignment="1">
      <alignment horizontal="left" vertical="center" wrapText="1"/>
    </xf>
    <xf numFmtId="0" fontId="5" fillId="0" borderId="13" xfId="0" applyFont="1" applyBorder="1" applyAlignment="1">
      <alignment vertical="center" wrapText="1"/>
    </xf>
    <xf numFmtId="0" fontId="5" fillId="0" borderId="0" xfId="0" applyFont="1" applyAlignment="1">
      <alignment horizontal="left" vertical="center" wrapText="1"/>
    </xf>
    <xf numFmtId="43" fontId="5" fillId="0" borderId="14" xfId="87" applyFont="1" applyBorder="1" applyAlignment="1">
      <alignment horizontal="left" vertical="center" wrapText="1"/>
    </xf>
    <xf numFmtId="0" fontId="3" fillId="0" borderId="17" xfId="0" applyFont="1" applyBorder="1" applyAlignment="1">
      <alignment vertical="center"/>
    </xf>
    <xf numFmtId="217" fontId="12" fillId="0" borderId="0" xfId="221" applyNumberFormat="1" applyFont="1" applyAlignment="1" applyProtection="1">
      <alignment horizontal="right" vertical="center"/>
      <protection locked="0"/>
    </xf>
    <xf numFmtId="217" fontId="12" fillId="0" borderId="0" xfId="221" applyNumberFormat="1" applyFont="1" applyAlignment="1" applyProtection="1">
      <alignment vertical="center" wrapText="1"/>
      <protection locked="0"/>
    </xf>
    <xf numFmtId="0" fontId="2" fillId="0" borderId="0" xfId="0" applyFont="1" applyAlignment="1">
      <alignment horizontal="center"/>
    </xf>
    <xf numFmtId="0" fontId="92" fillId="0" borderId="0" xfId="0" applyFont="1"/>
    <xf numFmtId="0" fontId="2" fillId="0" borderId="0" xfId="301" applyFont="1"/>
    <xf numFmtId="0" fontId="2" fillId="0" borderId="0" xfId="301" applyFont="1" applyAlignment="1">
      <alignment horizontal="left" vertical="center"/>
    </xf>
    <xf numFmtId="0" fontId="93" fillId="0" borderId="0" xfId="0" applyFont="1"/>
    <xf numFmtId="0" fontId="93" fillId="0" borderId="0" xfId="0" applyFont="1" applyAlignment="1">
      <alignment vertical="center"/>
    </xf>
    <xf numFmtId="0" fontId="94" fillId="0" borderId="0" xfId="156" applyFont="1"/>
    <xf numFmtId="0" fontId="26" fillId="15" borderId="9" xfId="299" applyFont="1" applyFill="1" applyBorder="1" applyAlignment="1">
      <alignment horizontal="center" vertical="center"/>
    </xf>
    <xf numFmtId="0" fontId="12" fillId="15" borderId="9" xfId="0" applyFont="1" applyFill="1" applyBorder="1" applyAlignment="1">
      <alignment horizontal="left" vertical="center"/>
    </xf>
    <xf numFmtId="0" fontId="12" fillId="15" borderId="9" xfId="199" applyFont="1" applyFill="1" applyBorder="1" applyAlignment="1">
      <alignment horizontal="center" vertical="center" wrapText="1"/>
    </xf>
    <xf numFmtId="0" fontId="12" fillId="30" borderId="9" xfId="0" applyFont="1" applyFill="1" applyBorder="1" applyAlignment="1" applyProtection="1">
      <alignment horizontal="center" vertical="center" wrapText="1"/>
      <protection locked="0"/>
    </xf>
    <xf numFmtId="0" fontId="2" fillId="0" borderId="9" xfId="0" applyFont="1" applyBorder="1" applyAlignment="1">
      <alignment horizontal="center" vertical="center"/>
    </xf>
    <xf numFmtId="0" fontId="2" fillId="0" borderId="9" xfId="0" applyFont="1" applyBorder="1" applyAlignment="1">
      <alignment horizontal="left" vertical="center" wrapText="1"/>
    </xf>
    <xf numFmtId="0" fontId="95" fillId="0" borderId="9" xfId="156" applyFont="1" applyBorder="1" applyAlignment="1">
      <alignment horizontal="center" vertical="center"/>
    </xf>
    <xf numFmtId="0" fontId="2" fillId="0" borderId="9" xfId="302" applyFont="1" applyBorder="1" applyAlignment="1" applyProtection="1">
      <alignment horizontal="center" vertical="center"/>
      <protection locked="0"/>
    </xf>
    <xf numFmtId="0" fontId="2" fillId="0" borderId="94" xfId="0" applyFont="1" applyBorder="1" applyAlignment="1" applyProtection="1">
      <alignment horizontal="left" vertical="center"/>
      <protection locked="0"/>
    </xf>
    <xf numFmtId="0" fontId="2" fillId="0" borderId="9" xfId="0" applyFont="1" applyBorder="1"/>
    <xf numFmtId="0" fontId="13" fillId="15" borderId="9" xfId="0" applyFont="1" applyFill="1" applyBorder="1" applyAlignment="1">
      <alignment horizontal="left" vertical="center"/>
    </xf>
    <xf numFmtId="0" fontId="2" fillId="0" borderId="9" xfId="173" applyFont="1" applyBorder="1" applyAlignment="1">
      <alignment horizontal="left" vertical="center" wrapText="1"/>
    </xf>
    <xf numFmtId="0" fontId="2" fillId="0" borderId="1" xfId="173" applyFont="1" applyBorder="1" applyAlignment="1">
      <alignment horizontal="left" vertical="center" wrapText="1"/>
    </xf>
    <xf numFmtId="0" fontId="2" fillId="0" borderId="7" xfId="173" applyFont="1" applyBorder="1" applyAlignment="1">
      <alignment horizontal="left" vertical="center" wrapText="1"/>
    </xf>
    <xf numFmtId="0" fontId="2" fillId="0" borderId="8" xfId="173" applyFont="1" applyBorder="1" applyAlignment="1">
      <alignment horizontal="left" vertical="center" wrapText="1"/>
    </xf>
    <xf numFmtId="0" fontId="2" fillId="0" borderId="52" xfId="302" applyFont="1" applyBorder="1" applyAlignment="1" applyProtection="1">
      <alignment horizontal="center" vertical="center"/>
      <protection locked="0"/>
    </xf>
    <xf numFmtId="0" fontId="2" fillId="0" borderId="9" xfId="0" applyFont="1" applyBorder="1" applyAlignment="1" applyProtection="1">
      <alignment horizontal="left" vertical="center"/>
      <protection locked="0"/>
    </xf>
    <xf numFmtId="0" fontId="5" fillId="0" borderId="52" xfId="0" applyFont="1" applyBorder="1" applyAlignment="1">
      <alignment horizontal="left" vertical="center" wrapText="1"/>
    </xf>
    <xf numFmtId="0" fontId="5" fillId="0" borderId="52" xfId="0" applyFont="1" applyBorder="1" applyAlignment="1">
      <alignment horizontal="center" vertical="center"/>
    </xf>
    <xf numFmtId="0" fontId="2" fillId="0" borderId="10" xfId="173" applyFont="1" applyBorder="1" applyAlignment="1">
      <alignment horizontal="left" vertical="center" wrapText="1"/>
    </xf>
    <xf numFmtId="0" fontId="2" fillId="0" borderId="11" xfId="173" applyFont="1" applyBorder="1" applyAlignment="1">
      <alignment horizontal="left" vertical="center" wrapText="1"/>
    </xf>
    <xf numFmtId="0" fontId="2" fillId="0" borderId="12" xfId="173" applyFont="1" applyBorder="1" applyAlignment="1">
      <alignment horizontal="left" vertical="center" wrapText="1"/>
    </xf>
    <xf numFmtId="0" fontId="2" fillId="0" borderId="52" xfId="0" applyFont="1" applyBorder="1" applyAlignment="1" applyProtection="1">
      <alignment horizontal="left" vertical="center"/>
      <protection locked="0"/>
    </xf>
    <xf numFmtId="0" fontId="5" fillId="0" borderId="73" xfId="0" applyFont="1" applyBorder="1" applyAlignment="1">
      <alignment horizontal="left" vertical="center" wrapText="1"/>
    </xf>
    <xf numFmtId="0" fontId="5" fillId="0" borderId="51" xfId="0" applyFont="1" applyBorder="1" applyAlignment="1">
      <alignment horizontal="center" vertical="center"/>
    </xf>
    <xf numFmtId="0" fontId="2" fillId="0" borderId="15" xfId="173" applyFont="1" applyBorder="1" applyAlignment="1">
      <alignment horizontal="left" vertical="center" wrapText="1"/>
    </xf>
    <xf numFmtId="0" fontId="2" fillId="0" borderId="16" xfId="173" applyFont="1" applyBorder="1" applyAlignment="1">
      <alignment horizontal="left" vertical="center" wrapText="1"/>
    </xf>
    <xf numFmtId="0" fontId="2" fillId="0" borderId="17" xfId="173" applyFont="1" applyBorder="1" applyAlignment="1">
      <alignment horizontal="left" vertical="center" wrapText="1"/>
    </xf>
    <xf numFmtId="0" fontId="2" fillId="0" borderId="51" xfId="302" applyFont="1" applyBorder="1" applyAlignment="1" applyProtection="1">
      <alignment horizontal="center" vertical="center"/>
      <protection locked="0"/>
    </xf>
    <xf numFmtId="0" fontId="2" fillId="0" borderId="51" xfId="0" applyFont="1" applyBorder="1" applyAlignment="1" applyProtection="1">
      <alignment horizontal="left" vertical="center"/>
      <protection locked="0"/>
    </xf>
    <xf numFmtId="0" fontId="5" fillId="0" borderId="51" xfId="0" applyFont="1" applyBorder="1" applyAlignment="1">
      <alignment horizontal="left" vertical="center" wrapText="1"/>
    </xf>
    <xf numFmtId="0" fontId="2" fillId="0" borderId="52" xfId="0" applyFont="1" applyBorder="1" applyAlignment="1">
      <alignment horizontal="center"/>
    </xf>
    <xf numFmtId="0" fontId="2" fillId="0" borderId="51" xfId="0" applyFont="1" applyBorder="1" applyAlignment="1">
      <alignment horizontal="center"/>
    </xf>
    <xf numFmtId="0" fontId="22" fillId="0" borderId="9" xfId="202" applyFont="1" applyBorder="1" applyAlignment="1">
      <alignment horizontal="center" vertical="center"/>
    </xf>
    <xf numFmtId="0" fontId="5" fillId="0" borderId="52" xfId="0" applyFont="1" applyBorder="1" applyAlignment="1">
      <alignment vertical="center" wrapText="1"/>
    </xf>
    <xf numFmtId="0" fontId="2" fillId="0" borderId="102" xfId="0" applyFont="1" applyBorder="1"/>
    <xf numFmtId="0" fontId="5" fillId="0" borderId="9" xfId="186" applyFont="1" applyBorder="1" applyAlignment="1">
      <alignment horizontal="left" vertical="center" wrapText="1"/>
    </xf>
    <xf numFmtId="0" fontId="3" fillId="0" borderId="9" xfId="186" applyBorder="1" applyAlignment="1">
      <alignment horizontal="left" vertical="center" wrapText="1"/>
    </xf>
    <xf numFmtId="0" fontId="2" fillId="0" borderId="90" xfId="0" applyFont="1" applyBorder="1"/>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2" fillId="0" borderId="103" xfId="0" applyFont="1" applyBorder="1"/>
    <xf numFmtId="0" fontId="26" fillId="15" borderId="52" xfId="299" applyFont="1" applyFill="1" applyBorder="1" applyAlignment="1">
      <alignment horizontal="center" vertical="center"/>
    </xf>
    <xf numFmtId="0" fontId="12" fillId="15" borderId="52" xfId="199" applyFont="1" applyFill="1" applyBorder="1" applyAlignment="1">
      <alignment horizontal="center" vertical="center" wrapText="1"/>
    </xf>
    <xf numFmtId="0" fontId="12" fillId="30" borderId="52" xfId="0" applyFont="1" applyFill="1" applyBorder="1" applyAlignment="1" applyProtection="1">
      <alignment horizontal="center" vertical="center" wrapText="1"/>
      <protection locked="0"/>
    </xf>
    <xf numFmtId="0" fontId="22" fillId="0" borderId="94" xfId="202" applyFont="1" applyBorder="1" applyAlignment="1">
      <alignment horizontal="center" vertical="center"/>
    </xf>
    <xf numFmtId="0" fontId="2" fillId="0" borderId="94" xfId="302" applyFont="1" applyBorder="1" applyAlignment="1" applyProtection="1">
      <alignment horizontal="center" vertical="center"/>
      <protection locked="0"/>
    </xf>
    <xf numFmtId="0" fontId="72" fillId="0" borderId="94" xfId="0" applyFont="1" applyBorder="1" applyAlignment="1" applyProtection="1">
      <alignment horizontal="left" vertical="center"/>
      <protection locked="0"/>
    </xf>
    <xf numFmtId="0" fontId="2" fillId="0" borderId="94" xfId="0" applyFont="1" applyBorder="1"/>
    <xf numFmtId="0" fontId="96" fillId="31" borderId="0" xfId="0" applyFont="1" applyFill="1" applyAlignment="1">
      <alignment horizontal="center"/>
    </xf>
    <xf numFmtId="0" fontId="97" fillId="0" borderId="0" xfId="156"/>
    <xf numFmtId="0" fontId="0" fillId="0" borderId="0" xfId="0" applyAlignment="1">
      <alignment wrapText="1"/>
    </xf>
    <xf numFmtId="0" fontId="95" fillId="0" borderId="9" xfId="156" applyFont="1" applyBorder="1" applyAlignment="1" quotePrefix="1">
      <alignment horizontal="center" vertical="center"/>
    </xf>
    <xf numFmtId="0" fontId="22" fillId="11" borderId="21" xfId="186" applyFont="1" applyFill="1" applyBorder="1" applyAlignment="1" quotePrefix="1">
      <alignment horizontal="left" vertical="center"/>
    </xf>
    <xf numFmtId="0" fontId="12" fillId="0" borderId="27" xfId="207" applyFont="1" applyBorder="1" applyAlignment="1" quotePrefix="1">
      <alignment horizontal="center" vertical="center" wrapText="1"/>
    </xf>
    <xf numFmtId="0" fontId="12" fillId="0" borderId="42" xfId="207" applyFont="1" applyBorder="1" applyAlignment="1" quotePrefix="1">
      <alignment horizontal="center" vertical="center" wrapText="1"/>
    </xf>
  </cellXfs>
  <cellStyles count="3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 xfId="49"/>
    <cellStyle name="0.0%" xfId="50"/>
    <cellStyle name="0.00%" xfId="51"/>
    <cellStyle name="00" xfId="52"/>
    <cellStyle name="20% - Accent1 2" xfId="53"/>
    <cellStyle name="20% - Accent6 2" xfId="54"/>
    <cellStyle name="Accent1" xfId="55"/>
    <cellStyle name="Accent1 - 20%" xfId="56"/>
    <cellStyle name="Accent1 - 60%" xfId="57"/>
    <cellStyle name="Accent1_RESULTS" xfId="58"/>
    <cellStyle name="Accent2" xfId="59"/>
    <cellStyle name="Accent2 - 20%" xfId="60"/>
    <cellStyle name="Accent2 - 40%" xfId="61"/>
    <cellStyle name="Accent2 - 60%" xfId="62"/>
    <cellStyle name="Accent2 2" xfId="63"/>
    <cellStyle name="Accent2_RESULTS" xfId="64"/>
    <cellStyle name="Accent3 - 40%" xfId="65"/>
    <cellStyle name="Accent3 - 60%" xfId="66"/>
    <cellStyle name="Accent3_RESULTS" xfId="67"/>
    <cellStyle name="Accent4_RESULTS" xfId="68"/>
    <cellStyle name="Accent5" xfId="69"/>
    <cellStyle name="Accent5 - 20%" xfId="70"/>
    <cellStyle name="Accent5_RESULTS" xfId="71"/>
    <cellStyle name="Accent6" xfId="72"/>
    <cellStyle name="Accent6 - 40%" xfId="73"/>
    <cellStyle name="Accent6 - 60%" xfId="74"/>
    <cellStyle name="Accent6_RESULTS" xfId="75"/>
    <cellStyle name="Bad 2" xfId="76"/>
    <cellStyle name="Calc Currency (0)" xfId="77"/>
    <cellStyle name="category" xfId="78"/>
    <cellStyle name="cellStyleNum" xfId="79"/>
    <cellStyle name="cellStyleNum 2 10" xfId="80"/>
    <cellStyle name="cellStyleNum 2 2" xfId="81"/>
    <cellStyle name="cellStylePer" xfId="82"/>
    <cellStyle name="cellStylePer 2" xfId="83"/>
    <cellStyle name="Check Cell 2" xfId="84"/>
    <cellStyle name="Check Cell 2 2" xfId="85"/>
    <cellStyle name="Col Heads" xfId="86"/>
    <cellStyle name="Comma" xfId="87"/>
    <cellStyle name="Comma  - Style1" xfId="88"/>
    <cellStyle name="Comma [0] 2" xfId="89"/>
    <cellStyle name="Comma [0] 2 10" xfId="90"/>
    <cellStyle name="Comma [0] 2 11" xfId="91"/>
    <cellStyle name="Comma [0] 2 2 3 2 2" xfId="92"/>
    <cellStyle name="Comma [0] 2 7" xfId="93"/>
    <cellStyle name="Comma [0] 3 2" xfId="94"/>
    <cellStyle name="Comma [0] 3 2 2" xfId="95"/>
    <cellStyle name="Comma 10 4 3" xfId="96"/>
    <cellStyle name="Comma 12 2" xfId="97"/>
    <cellStyle name="Comma 12 6" xfId="98"/>
    <cellStyle name="Comma 13 6" xfId="99"/>
    <cellStyle name="Comma 14 6" xfId="100"/>
    <cellStyle name="Comma 16 7" xfId="101"/>
    <cellStyle name="Comma 2" xfId="102"/>
    <cellStyle name="Comma 2 2" xfId="103"/>
    <cellStyle name="Comma 2 2 2 2 2" xfId="104"/>
    <cellStyle name="Comma 2 2 2 2 2 2 2" xfId="105"/>
    <cellStyle name="Comma 2 2 2 2_1" xfId="106"/>
    <cellStyle name="Comma 2 3 2 2 2" xfId="107"/>
    <cellStyle name="Comma 2 3 2 2 2 2" xfId="108"/>
    <cellStyle name="Comma 2 3 2_1" xfId="109"/>
    <cellStyle name="Comma 2 4 10" xfId="110"/>
    <cellStyle name="Comma 2 5 4" xfId="111"/>
    <cellStyle name="Comma 2 5 4 2" xfId="112"/>
    <cellStyle name="Comma 2 6 4" xfId="113"/>
    <cellStyle name="Comma 2 7 4" xfId="114"/>
    <cellStyle name="Comma 3" xfId="115"/>
    <cellStyle name="Comma 3 3 6" xfId="116"/>
    <cellStyle name="Comma 39" xfId="117"/>
    <cellStyle name="Comma 4 4" xfId="118"/>
    <cellStyle name="Comma 4 4 4" xfId="119"/>
    <cellStyle name="Comma 42" xfId="120"/>
    <cellStyle name="Comma 47" xfId="121"/>
    <cellStyle name="Comma 5 3 3 3" xfId="122"/>
    <cellStyle name="Comma 5 6" xfId="123"/>
    <cellStyle name="Comma 58" xfId="124"/>
    <cellStyle name="Comma 6" xfId="125"/>
    <cellStyle name="Comma 6 6" xfId="126"/>
    <cellStyle name="comma zerodec" xfId="127"/>
    <cellStyle name="Comma,0" xfId="128"/>
    <cellStyle name="Comma,1" xfId="129"/>
    <cellStyle name="Comma,2" xfId="130"/>
    <cellStyle name="consultationStyle" xfId="131"/>
    <cellStyle name="Currency 2" xfId="132"/>
    <cellStyle name="Currency 2 2" xfId="133"/>
    <cellStyle name="Currency 4" xfId="134"/>
    <cellStyle name="Currency 4 2" xfId="135"/>
    <cellStyle name="Currency 6" xfId="136"/>
    <cellStyle name="Currency 9" xfId="137"/>
    <cellStyle name="Currency,0" xfId="138"/>
    <cellStyle name="Currency,2" xfId="139"/>
    <cellStyle name="Currency1" xfId="140"/>
    <cellStyle name="dataStyle" xfId="141"/>
    <cellStyle name="dataStyle 2 2 3" xfId="142"/>
    <cellStyle name="Dollar (zero dec)" xfId="143"/>
    <cellStyle name="entry" xfId="144"/>
    <cellStyle name="entry box" xfId="145"/>
    <cellStyle name="Euro" xfId="146"/>
    <cellStyle name="evenStyle" xfId="147"/>
    <cellStyle name="Good 2" xfId="148"/>
    <cellStyle name="Good 2 2" xfId="149"/>
    <cellStyle name="Good 3" xfId="150"/>
    <cellStyle name="Grey" xfId="151"/>
    <cellStyle name="HEADER" xfId="152"/>
    <cellStyle name="Header1" xfId="153"/>
    <cellStyle name="Header2" xfId="154"/>
    <cellStyle name="headStyle" xfId="155"/>
    <cellStyle name="Hyperlink" xfId="156"/>
    <cellStyle name="Hyperlink 2" xfId="157"/>
    <cellStyle name="Hyperlink 2 2" xfId="158"/>
    <cellStyle name="Hyperlink 2 2 3" xfId="159"/>
    <cellStyle name="Hyperlink 2 2 5" xfId="160"/>
    <cellStyle name="Hyperlink 2 4" xfId="161"/>
    <cellStyle name="Hyperlink 3" xfId="162"/>
    <cellStyle name="Hyperlink 3 2 2" xfId="163"/>
    <cellStyle name="Hyperlink 5" xfId="164"/>
    <cellStyle name="Input [yellow]" xfId="165"/>
    <cellStyle name="Model" xfId="166"/>
    <cellStyle name="Neutral 2" xfId="167"/>
    <cellStyle name="Normal - Style1" xfId="168"/>
    <cellStyle name="Normal 10" xfId="169"/>
    <cellStyle name="Normal 10 10" xfId="170"/>
    <cellStyle name="Normal 10 2 2 2" xfId="171"/>
    <cellStyle name="Normal 10 2 3" xfId="172"/>
    <cellStyle name="Normal 103" xfId="173"/>
    <cellStyle name="Normal 103 2" xfId="174"/>
    <cellStyle name="Normal 111 2" xfId="175"/>
    <cellStyle name="Normal 118" xfId="176"/>
    <cellStyle name="Normal 121 2" xfId="177"/>
    <cellStyle name="Normal 121 2 2 2" xfId="178"/>
    <cellStyle name="Normal 124" xfId="179"/>
    <cellStyle name="Normal 13" xfId="180"/>
    <cellStyle name="Normal 13 3" xfId="181"/>
    <cellStyle name="Normal 17" xfId="182"/>
    <cellStyle name="Normal 19" xfId="183"/>
    <cellStyle name="Normal 2" xfId="184"/>
    <cellStyle name="Normal 2 12" xfId="185"/>
    <cellStyle name="Normal 2 2" xfId="186"/>
    <cellStyle name="Normal 2 2 2" xfId="187"/>
    <cellStyle name="Normal 2 2 2 3" xfId="188"/>
    <cellStyle name="Normal 2 2 3" xfId="189"/>
    <cellStyle name="Normal 2 2 4" xfId="190"/>
    <cellStyle name="Normal 2 2 5" xfId="191"/>
    <cellStyle name="Normal 2 2_2" xfId="192"/>
    <cellStyle name="Normal 2 24" xfId="193"/>
    <cellStyle name="Normal 2 24 2" xfId="194"/>
    <cellStyle name="Normal 2 3" xfId="195"/>
    <cellStyle name="Normal 2 3 2 2" xfId="196"/>
    <cellStyle name="Normal 2 3 4 2" xfId="197"/>
    <cellStyle name="Normal 2 3 6" xfId="198"/>
    <cellStyle name="Normal 2 3 6 2" xfId="199"/>
    <cellStyle name="Normal 2 4" xfId="200"/>
    <cellStyle name="Normal 2 4 3" xfId="201"/>
    <cellStyle name="Normal 3 2 2 2 2" xfId="202"/>
    <cellStyle name="Normal 3 2 6" xfId="203"/>
    <cellStyle name="Normal 3 3 2" xfId="204"/>
    <cellStyle name="Normal 3 4 2" xfId="205"/>
    <cellStyle name="Normal 31" xfId="206"/>
    <cellStyle name="Normal 4" xfId="207"/>
    <cellStyle name="Normal 4 2" xfId="208"/>
    <cellStyle name="Normal 4 2 2" xfId="209"/>
    <cellStyle name="Normal 4 3 4" xfId="210"/>
    <cellStyle name="Normal 4 4 5" xfId="211"/>
    <cellStyle name="Normal 5 2 2" xfId="212"/>
    <cellStyle name="Normal 5 3" xfId="213"/>
    <cellStyle name="Normal 5 4" xfId="214"/>
    <cellStyle name="Normal 55" xfId="215"/>
    <cellStyle name="Normal 56" xfId="216"/>
    <cellStyle name="Normal 6 2 2" xfId="217"/>
    <cellStyle name="Normal 6_3" xfId="218"/>
    <cellStyle name="Normal 7 6" xfId="219"/>
    <cellStyle name="Normal 7 6 2" xfId="220"/>
    <cellStyle name="Normal_Sheet2" xfId="221"/>
    <cellStyle name="Normalny_Arkusz1" xfId="222"/>
    <cellStyle name="Percent [2]" xfId="223"/>
    <cellStyle name="Percent 2 2" xfId="224"/>
    <cellStyle name="Percent 2 2 5" xfId="225"/>
    <cellStyle name="Percent 2 3" xfId="226"/>
    <cellStyle name="Percent 2 3 3" xfId="227"/>
    <cellStyle name="Percent 2 3 5" xfId="228"/>
    <cellStyle name="Percent 2 4" xfId="229"/>
    <cellStyle name="Percent 3 3" xfId="230"/>
    <cellStyle name="Percent 4 4" xfId="231"/>
    <cellStyle name="periodBeginBalanceAmountCrD" xfId="232"/>
    <cellStyle name="Prefilled" xfId="233"/>
    <cellStyle name="price" xfId="234"/>
    <cellStyle name="revised" xfId="235"/>
    <cellStyle name="row_def_array" xfId="236"/>
    <cellStyle name="SAPBEXaggData" xfId="237"/>
    <cellStyle name="SAPBEXaggDataEmph" xfId="238"/>
    <cellStyle name="SAPBEXaggItem" xfId="239"/>
    <cellStyle name="SAPBEXaggItemX" xfId="240"/>
    <cellStyle name="SAPBEXchaText" xfId="241"/>
    <cellStyle name="SAPBEXexcBad7" xfId="242"/>
    <cellStyle name="SAPBEXexcBad8" xfId="243"/>
    <cellStyle name="SAPBEXexcBad9" xfId="244"/>
    <cellStyle name="SAPBEXexcCritical4" xfId="245"/>
    <cellStyle name="SAPBEXexcCritical5" xfId="246"/>
    <cellStyle name="SAPBEXexcCritical6" xfId="247"/>
    <cellStyle name="SAPBEXexcGood1" xfId="248"/>
    <cellStyle name="SAPBEXexcGood2" xfId="249"/>
    <cellStyle name="SAPBEXexcGood3" xfId="250"/>
    <cellStyle name="SAPBEXfilterDrill" xfId="251"/>
    <cellStyle name="SAPBEXfilterItem" xfId="252"/>
    <cellStyle name="SAPBEXfilterText" xfId="253"/>
    <cellStyle name="SAPBEXformats" xfId="254"/>
    <cellStyle name="SAPBEXheaderText" xfId="255"/>
    <cellStyle name="SAPBEXHLevel0" xfId="256"/>
    <cellStyle name="SAPBEXHLevel0X" xfId="257"/>
    <cellStyle name="SAPBEXHLevel1" xfId="258"/>
    <cellStyle name="SAPBEXHLevel1X" xfId="259"/>
    <cellStyle name="SAPBEXHLevel2" xfId="260"/>
    <cellStyle name="SAPBEXHLevel2X" xfId="261"/>
    <cellStyle name="SAPBEXHLevel3" xfId="262"/>
    <cellStyle name="SAPBEXHLevel3X" xfId="263"/>
    <cellStyle name="SAPBEXresData" xfId="264"/>
    <cellStyle name="SAPBEXresDataEmph" xfId="265"/>
    <cellStyle name="SAPBEXresItem" xfId="266"/>
    <cellStyle name="SAPBEXresItemX" xfId="267"/>
    <cellStyle name="SAPBEXstdData" xfId="268"/>
    <cellStyle name="SAPBEXstdDataEmph" xfId="269"/>
    <cellStyle name="SAPBEXstdItem" xfId="270"/>
    <cellStyle name="SAPBEXstdItemX" xfId="271"/>
    <cellStyle name="SAPBEXtitle" xfId="272"/>
    <cellStyle name="SAPBEXundefined" xfId="273"/>
    <cellStyle name="section" xfId="274"/>
    <cellStyle name="SOR" xfId="275"/>
    <cellStyle name="SOR 2" xfId="276"/>
    <cellStyle name="Style 1 5 4" xfId="277"/>
    <cellStyle name="subhead" xfId="278"/>
    <cellStyle name="title" xfId="279"/>
    <cellStyle name="Tusental (0)_pldt" xfId="280"/>
    <cellStyle name="Tusental_pldt" xfId="281"/>
    <cellStyle name="Valuta (0)_pldt" xfId="282"/>
    <cellStyle name="Valuta_pldt" xfId="283"/>
    <cellStyle name="パーセント_laroux" xfId="284"/>
    <cellStyle name="_laroux" xfId="285"/>
    <cellStyle name="だ[0]_PLDT" xfId="286"/>
    <cellStyle name="だ_PLDT" xfId="287"/>
    <cellStyle name="だ_laroux" xfId="288"/>
    <cellStyle name="百分比 2 2" xfId="289"/>
    <cellStyle name="百分比 3 2 2" xfId="290"/>
    <cellStyle name="捠壿 [0.00]_PRODUCT DETAIL Q1" xfId="291"/>
    <cellStyle name="标题 5" xfId="292"/>
    <cellStyle name="標準_１１月価格表" xfId="293"/>
    <cellStyle name="表标题" xfId="294"/>
    <cellStyle name="差_10存货" xfId="295"/>
    <cellStyle name="差_19-无形资产（空白模板）" xfId="296"/>
    <cellStyle name="差_3-2 进一步审计程序-采购与付款循环" xfId="297"/>
    <cellStyle name="差_dxn底稿目录" xfId="298"/>
    <cellStyle name="常规 10 5" xfId="299"/>
    <cellStyle name="常规 11" xfId="300"/>
    <cellStyle name="常规 14" xfId="301"/>
    <cellStyle name="常规 15" xfId="302"/>
    <cellStyle name="常规 2- " xfId="303"/>
    <cellStyle name="常规 2 2 2 2 4" xfId="304"/>
    <cellStyle name="常规 2 2 3" xfId="305"/>
    <cellStyle name="常规 2 2 4" xfId="306"/>
    <cellStyle name="常规 2 3 2" xfId="307"/>
    <cellStyle name="常规 2 3 4" xfId="308"/>
    <cellStyle name="常规 2 4" xfId="309"/>
    <cellStyle name="常规 2 4 3" xfId="310"/>
    <cellStyle name="常规 2 6" xfId="311"/>
    <cellStyle name="常规 2 9" xfId="312"/>
    <cellStyle name="常规 3" xfId="313"/>
    <cellStyle name="常规 3 2 2 3" xfId="314"/>
    <cellStyle name="常规 3_1" xfId="315"/>
    <cellStyle name="常规_Book1" xfId="316"/>
    <cellStyle name="超级链接_综合类底稿表格" xfId="317"/>
    <cellStyle name="超链接 2 2 2" xfId="318"/>
    <cellStyle name="超链接 2 6" xfId="319"/>
    <cellStyle name="超链接 3 3" xfId="320"/>
    <cellStyle name="超链接 5" xfId="321"/>
    <cellStyle name="好_10存货" xfId="322"/>
    <cellStyle name="好_19-无形资产（空白模板）" xfId="323"/>
    <cellStyle name="好_1财务费用" xfId="324"/>
    <cellStyle name="好_3-2 进一步审计程序-采购与付款循环" xfId="325"/>
    <cellStyle name="好_大信底稿目录" xfId="326"/>
    <cellStyle name="桁区切り [0.00]_１１月価格表" xfId="327"/>
    <cellStyle name="货币 2" xfId="328"/>
    <cellStyle name="貨幣 [0]_SGV" xfId="329"/>
    <cellStyle name="貨幣_SGV" xfId="330"/>
    <cellStyle name="霓付 [0]_1202" xfId="331"/>
    <cellStyle name="霓付_1202" xfId="332"/>
    <cellStyle name="烹拳 [0]_1202" xfId="333"/>
    <cellStyle name="烹拳_1202" xfId="334"/>
    <cellStyle name="砯刽 [0]_PLDT" xfId="335"/>
    <cellStyle name="砯刽_PLDT" xfId="336"/>
    <cellStyle name="普通_ 白土" xfId="337"/>
    <cellStyle name="千分位_ 白土" xfId="338"/>
    <cellStyle name="千位分隔 10" xfId="339"/>
    <cellStyle name="千位分隔 10 3" xfId="340"/>
    <cellStyle name="千位分隔 13" xfId="341"/>
    <cellStyle name="千位分隔 15" xfId="342"/>
    <cellStyle name="千位分隔 2 2" xfId="343"/>
    <cellStyle name="千位分隔 2 2 2" xfId="344"/>
    <cellStyle name="千位分隔 2 2 2 2" xfId="345"/>
    <cellStyle name="千位分隔 2 2 2 2 2" xfId="346"/>
    <cellStyle name="千位分隔 2 2 2 2 3" xfId="347"/>
    <cellStyle name="千位分隔 2 2 5 3" xfId="348"/>
    <cellStyle name="千位分隔 2_1" xfId="349"/>
    <cellStyle name="千位分隔 3" xfId="350"/>
    <cellStyle name="千位分隔 3 2 2 2" xfId="351"/>
    <cellStyle name="千位分隔 6" xfId="352"/>
    <cellStyle name="钎霖_(沥焊何巩)岿喊牢盔拌裙" xfId="353"/>
    <cellStyle name="强调 1" xfId="354"/>
    <cellStyle name="强调 2" xfId="355"/>
    <cellStyle name="强调 3" xfId="356"/>
    <cellStyle name="通貨_１１月価格表" xfId="357"/>
    <cellStyle name="昗弨_BOOKSHIP" xfId="358"/>
    <cellStyle name="寘嬫愗傝 [0.00]_PRODUCT DETAIL Q1" xfId="359"/>
    <cellStyle name="寘嬫愗傝_PRODUCT DETAIL Q1" xfId="360"/>
    <cellStyle name="资产" xfId="361"/>
    <cellStyle name="콤마 [0]_BOILER-CO1" xfId="362"/>
    <cellStyle name="콤마_BOILER-CO1" xfId="363"/>
    <cellStyle name="통화 [0]_BOILER-CO1" xfId="364"/>
    <cellStyle name="표준_0N-HANDLING " xfId="365"/>
  </cellStyles>
  <dxfs count="18">
    <dxf>
      <fill>
        <patternFill patternType="solid">
          <bgColor rgb="FFFFFFCC"/>
        </patternFill>
      </fill>
    </dxf>
    <dxf>
      <fill>
        <patternFill patternType="solid">
          <bgColor rgb="FFFFFFCC"/>
        </patternFill>
      </fill>
    </dxf>
    <dxf>
      <font>
        <color rgb="FF9C0006"/>
      </font>
      <fill>
        <patternFill patternType="solid">
          <bgColor rgb="FFFFC7CE"/>
        </patternFill>
      </fill>
    </dxf>
    <dxf>
      <font>
        <b val="1"/>
        <i val="0"/>
        <color rgb="FFFF0000"/>
      </font>
      <fill>
        <patternFill patternType="solid">
          <bgColor rgb="FFFFFFCC"/>
        </patternFill>
      </fill>
    </dxf>
    <dxf>
      <font>
        <b val="1"/>
        <i val="0"/>
        <color rgb="FFFF0000"/>
      </font>
    </dxf>
    <dxf>
      <font>
        <b val="1"/>
        <i val="0"/>
        <strike val="1"/>
        <color rgb="FF0000FF"/>
      </font>
      <fill>
        <patternFill patternType="none"/>
      </fill>
    </dxf>
    <dxf>
      <border>
        <left style="thin">
          <color auto="1"/>
        </left>
        <right style="thin">
          <color auto="1"/>
        </right>
      </border>
    </dxf>
    <dxf>
      <border>
        <left style="thin">
          <color auto="1"/>
        </left>
        <right style="thin">
          <color auto="1"/>
        </right>
      </border>
    </dxf>
    <dxf>
      <fill>
        <patternFill patternType="solid">
          <bgColor theme="0" tint="-0.14905240028077"/>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patternType="solid">
          <bgColor theme="0" tint="-0.149906918546098"/>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xr9:uid="{62886A32-68AA-40F0-A2E2-14960C4C8D9C}">
      <tableStyleElement type="wholeTable" dxfId="11"/>
      <tableStyleElement type="totalRow" dxfId="10"/>
      <tableStyleElement type="firstRowStripe" dxfId="9"/>
      <tableStyleElement type="secondRowStripe" dxfId="8"/>
      <tableStyleElement type="firstColumnStripe" dxfId="7"/>
      <tableStyleElement type="secondColumnStripe" dxfId="6"/>
    </tableStyle>
    <tableStyle name="MySqlDefault" table="0" count="0" xr9:uid="{D64538AB-DD2C-41B8-A467-82E7B9CA6BE3}"/>
    <tableStyle name="Table Style 1 2" pivot="0" count="6" xr9:uid="{A1197147-FA07-44A5-B1F6-EED586D4BCE1}">
      <tableStyleElement type="wholeTable" dxfId="17"/>
      <tableStyleElement type="totalRow" dxfId="16"/>
      <tableStyleElement type="firstRowStripe" dxfId="15"/>
      <tableStyleElement type="secondRowStripe" dxfId="14"/>
      <tableStyleElement type="firstColumnStripe" dxfId="13"/>
      <tableStyleElement type="secondColumnStripe" dxfId="12"/>
    </tableStyle>
  </tableStyles>
  <colors>
    <mruColors>
      <color rgb="00FFFFCC"/>
      <color rgb="000000FF"/>
      <color rgb="000563C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sheetMetadata" Target="metadata.xml"/><Relationship Id="rId36" Type="http://schemas.openxmlformats.org/officeDocument/2006/relationships/sharedStrings" Target="sharedStrings.xml"/><Relationship Id="rId35" Type="http://schemas.openxmlformats.org/officeDocument/2006/relationships/theme" Target="theme/theme1.xml"/><Relationship Id="rId34" Type="http://schemas.openxmlformats.org/officeDocument/2006/relationships/externalLink" Target="externalLinks/externalLink12.xml"/><Relationship Id="rId33" Type="http://schemas.openxmlformats.org/officeDocument/2006/relationships/externalLink" Target="externalLinks/externalLink11.xml"/><Relationship Id="rId32" Type="http://schemas.openxmlformats.org/officeDocument/2006/relationships/externalLink" Target="externalLinks/externalLink10.xml"/><Relationship Id="rId31" Type="http://schemas.openxmlformats.org/officeDocument/2006/relationships/externalLink" Target="externalLinks/externalLink9.xml"/><Relationship Id="rId30" Type="http://schemas.openxmlformats.org/officeDocument/2006/relationships/externalLink" Target="externalLinks/externalLink8.xml"/><Relationship Id="rId3" Type="http://schemas.openxmlformats.org/officeDocument/2006/relationships/worksheet" Target="worksheets/sheet3.xml"/><Relationship Id="rId29" Type="http://schemas.openxmlformats.org/officeDocument/2006/relationships/externalLink" Target="externalLinks/externalLink7.xml"/><Relationship Id="rId28" Type="http://schemas.openxmlformats.org/officeDocument/2006/relationships/externalLink" Target="externalLinks/externalLink6.xml"/><Relationship Id="rId27" Type="http://schemas.openxmlformats.org/officeDocument/2006/relationships/externalLink" Target="externalLinks/externalLink5.xml"/><Relationship Id="rId26" Type="http://schemas.openxmlformats.org/officeDocument/2006/relationships/externalLink" Target="externalLinks/externalLink4.xml"/><Relationship Id="rId25" Type="http://schemas.openxmlformats.org/officeDocument/2006/relationships/externalLink" Target="externalLinks/externalLink3.xml"/><Relationship Id="rId24" Type="http://schemas.openxmlformats.org/officeDocument/2006/relationships/externalLink" Target="externalLinks/externalLink2.xml"/><Relationship Id="rId23" Type="http://schemas.openxmlformats.org/officeDocument/2006/relationships/externalLink" Target="externalLinks/externalLink1.xml"/><Relationship Id="rId22" Type="http://schemas.openxmlformats.org/officeDocument/2006/relationships/customXml" Target="../customXml/item3.xml"/><Relationship Id="rId21" Type="http://schemas.openxmlformats.org/officeDocument/2006/relationships/customXml" Target="../customXml/item2.xml"/><Relationship Id="rId20" Type="http://schemas.openxmlformats.org/officeDocument/2006/relationships/customXml" Target="../customXml/item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hyperlink" Target="https://eychinamanaged.sharepoint.cn/sites/GCknowledgecenter/SitePages/%E6%A0%87%E5%87%86%E5%AE%A1%E8%AE%A1%E5%BA%95%E7%A8%BF%E6%A8%A1%E6%9D%BF_K1_%E5%9B%BA%E5%AE%9A%E8%B5%84%E4%BA%A7_202YMMDD_XYZ%E5%85%AC%E5%8F%B8_Read-me-and-Delete-me.aspx#:~:text=K.03.1%2D%E6%B3%A8%E9%87%8A11,%E9%AB%98%E7%B2%BE%E7%A1%AE%E5%BA%A6.xlsx"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E6%A0%87%E5%87%86%E5%AE%A1%E8%AE%A1%E5%BA%95%E7%A8%BF%E6%A8%A1%E6%9D%BF_K1_%E5%9B%BA%E5%AE%9A%E8%B5%84%E4%BA%A7_202YMMDD_XYZ%E5%85%AC%E5%8F%B8_Read-me-and-Delete-me.aspx#:~:text=%E6%B1%87%E6%80%BB%2D%E6%B3%A8%E9%87%8A,%E6%89%A7%E8%A1%8C%E8%AF%A6%E7%BB%86%E6%B5%8B%E8%AF%95%EF%BC%9B" TargetMode="External"/><Relationship Id="rId4" Type="http://schemas.openxmlformats.org/officeDocument/2006/relationships/hyperlink" Target="https://eychinamanaged.sharepoint.cn/sites/GCknowledgecenter/SitePages/Altas-PSP-%E9%93%BE%E6%8E%A5.aspx#:~:text=%E7%9B%B8%E5%85%B3PSP%20%E4%BB%A5%E5%8F%8AOSP%20%E5%8F%AF%E4%BB%8EAtlas%20%E4%B8%AD%E8%8E%B7%E5%BE%97%EF%BC%8CAtlas%20Link%3A%0A(CN)%20K%2DPPE%0A%E6%9B%B4%E5%A4%9A%E8%AF%A5%E7%A7%91%E7%9B%AE%E7%9B%B8%E5%85%B3%E5%AE%A1%E8%AE%A1%E4%BC%9A%E8%AE%A1%E7%9F%A5%E8%AF%86%E5%8F%AF%E5%8F%82%E8%80%83%E2%80%9C%E5%A4%A7%E4%B8%AD%E5%8D%8E%E5%8C%BA%E4%BC%9A%E8%AE%A1%E5%AE%A1%E8%AE%A1%E7%9F%A5%E8%AF%86%E5%BA%93%E2%80%9D%0AK1_%E5%9B%BA%E5%AE%9A%E8%B5%84%E4%BA%A7%0A%E5%87%8F%E5%80%BC%EF%BC%88%E5%8C%85%E5%90%AB%E9%95%BF%E6%9C%9F%E8%B5%84%E4%BA%A7%E5%87%8F%E5%80%BC%E5%92%8C%E5%95%86%E8%AA%89%E5%87%8F%E5%80%BC%EF%BC%89%E6%A0%87%E5%87%86%E5%BA%95%E7%A8%BF" TargetMode="External"/><Relationship Id="rId3" Type="http://schemas.openxmlformats.org/officeDocument/2006/relationships/hyperlink" Target="https://eychinamanaged.sharepoint.cn/sites/GCknowledgecenter/SitePages/%E6%A0%87%E5%87%86%E5%AE%A1%E8%AE%A1%E5%BA%95%E7%A8%BF%E6%A8%A1%E6%9D%BF_%E9%A2%84%E5%AE%A1&amp;%E5%B9%B4%E5%AE%A1%E5%B7%A5%E4%BD%9C%E6%B3%A8%E6%84%8F%E4%BA%8B%E9%A1%B9.aspx#:~:text=1%EF%BC%89%E9%A2%84%E5%AE%A1%E5%B7%A5%E4%BD%9C%E5%AE%9A%E4%B9%89%EF%BC%9A%E2%80%8BPre%2Dfinal%20audit,%E5%B9%B6%E5%88%A0%E9%99%A4%E5%AF%B9%E5%BA%94%E7%9A%84%E7%A8%8B%E5%BA%8F%E5%92%8C%E7%A8%8B%E5%BA%8F%E8%A1%A8%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E6%B1%87%E6%80%BB%2D%E6%B3%A8%E9%87%8A2,untested%20population%20is%20needed."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4" Type="http://schemas.openxmlformats.org/officeDocument/2006/relationships/hyperlink" Target="https://eychinamanaged.sharepoint.cn/sites/GCknowledgecenter/SitePages/%E6%A0%87%E5%87%86%E5%AE%A1%E8%AE%A1%E5%BA%95%E7%A8%BF%E6%A8%A1%E6%9D%BF_K1_%E5%9B%BA%E5%AE%9A%E8%B5%84%E4%BA%A7_202YMMDD_XYZ%E5%85%AC%E5%8F%B8_Read-me-and-Delete-me.aspx#:~:text=K.01%2D%E6%B3%A8%E9%87%8A4,%E5%AE%9E%E9%99%85%E4%BD%BF%E7%94%A8%E9%83%A8%E9%97%A8%E7%AD%89%E3%80%82" TargetMode="External"/><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1%2D%E6%B3%A8%E9%87%8A,%E6%97%A0%E4%BB%B7%E5%80%BC%E5%B7%A5%E4%BD%9C%E3%80%82" TargetMode="External"/><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K.02.1%2D%E6%B3%A8%E9%87%8A,%E8%BF%98%E6%98%AF%E8%B4%B9%E7%94%A8%E5%8C%96%E3%80%82"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C2%A0%E6%96%B0%E5%A2%9E%E6%B8%85%E5%8D%95%26%20%E5%A4%84%E7%BD%AE%E6%B8%85%E5%8D%95%2D%E6%B3%A8%E9%87%8A8%EF%BC%9A%E5%9B%BA%E5%AE%9A%E8%B5%84%E4%BA%A7%E6%96%B0%E5%A2%9E%E6%B8%85%E5%8D%95%26%E5%9B%BA%E5%AE%9A%E8%B5%84%E4%BA%A7%E5%A4%84%E7%BD%AE%E6%B8%85%E5%8D%95" TargetMode="Externa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K1_%E5%9B%BA%E5%AE%9A%E8%B5%84%E4%BA%A7_202YMMDD_XYZ%E5%85%AC%E5%8F%B8_Read-me-and-Delete-me.aspx#:~:text=%E5%A4%84%E7%BD%AE%E6%B8%85%E5%8D%95%2D%E6%B3%A8%E9%87%8A9,%E6%88%96%E7%BB%A7%E7%BB%AD%E4%BD%BF%E7%94%A8%E4%B8%AD%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C2%A0%E6%96%B0%E5%A2%9E%E6%B8%85%E5%8D%95%26%20%E5%A4%84%E7%BD%AE%E6%B8%85%E5%8D%95%2D%E6%B3%A8%E9%87%8A8%EF%BC%9A%E5%9B%BA%E5%AE%9A%E8%B5%84%E4%BA%A7%E6%96%B0%E5%A2%9E%E6%B8%85%E5%8D%95%26%E5%9B%BA%E5%AE%9A%E8%B5%84%E4%BA%A7%E5%A4%84%E7%BD%AE%E6%B8%85%E5%8D%95"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1%2D%E6%B3%A8%E9%87%8A11,%E9%AB%98%E7%B2%BE%E7%A1%AE%E5%BA%A6.xlsx" TargetMode="External"/><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2%26K,%E5%80%BC%E9%87%91%E9%A2%9D%E7%AD%89%E3%80%82" TargetMode="External"/><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2%26K,%E5%80%BC%E9%87%91%E9%A2%9D%E7%AD%89%E3%80%82" TargetMode="External"/><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1228725</xdr:colOff>
      <xdr:row>11</xdr:row>
      <xdr:rowOff>142875</xdr:rowOff>
    </xdr:from>
    <xdr:to>
      <xdr:col>4</xdr:col>
      <xdr:colOff>1419225</xdr:colOff>
      <xdr:row>11</xdr:row>
      <xdr:rowOff>342900</xdr:rowOff>
    </xdr:to>
    <xdr:pic>
      <xdr:nvPicPr>
        <xdr:cNvPr id="7" name="图片 16">
          <a:hlinkClick xmlns:r="http://schemas.openxmlformats.org/officeDocument/2006/relationships" r:id="rId1"/>
        </xdr:cNvPr>
        <xdr:cNvPicPr>
          <a:picLocks noChangeAspect="1"/>
        </xdr:cNvPicPr>
      </xdr:nvPicPr>
      <xdr:blipFill>
        <a:blip r:embed="rId2"/>
        <a:stretch>
          <a:fillRect/>
        </a:stretch>
      </xdr:blipFill>
      <xdr:spPr>
        <a:xfrm>
          <a:off x="4899660" y="3989705"/>
          <a:ext cx="110490" cy="200025"/>
        </a:xfrm>
        <a:prstGeom prst="rect">
          <a:avLst/>
        </a:prstGeom>
      </xdr:spPr>
    </xdr:pic>
    <xdr:clientData/>
  </xdr:twoCellAnchor>
  <xdr:twoCellAnchor>
    <xdr:from>
      <xdr:col>4</xdr:col>
      <xdr:colOff>1209675</xdr:colOff>
      <xdr:row>15</xdr:row>
      <xdr:rowOff>133350</xdr:rowOff>
    </xdr:from>
    <xdr:to>
      <xdr:col>4</xdr:col>
      <xdr:colOff>1409700</xdr:colOff>
      <xdr:row>15</xdr:row>
      <xdr:rowOff>333375</xdr:rowOff>
    </xdr:to>
    <xdr:pic>
      <xdr:nvPicPr>
        <xdr:cNvPr id="14" name="图片 16">
          <a:hlinkClick xmlns:r="http://schemas.openxmlformats.org/officeDocument/2006/relationships" r:id="rId1"/>
        </xdr:cNvPr>
        <xdr:cNvPicPr>
          <a:picLocks noChangeAspect="1"/>
        </xdr:cNvPicPr>
      </xdr:nvPicPr>
      <xdr:blipFill>
        <a:blip r:embed="rId2"/>
        <a:stretch>
          <a:fillRect/>
        </a:stretch>
      </xdr:blipFill>
      <xdr:spPr>
        <a:xfrm>
          <a:off x="4880610" y="5513705"/>
          <a:ext cx="129540" cy="200025"/>
        </a:xfrm>
        <a:prstGeom prst="rect">
          <a:avLst/>
        </a:prstGeom>
      </xdr:spPr>
    </xdr:pic>
    <xdr:clientData/>
  </xdr:twoCellAnchor>
  <xdr:twoCellAnchor>
    <xdr:from>
      <xdr:col>6</xdr:col>
      <xdr:colOff>671286</xdr:colOff>
      <xdr:row>4</xdr:row>
      <xdr:rowOff>9071</xdr:rowOff>
    </xdr:from>
    <xdr:to>
      <xdr:col>6</xdr:col>
      <xdr:colOff>901004</xdr:colOff>
      <xdr:row>4</xdr:row>
      <xdr:rowOff>187778</xdr:rowOff>
    </xdr:to>
    <xdr:pic>
      <xdr:nvPicPr>
        <xdr:cNvPr id="21" name="图片 16">
          <a:hlinkClick xmlns:r="http://schemas.openxmlformats.org/officeDocument/2006/relationships" r:id="rId3"/>
        </xdr:cNvPr>
        <xdr:cNvPicPr>
          <a:picLocks noChangeAspect="1"/>
        </xdr:cNvPicPr>
      </xdr:nvPicPr>
      <xdr:blipFill>
        <a:blip r:embed="rId2"/>
        <a:stretch>
          <a:fillRect/>
        </a:stretch>
      </xdr:blipFill>
      <xdr:spPr>
        <a:xfrm>
          <a:off x="7487920" y="819785"/>
          <a:ext cx="229235" cy="178435"/>
        </a:xfrm>
        <a:prstGeom prst="rect">
          <a:avLst/>
        </a:prstGeom>
      </xdr:spPr>
    </xdr:pic>
    <xdr:clientData/>
  </xdr:twoCellAnchor>
  <xdr:twoCellAnchor>
    <xdr:from>
      <xdr:col>1</xdr:col>
      <xdr:colOff>695722</xdr:colOff>
      <xdr:row>4</xdr:row>
      <xdr:rowOff>22679</xdr:rowOff>
    </xdr:from>
    <xdr:to>
      <xdr:col>1</xdr:col>
      <xdr:colOff>920749</xdr:colOff>
      <xdr:row>5</xdr:row>
      <xdr:rowOff>13467</xdr:rowOff>
    </xdr:to>
    <xdr:pic>
      <xdr:nvPicPr>
        <xdr:cNvPr id="18" name="图片 16">
          <a:hlinkClick xmlns:r="http://schemas.openxmlformats.org/officeDocument/2006/relationships" r:id="rId4"/>
        </xdr:cNvPr>
        <xdr:cNvPicPr>
          <a:picLocks noChangeAspect="1"/>
        </xdr:cNvPicPr>
      </xdr:nvPicPr>
      <xdr:blipFill>
        <a:blip r:embed="rId2"/>
        <a:stretch>
          <a:fillRect/>
        </a:stretch>
      </xdr:blipFill>
      <xdr:spPr>
        <a:xfrm>
          <a:off x="880745" y="833120"/>
          <a:ext cx="224790" cy="181610"/>
        </a:xfrm>
        <a:prstGeom prst="rect">
          <a:avLst/>
        </a:prstGeom>
      </xdr:spPr>
    </xdr:pic>
    <xdr:clientData/>
  </xdr:twoCellAnchor>
  <xdr:twoCellAnchor>
    <xdr:from>
      <xdr:col>4</xdr:col>
      <xdr:colOff>1197429</xdr:colOff>
      <xdr:row>15</xdr:row>
      <xdr:rowOff>353786</xdr:rowOff>
    </xdr:from>
    <xdr:to>
      <xdr:col>4</xdr:col>
      <xdr:colOff>1415148</xdr:colOff>
      <xdr:row>17</xdr:row>
      <xdr:rowOff>2</xdr:rowOff>
    </xdr:to>
    <xdr:pic>
      <xdr:nvPicPr>
        <xdr:cNvPr id="5" name="图片 16">
          <a:hlinkClick xmlns:r="http://schemas.openxmlformats.org/officeDocument/2006/relationships" r:id="rId5"/>
        </xdr:cNvPr>
        <xdr:cNvPicPr>
          <a:picLocks noChangeAspect="1"/>
        </xdr:cNvPicPr>
      </xdr:nvPicPr>
      <xdr:blipFill>
        <a:blip r:embed="rId2"/>
        <a:stretch>
          <a:fillRect/>
        </a:stretch>
      </xdr:blipFill>
      <xdr:spPr>
        <a:xfrm>
          <a:off x="4867910" y="5734050"/>
          <a:ext cx="142240" cy="208280"/>
        </a:xfrm>
        <a:prstGeom prst="rect">
          <a:avLst/>
        </a:prstGeom>
      </xdr:spPr>
    </xdr:pic>
    <xdr:clientData/>
  </xdr:twoCellAnchor>
  <xdr:oneCellAnchor>
    <xdr:from>
      <xdr:col>8</xdr:col>
      <xdr:colOff>1306285</xdr:colOff>
      <xdr:row>3</xdr:row>
      <xdr:rowOff>117929</xdr:rowOff>
    </xdr:from>
    <xdr:ext cx="205343" cy="199303"/>
    <xdr:pic>
      <xdr:nvPicPr>
        <xdr:cNvPr id="23" name="图片 9">
          <a:hlinkClick xmlns:r="http://schemas.openxmlformats.org/officeDocument/2006/relationships" r:id="rId6"/>
        </xdr:cNvPr>
        <xdr:cNvPicPr>
          <a:picLocks noChangeAspect="1"/>
        </xdr:cNvPicPr>
      </xdr:nvPicPr>
      <xdr:blipFill>
        <a:blip r:embed="rId2"/>
        <a:stretch>
          <a:fillRect/>
        </a:stretch>
      </xdr:blipFill>
      <xdr:spPr>
        <a:xfrm>
          <a:off x="11448415" y="799465"/>
          <a:ext cx="205105" cy="199390"/>
        </a:xfrm>
        <a:prstGeom prst="rect">
          <a:avLst/>
        </a:prstGeom>
      </xdr:spPr>
    </xdr:pic>
    <xdr:clientData/>
  </xdr:oneCellAnchor>
  <xdr:oneCellAnchor>
    <xdr:from>
      <xdr:col>4</xdr:col>
      <xdr:colOff>1217521</xdr:colOff>
      <xdr:row>17</xdr:row>
      <xdr:rowOff>232833</xdr:rowOff>
    </xdr:from>
    <xdr:ext cx="211230" cy="190501"/>
    <xdr:pic>
      <xdr:nvPicPr>
        <xdr:cNvPr id="2" name="Picture 1">
          <a:hlinkClick xmlns:r="http://schemas.openxmlformats.org/officeDocument/2006/relationships" r:id="rId7"/>
        </xdr:cNvPr>
        <xdr:cNvPicPr>
          <a:picLocks noChangeAspect="1"/>
        </xdr:cNvPicPr>
      </xdr:nvPicPr>
      <xdr:blipFill>
        <a:blip r:embed="rId2"/>
        <a:stretch>
          <a:fillRect/>
        </a:stretch>
      </xdr:blipFill>
      <xdr:spPr>
        <a:xfrm>
          <a:off x="4888230" y="6174740"/>
          <a:ext cx="211455" cy="1905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61633</xdr:colOff>
      <xdr:row>0</xdr:row>
      <xdr:rowOff>15128</xdr:rowOff>
    </xdr:from>
    <xdr:to>
      <xdr:col>1</xdr:col>
      <xdr:colOff>555224</xdr:colOff>
      <xdr:row>0</xdr:row>
      <xdr:rowOff>532834</xdr:rowOff>
    </xdr:to>
    <xdr:pic>
      <xdr:nvPicPr>
        <xdr:cNvPr id="5" name="Picture 4"/>
        <xdr:cNvPicPr>
          <a:picLocks noChangeAspect="1"/>
        </xdr:cNvPicPr>
      </xdr:nvPicPr>
      <xdr:blipFill>
        <a:blip r:embed="rId1"/>
        <a:stretch>
          <a:fillRect/>
        </a:stretch>
      </xdr:blipFill>
      <xdr:spPr>
        <a:xfrm>
          <a:off x="247015" y="14605"/>
          <a:ext cx="493395" cy="51816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0</xdr:rowOff>
    </xdr:from>
    <xdr:to>
      <xdr:col>1</xdr:col>
      <xdr:colOff>716376</xdr:colOff>
      <xdr:row>0</xdr:row>
      <xdr:rowOff>585107</xdr:rowOff>
    </xdr:to>
    <xdr:pic>
      <xdr:nvPicPr>
        <xdr:cNvPr id="4" name="Picture 5"/>
        <xdr:cNvPicPr>
          <a:picLocks noChangeAspect="1"/>
        </xdr:cNvPicPr>
      </xdr:nvPicPr>
      <xdr:blipFill>
        <a:blip r:embed="rId1"/>
        <a:stretch>
          <a:fillRect/>
        </a:stretch>
      </xdr:blipFill>
      <xdr:spPr>
        <a:xfrm>
          <a:off x="204470" y="0"/>
          <a:ext cx="697230" cy="584835"/>
        </a:xfrm>
        <a:prstGeom prst="rect">
          <a:avLst/>
        </a:prstGeom>
      </xdr:spPr>
    </xdr:pic>
    <xdr:clientData/>
  </xdr:twoCellAnchor>
  <xdr:twoCellAnchor>
    <xdr:from>
      <xdr:col>1</xdr:col>
      <xdr:colOff>314326</xdr:colOff>
      <xdr:row>8</xdr:row>
      <xdr:rowOff>77562</xdr:rowOff>
    </xdr:from>
    <xdr:to>
      <xdr:col>1</xdr:col>
      <xdr:colOff>622533</xdr:colOff>
      <xdr:row>8</xdr:row>
      <xdr:rowOff>367394</xdr:rowOff>
    </xdr:to>
    <xdr:pic>
      <xdr:nvPicPr>
        <xdr:cNvPr id="7" name="图片 3">
          <a:hlinkClick xmlns:r="http://schemas.openxmlformats.org/officeDocument/2006/relationships" r:id="rId2"/>
        </xdr:cNvPr>
        <xdr:cNvPicPr>
          <a:picLocks noChangeAspect="1"/>
        </xdr:cNvPicPr>
      </xdr:nvPicPr>
      <xdr:blipFill>
        <a:blip r:embed="rId3"/>
        <a:stretch>
          <a:fillRect/>
        </a:stretch>
      </xdr:blipFill>
      <xdr:spPr>
        <a:xfrm>
          <a:off x="499745" y="2186940"/>
          <a:ext cx="307975" cy="289560"/>
        </a:xfrm>
        <a:prstGeom prst="rect">
          <a:avLst/>
        </a:prstGeom>
      </xdr:spPr>
    </xdr:pic>
    <xdr:clientData/>
  </xdr:twoCellAnchor>
  <xdr:twoCellAnchor>
    <xdr:from>
      <xdr:col>4</xdr:col>
      <xdr:colOff>579504</xdr:colOff>
      <xdr:row>72</xdr:row>
      <xdr:rowOff>179294</xdr:rowOff>
    </xdr:from>
    <xdr:to>
      <xdr:col>4</xdr:col>
      <xdr:colOff>852519</xdr:colOff>
      <xdr:row>74</xdr:row>
      <xdr:rowOff>22411</xdr:rowOff>
    </xdr:to>
    <xdr:pic>
      <xdr:nvPicPr>
        <xdr:cNvPr id="9" name="图片 19">
          <a:hlinkClick xmlns:r="http://schemas.openxmlformats.org/officeDocument/2006/relationships" r:id="rId4"/>
        </xdr:cNvPr>
        <xdr:cNvPicPr>
          <a:picLocks noChangeAspect="1"/>
        </xdr:cNvPicPr>
      </xdr:nvPicPr>
      <xdr:blipFill>
        <a:blip r:embed="rId3"/>
        <a:stretch>
          <a:fillRect/>
        </a:stretch>
      </xdr:blipFill>
      <xdr:spPr>
        <a:xfrm>
          <a:off x="4486910" y="13978255"/>
          <a:ext cx="273050" cy="1905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11</xdr:col>
      <xdr:colOff>1258539</xdr:colOff>
      <xdr:row>32</xdr:row>
      <xdr:rowOff>430893</xdr:rowOff>
    </xdr:from>
    <xdr:to>
      <xdr:col>11</xdr:col>
      <xdr:colOff>1591137</xdr:colOff>
      <xdr:row>32</xdr:row>
      <xdr:rowOff>707573</xdr:rowOff>
    </xdr:to>
    <xdr:pic>
      <xdr:nvPicPr>
        <xdr:cNvPr id="2" name="图片 16">
          <a:hlinkClick xmlns:r="http://schemas.openxmlformats.org/officeDocument/2006/relationships" r:id="rId1"/>
        </xdr:cNvPr>
        <xdr:cNvPicPr>
          <a:picLocks noChangeAspect="1"/>
        </xdr:cNvPicPr>
      </xdr:nvPicPr>
      <xdr:blipFill>
        <a:blip r:embed="rId2"/>
        <a:stretch>
          <a:fillRect/>
        </a:stretch>
      </xdr:blipFill>
      <xdr:spPr>
        <a:xfrm>
          <a:off x="12039600" y="7660640"/>
          <a:ext cx="332740" cy="276860"/>
        </a:xfrm>
        <a:prstGeom prst="rect">
          <a:avLst/>
        </a:prstGeom>
      </xdr:spPr>
    </xdr:pic>
    <xdr:clientData/>
  </xdr:twoCellAnchor>
  <xdr:twoCellAnchor editAs="oneCell">
    <xdr:from>
      <xdr:col>1</xdr:col>
      <xdr:colOff>127000</xdr:colOff>
      <xdr:row>0</xdr:row>
      <xdr:rowOff>0</xdr:rowOff>
    </xdr:from>
    <xdr:to>
      <xdr:col>1</xdr:col>
      <xdr:colOff>616781</xdr:colOff>
      <xdr:row>0</xdr:row>
      <xdr:rowOff>520246</xdr:rowOff>
    </xdr:to>
    <xdr:pic>
      <xdr:nvPicPr>
        <xdr:cNvPr id="3" name="Picture 4"/>
        <xdr:cNvPicPr>
          <a:picLocks noChangeAspect="1"/>
        </xdr:cNvPicPr>
      </xdr:nvPicPr>
      <xdr:blipFill>
        <a:blip r:embed="rId3"/>
        <a:stretch>
          <a:fillRect/>
        </a:stretch>
      </xdr:blipFill>
      <xdr:spPr>
        <a:xfrm>
          <a:off x="312420" y="0"/>
          <a:ext cx="489585" cy="52006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117024</xdr:colOff>
      <xdr:row>0</xdr:row>
      <xdr:rowOff>0</xdr:rowOff>
    </xdr:from>
    <xdr:to>
      <xdr:col>13</xdr:col>
      <xdr:colOff>372274</xdr:colOff>
      <xdr:row>1</xdr:row>
      <xdr:rowOff>71483</xdr:rowOff>
    </xdr:to>
    <xdr:pic>
      <xdr:nvPicPr>
        <xdr:cNvPr id="2" name="Picture 1">
          <a:hlinkClick xmlns:r="http://schemas.openxmlformats.org/officeDocument/2006/relationships" r:id="rId1"/>
        </xdr:cNvPr>
        <xdr:cNvPicPr>
          <a:picLocks noChangeAspect="1"/>
        </xdr:cNvPicPr>
      </xdr:nvPicPr>
      <xdr:blipFill>
        <a:blip r:embed="rId2"/>
        <a:stretch>
          <a:fillRect/>
        </a:stretch>
      </xdr:blipFill>
      <xdr:spPr>
        <a:xfrm>
          <a:off x="13372465" y="0"/>
          <a:ext cx="255270" cy="25019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0</xdr:col>
      <xdr:colOff>152400</xdr:colOff>
      <xdr:row>0</xdr:row>
      <xdr:rowOff>66675</xdr:rowOff>
    </xdr:from>
    <xdr:ext cx="323850" cy="333375"/>
    <xdr:pic>
      <xdr:nvPicPr>
        <xdr:cNvPr id="2" name="Picture 23"/>
        <xdr:cNvPicPr>
          <a:picLocks noChangeAspect="1"/>
        </xdr:cNvPicPr>
      </xdr:nvPicPr>
      <xdr:blipFill>
        <a:blip r:embed="rId1"/>
        <a:stretch>
          <a:fillRect/>
        </a:stretch>
      </xdr:blipFill>
      <xdr:spPr>
        <a:xfrm>
          <a:off x="152400" y="66675"/>
          <a:ext cx="323850" cy="333375"/>
        </a:xfrm>
        <a:prstGeom prst="rect">
          <a:avLst/>
        </a:prstGeom>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127000</xdr:colOff>
      <xdr:row>0</xdr:row>
      <xdr:rowOff>45358</xdr:rowOff>
    </xdr:from>
    <xdr:to>
      <xdr:col>1</xdr:col>
      <xdr:colOff>618051</xdr:colOff>
      <xdr:row>0</xdr:row>
      <xdr:rowOff>563064</xdr:rowOff>
    </xdr:to>
    <xdr:pic>
      <xdr:nvPicPr>
        <xdr:cNvPr id="2" name="Picture 4"/>
        <xdr:cNvPicPr>
          <a:picLocks noChangeAspect="1"/>
        </xdr:cNvPicPr>
      </xdr:nvPicPr>
      <xdr:blipFill>
        <a:blip r:embed="rId1"/>
        <a:stretch>
          <a:fillRect/>
        </a:stretch>
      </xdr:blipFill>
      <xdr:spPr>
        <a:xfrm>
          <a:off x="312420" y="45085"/>
          <a:ext cx="490855" cy="51752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15</xdr:col>
      <xdr:colOff>463552</xdr:colOff>
      <xdr:row>1</xdr:row>
      <xdr:rowOff>6803</xdr:rowOff>
    </xdr:from>
    <xdr:to>
      <xdr:col>16</xdr:col>
      <xdr:colOff>139410</xdr:colOff>
      <xdr:row>2</xdr:row>
      <xdr:rowOff>4082</xdr:rowOff>
    </xdr:to>
    <xdr:pic>
      <xdr:nvPicPr>
        <xdr:cNvPr id="2" name="Picture 1">
          <a:hlinkClick xmlns:r="http://schemas.openxmlformats.org/officeDocument/2006/relationships" r:id="rId1"/>
        </xdr:cNvPr>
        <xdr:cNvPicPr>
          <a:picLocks noChangeAspect="1"/>
        </xdr:cNvPicPr>
      </xdr:nvPicPr>
      <xdr:blipFill>
        <a:blip r:embed="rId2"/>
        <a:stretch>
          <a:fillRect/>
        </a:stretch>
      </xdr:blipFill>
      <xdr:spPr>
        <a:xfrm>
          <a:off x="15052675" y="135255"/>
          <a:ext cx="303530" cy="252730"/>
        </a:xfrm>
        <a:prstGeom prst="rect">
          <a:avLst/>
        </a:prstGeom>
      </xdr:spPr>
    </xdr:pic>
    <xdr:clientData/>
  </xdr:twoCellAnchor>
  <xdr:twoCellAnchor editAs="oneCell">
    <xdr:from>
      <xdr:col>11</xdr:col>
      <xdr:colOff>259445</xdr:colOff>
      <xdr:row>1</xdr:row>
      <xdr:rowOff>265339</xdr:rowOff>
    </xdr:from>
    <xdr:to>
      <xdr:col>11</xdr:col>
      <xdr:colOff>615660</xdr:colOff>
      <xdr:row>3</xdr:row>
      <xdr:rowOff>31296</xdr:rowOff>
    </xdr:to>
    <xdr:pic>
      <xdr:nvPicPr>
        <xdr:cNvPr id="3" name="Picture 1">
          <a:hlinkClick xmlns:r="http://schemas.openxmlformats.org/officeDocument/2006/relationships" r:id="rId3"/>
        </xdr:cNvPr>
        <xdr:cNvPicPr>
          <a:picLocks noChangeAspect="1"/>
        </xdr:cNvPicPr>
      </xdr:nvPicPr>
      <xdr:blipFill>
        <a:blip r:embed="rId2"/>
        <a:stretch>
          <a:fillRect/>
        </a:stretch>
      </xdr:blipFill>
      <xdr:spPr>
        <a:xfrm>
          <a:off x="10754360" y="384175"/>
          <a:ext cx="356235" cy="25400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1</xdr:col>
      <xdr:colOff>233363</xdr:colOff>
      <xdr:row>92</xdr:row>
      <xdr:rowOff>1587</xdr:rowOff>
    </xdr:from>
    <xdr:to>
      <xdr:col>2</xdr:col>
      <xdr:colOff>0</xdr:colOff>
      <xdr:row>419</xdr:row>
      <xdr:rowOff>126999</xdr:rowOff>
    </xdr:to>
    <xdr:grpSp>
      <xdr:nvGrpSpPr>
        <xdr:cNvPr id="4" name="Group 4"/>
        <xdr:cNvGrpSpPr/>
      </xdr:nvGrpSpPr>
      <xdr:grpSpPr>
        <a:xfrm>
          <a:off x="239395" y="16057245"/>
          <a:ext cx="183515" cy="60549790"/>
          <a:chOff x="495300" y="10604500"/>
          <a:chExt cx="114300" cy="155575"/>
        </a:xfrm>
      </xdr:grpSpPr>
      <xdr:cxnSp>
        <xdr:nvCxnSpPr>
          <xdr:cNvPr id="5" name="Straight Connector 1"/>
          <xdr:cNvCxnSpPr/>
        </xdr:nvCxnSpPr>
        <xdr:spPr>
          <a:xfrm>
            <a:off x="546100" y="10604500"/>
            <a:ext cx="0" cy="155575"/>
          </a:xfrm>
          <a:prstGeom prst="line">
            <a:avLst/>
          </a:prstGeom>
          <a:ln w="0">
            <a:solidFill>
              <a:srgbClr val="FF0000"/>
            </a:solidFill>
            <a:prstDash val="solid"/>
            <a:headEnd w="med" len="sm"/>
            <a:tailEnd w="med" len="sm"/>
          </a:ln>
        </xdr:spPr>
        <xdr:style>
          <a:lnRef idx="1">
            <a:schemeClr val="accent1"/>
          </a:lnRef>
          <a:fillRef idx="0">
            <a:schemeClr val="accent1"/>
          </a:fillRef>
          <a:effectRef idx="0">
            <a:schemeClr val="accent1"/>
          </a:effectRef>
          <a:fontRef idx="minor">
            <a:schemeClr val="tx1"/>
          </a:fontRef>
        </xdr:style>
      </xdr:cxnSp>
      <xdr:cxnSp>
        <xdr:nvCxnSpPr>
          <xdr:cNvPr id="6" name="Straight Connector 2"/>
          <xdr:cNvCxnSpPr/>
        </xdr:nvCxnSpPr>
        <xdr:spPr>
          <a:xfrm>
            <a:off x="495300" y="10760075"/>
            <a:ext cx="114300" cy="0"/>
          </a:xfrm>
          <a:prstGeom prst="line">
            <a:avLst/>
          </a:prstGeom>
          <a:ln w="0">
            <a:solidFill>
              <a:srgbClr val="FF0000"/>
            </a:solidFill>
            <a:prstDash val="solid"/>
            <a:headEnd w="med" len="sm"/>
            <a:tailEnd w="med" len="sm"/>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206468</xdr:colOff>
      <xdr:row>428</xdr:row>
      <xdr:rowOff>44823</xdr:rowOff>
    </xdr:from>
    <xdr:to>
      <xdr:col>1</xdr:col>
      <xdr:colOff>411642</xdr:colOff>
      <xdr:row>430</xdr:row>
      <xdr:rowOff>126999</xdr:rowOff>
    </xdr:to>
    <xdr:grpSp>
      <xdr:nvGrpSpPr>
        <xdr:cNvPr id="7" name="Group 43"/>
        <xdr:cNvGrpSpPr/>
      </xdr:nvGrpSpPr>
      <xdr:grpSpPr>
        <a:xfrm>
          <a:off x="212725" y="77044550"/>
          <a:ext cx="205105" cy="0"/>
          <a:chOff x="495300" y="10604500"/>
          <a:chExt cx="114300" cy="155575"/>
        </a:xfrm>
      </xdr:grpSpPr>
      <xdr:cxnSp>
        <xdr:nvCxnSpPr>
          <xdr:cNvPr id="8" name="Straight Connector 44"/>
          <xdr:cNvCxnSpPr/>
        </xdr:nvCxnSpPr>
        <xdr:spPr>
          <a:xfrm>
            <a:off x="546100" y="10604500"/>
            <a:ext cx="0" cy="155575"/>
          </a:xfrm>
          <a:prstGeom prst="line">
            <a:avLst/>
          </a:prstGeom>
          <a:ln w="0">
            <a:solidFill>
              <a:srgbClr val="FF0000"/>
            </a:solidFill>
            <a:prstDash val="solid"/>
            <a:headEnd w="med" len="sm"/>
            <a:tailEnd w="med" len="sm"/>
          </a:ln>
        </xdr:spPr>
        <xdr:style>
          <a:lnRef idx="1">
            <a:schemeClr val="accent1"/>
          </a:lnRef>
          <a:fillRef idx="0">
            <a:schemeClr val="accent1"/>
          </a:fillRef>
          <a:effectRef idx="0">
            <a:schemeClr val="accent1"/>
          </a:effectRef>
          <a:fontRef idx="minor">
            <a:schemeClr val="tx1"/>
          </a:fontRef>
        </xdr:style>
      </xdr:cxnSp>
      <xdr:cxnSp>
        <xdr:nvCxnSpPr>
          <xdr:cNvPr id="9" name="Straight Connector 45"/>
          <xdr:cNvCxnSpPr/>
        </xdr:nvCxnSpPr>
        <xdr:spPr>
          <a:xfrm>
            <a:off x="495300" y="10760075"/>
            <a:ext cx="114300" cy="0"/>
          </a:xfrm>
          <a:prstGeom prst="line">
            <a:avLst/>
          </a:prstGeom>
          <a:ln w="0">
            <a:solidFill>
              <a:srgbClr val="FF0000"/>
            </a:solidFill>
            <a:prstDash val="solid"/>
            <a:headEnd w="med" len="sm"/>
            <a:tailEnd w="med" len="sm"/>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xdr:col>
      <xdr:colOff>176893</xdr:colOff>
      <xdr:row>8</xdr:row>
      <xdr:rowOff>31751</xdr:rowOff>
    </xdr:from>
    <xdr:to>
      <xdr:col>8</xdr:col>
      <xdr:colOff>1392464</xdr:colOff>
      <xdr:row>20</xdr:row>
      <xdr:rowOff>68035</xdr:rowOff>
    </xdr:to>
    <xdr:sp>
      <xdr:nvSpPr>
        <xdr:cNvPr id="6" name="文本框 1"/>
        <xdr:cNvSpPr txBox="1"/>
      </xdr:nvSpPr>
      <xdr:spPr>
        <a:xfrm>
          <a:off x="361950" y="2129790"/>
          <a:ext cx="12381230" cy="2185670"/>
        </a:xfrm>
        <a:prstGeom prst="rect">
          <a:avLst/>
        </a:prstGeom>
        <a:solidFill>
          <a:schemeClr val="bg1">
            <a:lumMod val="9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FF0000"/>
              </a:solidFill>
              <a:latin typeface="微软雅黑" panose="020B0503020204020204" pitchFamily="34" charset="-122"/>
              <a:ea typeface="微软雅黑" panose="020B0503020204020204" pitchFamily="34" charset="-122"/>
            </a:rPr>
            <a:t>[NOTE-</a:t>
          </a:r>
          <a:r>
            <a:rPr lang="ja-JP" altLang="en-US" sz="1400" b="1">
              <a:solidFill>
                <a:srgbClr val="FF0000"/>
              </a:solidFill>
              <a:latin typeface="微软雅黑" panose="020B0503020204020204" pitchFamily="34" charset="-122"/>
              <a:ea typeface="微软雅黑" panose="020B0503020204020204" pitchFamily="34" charset="-122"/>
            </a:rPr>
            <a:t>归档前删除</a:t>
          </a:r>
          <a:r>
            <a:rPr lang="en-US" altLang="ja-JP" sz="1400" b="1">
              <a:solidFill>
                <a:srgbClr val="FF0000"/>
              </a:solidFill>
              <a:latin typeface="微软雅黑" panose="020B0503020204020204" pitchFamily="34" charset="-122"/>
              <a:ea typeface="微软雅黑" panose="020B0503020204020204" pitchFamily="34" charset="-122"/>
            </a:rPr>
            <a:t>]</a:t>
          </a:r>
          <a:endParaRPr lang="ja-JP" altLang="en-US" sz="1400" b="1" i="1">
            <a:solidFill>
              <a:srgbClr val="FF0000"/>
            </a:solidFill>
            <a:latin typeface="微软雅黑" panose="020B0503020204020204" pitchFamily="34" charset="-122"/>
            <a:ea typeface="微软雅黑" panose="020B0503020204020204" pitchFamily="34" charset="-122"/>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rPr>
            <a:t>如果我们执行实质性分析程序</a:t>
          </a:r>
          <a:r>
            <a:rPr lang="en-US" altLang="ja-JP" sz="1400" i="1">
              <a:solidFill>
                <a:srgbClr val="FF0000"/>
              </a:solidFill>
              <a:latin typeface="微软雅黑" panose="020B0503020204020204" pitchFamily="34" charset="-122"/>
              <a:ea typeface="微软雅黑" panose="020B0503020204020204" pitchFamily="34" charset="-122"/>
            </a:rPr>
            <a:t>(</a:t>
          </a:r>
          <a:r>
            <a:rPr lang="en-US" sz="1400" i="1">
              <a:solidFill>
                <a:srgbClr val="FF0000"/>
              </a:solidFill>
              <a:latin typeface="微软雅黑" panose="020B0503020204020204" pitchFamily="34" charset="-122"/>
              <a:ea typeface="微软雅黑" panose="020B0503020204020204" pitchFamily="34" charset="-122"/>
            </a:rPr>
            <a:t>SAP)</a:t>
          </a:r>
          <a:r>
            <a:rPr lang="ja-JP" altLang="en-US" sz="1400" i="1">
              <a:solidFill>
                <a:srgbClr val="FF0000"/>
              </a:solidFill>
              <a:latin typeface="微软雅黑" panose="020B0503020204020204" pitchFamily="34" charset="-122"/>
              <a:ea typeface="微软雅黑" panose="020B0503020204020204" pitchFamily="34" charset="-122"/>
            </a:rPr>
            <a:t>测试折旧费用，我们应填写</a:t>
          </a:r>
          <a:r>
            <a:rPr lang="en-US" altLang="ja-JP" sz="1400" i="1">
              <a:solidFill>
                <a:srgbClr val="FF0000"/>
              </a:solidFill>
              <a:latin typeface="微软雅黑" panose="020B0503020204020204" pitchFamily="34" charset="-122"/>
              <a:ea typeface="微软雅黑" panose="020B0503020204020204" pitchFamily="34" charset="-122"/>
            </a:rPr>
            <a:t>《</a:t>
          </a:r>
          <a:r>
            <a:rPr lang="ja-JP" altLang="en-US" sz="1400" i="1">
              <a:solidFill>
                <a:srgbClr val="FF0000"/>
              </a:solidFill>
              <a:latin typeface="微软雅黑" panose="020B0503020204020204" pitchFamily="34" charset="-122"/>
              <a:ea typeface="微软雅黑" panose="020B0503020204020204" pitchFamily="34" charset="-122"/>
            </a:rPr>
            <a:t>表格</a:t>
          </a:r>
          <a:r>
            <a:rPr lang="en-US" altLang="ja-JP" sz="1400" i="1">
              <a:solidFill>
                <a:srgbClr val="FF0000"/>
              </a:solidFill>
              <a:latin typeface="微软雅黑" panose="020B0503020204020204" pitchFamily="34" charset="-122"/>
              <a:ea typeface="微软雅黑" panose="020B0503020204020204" pitchFamily="34" charset="-122"/>
            </a:rPr>
            <a:t>264-</a:t>
          </a:r>
          <a:r>
            <a:rPr lang="en-US" sz="1400" i="1">
              <a:solidFill>
                <a:srgbClr val="FF0000"/>
              </a:solidFill>
              <a:latin typeface="微软雅黑" panose="020B0503020204020204" pitchFamily="34" charset="-122"/>
              <a:ea typeface="微软雅黑" panose="020B0503020204020204" pitchFamily="34" charset="-122"/>
            </a:rPr>
            <a:t>SWP》(</a:t>
          </a:r>
          <a:r>
            <a:rPr lang="ja-JP" altLang="en-US" sz="1400" i="1">
              <a:solidFill>
                <a:srgbClr val="FF0000"/>
              </a:solidFill>
              <a:latin typeface="微软雅黑" panose="020B0503020204020204" pitchFamily="34" charset="-122"/>
              <a:ea typeface="微软雅黑" panose="020B0503020204020204" pitchFamily="34" charset="-122"/>
            </a:rPr>
            <a:t>即</a:t>
          </a:r>
          <a:r>
            <a:rPr lang="en-US" altLang="ja-JP" sz="1400" i="1">
              <a:solidFill>
                <a:srgbClr val="FF0000"/>
              </a:solidFill>
              <a:latin typeface="微软雅黑" panose="020B0503020204020204" pitchFamily="34" charset="-122"/>
              <a:ea typeface="微软雅黑" panose="020B0503020204020204" pitchFamily="34" charset="-122"/>
            </a:rPr>
            <a:t>《</a:t>
          </a:r>
          <a:r>
            <a:rPr lang="ja-JP" altLang="en-US" sz="1400" i="1">
              <a:solidFill>
                <a:srgbClr val="FF0000"/>
              </a:solidFill>
              <a:latin typeface="微软雅黑" panose="020B0503020204020204" pitchFamily="34" charset="-122"/>
              <a:ea typeface="微软雅黑" panose="020B0503020204020204" pitchFamily="34" charset="-122"/>
            </a:rPr>
            <a:t>表格</a:t>
          </a:r>
          <a:r>
            <a:rPr lang="en-US" altLang="ja-JP" sz="1400" i="1">
              <a:solidFill>
                <a:srgbClr val="FF0000"/>
              </a:solidFill>
              <a:latin typeface="微软雅黑" panose="020B0503020204020204" pitchFamily="34" charset="-122"/>
              <a:ea typeface="微软雅黑" panose="020B0503020204020204" pitchFamily="34" charset="-122"/>
            </a:rPr>
            <a:t>264-</a:t>
          </a:r>
          <a:r>
            <a:rPr lang="en-US" sz="1400" i="1">
              <a:solidFill>
                <a:srgbClr val="FF0000"/>
              </a:solidFill>
              <a:latin typeface="微软雅黑" panose="020B0503020204020204" pitchFamily="34" charset="-122"/>
              <a:ea typeface="微软雅黑" panose="020B0503020204020204" pitchFamily="34" charset="-122"/>
            </a:rPr>
            <a:t>SWP》</a:t>
          </a:r>
          <a:r>
            <a:rPr lang="ja-JP" altLang="en-US" sz="1400" i="1">
              <a:solidFill>
                <a:srgbClr val="FF0000"/>
              </a:solidFill>
              <a:latin typeface="微软雅黑" panose="020B0503020204020204" pitchFamily="34" charset="-122"/>
              <a:ea typeface="微软雅黑" panose="020B0503020204020204" pitchFamily="34" charset="-122"/>
            </a:rPr>
            <a:t>或</a:t>
          </a:r>
          <a:r>
            <a:rPr lang="en-US" altLang="ja-JP" sz="1400" i="1">
              <a:solidFill>
                <a:srgbClr val="FF0000"/>
              </a:solidFill>
              <a:latin typeface="微软雅黑" panose="020B0503020204020204" pitchFamily="34" charset="-122"/>
              <a:ea typeface="微软雅黑" panose="020B0503020204020204" pitchFamily="34" charset="-122"/>
            </a:rPr>
            <a:t>《</a:t>
          </a:r>
          <a:r>
            <a:rPr lang="ja-JP" altLang="en-US" sz="1400" i="1">
              <a:solidFill>
                <a:srgbClr val="FF0000"/>
              </a:solidFill>
              <a:latin typeface="微软雅黑" panose="020B0503020204020204" pitchFamily="34" charset="-122"/>
              <a:ea typeface="微软雅黑" panose="020B0503020204020204" pitchFamily="34" charset="-122"/>
            </a:rPr>
            <a:t>表格</a:t>
          </a:r>
          <a:r>
            <a:rPr lang="en-US" altLang="ja-JP" sz="1400" i="1">
              <a:solidFill>
                <a:srgbClr val="FF0000"/>
              </a:solidFill>
              <a:latin typeface="微软雅黑" panose="020B0503020204020204" pitchFamily="34" charset="-122"/>
              <a:ea typeface="微软雅黑" panose="020B0503020204020204" pitchFamily="34" charset="-122"/>
            </a:rPr>
            <a:t>264</a:t>
          </a:r>
          <a:r>
            <a:rPr lang="en-US" sz="1400" i="1">
              <a:solidFill>
                <a:srgbClr val="FF0000"/>
              </a:solidFill>
              <a:latin typeface="微软雅黑" panose="020B0503020204020204" pitchFamily="34" charset="-122"/>
              <a:ea typeface="微软雅黑" panose="020B0503020204020204" pitchFamily="34" charset="-122"/>
            </a:rPr>
            <a:t>US-SWP》(</a:t>
          </a:r>
          <a:r>
            <a:rPr lang="ja-JP" altLang="en-US" sz="1400" i="1">
              <a:solidFill>
                <a:srgbClr val="FF0000"/>
              </a:solidFill>
              <a:latin typeface="微软雅黑" panose="020B0503020204020204" pitchFamily="34" charset="-122"/>
              <a:ea typeface="微软雅黑" panose="020B0503020204020204" pitchFamily="34" charset="-122"/>
            </a:rPr>
            <a:t>如适用</a:t>
          </a:r>
          <a:r>
            <a:rPr lang="en-US" altLang="ja-JP" sz="1400" i="1">
              <a:solidFill>
                <a:srgbClr val="FF0000"/>
              </a:solidFill>
              <a:latin typeface="微软雅黑" panose="020B0503020204020204" pitchFamily="34" charset="-122"/>
              <a:ea typeface="微软雅黑" panose="020B0503020204020204" pitchFamily="34" charset="-122"/>
            </a:rPr>
            <a:t>)</a:t>
          </a:r>
          <a:r>
            <a:rPr lang="ja-JP" altLang="en-US" sz="1400" i="1">
              <a:solidFill>
                <a:srgbClr val="FF0000"/>
              </a:solidFill>
              <a:latin typeface="微软雅黑" panose="020B0503020204020204" pitchFamily="34" charset="-122"/>
              <a:ea typeface="微软雅黑" panose="020B0503020204020204" pitchFamily="34" charset="-122"/>
            </a:rPr>
            <a:t>），对于非</a:t>
          </a:r>
          <a:r>
            <a:rPr lang="en-US" sz="1400" i="1">
              <a:solidFill>
                <a:srgbClr val="FF0000"/>
              </a:solidFill>
              <a:latin typeface="微软雅黑" panose="020B0503020204020204" pitchFamily="34" charset="-122"/>
              <a:ea typeface="微软雅黑" panose="020B0503020204020204" pitchFamily="34" charset="-122"/>
            </a:rPr>
            <a:t>US</a:t>
          </a:r>
          <a:r>
            <a:rPr lang="ja-JP" altLang="en-US" sz="1400" i="1">
              <a:solidFill>
                <a:srgbClr val="FF0000"/>
              </a:solidFill>
              <a:latin typeface="微软雅黑" panose="020B0503020204020204" pitchFamily="34" charset="-122"/>
              <a:ea typeface="微软雅黑" panose="020B0503020204020204" pitchFamily="34" charset="-122"/>
            </a:rPr>
            <a:t>项目还可使用</a:t>
          </a:r>
          <a:r>
            <a:rPr lang="en-US" sz="1400" i="1">
              <a:solidFill>
                <a:srgbClr val="FF0000"/>
              </a:solidFill>
              <a:latin typeface="微软雅黑" panose="020B0503020204020204" pitchFamily="34" charset="-122"/>
              <a:ea typeface="微软雅黑" panose="020B0503020204020204" pitchFamily="34" charset="-122"/>
            </a:rPr>
            <a:t>K.03.1 SAP</a:t>
          </a:r>
          <a:r>
            <a:rPr lang="ja-JP" altLang="en-US" sz="1400" i="1">
              <a:solidFill>
                <a:srgbClr val="FF0000"/>
              </a:solidFill>
              <a:latin typeface="微软雅黑" panose="020B0503020204020204" pitchFamily="34" charset="-122"/>
              <a:ea typeface="微软雅黑" panose="020B0503020204020204" pitchFamily="34" charset="-122"/>
            </a:rPr>
            <a:t>模板。</a:t>
          </a:r>
          <a:endParaRPr lang="ja-JP" altLang="en-US" sz="1400" i="1">
            <a:solidFill>
              <a:srgbClr val="FF0000"/>
            </a:solidFill>
            <a:latin typeface="微软雅黑" panose="020B0503020204020204" pitchFamily="34" charset="-122"/>
            <a:ea typeface="微软雅黑" panose="020B0503020204020204" pitchFamily="34" charset="-122"/>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rPr>
            <a:t>我们将工作底稿以“</a:t>
          </a:r>
          <a:r>
            <a:rPr lang="en-US" sz="1400" i="1">
              <a:solidFill>
                <a:srgbClr val="FF0000"/>
              </a:solidFill>
              <a:latin typeface="微软雅黑" panose="020B0503020204020204" pitchFamily="34" charset="-122"/>
              <a:ea typeface="微软雅黑" panose="020B0503020204020204" pitchFamily="34" charset="-122"/>
            </a:rPr>
            <a:t>K.03.1 264-SWP </a:t>
          </a:r>
          <a:r>
            <a:rPr lang="ja-JP" altLang="en-US" sz="1400" i="1">
              <a:solidFill>
                <a:srgbClr val="FF0000"/>
              </a:solidFill>
              <a:latin typeface="微软雅黑" panose="020B0503020204020204" pitchFamily="34" charset="-122"/>
              <a:ea typeface="微软雅黑" panose="020B0503020204020204" pitchFamily="34" charset="-122"/>
            </a:rPr>
            <a:t>实质性分析程序</a:t>
          </a:r>
          <a:r>
            <a:rPr lang="en-US" altLang="ja-JP" sz="1400" i="1">
              <a:solidFill>
                <a:srgbClr val="FF0000"/>
              </a:solidFill>
              <a:latin typeface="微软雅黑" panose="020B0503020204020204" pitchFamily="34" charset="-122"/>
              <a:ea typeface="微软雅黑" panose="020B0503020204020204" pitchFamily="34" charset="-122"/>
            </a:rPr>
            <a:t>.</a:t>
          </a:r>
          <a:r>
            <a:rPr lang="en-US" sz="1400" i="1">
              <a:solidFill>
                <a:srgbClr val="FF0000"/>
              </a:solidFill>
              <a:latin typeface="微软雅黑" panose="020B0503020204020204" pitchFamily="34" charset="-122"/>
              <a:ea typeface="微软雅黑" panose="020B0503020204020204" pitchFamily="34" charset="-122"/>
            </a:rPr>
            <a:t>xlsx”</a:t>
          </a:r>
          <a:r>
            <a:rPr lang="ja-JP" altLang="en-US" sz="1400" i="1">
              <a:solidFill>
                <a:srgbClr val="FF0000"/>
              </a:solidFill>
              <a:latin typeface="微软雅黑" panose="020B0503020204020204" pitchFamily="34" charset="-122"/>
              <a:ea typeface="微软雅黑" panose="020B0503020204020204" pitchFamily="34" charset="-122"/>
            </a:rPr>
            <a:t>的名称上传至 </a:t>
          </a:r>
          <a:r>
            <a:rPr lang="en-US" sz="1400" b="0" i="1" u="none" strike="noStrike">
              <a:solidFill>
                <a:srgbClr val="FF0000"/>
              </a:solidFill>
              <a:latin typeface="微软雅黑" panose="020B0503020204020204" pitchFamily="34" charset="-122"/>
              <a:ea typeface="微软雅黑" panose="020B0503020204020204" pitchFamily="34" charset="-122"/>
            </a:rPr>
            <a:t>C</a:t>
          </a:r>
          <a:r>
            <a:rPr lang="en-US" sz="1400" i="1">
              <a:solidFill>
                <a:srgbClr val="FF0000"/>
              </a:solidFill>
              <a:latin typeface="微软雅黑" panose="020B0503020204020204" pitchFamily="34" charset="-122"/>
              <a:ea typeface="微软雅黑" panose="020B0503020204020204" pitchFamily="34" charset="-122"/>
            </a:rPr>
            <a:t>anvas，</a:t>
          </a:r>
          <a:r>
            <a:rPr lang="ja-JP" altLang="en-US" sz="1400" i="1">
              <a:solidFill>
                <a:srgbClr val="FF0000"/>
              </a:solidFill>
              <a:latin typeface="微软雅黑" panose="020B0503020204020204" pitchFamily="34" charset="-122"/>
              <a:ea typeface="微软雅黑" panose="020B0503020204020204" pitchFamily="34" charset="-122"/>
            </a:rPr>
            <a:t>井完成 </a:t>
          </a:r>
          <a:r>
            <a:rPr lang="en-US" sz="1400" i="1">
              <a:solidFill>
                <a:srgbClr val="FF0000"/>
              </a:solidFill>
              <a:latin typeface="微软雅黑" panose="020B0503020204020204" pitchFamily="34" charset="-122"/>
              <a:ea typeface="微软雅黑" panose="020B0503020204020204" pitchFamily="34" charset="-122"/>
            </a:rPr>
            <a:t>Canvas </a:t>
          </a:r>
          <a:r>
            <a:rPr lang="ja-JP" altLang="en-US" sz="1400" i="1">
              <a:solidFill>
                <a:srgbClr val="FF0000"/>
              </a:solidFill>
              <a:latin typeface="微软雅黑" panose="020B0503020204020204" pitchFamily="34" charset="-122"/>
              <a:ea typeface="微软雅黑" panose="020B0503020204020204" pitchFamily="34" charset="-122"/>
            </a:rPr>
            <a:t>中指引的工作流程 </a:t>
          </a:r>
          <a:r>
            <a:rPr lang="en-US" sz="1400" i="1">
              <a:solidFill>
                <a:srgbClr val="FF0000"/>
              </a:solidFill>
              <a:latin typeface="微软雅黑" panose="020B0503020204020204" pitchFamily="34" charset="-122"/>
              <a:ea typeface="微软雅黑" panose="020B0503020204020204" pitchFamily="34" charset="-122"/>
            </a:rPr>
            <a:t>K.03。</a:t>
          </a:r>
          <a:endParaRPr lang="en-US" sz="1400" i="1">
            <a:solidFill>
              <a:srgbClr val="FF0000"/>
            </a:solidFill>
            <a:latin typeface="微软雅黑" panose="020B0503020204020204" pitchFamily="34" charset="-122"/>
            <a:ea typeface="微软雅黑" panose="020B0503020204020204" pitchFamily="34" charset="-122"/>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rPr>
            <a:t>我们再次记录对</a:t>
          </a:r>
          <a:r>
            <a:rPr lang="en-US" altLang="ja-JP" sz="1400" i="1">
              <a:solidFill>
                <a:srgbClr val="FF0000"/>
              </a:solidFill>
              <a:latin typeface="微软雅黑" panose="020B0503020204020204" pitchFamily="34" charset="-122"/>
              <a:ea typeface="微软雅黑" panose="020B0503020204020204" pitchFamily="34" charset="-122"/>
            </a:rPr>
            <a:t>《</a:t>
          </a:r>
          <a:r>
            <a:rPr lang="ja-JP" altLang="en-US" sz="1400" i="1">
              <a:solidFill>
                <a:srgbClr val="FF0000"/>
              </a:solidFill>
              <a:latin typeface="微软雅黑" panose="020B0503020204020204" pitchFamily="34" charset="-122"/>
              <a:ea typeface="微软雅黑" panose="020B0503020204020204" pitchFamily="34" charset="-122"/>
            </a:rPr>
            <a:t>表格</a:t>
          </a:r>
          <a:r>
            <a:rPr lang="en-US" altLang="ja-JP" sz="1400" i="1">
              <a:solidFill>
                <a:srgbClr val="FF0000"/>
              </a:solidFill>
              <a:latin typeface="微软雅黑" panose="020B0503020204020204" pitchFamily="34" charset="-122"/>
              <a:ea typeface="微软雅黑" panose="020B0503020204020204" pitchFamily="34" charset="-122"/>
            </a:rPr>
            <a:t>264-</a:t>
          </a:r>
          <a:r>
            <a:rPr lang="en-US" sz="1400" i="1">
              <a:solidFill>
                <a:srgbClr val="FF0000"/>
              </a:solidFill>
              <a:latin typeface="微软雅黑" panose="020B0503020204020204" pitchFamily="34" charset="-122"/>
              <a:ea typeface="微软雅黑" panose="020B0503020204020204" pitchFamily="34" charset="-122"/>
            </a:rPr>
            <a:t>SWP》</a:t>
          </a:r>
          <a:r>
            <a:rPr lang="ja-JP" altLang="en-US" sz="1400" i="1">
              <a:solidFill>
                <a:srgbClr val="FF0000"/>
              </a:solidFill>
              <a:latin typeface="微软雅黑" panose="020B0503020204020204" pitchFamily="34" charset="-122"/>
              <a:ea typeface="微软雅黑" panose="020B0503020204020204" pitchFamily="34" charset="-122"/>
            </a:rPr>
            <a:t>的交叉索引。</a:t>
          </a:r>
          <a:endParaRPr lang="ja-JP" altLang="en-US" sz="1400" i="1">
            <a:solidFill>
              <a:srgbClr val="FF0000"/>
            </a:solidFill>
            <a:latin typeface="微软雅黑" panose="020B0503020204020204" pitchFamily="34" charset="-122"/>
            <a:ea typeface="微软雅黑" panose="020B0503020204020204" pitchFamily="34" charset="-122"/>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rPr>
            <a:t>如果我们不执行实质性分析程序</a:t>
          </a:r>
          <a:r>
            <a:rPr lang="en-US" altLang="ja-JP" sz="1400" i="1">
              <a:solidFill>
                <a:srgbClr val="FF0000"/>
              </a:solidFill>
              <a:latin typeface="微软雅黑" panose="020B0503020204020204" pitchFamily="34" charset="-122"/>
              <a:ea typeface="微软雅黑" panose="020B0503020204020204" pitchFamily="34" charset="-122"/>
            </a:rPr>
            <a:t>(</a:t>
          </a:r>
          <a:r>
            <a:rPr lang="en-US" sz="1400" i="1">
              <a:solidFill>
                <a:srgbClr val="FF0000"/>
              </a:solidFill>
              <a:latin typeface="微软雅黑" panose="020B0503020204020204" pitchFamily="34" charset="-122"/>
              <a:ea typeface="微软雅黑" panose="020B0503020204020204" pitchFamily="34" charset="-122"/>
            </a:rPr>
            <a:t>SAP)</a:t>
          </a:r>
          <a:r>
            <a:rPr lang="ja-JP" altLang="en-US" sz="1400" i="1">
              <a:solidFill>
                <a:srgbClr val="FF0000"/>
              </a:solidFill>
              <a:latin typeface="微软雅黑" panose="020B0503020204020204" pitchFamily="34" charset="-122"/>
              <a:ea typeface="微软雅黑" panose="020B0503020204020204" pitchFamily="34" charset="-122"/>
            </a:rPr>
            <a:t>测试折旧费用，则删除此提示框</a:t>
          </a:r>
          <a:endParaRPr lang="ja-JP" altLang="en-US" sz="1400" i="1">
            <a:solidFill>
              <a:srgbClr val="FF0000"/>
            </a:solidFill>
            <a:latin typeface="微软雅黑" panose="020B0503020204020204" pitchFamily="34" charset="-122"/>
            <a:ea typeface="微软雅黑" panose="020B0503020204020204" pitchFamily="34" charset="-122"/>
          </a:endParaRPr>
        </a:p>
      </xdr:txBody>
    </xdr:sp>
    <xdr:clientData/>
  </xdr:twoCellAnchor>
  <xdr:twoCellAnchor editAs="oneCell">
    <xdr:from>
      <xdr:col>1</xdr:col>
      <xdr:colOff>136072</xdr:colOff>
      <xdr:row>0</xdr:row>
      <xdr:rowOff>68036</xdr:rowOff>
    </xdr:from>
    <xdr:to>
      <xdr:col>1</xdr:col>
      <xdr:colOff>627123</xdr:colOff>
      <xdr:row>0</xdr:row>
      <xdr:rowOff>585742</xdr:rowOff>
    </xdr:to>
    <xdr:pic>
      <xdr:nvPicPr>
        <xdr:cNvPr id="5" name="Picture 4"/>
        <xdr:cNvPicPr>
          <a:picLocks noChangeAspect="1"/>
        </xdr:cNvPicPr>
      </xdr:nvPicPr>
      <xdr:blipFill>
        <a:blip r:embed="rId1"/>
        <a:stretch>
          <a:fillRect/>
        </a:stretch>
      </xdr:blipFill>
      <xdr:spPr>
        <a:xfrm>
          <a:off x="321310" y="67945"/>
          <a:ext cx="490855" cy="517525"/>
        </a:xfrm>
        <a:prstGeom prst="rect">
          <a:avLst/>
        </a:prstGeom>
      </xdr:spPr>
    </xdr:pic>
    <xdr:clientData/>
  </xdr:twoCellAnchor>
  <xdr:oneCellAnchor>
    <xdr:from>
      <xdr:col>1</xdr:col>
      <xdr:colOff>1551214</xdr:colOff>
      <xdr:row>4</xdr:row>
      <xdr:rowOff>149679</xdr:rowOff>
    </xdr:from>
    <xdr:ext cx="243417" cy="221434"/>
    <xdr:pic>
      <xdr:nvPicPr>
        <xdr:cNvPr id="2" name="Picture 1">
          <a:hlinkClick xmlns:r="http://schemas.openxmlformats.org/officeDocument/2006/relationships" r:id="rId2"/>
        </xdr:cNvPr>
        <xdr:cNvPicPr>
          <a:picLocks noChangeAspect="1"/>
        </xdr:cNvPicPr>
      </xdr:nvPicPr>
      <xdr:blipFill>
        <a:blip r:embed="rId3"/>
        <a:stretch>
          <a:fillRect/>
        </a:stretch>
      </xdr:blipFill>
      <xdr:spPr>
        <a:xfrm>
          <a:off x="1736090" y="1525270"/>
          <a:ext cx="243840" cy="221615"/>
        </a:xfrm>
        <a:prstGeom prst="rect">
          <a:avLst/>
        </a:prstGeom>
      </xdr:spPr>
    </xdr:pic>
    <xdr:clientData/>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99786</xdr:colOff>
      <xdr:row>0</xdr:row>
      <xdr:rowOff>0</xdr:rowOff>
    </xdr:from>
    <xdr:to>
      <xdr:col>1</xdr:col>
      <xdr:colOff>590837</xdr:colOff>
      <xdr:row>0</xdr:row>
      <xdr:rowOff>517706</xdr:rowOff>
    </xdr:to>
    <xdr:pic>
      <xdr:nvPicPr>
        <xdr:cNvPr id="2" name="Picture 4"/>
        <xdr:cNvPicPr>
          <a:picLocks noChangeAspect="1"/>
        </xdr:cNvPicPr>
      </xdr:nvPicPr>
      <xdr:blipFill>
        <a:blip r:embed="rId1"/>
        <a:stretch>
          <a:fillRect/>
        </a:stretch>
      </xdr:blipFill>
      <xdr:spPr>
        <a:xfrm>
          <a:off x="285115" y="0"/>
          <a:ext cx="490855" cy="517525"/>
        </a:xfrm>
        <a:prstGeom prst="rect">
          <a:avLst/>
        </a:prstGeom>
      </xdr:spPr>
    </xdr:pic>
    <xdr:clientData/>
  </xdr:twoCellAnchor>
  <xdr:twoCellAnchor editAs="oneCell">
    <xdr:from>
      <xdr:col>18</xdr:col>
      <xdr:colOff>299359</xdr:colOff>
      <xdr:row>29</xdr:row>
      <xdr:rowOff>18142</xdr:rowOff>
    </xdr:from>
    <xdr:to>
      <xdr:col>18</xdr:col>
      <xdr:colOff>524715</xdr:colOff>
      <xdr:row>29</xdr:row>
      <xdr:rowOff>244928</xdr:rowOff>
    </xdr:to>
    <xdr:pic>
      <xdr:nvPicPr>
        <xdr:cNvPr id="4" name="Picture 1">
          <a:hlinkClick xmlns:r="http://schemas.openxmlformats.org/officeDocument/2006/relationships" r:id="rId2"/>
        </xdr:cNvPr>
        <xdr:cNvPicPr>
          <a:picLocks noChangeAspect="1"/>
        </xdr:cNvPicPr>
      </xdr:nvPicPr>
      <xdr:blipFill>
        <a:blip r:embed="rId3"/>
        <a:stretch>
          <a:fillRect/>
        </a:stretch>
      </xdr:blipFill>
      <xdr:spPr>
        <a:xfrm>
          <a:off x="17059275" y="6433820"/>
          <a:ext cx="225425" cy="22669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136072</xdr:colOff>
      <xdr:row>0</xdr:row>
      <xdr:rowOff>68036</xdr:rowOff>
    </xdr:from>
    <xdr:to>
      <xdr:col>1</xdr:col>
      <xdr:colOff>627123</xdr:colOff>
      <xdr:row>0</xdr:row>
      <xdr:rowOff>585742</xdr:rowOff>
    </xdr:to>
    <xdr:pic>
      <xdr:nvPicPr>
        <xdr:cNvPr id="2" name="Picture 4"/>
        <xdr:cNvPicPr>
          <a:picLocks noChangeAspect="1"/>
        </xdr:cNvPicPr>
      </xdr:nvPicPr>
      <xdr:blipFill>
        <a:blip r:embed="rId1"/>
        <a:stretch>
          <a:fillRect/>
        </a:stretch>
      </xdr:blipFill>
      <xdr:spPr>
        <a:xfrm>
          <a:off x="321310" y="67945"/>
          <a:ext cx="490855" cy="517525"/>
        </a:xfrm>
        <a:prstGeom prst="rect">
          <a:avLst/>
        </a:prstGeom>
      </xdr:spPr>
    </xdr:pic>
    <xdr:clientData/>
  </xdr:twoCellAnchor>
  <xdr:oneCellAnchor>
    <xdr:from>
      <xdr:col>5</xdr:col>
      <xdr:colOff>904119</xdr:colOff>
      <xdr:row>5</xdr:row>
      <xdr:rowOff>145899</xdr:rowOff>
    </xdr:from>
    <xdr:ext cx="243417" cy="220164"/>
    <xdr:pic>
      <xdr:nvPicPr>
        <xdr:cNvPr id="3" name="Picture 1">
          <a:hlinkClick xmlns:r="http://schemas.openxmlformats.org/officeDocument/2006/relationships" r:id="rId2"/>
        </xdr:cNvPr>
        <xdr:cNvPicPr>
          <a:picLocks noChangeAspect="1"/>
        </xdr:cNvPicPr>
      </xdr:nvPicPr>
      <xdr:blipFill>
        <a:blip r:embed="rId3"/>
        <a:stretch>
          <a:fillRect/>
        </a:stretch>
      </xdr:blipFill>
      <xdr:spPr>
        <a:xfrm>
          <a:off x="7469505" y="1700530"/>
          <a:ext cx="243840" cy="22034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xinc/Documents%20and%20Settings/lizs/Local%20Settings/Temporary%20Internet%20Files/OLK4C5/Documents%20and%20Settings/derekj/My%20Documents/Xilinx/Whitney/Forecast/March_11_2003/Revenue%20Trend%20New%20Prod_Update_includes%20Whitne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shavapfl67\GSS%20Dalian\Financial%20Operations\General%20Accounting\General\IT%20Accounting\GA\2009\Properties\Rent\02.%20Italy%20Rents%202009%20-%20Feb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shavapfl67\GSS%20Dalian\Financial%20Operations\General%20Accounting\FR%20Accounting\General\Manual%20Journal%20ADI\8-%20Aug%2008%20FR%20GA%20Journal\O%20ROATTINO\HFC-GA-OR-000041%20-%20reclass%201945%20to%20expenses%20ac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XV199MW\Desktop\Worksheet%20in%205610%20Property%20&amp;%20Equipment%20Combined%20Leadsheet"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eychinamanaged.sharepoint.cn/sites/Raily/Shared%20Documents/Raily%20250930&#24213;&#31295;/&#29790;&#20029;251231&#24213;&#31295;/EDC&#24213;&#31295;/A3/02_&#29790;&#20029;&#21307;&#30103;_A3A5_2025123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ttps://eychinamanaged.sharepoint.cn/sites/Raily/Shared%20Documents/Raily%20250930&#24213;&#31295;/&#29790;&#20029;251231&#24213;&#31295;/A3/02_&#29790;&#20029;&#21307;&#30103;_A3A5_2025123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rsonal\lisa_z_liu_cn_ey_com\Documents\Desktop\&#29790;&#20029;\24&#24180;&#24213;&#31295;\02&#29790;&#20029;&#21307;&#30103;_K1_&#22266;&#23450;&#36164;&#20135;_2024123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VQ488QQ\OneDrive%20-%20EY%20CHINA\Documents\xwechat_files\wxid_xommkxew2jug22_dc25\msg\file\2026-01\&#22266;&#23450;&#36164;&#20135;&#28165;&#21333;-2025.1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s://eychinamanaged.sharepoint.cn/sites/Raily/Shared%20Documents/Raily20250630&#24213;&#31295;/EDC-WP/K/02&#29790;&#20029;&#21307;&#30103;_K1_&#22266;&#23450;&#36164;&#20135;_2025063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s://eychinamanaged.sharepoint.cn/Users/TR237WQ/AppData/Local/Temp/CanvasEvidence/ec0a5ff1bc4445eba70d8722541a72fb/Read%20Only%20-%2002&#29790;&#20029;&#21307;&#30103;_K1_&#22266;&#23450;&#36164;&#20135;_2023131~tmp2707111723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tps://eychinamanaged.sharepoint.cn/sites/Raily/Shared%20Documents/Raily%201231%20&#24213;&#31295;&#21644;A3/Working%20Paper/02_&#29790;&#20029;&#21307;&#30103;/02&#29790;&#20029;&#21307;&#30103;_K1_&#22266;&#23450;&#36164;&#20135;_2022063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shausrfl110.ey.net\110shu00026\H\HAN_1356280_Hangzhou%20Ruili%20Beauty%20Treatment%20Consulta\20241231WP\&#24213;&#31295;\K_20241231\02&#29790;&#20029;&#21307;&#30103;_K1_&#22266;&#23450;&#36164;&#20135;_2024123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dCompar"/>
      <sheetName val="ProdIntro"/>
      <sheetName val="Xilinx vs Altera"/>
      <sheetName val="AP Recap"/>
      <sheetName val="400吨现存量"/>
      <sheetName val="_600吨现存量"/>
      <sheetName val="U120"/>
      <sheetName val="Summary"/>
      <sheetName val="Ã«ÀûÂÊ·ÖÎö±í"/>
      <sheetName val="上报资产负债表"/>
      <sheetName val="上报损益表"/>
      <sheetName val="补充表"/>
      <sheetName val="TOD Poplulation_Billing"/>
      <sheetName val="TOD Population_Non-Billing"/>
      <sheetName val="TOD Population_Billing"/>
      <sheetName val="U1-OSP-04-01 客户清单"/>
      <sheetName val="以前年度损益调整"/>
      <sheetName val="F210-存货清单盘点日"/>
      <sheetName val="Sheet1"/>
      <sheetName val="Lease AP 2008"/>
      <sheetName val="Seoul"/>
      <sheetName val="OA#6-2&amp;RA#5"/>
      <sheetName val="_http___xinc_Documents_and_Se_2"/>
      <sheetName val="1.00 - Summary at Acquisition"/>
      <sheetName val="(i) Fixed assets-PBC"/>
      <sheetName val="6001-TB 2021"/>
      <sheetName val="6001-TB 2020"/>
      <sheetName val="GL"/>
      <sheetName val="U130"/>
      <sheetName val="G100-本部"/>
      <sheetName val="G100-非本部"/>
      <sheetName val="G200"/>
      <sheetName val="G400"/>
      <sheetName val="Translation"/>
      <sheetName val="Data"/>
      <sheetName val="D4RP"/>
      <sheetName val="LinkData"/>
      <sheetName val="T  B"/>
      <sheetName val="OE AC#41111"/>
      <sheetName val="OI-Fcst"/>
      <sheetName val="For AFS"/>
      <sheetName val="Trans"/>
      <sheetName val="P100"/>
      <sheetName val="Customer churn"/>
      <sheetName val="Transaction rollforward"/>
      <sheetName val="Aging analysis"/>
      <sheetName val="Credit limit analysis"/>
      <sheetName val="_http___xinc_Documents_and_Se_3"/>
      <sheetName val="_http___xinc_Documents_and_Se_4"/>
      <sheetName val="_http___xinc_Documents_and_Se_5"/>
      <sheetName val="_http___xinc_Documents_and_Se_6"/>
      <sheetName val="_http___xinc_Documents_and_Se_7"/>
      <sheetName val="U100"/>
      <sheetName val="TOOLS"/>
      <sheetName val="无形资产清单 "/>
      <sheetName val="K1_Lead"/>
      <sheetName val="Mapping"/>
      <sheetName val="c"/>
      <sheetName val="7 (2)"/>
      <sheetName val="10K4"/>
      <sheetName val="A3"/>
      <sheetName val="AFEMAI"/>
      <sheetName val="KEY"/>
      <sheetName val="18.存货"/>
      <sheetName val="G2"/>
      <sheetName val="_http___xinc_Documents_and_Se_8"/>
      <sheetName val="_http___xinc_Documents_and_Se_9"/>
      <sheetName val="_http___xinc_Documents_and_S_10"/>
      <sheetName val="Sheet4"/>
      <sheetName val="31其他负债"/>
      <sheetName val="A300_BS&amp;PL_21"/>
      <sheetName val="1. Template"/>
      <sheetName val=" PPE"/>
      <sheetName val=" U140-SalesTOT"/>
      <sheetName val="C3WB Revenue3 and Receivables"/>
      <sheetName val="Revenue Trend New Prod_Update_i"/>
      <sheetName val="sch10-rm2"/>
      <sheetName val="sch6-rm"/>
      <sheetName val="披露表(标准)"/>
      <sheetName val="关联交易-存款"/>
      <sheetName val="140101-1451by category"/>
      <sheetName val="ARP-U501"/>
      <sheetName val="平衡测试"/>
      <sheetName val="F1"/>
      <sheetName val="汇总"/>
      <sheetName val="Comp equip"/>
      <sheetName val="Mach &amp; equip"/>
      <sheetName val="热力"/>
      <sheetName val="CBUGL"/>
      <sheetName val="NBCF"/>
      <sheetName val="INVDAYS"/>
      <sheetName val="UFPrn20021113090847"/>
      <sheetName val="TOTAL"/>
      <sheetName val="Support"/>
      <sheetName val="XRef Table"/>
      <sheetName val="TB"/>
      <sheetName val="STATPARA"/>
      <sheetName val="conWP1"/>
      <sheetName val="敏感性"/>
      <sheetName val="101200"/>
      <sheetName val="ARP"/>
      <sheetName val="#REF"/>
      <sheetName val="Non-Statistical Sampling"/>
      <sheetName val="XREF"/>
      <sheetName val="GL-R"/>
      <sheetName val="YS02-02"/>
      <sheetName val="enums"/>
      <sheetName val="eqpmad2"/>
      <sheetName val="inventory2002"/>
      <sheetName val="PPV2002"/>
      <sheetName val="CCTL"/>
      <sheetName val="WIP"/>
      <sheetName val="Toolbox"/>
      <sheetName val="725 BS"/>
      <sheetName val="BJ Expenses"/>
      <sheetName val="Sample Rev"/>
      <sheetName val="Sample IS"/>
      <sheetName val="Probability View"/>
      <sheetName val="FY04ExpDetail"/>
      <sheetName val="4-货币资金-现金"/>
      <sheetName val="P&amp;L"/>
      <sheetName val="BS"/>
      <sheetName val="FA lead"/>
      <sheetName val="Sheet3"/>
      <sheetName val="Collateral"/>
      <sheetName val="B"/>
      <sheetName val="Invested Capital"/>
      <sheetName val="流资汇总"/>
      <sheetName val="Config"/>
      <sheetName val="DEPRECIATION"/>
      <sheetName val="FAB별"/>
      <sheetName val="BS 表"/>
      <sheetName val="报表格式"/>
      <sheetName val="6621"/>
      <sheetName val="Sheet2"/>
      <sheetName val="原报调整分录"/>
      <sheetName val="Chart of acct "/>
      <sheetName val="IS-客户直接转换"/>
      <sheetName val="企业表一"/>
      <sheetName val="M-5C"/>
      <sheetName val="M-5A"/>
      <sheetName val="NKCR_comm_scheme"/>
      <sheetName val="NKCR_appliedrates"/>
      <sheetName val="KCR_comm_scheme"/>
      <sheetName val="Settings"/>
      <sheetName val="A"/>
      <sheetName val="Account"/>
      <sheetName val="Journal"/>
      <sheetName val="Uexp_Lead"/>
      <sheetName val="PNL"/>
      <sheetName val="本部"/>
      <sheetName val="历次融资情况"/>
      <sheetName val="12月底个人往来余额表"/>
      <sheetName val="Console TB"/>
      <sheetName val="Vendor Data"/>
      <sheetName val="sumdepn01"/>
      <sheetName val="Consol"/>
      <sheetName val="µ|²vªí"/>
      <sheetName val="IRR &amp; NPV"/>
      <sheetName val="Mov from 2001 to 2003"/>
      <sheetName val="JAN405"/>
      <sheetName val="US Bal_Sheet"/>
      <sheetName val="FA Roll to GL (p.2)"/>
      <sheetName val="Lead (p.1)"/>
      <sheetName val="dm"/>
      <sheetName val="Net REVENUE"/>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CUSTOMER"/>
      <sheetName val="FACILITY"/>
      <sheetName val="SERVIVEH"/>
      <sheetName val="COMPUTER"/>
      <sheetName val="ADVSYST"/>
      <sheetName val="COUADMIN"/>
      <sheetName val="ADMINFLD"/>
      <sheetName val="ADVCIT&amp;D"/>
      <sheetName val="EURSALES"/>
      <sheetName val="ADMINREB"/>
      <sheetName val="97BGT6"/>
      <sheetName val="勤務ｼﾌﾄﾍﾞｰｽ表 下期"/>
      <sheetName val="車会集約"/>
      <sheetName val="楼宇价目表A10"/>
      <sheetName val="楼宇价目表A9"/>
      <sheetName val="楼宇价目表B1"/>
      <sheetName val="楼宇价目表B2"/>
      <sheetName val="_001年其他业务利润"/>
      <sheetName val="_002年其他业务利润"/>
      <sheetName val="_003年其他业务利润"/>
      <sheetName val="_2U03营业费用"/>
      <sheetName val="2001年营业费用"/>
      <sheetName val="PAX &amp; SEATS %"/>
      <sheetName val="CKS-KHH"/>
      <sheetName val="二厂单位成本结构图"/>
      <sheetName val="销售"/>
      <sheetName val="成品科"/>
      <sheetName val="U102"/>
      <sheetName val="Narrative"/>
      <sheetName val="Variance"/>
      <sheetName val="Database"/>
      <sheetName val="act_96"/>
      <sheetName val="表三甲"/>
      <sheetName val="A300_主表"/>
      <sheetName val="Chart of Account"/>
      <sheetName val="2002-H300"/>
      <sheetName val="2001-H300"/>
      <sheetName val="L310-Adjustment for R&amp;D cost"/>
      <sheetName val="Lead"/>
      <sheetName val="4044"/>
      <sheetName val="FX"/>
      <sheetName val="1现金预算表"/>
      <sheetName val="选择报表"/>
      <sheetName val="move"/>
      <sheetName val="资产负债表"/>
      <sheetName val="E1020"/>
      <sheetName val="LBO"/>
      <sheetName val="Main"/>
      <sheetName val="K100"/>
      <sheetName val="A500"/>
      <sheetName val="A300"/>
      <sheetName val="各项收入"/>
      <sheetName val="Source"/>
      <sheetName val="Trial Balance"/>
      <sheetName val="Hotel"/>
      <sheetName val="租赁收入(80105)Breakdown"/>
      <sheetName val="抽样测试"/>
      <sheetName val="Final sample listing"/>
      <sheetName val="附表6"/>
      <sheetName val="Movement"/>
      <sheetName val="Breakdown RMB"/>
      <sheetName val="科目体系"/>
      <sheetName val="Lguide"/>
      <sheetName val="N1_AT"/>
      <sheetName val="C2_WKSP"/>
      <sheetName val="A1_INP"/>
      <sheetName val="A2_TINPM"/>
      <sheetName val="A3_TINPP"/>
      <sheetName val="A6620 Detail"/>
      <sheetName val="2008"/>
      <sheetName val="DEC Bank"/>
      <sheetName val="gares 02 BON FICHIER "/>
      <sheetName val="Depr.Exp. Testing (5)"/>
      <sheetName val="E-Client Information"/>
      <sheetName val="DAILY"/>
      <sheetName val="2. PPR REVENUE APR10"/>
      <sheetName val="I-Summary"/>
      <sheetName val="Dimensions"/>
      <sheetName val="PL"/>
      <sheetName val="XL4Poppy"/>
      <sheetName val="科目表"/>
      <sheetName val="2_假设"/>
      <sheetName val="Detail Loan Move. &amp; Listing"/>
      <sheetName val="完"/>
      <sheetName val="会计科目对照表"/>
      <sheetName val="目录"/>
      <sheetName val="订单"/>
      <sheetName val="订单418"/>
      <sheetName val="CRA"/>
      <sheetName val="Trading"/>
      <sheetName val="0406_Grade_data"/>
      <sheetName val="0412_Grade_data"/>
      <sheetName val="Sheet1 (2)"/>
      <sheetName val="M_5A"/>
      <sheetName val="M_5C"/>
      <sheetName val="____"/>
      <sheetName val="hiddenSheet1"/>
      <sheetName val="101"/>
      <sheetName val="G.1R-Shou COP Gf"/>
      <sheetName val="财务成本"/>
      <sheetName val="试算平衡表"/>
      <sheetName val="Validation"/>
      <sheetName val="_"/>
      <sheetName val="工时统计"/>
      <sheetName val="PRC 15"/>
      <sheetName val="退休基本情况说明"/>
      <sheetName val="P504_3.Expected life"/>
      <sheetName val="27-7"/>
      <sheetName val="存货"/>
      <sheetName val="长期股权投资"/>
      <sheetName val="关联方及关联交易"/>
      <sheetName val="营业收入"/>
      <sheetName val="PRC-Adjusted"/>
      <sheetName val="E101"/>
      <sheetName val="g101"/>
      <sheetName val="ARP-U201"/>
      <sheetName val="総合B"/>
      <sheetName val="AA#11"/>
      <sheetName val="DLDB10"/>
      <sheetName val="Customize Your Loan Manager"/>
      <sheetName val="Confirmation"/>
      <sheetName val="AGENT"/>
      <sheetName val="Revenue"/>
      <sheetName val="902"/>
      <sheetName val="土建表三乙"/>
      <sheetName val="original"/>
      <sheetName val="Control"/>
      <sheetName val="Loop"/>
      <sheetName val="GRAFICOCT"/>
      <sheetName val="Links"/>
      <sheetName val="表三"/>
      <sheetName val="M3 M4"/>
      <sheetName val="M3 M4 (2)"/>
      <sheetName val="所属企业备案表"/>
      <sheetName val="0、钩稽关系审核表"/>
      <sheetName val="直 接 法 "/>
      <sheetName val="间 接 法 "/>
      <sheetName val="Raw materials"/>
      <sheetName val="INDEX"/>
      <sheetName val="Projections"/>
      <sheetName val="Returns Analysis"/>
      <sheetName val="Cash Balance (Computed)"/>
      <sheetName val="Cap_EN"/>
      <sheetName val="OLDMAP"/>
      <sheetName val="01ADDL_F_A_"/>
      <sheetName val="Cover"/>
      <sheetName val="Dashboard"/>
      <sheetName val="App24  working"/>
      <sheetName val="rates"/>
      <sheetName val="Relationship Analysis"/>
      <sheetName val="Gross Margin"/>
      <sheetName val="final_1"/>
      <sheetName val="C3W Summary"/>
      <sheetName val="Transaction type"/>
      <sheetName val="Credit debit analysis"/>
      <sheetName val="Changes in vendor master file"/>
      <sheetName val="Transaction group"/>
      <sheetName val="Relationship Analysis(1)"/>
      <sheetName val="C3WD Secondary and Tertiary"/>
      <sheetName val="长待摊明细表"/>
      <sheetName val="Accrual"/>
      <sheetName val="Review pts"/>
      <sheetName val="lookups"/>
      <sheetName val="matrix"/>
      <sheetName val="表21 净利润调节表"/>
      <sheetName val="&lt;FF&gt; Tax Payable"/>
      <sheetName val="Cashbook"/>
      <sheetName val="P2_100Breakdown"/>
      <sheetName val="_http___xinc_Documents_and_S_11"/>
      <sheetName val="_http___xinc_Documents_and_S_12"/>
      <sheetName val="_http___xinc_Documents_and_S_13"/>
      <sheetName val="_http___xinc_Documents_and_S_14"/>
      <sheetName val="_http___xinc_Documents_and_S_15"/>
      <sheetName val="_http___xinc_Documents_and_S_16"/>
      <sheetName val="_http___xinc_Documents_and_S_17"/>
      <sheetName val="_http___xinc_Documents_and_S_18"/>
      <sheetName val="_http___xinc_Documents_and_S_19"/>
      <sheetName val="_http___xinc_Documents_and_S_20"/>
      <sheetName val="_http___xinc_Documents_and_S_21"/>
      <sheetName val="_http___xinc_Documents_and_S_22"/>
      <sheetName val="_http___xinc_Documents_and_S_23"/>
      <sheetName val="_http___xinc_Documents_and_S_24"/>
      <sheetName val="_http___xinc_Documents_and_S_25"/>
      <sheetName val="_http___xinc_Documents_and_S_26"/>
      <sheetName val="_http___xinc_Documents_and_S_27"/>
      <sheetName val="_http___xinc_Documents_and_S_28"/>
      <sheetName val="_http___xinc_Documents_and_S_29"/>
      <sheetName val="_http___xinc_Documents_and_S_30"/>
      <sheetName val="_http___xinc_Documents_and_S_31"/>
      <sheetName val="_http___xinc_Documents_and_S_32"/>
      <sheetName val="_http___xinc_Documents_and_S_33"/>
      <sheetName val="_http___xinc_Documents_and_S_34"/>
      <sheetName val="_http___xinc_Documents_and_S_35"/>
      <sheetName val="_http___xinc_Documents_and_S_36"/>
      <sheetName val="U1120"/>
      <sheetName val="A500 AJE"/>
      <sheetName val="base"/>
      <sheetName val=" IncStatementMulti_Accts(1)"/>
      <sheetName val="Debit credit analysis"/>
      <sheetName val="ACE"/>
      <sheetName val="ACN"/>
      <sheetName val="AC"/>
      <sheetName val="BEU"/>
      <sheetName val="BNA"/>
      <sheetName val="DR_EUR"/>
      <sheetName val="DR_NA"/>
      <sheetName val="GEU"/>
      <sheetName val="GW"/>
      <sheetName val="IW"/>
      <sheetName val="P+L LE"/>
      <sheetName val="LG"/>
      <sheetName val="OT"/>
      <sheetName val="PAP"/>
      <sheetName val="PBR"/>
      <sheetName val="PB"/>
      <sheetName val="PTF"/>
      <sheetName val="PTO"/>
      <sheetName val="Ressourcen LE"/>
      <sheetName val="RLA"/>
      <sheetName val="ROZ"/>
      <sheetName val="RT"/>
      <sheetName val="SCA"/>
      <sheetName val="SCO"/>
      <sheetName val="SCP"/>
      <sheetName val="SCR"/>
      <sheetName val="SEU"/>
      <sheetName val="SNA"/>
      <sheetName val="SV"/>
      <sheetName val="BP 2001 rates"/>
      <sheetName val="TOP10"/>
      <sheetName val="UFPrn20220118134524"/>
      <sheetName val="EURMKTG"/>
      <sheetName val="12月发生额与余额表"/>
      <sheetName val="C_200银行余额调节表"/>
      <sheetName val="汇总底稿"/>
      <sheetName val="P"/>
      <sheetName val="3. Other gains"/>
      <sheetName val="U300"/>
      <sheetName val="披露表(上市)"/>
      <sheetName val="6balancesheet2000"/>
      <sheetName val="CBS - App1"/>
      <sheetName val="Q1001"/>
      <sheetName val="E100"/>
      <sheetName val="N100"/>
      <sheetName val="cov"/>
      <sheetName val="Pls do not delete"/>
      <sheetName val="LEDGER"/>
      <sheetName val="Loc Master"/>
      <sheetName val="AP018"/>
      <sheetName val="AP019"/>
      <sheetName val="AP020"/>
      <sheetName val="AP021"/>
      <sheetName val="AP022"/>
      <sheetName val="AP023"/>
      <sheetName val="AP026"/>
      <sheetName val="AP001_JiFeng"/>
      <sheetName val="AP010_KeXunBaoZhuang"/>
      <sheetName val="AP011_YiLi"/>
      <sheetName val="AP012_"/>
      <sheetName val="AP013_HuaLian"/>
      <sheetName val="AP015_Jinchang"/>
      <sheetName val="AP016"/>
      <sheetName val="AP017"/>
      <sheetName val="AP002_SanJi"/>
      <sheetName val="AP027"/>
      <sheetName val="AP003_QiDianMo"/>
      <sheetName val="AP004_FengZheng"/>
      <sheetName val="AP005_HanBuo"/>
      <sheetName val="AP006_SiYin"/>
      <sheetName val="AP007_DeLiTai"/>
      <sheetName val="AP008_ZhongYa"/>
      <sheetName val="AP009_YiDa"/>
      <sheetName val="AP9990"/>
      <sheetName val="AP9999"/>
      <sheetName val="계획"/>
      <sheetName val="Input-Act-Adj"/>
      <sheetName val="Input-Bud"/>
      <sheetName val="Input-Act"/>
      <sheetName val="Input-PY"/>
      <sheetName val="P&amp;L Report-S"/>
      <sheetName val="P&amp;L Report-M"/>
      <sheetName val="BOX SUM"/>
      <sheetName val="FIN GOOD"/>
      <sheetName val="A5_灿星"/>
      <sheetName val="现金流量表（月报）"/>
      <sheetName val="Foundation"/>
      <sheetName val="K701"/>
      <sheetName val="2007.12折旧差异"/>
      <sheetName val="c_data"/>
      <sheetName val="co_code"/>
      <sheetName val="Register"/>
      <sheetName val="statement 1998"/>
      <sheetName val="K31X"/>
      <sheetName val="XVIa(i) - average price (2)"/>
      <sheetName val="153541"/>
      <sheetName val="PKH"/>
      <sheetName val="部门"/>
      <sheetName val="General"/>
      <sheetName val="A3 &amp; U 09-01"/>
      <sheetName val="VCC 11110-461"/>
      <sheetName val="现 金 流 量 表"/>
      <sheetName val="Template"/>
      <sheetName val="Depts LOOKUP"/>
      <sheetName val="B331"/>
      <sheetName val="for ey reviewer 销售费用"/>
      <sheetName val="for ey reviewer 制造费用"/>
      <sheetName val="U1-OSP-03-02"/>
      <sheetName val="Poland £"/>
      <sheetName val="P&amp;LALL"/>
      <sheetName val="1015"/>
      <sheetName val="M Schedules"/>
      <sheetName val="Xilinx_vs_Altera"/>
      <sheetName val="AP_Recap"/>
      <sheetName val="TOD_Poplulation_Billing"/>
      <sheetName val="TOD_Population_Non-Billing"/>
      <sheetName val="TOD_Population_Billing"/>
      <sheetName val="U1-OSP-04-01_客户清单"/>
      <sheetName val="Lease_AP_2008"/>
      <sheetName val="1_00_-_Summary_at_Acquisition"/>
      <sheetName val="(i)_Fixed_assets-PBC"/>
      <sheetName val="L210"/>
      <sheetName val="Sintesi"/>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1待摊"/>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1土地"/>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5502"/>
      <sheetName val="应付票据1NotesPayable1"/>
      <sheetName val="ICP主营业务成本ICP_CoreExpense"/>
      <sheetName val="ICP其他业务成本ICP_OtherExpense"/>
      <sheetName val="ICP主营业务收入ICP CoreRevenue"/>
      <sheetName val="ICP递延收益ICP DeferredIncome"/>
      <sheetName val="ICP股利分配ICP DevidendDeclared"/>
      <sheetName val="ICP费用ICP Expense"/>
      <sheetName val="固定资产FixedAssets"/>
      <sheetName val="ICP现金流量表ICP_CF"/>
      <sheetName val="ICP长期借款ICPLongtermBorrowings"/>
      <sheetName val="ICP其他应付款ICP OtherPayable"/>
      <sheetName val="ICP其他应收款ICP_OtherReceivables"/>
      <sheetName val="ICP投资收益ICP InvestmentIncome"/>
      <sheetName val="ICP应付利息ICP InterestPayable"/>
      <sheetName val="ICP应收利息ICP_InterestReceivable"/>
      <sheetName val="ICP长期应付款ICP LongtermPayable"/>
      <sheetName val="ICP长期应收款ICPLongtermReceivables"/>
      <sheetName val="短期借款ShorttermLoans"/>
      <sheetName val="ICP其他流动资产ICP_OtherCurrentAssets"/>
      <sheetName val="ICP其他流动负债ICP OtherCurrentLiab"/>
      <sheetName val="ICP其他非流动资产ICPOtherNoncurAsets"/>
      <sheetName val="ICP其他非流动负债ICPOtherNoncurrLiab"/>
      <sheetName val="ICP其他业务收入ICP OtherRevenue"/>
      <sheetName val="ICP预付款项ICP_Prepayment"/>
      <sheetName val="ICP短期借款ICP ShorttermLoans"/>
      <sheetName val="试算BS"/>
      <sheetName val="试算PL"/>
      <sheetName val="AcctCode"/>
      <sheetName val="Budget"/>
      <sheetName val="材料明细"/>
      <sheetName val="7 - ARO Assumptions"/>
      <sheetName val="主要规划指标"/>
      <sheetName val="Sch11"/>
      <sheetName val="Input"/>
      <sheetName val="安全服务"/>
      <sheetName val="C101"/>
      <sheetName val="Heads"/>
      <sheetName val="Basic Info"/>
      <sheetName val="Dati"/>
      <sheetName val="6001-TB_2021"/>
      <sheetName val="6001-TB_2020"/>
      <sheetName val="140101-1451by_category"/>
      <sheetName val="T__B"/>
      <sheetName val="OE_AC#41111"/>
      <sheetName val="For_AFS"/>
      <sheetName val="Customer_churn"/>
      <sheetName val="Transaction_rollforward"/>
      <sheetName val="Aging_analysis"/>
      <sheetName val="Credit_limit_analysis"/>
      <sheetName val="Comp_equip"/>
      <sheetName val="Mach_&amp;_equip"/>
      <sheetName val="XRef_Table"/>
      <sheetName val="Non-Statistical_Sampling"/>
      <sheetName val="725_BS"/>
      <sheetName val="BJ_Expenses"/>
      <sheetName val="Sample_Rev"/>
      <sheetName val="Sample_IS"/>
      <sheetName val="Probability_View"/>
      <sheetName val="FA_lead"/>
      <sheetName val="Invested_Capital"/>
      <sheetName val="BS_表"/>
      <sheetName val="Chart_of_acct_"/>
      <sheetName val="无形资产清单_"/>
      <sheetName val="Console_TB"/>
      <sheetName val="Vendor_Data"/>
      <sheetName val="IRR_&amp;_NPV"/>
      <sheetName val="Mov_from_2001_to_2003"/>
      <sheetName val="US_Bal_Sheet"/>
      <sheetName val="FA_Roll_to_GL_(p_2)"/>
      <sheetName val="Lead_(p_1)"/>
      <sheetName val="7_(2)"/>
      <sheetName val="18_存货"/>
      <sheetName val="Net_REVENUE"/>
      <sheetName val="勤務ｼﾌﾄﾍﾞｰｽ表_下期"/>
      <sheetName val="PAX_&amp;_SEATS_%"/>
      <sheetName val="Chart_of_Account"/>
      <sheetName val="L310-Adjustment_for_R&amp;D_cost"/>
      <sheetName val="中行汇率表"/>
      <sheetName val="Lease AP 2009"/>
      <sheetName val="Lease AP 2009 ITALY"/>
      <sheetName val="EDR Feb-09"/>
      <sheetName val="Entry 1412 - 2102"/>
      <sheetName val="PO upload sheet"/>
      <sheetName val="Italy Lease 2009"/>
      <sheetName val="2009"/>
      <sheetName val="REFERENCE FILE"/>
      <sheetName val="W"/>
      <sheetName val="DJ"/>
      <sheetName val="报告披露_FIE未执行新金融工具准则、新收入准则和新租赁准则"/>
      <sheetName val="报表披露_企业会计制度"/>
      <sheetName val="其他应付款"/>
      <sheetName val="QQ"/>
      <sheetName val="実績SK"/>
      <sheetName val="六纺"/>
      <sheetName val="CON MR2K AL ck"/>
      <sheetName val="Veh Info"/>
      <sheetName val="Currency Codes"/>
      <sheetName val="1. Scoping"/>
      <sheetName val="2. Expectation"/>
      <sheetName val="3. Variance threshold"/>
      <sheetName val="PopCache_Sheet1"/>
      <sheetName val="INPUT rates"/>
      <sheetName val="COMPANY"/>
      <sheetName val="TB Link"/>
      <sheetName val="SCTB"/>
      <sheetName val="#REF!"/>
      <sheetName val="A3-CLA"/>
      <sheetName val="07-6068"/>
      <sheetName val="40-2701"/>
      <sheetName val="营业外收入Dy"/>
      <sheetName val="N63_在其他主体中的权益-子（孙）公司"/>
      <sheetName val="N67_重要联营企业的主要财务信息"/>
      <sheetName val="N72_关联方往来（应收）"/>
      <sheetName val="Curve"/>
      <sheetName val="Calibration to Swaptions"/>
      <sheetName val="Swaption Data"/>
      <sheetName val="使用说明"/>
      <sheetName val="Leadsheet Template"/>
      <sheetName val="Input Sheet"/>
      <sheetName val="Virginia"/>
      <sheetName val="分录取数说明"/>
      <sheetName val="SignificantAcctsTemplate"/>
      <sheetName val="Configure"/>
      <sheetName val="D"/>
      <sheetName val="汇总自动调账龄"/>
      <sheetName val="Sheet8"/>
      <sheetName val="Criteria"/>
      <sheetName val="VA"/>
      <sheetName val="U110"/>
      <sheetName val="其他应收款-合并值"/>
      <sheetName val="USPCL"/>
      <sheetName val="PTC"/>
      <sheetName val="E Lead"/>
      <sheetName val="ARP_U201"/>
      <sheetName val="表头"/>
      <sheetName val="Admin"/>
      <sheetName val="Rate"/>
      <sheetName val="master"/>
      <sheetName val="currency"/>
      <sheetName val="Office Improve"/>
      <sheetName val="Ex Diff"/>
      <sheetName val="ZLR1"/>
      <sheetName val="A300 and U"/>
      <sheetName val="A510 - SAD"/>
      <sheetName val="C - Cash"/>
      <sheetName val="E - AR"/>
      <sheetName val="F - Stock"/>
      <sheetName val="K - FA"/>
      <sheetName val="O - Tax pay"/>
      <sheetName val="P - Other pay"/>
      <sheetName val="U200 - Selling expenses"/>
      <sheetName val="14"/>
      <sheetName val="Detail Loan Move_ _ Listing"/>
      <sheetName val="#511BkRec"/>
      <sheetName val="#511-SEPT97"/>
      <sheetName val="#511-OCT97"/>
      <sheetName val="#511-NOV97"/>
      <sheetName val="#511-DEC97"/>
      <sheetName val="P1"/>
      <sheetName val="11-1"/>
      <sheetName val="For Report"/>
      <sheetName val="I"/>
      <sheetName val="ex-rate"/>
      <sheetName val="POINTAGE (2)"/>
      <sheetName val="索引"/>
      <sheetName val="参数"/>
      <sheetName val="U324-Treaty ceding_船舶险"/>
      <sheetName val="회사정보"/>
      <sheetName val="이자율"/>
      <sheetName val="附表32 - 无形资产明细表"/>
      <sheetName val="GB11"/>
      <sheetName val="M2"/>
      <sheetName val="M2_100_集团外"/>
      <sheetName val="REVALUATION"/>
      <sheetName val="GRUPPO"/>
      <sheetName val="ELEN"/>
      <sheetName val="INTRACHECK"/>
      <sheetName val="XLR_NoRangeSheet"/>
      <sheetName val="附表5-2"/>
      <sheetName val="科目余额表(原稿)"/>
      <sheetName val="adj10#-b"/>
      <sheetName val="基础信息"/>
      <sheetName val="科目余额表"/>
      <sheetName val="IR1598"/>
      <sheetName val="UP1"/>
      <sheetName val="UP3"/>
      <sheetName val="List"/>
      <sheetName val="Staff List"/>
      <sheetName val="壓摸穿燈"/>
      <sheetName val="PSD-BICUTAN"/>
      <sheetName val="当前明细账"/>
      <sheetName val="Breakdown"/>
      <sheetName val="Category"/>
      <sheetName val="263-B2 Business Segment BS 2005"/>
      <sheetName val="Production"/>
      <sheetName val="Daily net avail"/>
      <sheetName val="BRL_package_2020"/>
      <sheetName val="O3"/>
      <sheetName val="Cover sheet"/>
      <sheetName val="P2"/>
      <sheetName val="A_Trial_Balance_mapping"/>
      <sheetName val="年初追溯"/>
      <sheetName val="2020.12.31"/>
      <sheetName val="Technology ID"/>
      <sheetName val="CRA-Detail"/>
      <sheetName val="八、关联方"/>
      <sheetName val="Scoping"/>
      <sheetName val="Loan Movement "/>
      <sheetName val="BS vs Rpt"/>
      <sheetName val="2012 BS with Rpt Jan-Apr"/>
      <sheetName val="Cashflow"/>
      <sheetName val="DIVIDEND LONG"/>
      <sheetName val="2012 IS with Rpt Jan-Apr (2)"/>
      <sheetName val="LdrPkg IS"/>
      <sheetName val="Library Procedures"/>
      <sheetName val="PM"/>
      <sheetName val="201810"/>
      <sheetName val="Adf par resp"/>
      <sheetName val="科目名称库"/>
      <sheetName val="T2S8M"/>
      <sheetName val="2-ReadResv"/>
      <sheetName val="披露表(国资)"/>
      <sheetName val="SW-TEO"/>
      <sheetName val="JUly97"/>
      <sheetName val="SAL-2000"/>
      <sheetName val="Client Data"/>
      <sheetName val="4035.4"/>
      <sheetName val="KSB1"/>
      <sheetName val="Intrep"/>
      <sheetName val="2001预提费用"/>
      <sheetName val="基础资产清单"/>
      <sheetName val="假设和输出"/>
      <sheetName val="IS Summary-96"/>
      <sheetName val="Namelist"/>
      <sheetName val="FF-21(a)"/>
      <sheetName val="FS"/>
      <sheetName val="Nebenrechnungen"/>
      <sheetName val="调16"/>
      <sheetName val="审计调整"/>
      <sheetName val="基础数据"/>
      <sheetName val="Payments"/>
      <sheetName val="DPI"/>
      <sheetName val="分产品销售收入、成本分析表"/>
      <sheetName val="Cles"/>
      <sheetName val="PROD."/>
      <sheetName val="调整说明"/>
      <sheetName val="Lessee Import new lease"/>
      <sheetName val="OP Assets"/>
      <sheetName val="Timed Plan"/>
      <sheetName val="Disclosure Summary"/>
      <sheetName val="Detail Test"/>
      <sheetName val="dklx"/>
      <sheetName val="AR"/>
      <sheetName val="BR"/>
      <sheetName val="CA"/>
      <sheetName val="CO"/>
      <sheetName val="EIU"/>
      <sheetName val="Euro"/>
      <sheetName val="FI"/>
      <sheetName val="LEB"/>
      <sheetName val="MEX"/>
      <sheetName val="S&amp;P"/>
      <sheetName val="UK"/>
      <sheetName val="E1_100ARBreakdown"/>
      <sheetName val="E1_700贷项余额"/>
      <sheetName val="F100_RM"/>
      <sheetName val="F300_FG"/>
      <sheetName val="F200_WIP"/>
      <sheetName val="OT Hours"/>
      <sheetName val="Base Info"/>
      <sheetName val="Graph 1"/>
      <sheetName val="ADDITION"/>
      <sheetName val="医院进销存"/>
      <sheetName val="一周期10片价格"/>
      <sheetName val="一周期6片价格"/>
      <sheetName val="2003年代表医院指标-一周期"/>
      <sheetName val="一周期IND价格"/>
      <sheetName val="Apr07"/>
      <sheetName val="Setup"/>
      <sheetName val="真实性U120C"/>
      <sheetName val="内销收人"/>
      <sheetName val="固定资产卡片"/>
      <sheetName val="txfyb"/>
      <sheetName val="lrjsb"/>
      <sheetName val="zjfyb"/>
      <sheetName val="jcsjb"/>
      <sheetName val="zjsyb"/>
      <sheetName val="cbfyb"/>
      <sheetName val="ldzjb"/>
      <sheetName val="Change Log"/>
      <sheetName val="Ass"/>
      <sheetName val="Sum"/>
      <sheetName val="Depr"/>
      <sheetName val="PCP"/>
      <sheetName val="IS"/>
      <sheetName val="CF"/>
      <sheetName val="Presentation"/>
      <sheetName val="Valuation"/>
      <sheetName val="Cost &amp; Expenses"/>
      <sheetName val="Value"/>
      <sheetName val="Man"/>
      <sheetName val="Working Cap"/>
      <sheetName val="Invest"/>
      <sheetName val="MOTO"/>
      <sheetName val="96BP"/>
      <sheetName val="彩客华煜"/>
      <sheetName val="COSTOMAT.XLS"/>
      <sheetName val="底稿（合并明细数据透视源）"/>
      <sheetName val="底稿（母公司明细数据源）"/>
      <sheetName val="April"/>
      <sheetName val="March"/>
      <sheetName val="feb"/>
      <sheetName val="t105"/>
      <sheetName val="0220"/>
      <sheetName val="Pricing Summary"/>
      <sheetName val="SoD By Account Class"/>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贷款"/>
      <sheetName val="关联交易--资产负债类项目"/>
      <sheetName val="关联交易-表外及其他业务"/>
      <sheetName val="关联交易_存款"/>
      <sheetName val="¹ØÁª½»Ò×-´æ¿î"/>
      <sheetName val="±íÍâÊÂÏî"/>
      <sheetName val="±íÍâÏîÄ¿£­ÒøÐÐ³Ð¶Ò»ãÆ±£¨Íâ±Ò£©"/>
      <sheetName val="±íÍâÏîÄ¿-ÒøÐÐ³Ð¶Ò»ãÆ±£¨ÈËÃñ±Ò£©"/>
      <sheetName val="±íÍâÏîÄ¿-¿ª³ö±£Ö¤Æ¾ÐÅ"/>
      <sheetName val="±íÍâÏîÄ¿-¿ªÀ´±£Ö¤Æ¾ÐÅ"/>
      <sheetName val="±íÍâ--ÐÅÓÃÖ¤ÏîÏÂ³ö¿Ú¿îÏî"/>
      <sheetName val="±íÍâÓ¦ÊÕÀûÏ¢"/>
      <sheetName val="´û¿îÇ°Ê®Ãû"/>
      <sheetName val="ÔÙÌùÏÖ"/>
      <sheetName val="×ªÌùÏÖ"/>
      <sheetName val="ÄÉË°µ÷Õû±í"/>
      <sheetName val="Î´¾öËßËÏÊÂÏî"/>
      <sheetName val="·¿ÎÝ×âÁÞ³ÐÅµ"/>
      <sheetName val="Ó¦¸¶ÀûÏ¢£¨°²ÓÀ£©"/>
      <sheetName val="²ÆÎñ³ÐÅµ£¨°²ÓÀ£©"/>
      <sheetName val="´ôÕÊ×¼±¸(°²ÓÀ£©"/>
      <sheetName val="¹ØÁª½»Ò×-´û¿î"/>
      <sheetName val="¹ØÁª½»Ò×--×Ê²ú¸ºÕ®ÀàÏîÄ¿"/>
      <sheetName val="¹ØÁª½»Ò×-±íÍâ¼°ÆäËûÒµÎñ"/>
      <sheetName val="??ユ-蹿"/>
      <sheetName val="??交易-存款"/>
      <sheetName val="??????¡¤???¡À¨ª"/>
      <sheetName val="设备部房屋"/>
      <sheetName val="A.R 01"/>
      <sheetName val="______¡¤___¡À¨ª"/>
      <sheetName val="ADJ Sum(console)"/>
      <sheetName val="__ユ-蹿"/>
      <sheetName val="__交易-存款"/>
      <sheetName val="Defer tax"/>
      <sheetName val="法士特"/>
      <sheetName val="陕重汽"/>
      <sheetName val="株洲齿轮"/>
      <sheetName val="火炬进出口"/>
      <sheetName val="机械制造"/>
      <sheetName val="火炬房地产"/>
      <sheetName val="火花塞"/>
      <sheetName val="汽车密封"/>
      <sheetName val="汽车灯具"/>
      <sheetName val="汽车电器"/>
      <sheetName val="东风越野"/>
      <sheetName val="富通"/>
      <sheetName val="新疆进出口"/>
      <sheetName val="北京汇科盈"/>
      <sheetName val="上海和达"/>
      <sheetName val="MAT"/>
      <sheetName val="小合并"/>
      <sheetName val="Estimated AP 9.03"/>
      <sheetName val="P201(F)"/>
      <sheetName val="C100-现金"/>
      <sheetName val="资产负债表(1)"/>
      <sheetName val="其他业务收入成本明细表"/>
      <sheetName val="2005.06"/>
      <sheetName val="J200"/>
      <sheetName val="Tables"/>
      <sheetName val="M"/>
      <sheetName val="申报表封面"/>
      <sheetName val="N23-1-预付、其他应收等"/>
      <sheetName val="公司清单"/>
      <sheetName val="关联交易-存款a"/>
      <sheetName val="关联交易-存款%ঀȿঀȿ_x0001_"/>
      <sheetName val="20140331"/>
      <sheetName val="20130331"/>
      <sheetName val="20131231"/>
      <sheetName val="20121231"/>
      <sheetName val="20111231"/>
      <sheetName val="20101231"/>
      <sheetName val="SAD"/>
      <sheetName val="说明1"/>
      <sheetName val="U401"/>
      <sheetName val="U501"/>
      <sheetName val="N29-1-预收款及其他应付款项"/>
      <sheetName val="daywork- Tham khao"/>
      <sheetName val="E201"/>
      <sheetName val="REC 97"/>
      <sheetName val="DataEntry"/>
      <sheetName val="Assets"/>
      <sheetName val="Parameters"/>
      <sheetName val="应付明细表(07年)"/>
      <sheetName val="F100"/>
      <sheetName val="Mar OR"/>
      <sheetName val="truc tiep"/>
      <sheetName val="关联方清单"/>
      <sheetName val="A_R_01"/>
      <sheetName val="Defer_tax"/>
      <sheetName val="ADJ_Sum(console)"/>
      <sheetName val="Estimated_AP_9_03"/>
      <sheetName val="2002年预提费用"/>
      <sheetName val="Consol_OR"/>
      <sheetName val=" U150"/>
      <sheetName val="P.1预收、其他应付、其他流动负债"/>
      <sheetName val="后台"/>
      <sheetName val="G.预付账款、其他应收款、其他流动资产"/>
      <sheetName val="PLJAN"/>
      <sheetName val="关联交易-存款a_x005f_x0000__x005f_x0000__x005f_x0000__x"/>
      <sheetName val="关联交易-存款%ঀȿঀȿ_x005f_x0001_"/>
      <sheetName val="关联交易-存款a_x"/>
      <sheetName val="________-____"/>
      <sheetName val="________"/>
      <sheetName val="______________________________"/>
      <sheetName val="________-______________________"/>
      <sheetName val="________-____________"/>
      <sheetName val="____--__________________"/>
      <sheetName val="____________"/>
      <sheetName val="__________"/>
      <sheetName val="______"/>
      <sheetName val="________________"/>
      <sheetName val="________(______"/>
      <sheetName val="________--______________"/>
      <sheetName val="________-______________"/>
      <sheetName val="????????-????"/>
      <sheetName val="????????"/>
      <sheetName val="??????????????????????????????"/>
      <sheetName val="????????-??????????????????????"/>
      <sheetName val="????????-????????????"/>
      <sheetName val="????--??????????????????"/>
      <sheetName val="????????????"/>
      <sheetName val="??????????"/>
      <sheetName val="??????"/>
      <sheetName val="????????????????"/>
      <sheetName val="????????(??????"/>
      <sheetName val="????????--??????????????"/>
      <sheetName val="????????-??????????????"/>
      <sheetName val="关联交易-存款h_x0001__x0001_"/>
      <sheetName val="关联交易-存款hࢀ ࢀ _x0001_"/>
      <sheetName val="C4_"/>
      <sheetName val="????-??"/>
      <sheetName val="申报表封面Cover"/>
      <sheetName val="2-分类汇总 Classified Summary"/>
      <sheetName val="关联交易-存款h_x005f_x0001__x005f_x0000__x005f_x0001__x"/>
      <sheetName val="关联交易-存款hࢀ ࢀ _x005f_x0001_"/>
      <sheetName val="N21-2-期末存货整车分车型"/>
      <sheetName val="Financ. Overview"/>
      <sheetName val="各年往来 (2)"/>
      <sheetName val="IFRS REPORTING"/>
      <sheetName val="销售收入成本"/>
      <sheetName val="F-5"/>
      <sheetName val="关联交易-存款_x005f_x0000__x005f_x0000__x005f_x0000__x0"/>
      <sheetName val="关联交易-存款h_x0001_"/>
      <sheetName val="ENT"/>
      <sheetName val="FTHL"/>
      <sheetName val="GX"/>
      <sheetName val="IN"/>
      <sheetName val="ITCD"/>
      <sheetName val="LVLT"/>
      <sheetName val="MFNX"/>
      <sheetName val="NOPT"/>
      <sheetName val="TCM"/>
      <sheetName val="TSIX"/>
      <sheetName val="WCG"/>
      <sheetName val="关联交易-存款%ঀȿঀȿ_x005f_x005f_x005f_x0001_"/>
      <sheetName val="A5.Summary"/>
      <sheetName val="项目"/>
      <sheetName val="±íÍâÏîÄ¿£­ÒøÐÐ³Ð6Ò»ãÆ±£¨Íâ±Ò£©"/>
      <sheetName val="±íÍâÏîÄ¿-ÒøÐÐ³Ð¶Ò»ãÆ±#¨ÈËÃñ±Ò£©"/>
      <sheetName val="±íÍâÏîÄ¿-¿ª³ö±£Ö¤Æ¾PÅ"/>
      <sheetName val="´û¿îÇ°J®Ãû"/>
      <sheetName val="×ªÌyÏÖ"/>
      <sheetName val="下拉列表存储页"/>
      <sheetName val="office supplies"/>
      <sheetName val="G&amp;A_Jan"/>
      <sheetName val="2006应付账款"/>
      <sheetName val="关联交易-存款h_x0001__x0001__x"/>
      <sheetName val="关联交易-存款_x0"/>
      <sheetName val="固定资产预测"/>
      <sheetName val="关联交易-存款a_x005f_x005f_x005f_x0000__x005f_x005f_x00"/>
      <sheetName val="土地底稿"/>
      <sheetName val="汇率表"/>
      <sheetName val="link"/>
      <sheetName val="____-__"/>
      <sheetName val="关联交易-存款a_x005f_x005f_x005f_x005f_x005f_x005f_x000"/>
      <sheetName val="关联交易-存款%ঀȿঀȿ_x005f_x005f_x005f_x005f_x005f_x005f_"/>
      <sheetName val="关联交易-存款h_x005f_x005f_x005f_x0001__x005f_x005f_x00"/>
      <sheetName val="关联交易-存款hࢀ ࢀ _x005f_x005f_x005f_x0001_"/>
      <sheetName val="关联交易-存款_x005f_x005f_x005f_x0000__x005f_x005f_x000"/>
      <sheetName val="关联交易-存款h_x005f_x0001_"/>
      <sheetName val="2012"/>
      <sheetName val="15年研发项目定稿"/>
      <sheetName val="S应收票据"/>
      <sheetName val="zero (3)"/>
      <sheetName val="3.2"/>
      <sheetName val="热力系统"/>
      <sheetName val="A3_20141231"/>
      <sheetName val="F101"/>
      <sheetName val="삅ོ䚋栠"/>
      <sheetName val="삅ོ䚋栠Ѫ"/>
      <sheetName val="삅ོ䚋"/>
      <sheetName val="삅ོ䚋栠Ѫࡪ㋨ﯾ_xffff_ﱅ잃蔐緀薼"/>
      <sheetName val="삅ོ䚋栠Ѫࡪ㋨ﯾ_xffff_ﱅ잃蔐緀薼糀"/>
      <sheetName val="삅ོ䚋栠Ѫࡪ㋨ﯾ_xffff_ﱅ"/>
      <sheetName val="삅ོ䚋栠Ѫࡪ㋨ﯾ_xffff_ﱅ잃蔐"/>
      <sheetName val="삅ོ䚋栠Ѫࡪ㋨"/>
      <sheetName val="삅ོ䚋栠Ѫࡪ㋨ﯾ_xffff_ﱅ잃"/>
      <sheetName val="삅ོ䚋栠Ѫࡪ㋨ﯾ_xffff_ﱅ잃蔐緀薼糀謋⁎橓晴￻孟싉_x0004_譕凬䚋茠ﱥ"/>
      <sheetName val="삅ོ䚋栠Ѫࡪ㋨ﯾ_xffff_ﱅ잃蔐緀薼糀謋⁎橓晴￻孟싉_x0004_譕凬䚋茠ﱥ謀"/>
      <sheetName val="삅ོ䚋栠Ѫࡪ㋨ﯾ_xffff_ﱅ잃蔐緀薼糀謋⁎橓晴"/>
      <sheetName val="삅ོ䚋栠Ѫࡪ㋨ﯾ_xffff_ﱅ잃蔐緀薼糀謋⁎橓晴￻孟싉"/>
      <sheetName val="삅ོ䚋栠Ѫࡪ㋨ﯾ_xffff_"/>
      <sheetName val="삅ོ䚋栠Ѫࡪ㋨ﯾ_xffff_ﱅ잃蔐緀薼糀謋⁎橓晴￻孟"/>
      <sheetName val="关联交易-存款lঀ;ঀ;_x0001_"/>
      <sheetName val="关联交易-存款l઀Ƽ઀Ƽ_x0001_"/>
      <sheetName val="A_R_011"/>
      <sheetName val="Defer_tax1"/>
      <sheetName val="ADJ_Sum(console)1"/>
      <sheetName val="Estimated_AP_9_031"/>
      <sheetName val="2005_06"/>
      <sheetName val="关联交易-存款%ঀȿঀȿ"/>
      <sheetName val="Mar_OR"/>
      <sheetName val="关联交易-存款h"/>
      <sheetName val="关联交易-存款hࢀ_ࢀ_"/>
      <sheetName val="REC_97"/>
      <sheetName val="daywork-_Tham_khao"/>
      <sheetName val="TB_Link"/>
      <sheetName val="23"/>
      <sheetName val="Inv_days #5"/>
      <sheetName val="arDB"/>
      <sheetName val="control sheet fund II"/>
      <sheetName val="封面"/>
      <sheetName val="调整分录汇总上年"/>
      <sheetName val="调整分录汇总本年"/>
      <sheetName val="科目名称"/>
      <sheetName val="Exec Summary"/>
      <sheetName val="待摊费用审定表"/>
      <sheetName val="货币资金审定表"/>
      <sheetName val="销售成本审定表"/>
      <sheetName val="销售费用审定表"/>
      <sheetName val="应付帐款"/>
      <sheetName val="选项"/>
      <sheetName val="填列指引"/>
      <sheetName val="Invest "/>
      <sheetName val="关联交易-存款h_x005f_x005f_x005f_x0001_"/>
      <sheetName val="A3 Sum"/>
      <sheetName val="关联交易-存款a_x005f_x0000__x00"/>
      <sheetName val="关联交易-存款h_x005f_x0001__x00"/>
      <sheetName val="关联交易-存款%ঀȿঀȿ_x005f_x005f_"/>
      <sheetName val="关联交易-存款a_x005f_x005f_x000"/>
      <sheetName val="关联交易-存款_x005f_x0000__x000"/>
      <sheetName val="关联方"/>
      <sheetName val="N.应付账款"/>
      <sheetName val="估值折扣率表"/>
      <sheetName val="表头内容"/>
      <sheetName val="CVRs"/>
      <sheetName val="Tier1 Pref SGP"/>
      <sheetName val="Contribution"/>
      <sheetName val="Rev. Losses"/>
      <sheetName val="Repurchase"/>
      <sheetName val="SoP SGP2"/>
      <sheetName val="Europe"/>
      <sheetName val="CVG"/>
      <sheetName val="H"/>
      <sheetName val="Impact"/>
      <sheetName val="Prop R"/>
      <sheetName val="PacMan"/>
      <sheetName val="Tier1 Pref SBP"/>
      <sheetName val="NewBid"/>
      <sheetName val="业招费"/>
      <sheetName val="F2100-半成品"/>
      <sheetName val="F2000-委托加工物资"/>
      <sheetName val="F1000芯片"/>
      <sheetName val="F1100芯片测试费 "/>
      <sheetName val="其他應付款代碼"/>
      <sheetName val="42贴现"/>
      <sheetName val="43贴现融资"/>
      <sheetName val="N19-1-预付、其他应收等"/>
      <sheetName val="按产品收入汇总"/>
      <sheetName val="U40"/>
      <sheetName val="TAB.Daten"/>
      <sheetName val="IR_Deckblatt"/>
      <sheetName val="关联交易-存款h_x005f_x005f_x005f_x005f_x005f_x005f_x000"/>
      <sheetName val="关联交易-存款hࢀ ࢀ _x005f_x005f_x005f_x005f_x005f_x005f_"/>
      <sheetName val="关联交易-存款_x005f_x005f_x005f_x005f_x005f_x005f_x0000"/>
      <sheetName val="关联交易-存款a_x005f_x005f_x005f_x005f_x005f_x005f_x005"/>
      <sheetName val="삅ོ䚋栠Ѫ_x005f_x0000_ࡪ㋨ﯾ_x005f_xffff_ﱅ잃蔐緀薼"/>
      <sheetName val="삅ོ䚋栠Ѫ_x005f_x0000_ࡪ㋨ﯾ_x005f_xffff_ﱅ잃蔐緀薼糀"/>
      <sheetName val="삅ོ䚋栠Ѫ_x005f_x0000_ࡪ㋨ﯾ_x005f_xffff_ﱅ"/>
      <sheetName val="삅ོ䚋栠Ѫ_x005f_x0000_ࡪ㋨ﯾ_x005f_xffff_ﱅ잃蔐"/>
      <sheetName val="삅ོ䚋栠Ѫ_x005f_x0000_ࡪ㋨"/>
      <sheetName val="삅ོ䚋栠Ѫ_x005f_x0000_ࡪ㋨ﯾ_x005f_xffff_ﱅ잃"/>
      <sheetName val="삅ོ䚋栠Ѫ_x005f_x0000_ࡪ㋨ﯾ_x005f_xffff_ﱅ잃蔐緀薼糀謋⁎橓"/>
      <sheetName val="삅ོ䚋栠Ѫ_x005f_x0000_ࡪ㋨ﯾ_x005f_xffff_"/>
      <sheetName val="关联交易-存款lঀ;ঀ;_x005f_x0001_"/>
      <sheetName val="关联交易-存款l઀Ƽ઀Ƽ_x005f_x0001_"/>
      <sheetName val="综合"/>
      <sheetName val="关联交易-存款a_x005f_x005f_x005f_x0000__x00"/>
      <sheetName val="关联交易-存款%ঀȿঀȿ_x005f_x005f_x005f_x005f_"/>
      <sheetName val="关联交易-存款_x005f_x005f_x0000"/>
      <sheetName val="关联交易-存款h_x005f_x005f_x000"/>
      <sheetName val="关联交易-存款hࢀ ࢀ _x005f_x005f_"/>
      <sheetName val="科目源"/>
      <sheetName val="科目"/>
      <sheetName val="9D4FF100"/>
      <sheetName val="2-回收分析"/>
      <sheetName val="控制页"/>
      <sheetName val="科目序列"/>
      <sheetName val="Income Statement breakdown"/>
      <sheetName val="资料情况统计表"/>
      <sheetName val="PG-Y-4(3)摊销测算表"/>
      <sheetName val="专项应付款2"/>
      <sheetName val="销售6.13"/>
      <sheetName val="truc_tiep"/>
      <sheetName val="P_1预收、其他应付、其他流动负债"/>
      <sheetName val="_U150"/>
      <sheetName val="G_预付账款、其他应收款、其他流动资产"/>
      <sheetName val="2-分类汇总_Classified_Summary"/>
      <sheetName val="cashflow-commercial"/>
      <sheetName val="Beta计算表"/>
      <sheetName val="基本信息输入表"/>
      <sheetName val="表3-股东权益计算表(此表不用填写)"/>
      <sheetName val="关联交易-存款?滨㠼"/>
      <sheetName val="关联交易-存款?"/>
      <sheetName val="关联交易-存款茀戫"/>
      <sheetName val="关联交易-存款?滨?_x001a_ "/>
      <sheetName val="12月发往外库产品明细表"/>
      <sheetName val="链接勿动"/>
      <sheetName val="STOCKGRGIDATA"/>
      <sheetName val="HP"/>
      <sheetName val="FA1"/>
      <sheetName val="SCHE-F"/>
      <sheetName val="II- Liability Component June 04"/>
      <sheetName val="I-Conclusion "/>
      <sheetName val="II- Liab. comp_IAS"/>
      <sheetName val="Conversion feature"/>
      <sheetName val="I- Summary"/>
      <sheetName val="Cashflow(Scenario)"/>
      <sheetName val="Sch PR-2"/>
      <sheetName val="Sch PR-3"/>
      <sheetName val="Consol BS"/>
      <sheetName val="HO &amp; Aust BS"/>
      <sheetName val="胡匀匀"/>
      <sheetName val="JAC11.30"/>
      <sheetName val="Part_Datum"/>
      <sheetName val="5a"/>
      <sheetName val="6a"/>
      <sheetName val="4cI"/>
      <sheetName val="关联交易-存款a_x00"/>
      <sheetName val="关联交易-存款%ঀȿঀȿ_"/>
      <sheetName val="关联交易-存款?滨?_x001a_ "/>
      <sheetName val="401-Mobo收入汇总"/>
      <sheetName val="QTR Data Analysis"/>
      <sheetName val="TIGROUP(LIT)"/>
      <sheetName val="BBEURO"/>
      <sheetName val="TIWIRE(LIT)"/>
      <sheetName val="code"/>
      <sheetName val="Open"/>
      <sheetName val="按客户"/>
      <sheetName val="个人欠款账龄分析表"/>
      <sheetName val="12进销存"/>
      <sheetName val="利息7月-8月"/>
      <sheetName val="首先输入"/>
      <sheetName val="关联交易-存款h_x0001__x00"/>
      <sheetName val="关联交易-存款_x000"/>
      <sheetName val="关联交易-存款"/>
      <sheetName val="关联交易-存款a_x000"/>
      <sheetName val="关联交易-存款h_x005f_x005f_x005f_x0001__x00"/>
      <sheetName val="关联交易-存款a_x005f_x005f_x005f_x005f_x000"/>
      <sheetName val="关联交易-存款_x005f_x005f_x005f_x0000__x000"/>
      <sheetName val="关联交易-存款a_x005f_x005f_x005"/>
      <sheetName val="삅ོ䚋栠Ѫࡪ㋨ﯾ_xffff_ﱅ잃蔐緀薼糀謋⁎橓"/>
      <sheetName val="关联交易-存款_x0000"/>
      <sheetName val="关联交易-存款h_x000"/>
      <sheetName val="关联交易-存款hࢀ ࢀ _"/>
      <sheetName val="A_R_012"/>
      <sheetName val="ADJ_Sum(console)2"/>
      <sheetName val="Defer_tax2"/>
      <sheetName val="Estimated_AP_9_032"/>
      <sheetName val="2005_061"/>
      <sheetName val="REC_971"/>
      <sheetName val="Mar_OR1"/>
      <sheetName val="daywork-_Tham_khao1"/>
      <sheetName val="Financ__Overview"/>
      <sheetName val="各年往来_(2)"/>
      <sheetName val="IFRS_REPORTING"/>
      <sheetName val="TB_Link1"/>
      <sheetName val="office_supplies"/>
      <sheetName val="关联交易-存款hࢀ_ࢀ__x005f_x0001_"/>
      <sheetName val="关联交易-存款hࢀ_ࢀ__x005f_x005f_x005f_x0001_"/>
      <sheetName val="zero_(3)"/>
      <sheetName val="A3_Sum"/>
      <sheetName val="关联交易-存款h_x"/>
      <sheetName val="A5_Summary"/>
      <sheetName val="삅ོ䚋栠Ѫࡪ㋨ﯾﱅ잃蔐緀薼糀謋⁎橓晴￻孟싉譕凬䚋茠ﱥ"/>
      <sheetName val="삅ོ䚋栠Ѫࡪ㋨ﯾﱅ잃蔐緀薼糀謋⁎橓晴￻孟싉譕凬䚋茠ﱥ謀"/>
      <sheetName val="关联交易-存款lঀ;ঀ;"/>
      <sheetName val="关联交易-存款l઀Ƽ઀Ƽ"/>
      <sheetName val="Invest_"/>
      <sheetName val="3_2"/>
      <sheetName val="Inv_days_#5"/>
      <sheetName val="control_sheet_fund_II"/>
      <sheetName val="Exec_Summary"/>
      <sheetName val="F1100芯片测试费_"/>
      <sheetName val="关联交易-存款?滨? "/>
      <sheetName val="内部交易抵销"/>
      <sheetName val="短期投资股票投资.dbf"/>
      <sheetName val="短期投资国债投资.dbf"/>
      <sheetName val="股票投资收益.dbf"/>
      <sheetName val="其他货币海通.dbf"/>
      <sheetName val="其他货币零领路.dbf"/>
      <sheetName val="投资收益债券.dbf"/>
      <sheetName val="收入"/>
      <sheetName val="说明"/>
      <sheetName val="CQFMA"/>
      <sheetName val="辅助信息"/>
      <sheetName val="List数据"/>
      <sheetName val="账面外销"/>
      <sheetName val="qad TB"/>
      <sheetName val="收入明细－按客户"/>
      <sheetName val="月份"/>
      <sheetName val="PV6 3.5L LX5 GMX170"/>
      <sheetName val="12"/>
      <sheetName val="蒸汽冷凝水回收"/>
      <sheetName val="Factors"/>
      <sheetName val="Company Information"/>
      <sheetName val="lookup"/>
      <sheetName val="param"/>
      <sheetName val="Traduction"/>
      <sheetName val="O"/>
      <sheetName val="6118"/>
      <sheetName val="OR"/>
      <sheetName val="P&amp;L adhoc"/>
      <sheetName val="Suppl Adhoc Inv (F)"/>
      <sheetName val="Suppl Adhoc Pers"/>
      <sheetName val="关联交易-存款h_x0001_?_x0001_??"/>
      <sheetName val="关联交易-存款a???_x"/>
      <sheetName val="关联交易-存款h_x0001___x0001___"/>
      <sheetName val="关联交易-存款a____x"/>
      <sheetName val="REPORT"/>
      <sheetName val="UFPrn20130826085456"/>
      <sheetName val="UFPrn20130826085545"/>
      <sheetName val="关联交易-存款h_x005f_x005f_x005"/>
      <sheetName val="关联交易-存款_x005f_x005f_x005f"/>
      <sheetName val="삅ོ䚋栠Ѫ_x005f_x0000_ࡪ㋨ﯾ_xff"/>
      <sheetName val="TreeViewRécursif"/>
      <sheetName val="schedule"/>
      <sheetName val="ACTINV"/>
      <sheetName val="经济评价"/>
      <sheetName val="损益表"/>
      <sheetName val="Hyperion Link"/>
      <sheetName val="旷视"/>
      <sheetName val="_04009"/>
      <sheetName val="_0401"/>
      <sheetName val="UFPrn20040930171821"/>
      <sheetName val="A430"/>
      <sheetName val="A子公司"/>
      <sheetName val="note(1)"/>
      <sheetName val="承诺项目说明"/>
      <sheetName val="链接勿删"/>
      <sheetName val="原因汇总"/>
      <sheetName val="Romford Market"/>
      <sheetName val="Group"/>
      <sheetName val="关联交易-存款_"/>
      <sheetName val="关联交易-存款a_x005"/>
      <sheetName val="_701"/>
      <sheetName val="_702"/>
      <sheetName val="_703"/>
      <sheetName val="_704"/>
      <sheetName val="_705"/>
      <sheetName val="_712"/>
      <sheetName val="延期开票"/>
      <sheetName val="12月份产成品入库"/>
      <sheetName val="QT07"/>
      <sheetName val="QT全年收发存"/>
      <sheetName val="208"/>
      <sheetName val="12月份原材料出库"/>
      <sheetName val="11月产成品入库"/>
      <sheetName val="QT01"/>
      <sheetName val="QT02"/>
      <sheetName val="209"/>
      <sheetName val="206"/>
      <sheetName val="207"/>
      <sheetName val="203"/>
      <sheetName val="212"/>
      <sheetName val="211"/>
      <sheetName val="210"/>
      <sheetName val="204"/>
      <sheetName val="205"/>
      <sheetName val="201"/>
      <sheetName val="SY表35-1第二次筛选表"/>
      <sheetName val="表头信息"/>
      <sheetName val="PPD Schedule"/>
      <sheetName val="dxnsjtempsheet"/>
      <sheetName val="F"/>
      <sheetName val="审定表"/>
      <sheetName val="合并抵消"/>
      <sheetName val="材料采购－原材料（购价）"/>
      <sheetName val="UFPrn20070303114642"/>
      <sheetName val="J301"/>
      <sheetName val="Tickmarks"/>
      <sheetName val="Aging"/>
      <sheetName val="2004"/>
      <sheetName val="U200"/>
      <sheetName val="披露表（上市）"/>
      <sheetName val="员工工资"/>
      <sheetName val="{lookup}"/>
      <sheetName val="VAR"/>
      <sheetName val="设置"/>
      <sheetName val="清单12.31"/>
      <sheetName val="入库分类"/>
      <sheetName val="Economic evaluation - FY98 base"/>
      <sheetName val="控制测试样本量"/>
      <sheetName val="折旧计算表"/>
      <sheetName val="折旧年限测算表"/>
      <sheetName val="1"/>
      <sheetName val="表4_13_1无形资产—土地使用权"/>
      <sheetName val="QAD-面套库存"/>
      <sheetName val="2.5上年现金试算"/>
      <sheetName val="CRITERIA1"/>
      <sheetName val="CRITERIA2"/>
      <sheetName val="1461（12.6）"/>
      <sheetName val="ZA5"/>
      <sheetName val="FJ1"/>
      <sheetName val="ZH2"/>
      <sheetName val="FJ2"/>
      <sheetName val="ZX1"/>
      <sheetName val="ZX2"/>
      <sheetName val="高嘉大厦2-5"/>
      <sheetName val="8042"/>
      <sheetName val="基本信息"/>
      <sheetName val="All Cash Dil"/>
      <sheetName val="关联交易-存款_x005f_x005f_x005f_x005f_x005f_x005f_x005f"/>
      <sheetName val="关联交易-存款h_x005f_x005f_x005f_x005f_x005f_x005f_x005"/>
      <sheetName val="关联交易-存款_x005f_x005f_x005f_x005f_x0000"/>
      <sheetName val="关联交易-存款h_x005f_x005f_x005f_x005f_x000"/>
      <sheetName val="关联交易-存款hࢀ ࢀ _x005f_x005f_x005f_x005f_"/>
      <sheetName val="삅ོ䚋栠Ѫ_x005f_x005f_x005f_x0000_ࡪ㋨ﯾ_x005f_x005f_xff"/>
      <sheetName val="삅ོ䚋栠Ѫ_x005f_x005f_x005f_x0000_ࡪ㋨"/>
      <sheetName val="关联交易-存款lঀ;ঀ;_x005f_x005f_x005f_x0001_"/>
      <sheetName val="关联交易-存款l઀Ƽ઀Ƽ_x005f_x005f_x005f_x0001_"/>
      <sheetName val="Bank card list"/>
      <sheetName val=""/>
      <sheetName val="PRC GAAP"/>
      <sheetName val="PROCESS"/>
      <sheetName val="分类请勿修改"/>
      <sheetName val="（一）货币资金"/>
      <sheetName val="ref"/>
      <sheetName val="Con"/>
      <sheetName val="Refer"/>
      <sheetName val="Orders"/>
      <sheetName val="Price List"/>
      <sheetName val="データ"/>
      <sheetName val="Sheet7"/>
      <sheetName val="1- Input &amp; Info"/>
      <sheetName val="CUSTOMER (DETAIL)"/>
      <sheetName val="Rejects PPM"/>
      <sheetName val="Roadmap"/>
      <sheetName val="QOS RPPM"/>
      <sheetName val="Standort (DE)"/>
      <sheetName val="Laendercodes"/>
      <sheetName val="LISTS"/>
      <sheetName val="Act Vol"/>
      <sheetName val="Validations"/>
      <sheetName val="累计销售"/>
      <sheetName val="Disposition"/>
      <sheetName val="_200209"/>
      <sheetName val="Contacts"/>
      <sheetName val="出库"/>
      <sheetName val="入库"/>
      <sheetName val="2002P-BU"/>
      <sheetName val="P&amp;L(S1)"/>
      <sheetName val="Payed bonuses"/>
      <sheetName val="Help"/>
      <sheetName val="PXMODEL"/>
      <sheetName val="AVP"/>
      <sheetName val="Output2"/>
      <sheetName val="Module6"/>
      <sheetName val="Output &amp; Financial Statements"/>
      <sheetName val="DCF"/>
      <sheetName val="MainPrintCode"/>
      <sheetName val="Old TWX Quorfa"/>
      <sheetName val="TWX Model"/>
      <sheetName val="FS Output 4"/>
      <sheetName val="FS Output 1"/>
      <sheetName val="FS Output 3"/>
      <sheetName val="FS Output2"/>
      <sheetName val="Deal Structure &amp; Control Page"/>
      <sheetName val="Historic Comps"/>
      <sheetName val="Synergies"/>
      <sheetName val="广告费和业务宣传费表"/>
      <sheetName val="资产减值准备表"/>
      <sheetName val="工资薪金表"/>
      <sheetName val="公允价值计量资产纳税调整表"/>
      <sheetName val="附件(excel）"/>
      <sheetName val="业务招待费表"/>
      <sheetName val="6-历史收入趋势-LTM"/>
      <sheetName val="삅ོ䚋栠Ѫ_x005f_x005f_x005f_x005f_x005f_x005f_x005f_x0000_ࡪ"/>
      <sheetName val="Properties"/>
      <sheetName val="PBC-&gt;"/>
      <sheetName val="1.0"/>
      <sheetName val="AR Drop Downs"/>
      <sheetName val="DropDown"/>
      <sheetName val="本年店铺级表"/>
      <sheetName val="ROIC分析"/>
      <sheetName val="FY02"/>
      <sheetName val="Print"/>
      <sheetName val="关联交易-存款_滨㠼"/>
      <sheetName val="关联交易-存款__x"/>
      <sheetName val="关联交易-存款_滨_"/>
      <sheetName val="美日管理费用6"/>
      <sheetName val="关联交易-存款2016"/>
      <sheetName val="关联交易-存款02016"/>
      <sheetName val="关联交易-存款l2016"/>
      <sheetName val="Base Data"/>
      <sheetName val="Title"/>
      <sheetName val="___耀____--______________"/>
      <sheetName val="关联交易-存款0"/>
      <sheetName val="关联交易-存款l"/>
      <sheetName val="20071-10月原材料发出计价测试(不打)"/>
      <sheetName val="投资收益Dy"/>
      <sheetName val="投资收益Mx"/>
      <sheetName val="200712"/>
      <sheetName val="自制半成品1-12计价测试"/>
      <sheetName val="产成品收发存余额表1-12"/>
      <sheetName val="A300-2014-futrue"/>
      <sheetName val="短期借款"/>
      <sheetName val="分类表"/>
      <sheetName val="A300-2014-futrue_IFRS"/>
      <sheetName val="A1-IFRS报表"/>
      <sheetName val="数据有效性来源"/>
      <sheetName val="Antivol D2"/>
      <sheetName val="623"/>
      <sheetName val="799"/>
      <sheetName val="product"/>
      <sheetName val="664"/>
      <sheetName val="663"/>
      <sheetName val="2550"/>
      <sheetName val="2552"/>
      <sheetName val="_2562"/>
      <sheetName val="_2565"/>
      <sheetName val="O201"/>
      <sheetName val="关联交易-存款hࢀ_ࢀ__x0001_"/>
      <sheetName val="CTSA2002"/>
      <sheetName val="SD-Report 5&quot;"/>
      <sheetName val="FF-3"/>
      <sheetName val="填表说明"/>
      <sheetName val="索引（补充）"/>
      <sheetName val="申报表封面（此表不填，填索引）"/>
      <sheetName val="填表注意事项（先看）"/>
      <sheetName val="链接表（勿动） 元)"/>
      <sheetName val="链接表（勿动）"/>
      <sheetName val="流动资产链接表"/>
      <sheetName val="存货链接表"/>
      <sheetName val="链接表"/>
      <sheetName val="企业基本情况"/>
      <sheetName val="两次基准日的对比 (0531与0831)"/>
      <sheetName val="两次基准日的对比"/>
      <sheetName val="长期股权投资表"/>
      <sheetName val="收益法汇总表"/>
      <sheetName val="链接表（勿动） (元表)"/>
      <sheetName val="链接表万元（勿动）"/>
      <sheetName val="流动资产链接表（勿动）"/>
      <sheetName val="贵阳精铸表格填报问题"/>
      <sheetName val="1-汇总表"/>
      <sheetName val="2-分类汇总"/>
      <sheetName val="3-流动汇总"/>
      <sheetName val="3-1货币汇总表"/>
      <sheetName val="3-1-2银行存款"/>
      <sheetName val="3-1-3其他货币资金"/>
      <sheetName val="3-2交易性金融资产汇总"/>
      <sheetName val="3-2-1交易性-股票"/>
      <sheetName val="3-2-2交易性-债券"/>
      <sheetName val="3-2-3交易性-基金"/>
      <sheetName val="3-4应收账款"/>
      <sheetName val="3-5预付账款"/>
      <sheetName val="3-7应收股利"/>
      <sheetName val="3-8其他应收款"/>
      <sheetName val="3-9存货汇总"/>
      <sheetName val="3-9-1材料采购（在途物资）"/>
      <sheetName val="3-9-3在库周转材料"/>
      <sheetName val="3-9-4委托加工物资"/>
      <sheetName val="3-9-2原材料"/>
      <sheetName val="3-9-5-1产成品（库存商品）"/>
      <sheetName val="3-9-5-2产成品(开发产品)"/>
      <sheetName val="3-9-5-3产成品(出租开发产品)"/>
      <sheetName val="3-9-6-1在产品（自制半成品）"/>
      <sheetName val="报废工装模具"/>
      <sheetName val="3-9-8在用周转材料（工装模具）"/>
      <sheetName val="3-9-8在用周转材料（工装模具1）"/>
      <sheetName val="3-9-6-2在产品(开发成本)"/>
      <sheetName val="3-9-7发出商品"/>
      <sheetName val="3-9-8在用周转材料"/>
      <sheetName val="3-9-9未结算工程"/>
      <sheetName val="3-10一年到期非流动资产"/>
      <sheetName val="3-11其他流动资产"/>
      <sheetName val="4-非流动资产汇总"/>
      <sheetName val="4-1可供出售金融资产汇总"/>
      <sheetName val="4-1-2可出售-债券"/>
      <sheetName val="4-1-1可出售-股票"/>
      <sheetName val="4-1-3可出售-其他"/>
      <sheetName val="4-2持有到期投资"/>
      <sheetName val="4-3长期应收"/>
      <sheetName val="页面设置"/>
      <sheetName val="4-4长期股权投资"/>
      <sheetName val="4-5投资性房地产汇总表"/>
      <sheetName val="4-5-1投资性房地产"/>
      <sheetName val="4-5-2投资性房地产"/>
      <sheetName val="4-5-3投资性地产"/>
      <sheetName val="4-5-4投资性地产"/>
      <sheetName val="4-6固定资产汇总"/>
      <sheetName val="固定资产闲置报废及产权情况统计（不填）"/>
      <sheetName val="4-6-1房屋建筑物"/>
      <sheetName val="4-6-2构筑物"/>
      <sheetName val="4-6-3管道沟槽"/>
      <sheetName val="报废资产清单"/>
      <sheetName val="原购置设备"/>
      <sheetName val="4-6-4机器设备"/>
      <sheetName val="废钢价格"/>
      <sheetName val="4-6-5车辆"/>
      <sheetName val="4-6-6电子设备"/>
      <sheetName val="4-6-7土地"/>
      <sheetName val="4-7在建工程汇总"/>
      <sheetName val="4-7-1在建（土建）"/>
      <sheetName val="4-7-2在建（设备）"/>
      <sheetName val="4-8工程物资"/>
      <sheetName val="4-9固定资产清理"/>
      <sheetName val="4-10生产性生物资产"/>
      <sheetName val="4-11油气资产"/>
      <sheetName val="4-12无形资产汇总"/>
      <sheetName val="4-12-1无形-土地"/>
      <sheetName val="4-12-2无形-矿业权"/>
      <sheetName val="4-12-3无形-其他"/>
      <sheetName val="4-12-4无形-技术、商标、著作权等"/>
      <sheetName val="4-13开发支出"/>
      <sheetName val="4-14商誉"/>
      <sheetName val="4-15长期待摊费用"/>
      <sheetName val="4-16递延所得税资产"/>
      <sheetName val="4-17其他非流动资产"/>
      <sheetName val="5-流动负债汇总"/>
      <sheetName val="流动负债链接表（不填勿动）"/>
      <sheetName val="5-1短期借款"/>
      <sheetName val="5-2交易性金融负债"/>
      <sheetName val="5-3应付票据"/>
      <sheetName val="5-4应付账款"/>
      <sheetName val="5-5预收账款"/>
      <sheetName val="5-6职工薪酬"/>
      <sheetName val="5-7应交税费"/>
      <sheetName val="5-8应付利息"/>
      <sheetName val="5-9应付股利（利润）"/>
      <sheetName val="5-10其他应付款"/>
      <sheetName val="5-11一年到期非流动负债"/>
      <sheetName val="5-12其他流动负债"/>
      <sheetName val="6-非流动负债汇总"/>
      <sheetName val="6-1长期借款"/>
      <sheetName val="6-2应付债券"/>
      <sheetName val="6-3长期应付款"/>
      <sheetName val="非流动负债链接表（不填勿动）"/>
      <sheetName val="6-4专项应付款"/>
      <sheetName val="6-5预计负债"/>
      <sheetName val="6-6递延所得税负债"/>
      <sheetName val="6-7其他非流动负债"/>
      <sheetName val="或有事项声明书"/>
      <sheetName val="期后事项声明书"/>
      <sheetName val="关联交易-存款a_x005f_x005f_x005f_x005f_x005"/>
      <sheetName val="关联交易-存款h_x005"/>
      <sheetName val="关联交易-存款_x005f"/>
      <sheetName val="期末库存"/>
      <sheetName val="36"/>
      <sheetName val="Instructions"/>
      <sheetName val="Quantity"/>
      <sheetName val="关联交易-存款__x005f_x0000__x005f_x0000_滨㠼_x005f_x0000_"/>
      <sheetName val="关联交易-存款__x005f_x0000__x005f_x0000__x005f_x0000__x"/>
      <sheetName val="关联交易-存款_x005f_x0000__x005f_x0000_茀戫_x005f_x0000_"/>
      <sheetName val="关联交易-存款__x005f_x0000__x005f_x0000_滨__x005f_x0000_"/>
      <sheetName val="上年试算表(利)"/>
      <sheetName val="本年试算表(利)"/>
      <sheetName val="本年试算表(资)"/>
      <sheetName val="Consumer"/>
      <sheetName val="CY sales report"/>
      <sheetName val="毛利率分析表"/>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0101主料"/>
      <sheetName val="0102中草药"/>
      <sheetName val="0104燃料"/>
      <sheetName val="0106备品备件"/>
      <sheetName val="0109辅料"/>
      <sheetName val="0110化剂"/>
      <sheetName val="0112气体"/>
      <sheetName val="0206标签"/>
      <sheetName val="0207纸箱纸盒"/>
      <sheetName val="0208瓶类"/>
      <sheetName val="0302办公用品"/>
      <sheetName val="0303工具"/>
      <sheetName val="0304玻璃仪器"/>
      <sheetName val="0399其他材料"/>
      <sheetName val="05自制半成品"/>
      <sheetName val="SENSITIVITY"/>
      <sheetName val="审计调整分录"/>
      <sheetName val="DWMC"/>
      <sheetName val="营业收入和税金及附加估算表"/>
      <sheetName val="addl cost"/>
      <sheetName val="detail"/>
      <sheetName val="综合成本分析01.01-0205"/>
      <sheetName val="短期借款汇总表"/>
      <sheetName val="长期借款汇总表"/>
      <sheetName val="全仕向地"/>
      <sheetName val="CHART_E"/>
      <sheetName val="开发成本2002 - Movement"/>
      <sheetName val="Questions"/>
      <sheetName val="fORMULAE"/>
      <sheetName val="短期投资"/>
      <sheetName val="643"/>
      <sheetName val="665"/>
      <sheetName val="666"/>
      <sheetName val="667"/>
      <sheetName val="Table 13.1 - 3"/>
      <sheetName val="DCCB"/>
      <sheetName val="附注"/>
      <sheetName val="ACC.NAME"/>
      <sheetName val="Variables"/>
      <sheetName val="6118-17"/>
      <sheetName val="U900"/>
      <sheetName val="1060"/>
      <sheetName val="Customer Name"/>
      <sheetName val="整体计划"/>
      <sheetName val="主要会计政策"/>
      <sheetName val="基本情况"/>
      <sheetName val="SAP"/>
      <sheetName val="510"/>
      <sheetName val="677"/>
      <sheetName val="细节测试审计抽样"/>
      <sheetName val="索引表"/>
      <sheetName val="Page-Acquisitions"/>
      <sheetName val="품목코드"/>
      <sheetName val="CalcOutPut"/>
      <sheetName val="외화"/>
      <sheetName val="자금동향"/>
      <sheetName val="关联交易-存款h_x005f_x0001___x005f_x0001___"/>
      <sheetName val="BS1"/>
      <sheetName val="BS2"/>
      <sheetName val="固定资产明细表"/>
      <sheetName val="总目录"/>
      <sheetName val="关联交易-存款h_x005f_x005f_x005f_x0001___x005f_x005f_x0"/>
      <sheetName val="输入上年调整分录"/>
      <sheetName val="599"/>
      <sheetName val="Assumptions"/>
      <sheetName val="507"/>
      <sheetName val="汇总表"/>
      <sheetName val="C-1 总表"/>
      <sheetName val="4.1-合同台帐"/>
      <sheetName val="sch9-1-1"/>
      <sheetName val="Income Statement and KPIs"/>
      <sheetName val="Financials"/>
      <sheetName val="收入明细"/>
      <sheetName val="内贸合同总价表"/>
      <sheetName val="玛赛软件合同总价表"/>
      <sheetName val="内贸采购合同总价表"/>
      <sheetName val="CAPEX(M)"/>
      <sheetName val="数据定义1"/>
      <sheetName val="index cc"/>
      <sheetName val="采购计划信息"/>
      <sheetName val="抵消科目"/>
      <sheetName val="使用说明2-明细及范例"/>
      <sheetName val="B1-1"/>
      <sheetName val="Lib"/>
      <sheetName val="Lead&amp;Breakdown"/>
      <sheetName val="1.5 合同、非合同台帐"/>
      <sheetName val="汇率"/>
      <sheetName val="代码"/>
      <sheetName val="costcent-accoun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01"/>
      <sheetName val="C_311"/>
      <sheetName val="C_313"/>
      <sheetName val="C_318"/>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DLCD"/>
      <sheetName val="Non-Statistical Sampling Master"/>
      <sheetName val="Global Data"/>
      <sheetName val="交行定期存款户"/>
      <sheetName val="4.1拆出资金"/>
      <sheetName val="BE"/>
      <sheetName val="CH"/>
      <sheetName val="RU"/>
      <sheetName val="进口设备FOB总价表"/>
      <sheetName val="采购周期"/>
      <sheetName val="ENG_Cons"/>
      <sheetName val="NAO"/>
      <sheetName val="PAO_Cons"/>
      <sheetName val="WHQ_Cons"/>
      <sheetName val="Rev"/>
      <sheetName val="aging 0612"/>
      <sheetName val="cust"/>
      <sheetName val="NA QTR PROD"/>
      <sheetName val="Official Lehman PROD Sched"/>
      <sheetName val="快智"/>
      <sheetName val="快迪"/>
      <sheetName val="Income statement"/>
      <sheetName val="预收预付OROP"/>
      <sheetName val="AIS"/>
      <sheetName val="acc list"/>
      <sheetName val="在建工程 final"/>
      <sheetName val="Volatility"/>
      <sheetName val="Y2研发项目表"/>
      <sheetName val="ZP4"/>
      <sheetName val="zp5_kw38"/>
      <sheetName val="ZP7 gespritzt"/>
      <sheetName val="HEADER"/>
      <sheetName val="底稿0000"/>
      <sheetName val="货币兑换汇率"/>
      <sheetName val="PLAC"/>
      <sheetName val="chen"/>
      <sheetName val="Covering"/>
      <sheetName val="E1"/>
      <sheetName val="名称"/>
      <sheetName val="初表"/>
      <sheetName val="TB2005"/>
      <sheetName val="4-6生产"/>
      <sheetName val="4-6生产入库"/>
      <sheetName val="4-6销售出库"/>
      <sheetName val="7-9销售出库"/>
      <sheetName val="7-9生产零用"/>
      <sheetName val="7-9生产入库"/>
      <sheetName val="501"/>
      <sheetName val="713"/>
      <sheetName val="715"/>
      <sheetName val="752"/>
      <sheetName val="Safari09"/>
      <sheetName val="Cover_封面"/>
      <sheetName val="VIPS_Annotation_Sheet"/>
      <sheetName val="VIPS_Exchange_Sheet"/>
      <sheetName val="VIPS_Live_Sheet"/>
      <sheetName val="VS Consensus"/>
      <sheetName val="VIPS_Validation_Sheet"/>
      <sheetName val="CJE_energy inv"/>
      <sheetName val="YTD SALES"/>
      <sheetName val="639"/>
      <sheetName val="진행 DATA (2)"/>
      <sheetName val="02年1-2月营业费用部门明细"/>
      <sheetName val="22861"/>
      <sheetName val="Acq Assumptions I"/>
      <sheetName val="Acq Assumptions II"/>
      <sheetName val="Acq Assumptions III"/>
      <sheetName val="Consolidation"/>
      <sheetName val="国别报告数据填报模板(Information Request)"/>
      <sheetName val="关联交易-存款_滨_ "/>
      <sheetName val="明细分类账"/>
      <sheetName val="企业集团的构成"/>
      <sheetName val="电子库龄"/>
      <sheetName val="MSIGet_Flags"/>
      <sheetName val="Salses breakdown"/>
      <sheetName val="삅ོ䚋栠Ѫ_x005f_x0000_ࡪ"/>
      <sheetName val="삅ོ䚋栠Ѫ_x005f_x005f_x005f_x0000_ࡪ"/>
      <sheetName val="삅ོ䚋栠Ѫࡪ㋨ﯾ_xff"/>
      <sheetName val="546"/>
      <sheetName val="Erg_rechnung"/>
      <sheetName val="_2590"/>
      <sheetName val="_2642"/>
      <sheetName val="_2647"/>
      <sheetName val="Service Parts Rejects (RPPM)"/>
      <sheetName val="零星(秋董)"/>
      <sheetName val="零星(X月度跟踪)"/>
      <sheetName val="Carole Worksheet Table"/>
      <sheetName val="销售人效 - Overview"/>
      <sheetName val="AV"/>
      <sheetName val="Storage"/>
      <sheetName val="RelR"/>
      <sheetName val="Factset"/>
      <sheetName val="Two Step Revenue Testing Master"/>
      <sheetName val="Share Prices"/>
      <sheetName val="geog"/>
      <sheetName val="data餐饮-FOOD"/>
      <sheetName val="Hist_BS"/>
      <sheetName val="职位序列JFJG"/>
      <sheetName val="TPU配比口径"/>
      <sheetName val="资本公积审定表"/>
      <sheetName val="Book 1 Summary"/>
      <sheetName val="Menu"/>
      <sheetName val="truc_tiep1"/>
      <sheetName val="P_1预收、其他应付、其他流动负债1"/>
      <sheetName val="G_预付账款、其他应收款、其他流动资产1"/>
      <sheetName val="_U1501"/>
      <sheetName val="2-分类汇总_Classified_Summary1"/>
      <sheetName val="N_应付账款"/>
      <sheetName val="Raw_materials"/>
      <sheetName val="II-_Liability_Component_June_04"/>
      <sheetName val="I-Conclusion_"/>
      <sheetName val="II-_Liab__comp_IAS"/>
      <sheetName val="Conversion_feature"/>
      <sheetName val="I-_Summary"/>
      <sheetName val="Ex_Diff"/>
      <sheetName val="关联交易-存款hࢀ_ࢀ__x005f_x005f_x005f_x005f_x005f_x005f_"/>
      <sheetName val="TAB_Daten"/>
      <sheetName val="Sch_PR-2"/>
      <sheetName val="Sch_PR-3"/>
      <sheetName val="Consol_BS"/>
      <sheetName val="HO_&amp;_Aust_BS"/>
      <sheetName val="JAC11_30"/>
      <sheetName val="Tier1_Pref_SGP"/>
      <sheetName val="Rev__Losses"/>
      <sheetName val="SoP_SGP2"/>
      <sheetName val="Prop_R"/>
      <sheetName val="Tier1_Pref_SBP"/>
      <sheetName val="关联交易-存款hࢀ_ࢀ__x005f_x005f_"/>
      <sheetName val="qad_TB"/>
      <sheetName val="Income_Statement_breakdown"/>
      <sheetName val="销售6_13"/>
      <sheetName val="关联交易-存款?滨?_"/>
      <sheetName val="FDREPORT"/>
      <sheetName val="668"/>
      <sheetName val="669"/>
      <sheetName val="694"/>
      <sheetName val="N201"/>
      <sheetName val="Cash_Flow"/>
      <sheetName val="Income"/>
      <sheetName val="F40-Goodsin transit"/>
      <sheetName val="市場"/>
      <sheetName val="机房归属区域"/>
      <sheetName val="应收票据检查表"/>
      <sheetName val="J1_101_重分类明细"/>
      <sheetName val="N719(NC)"/>
      <sheetName val="H101(OK)"/>
      <sheetName val="_8004"/>
      <sheetName val="_8025"/>
      <sheetName val="PY-pp"/>
      <sheetName val="POWER ASSUMPTIONS"/>
      <sheetName val="summary "/>
      <sheetName val="P310"/>
      <sheetName val="G210"/>
      <sheetName val="HB1利润表2018"/>
      <sheetName val="SalaryData"/>
      <sheetName val="CHN_OLD"/>
      <sheetName val="M&amp;A pipeline"/>
      <sheetName val="Valmat"/>
      <sheetName val="K1_折旧测算表"/>
      <sheetName val="2018工程汇总 "/>
      <sheetName val="固资序列表"/>
      <sheetName val="投资性房地产序列表"/>
      <sheetName val="清单"/>
      <sheetName val="Feb Allocation%"/>
      <sheetName val="P&amp;L_worksheet"/>
      <sheetName val="Com Lever"/>
      <sheetName val="expenses calc"/>
      <sheetName val="existing cities benchmark"/>
      <sheetName val="master sheet"/>
      <sheetName val="bike loss"/>
      <sheetName val="exchange rate"/>
      <sheetName val="DAU&amp;UV"/>
      <sheetName val="CB"/>
      <sheetName val="Cash Flow Worksheet"/>
      <sheetName val="Chart Analysis"/>
      <sheetName val="4月分摊比例"/>
      <sheetName val="P&amp;L透视数据"/>
      <sheetName val="P&amp;L调整数据"/>
      <sheetName val="BEER-PRO"/>
      <sheetName val="_137-2007"/>
      <sheetName val="Inputs"/>
      <sheetName val="GenAssump"/>
      <sheetName val="COP"/>
      <sheetName val="2002"/>
      <sheetName val="2005.01"/>
      <sheetName val="利润表概览"/>
      <sheetName val="分录"/>
      <sheetName val="BD-1"/>
      <sheetName val="應付票據-附"/>
      <sheetName val="Form_1_C"/>
      <sheetName val="关联方信息"/>
      <sheetName val="9607"/>
      <sheetName val="Access360 - PP"/>
      <sheetName val="Program Controls"/>
      <sheetName val="BS Heading"/>
      <sheetName val="4月"/>
      <sheetName val="5月"/>
      <sheetName val="3月"/>
      <sheetName val="6月"/>
      <sheetName val="Reference2"/>
      <sheetName val="FSM"/>
      <sheetName val="关联交易-存款h_x005f_x005f_x005f_x005f_x005"/>
      <sheetName val="关联交易-存款_x005f_x005f_x005f_x005f_x005f"/>
      <sheetName val="삅ོ䚋栠Ѫ_x005f_x005f_x005f_x0000_ࡪ㋨ﯾ_xff"/>
      <sheetName val="外地"/>
      <sheetName val="坯布"/>
      <sheetName val="材料"/>
      <sheetName val="外销"/>
      <sheetName val="PER SALES ORG"/>
      <sheetName val="ÆóÒµ±íÒ»"/>
      <sheetName val="明细表"/>
      <sheetName val="数据字典"/>
      <sheetName val="报表层次重要性水平"/>
      <sheetName val="利润及利润分配试算平衡表"/>
      <sheetName val="资产负债试算平衡表"/>
      <sheetName val="_______"/>
      <sheetName val="核算项目余额表"/>
      <sheetName val="08.8"/>
      <sheetName val="其他货币资金.dbf"/>
      <sheetName val="银行存款.dbf"/>
      <sheetName val="K200"/>
      <sheetName val="披露表"/>
      <sheetName val="6117（股份）"/>
      <sheetName val="EXP23BF45E1"/>
      <sheetName val="direct"/>
      <sheetName val="2018 ADJ"/>
      <sheetName val="预付账款汇总表"/>
      <sheetName val="表二甲机务F型"/>
      <sheetName val="options062906"/>
      <sheetName val="F19.2"/>
      <sheetName val="F19.1"/>
      <sheetName val="F5.5"/>
      <sheetName val="F5.3"/>
      <sheetName val="Cash Flow - CY Workings"/>
      <sheetName val="2 cot"/>
      <sheetName val="A300-试算平衡表"/>
      <sheetName val="营业"/>
      <sheetName val="人力成本数据源"/>
      <sheetName val="3409"/>
      <sheetName val="5059"/>
      <sheetName val="5133"/>
      <sheetName val="GA5-2-1 明细表2015"/>
      <sheetName val="647"/>
      <sheetName val="U1100_EJE调整"/>
      <sheetName val="763"/>
      <sheetName val="C1"/>
      <sheetName val="A431_5030_GymboreeUK"/>
      <sheetName val="评估结论"/>
      <sheetName val="利塞专项"/>
      <sheetName val="投行部保本理财产品清单"/>
      <sheetName val="UFPrn20010206163251"/>
      <sheetName val="Company_Information"/>
      <sheetName val="Base_Info"/>
      <sheetName val="PV6_3_5L_LX5_GMX170"/>
      <sheetName val="清单12_31"/>
      <sheetName val="Economic_evaluation_-_FY98_base"/>
      <sheetName val="Balance"/>
      <sheetName val="库存商品余额表.dbf"/>
      <sheetName val="Aushilfe"/>
      <sheetName val="Umlagen"/>
      <sheetName val="1002-1031170406 Capital Account"/>
      <sheetName val="Air Conditional"/>
      <sheetName val="Equipment"/>
      <sheetName val="Motor Vehicle"/>
      <sheetName val="Renovation"/>
      <sheetName val="Margins"/>
      <sheetName val="0.1公司清单"/>
      <sheetName val="H R"/>
      <sheetName val="678"/>
      <sheetName val="Accounts Database"/>
      <sheetName val="FiedValidationSheet"/>
      <sheetName val="Rev05"/>
      <sheetName val="非合同台帐"/>
      <sheetName val="CH Car"/>
      <sheetName val="App1 Entities sequence number"/>
      <sheetName val="BS-舟山"/>
      <sheetName val="TZ0930"/>
      <sheetName val="2330900原稿"/>
      <sheetName val="Info. Request"/>
      <sheetName val="1012"/>
      <sheetName val="U-500销售费用"/>
      <sheetName val="U-700财务费用"/>
      <sheetName val="基础条件"/>
      <sheetName val="356"/>
      <sheetName val="A3_20161231"/>
      <sheetName val="采购订单"/>
      <sheetName val="15、采购订单"/>
      <sheetName val="시산표"/>
      <sheetName val="D3"/>
      <sheetName val="邻酮定乙酚发出测试"/>
      <sheetName val="Group1"/>
      <sheetName val="1.资金支付台帐"/>
      <sheetName val="Setting"/>
      <sheetName val="Reference"/>
      <sheetName val="关联交易-存款_滨__"/>
      <sheetName val="1014"/>
      <sheetName val="Size_Growth_Adj"/>
      <sheetName val="DNEA_2011"/>
      <sheetName val="1107"/>
      <sheetName val="6414-2"/>
      <sheetName val="科目代码"/>
      <sheetName val="SPI"/>
      <sheetName val="SPI GMBH"/>
      <sheetName val="PDCC"/>
      <sheetName val="SSI"/>
      <sheetName val="Syntegra"/>
      <sheetName val="明細"/>
      <sheetName val="K140"/>
      <sheetName val="Tritel Consolidated"/>
      <sheetName val="TeleCorp Holdco Summary"/>
      <sheetName val="만기"/>
      <sheetName val="A_R_013"/>
      <sheetName val="ADJ_Sum(console)3"/>
      <sheetName val="Defer_tax3"/>
      <sheetName val="Estimated_AP_9_033"/>
      <sheetName val="2005_062"/>
      <sheetName val="Mar_OR2"/>
      <sheetName val="REC_972"/>
      <sheetName val="关联交易-存款hࢀ_ࢀ_1"/>
      <sheetName val="daywork-_Tham_khao2"/>
      <sheetName val="TB_Link2"/>
      <sheetName val="office_supplies1"/>
      <sheetName val="Financ__Overview1"/>
      <sheetName val="各年往来_(2)1"/>
      <sheetName val="IFRS_REPORTING1"/>
      <sheetName val="关联交易-存款hࢀ_ࢀ__x005f_x0001_1"/>
      <sheetName val="A5_Summary1"/>
      <sheetName val="关联交易-存款hࢀ_ࢀ__x005f_x005f_x005f_x0001_1"/>
      <sheetName val="zero_(3)1"/>
      <sheetName val="3_21"/>
      <sheetName val="A3_Sum1"/>
      <sheetName val="Invest_1"/>
      <sheetName val="Inv_days_#51"/>
      <sheetName val="control_sheet_fund_II1"/>
      <sheetName val="Exec_Summary1"/>
      <sheetName val="F1100芯片测试费_1"/>
      <sheetName val="关联交易-存款h_x00"/>
      <sheetName val="关联交易-存款hࢀ_ࢀ__"/>
      <sheetName val="短期投资股票投资_dbf"/>
      <sheetName val="短期投资国债投资_dbf"/>
      <sheetName val="股票投资收益_dbf"/>
      <sheetName val="其他货币海通_dbf"/>
      <sheetName val="其他货币零领路_dbf"/>
      <sheetName val="投资收益债券_dbf"/>
      <sheetName val="P&amp;L_adhoc"/>
      <sheetName val="Suppl_Adhoc_Inv_(F)"/>
      <sheetName val="Suppl_Adhoc_Pers"/>
      <sheetName val="QTR_Data_Analysis"/>
      <sheetName val="Disclosure_Summary"/>
      <sheetName val="关联交易-存款h???"/>
      <sheetName val="BOX_SUM"/>
      <sheetName val="FIN_GOOD"/>
      <sheetName val="Hyperion_Link"/>
      <sheetName val="Price_List"/>
      <sheetName val="1461（12_6）"/>
      <sheetName val="Payed_bonuses"/>
      <sheetName val="Output_&amp;_Financial_Statements"/>
      <sheetName val="Old_TWX_Quorfa"/>
      <sheetName val="TWX_Model"/>
      <sheetName val="FS_Output_4"/>
      <sheetName val="FS_Output_1"/>
      <sheetName val="FS_Output_3"/>
      <sheetName val="FS_Output2"/>
      <sheetName val="Deal_Structure_&amp;_Control_Page"/>
      <sheetName val="Historic_Comps"/>
      <sheetName val="Bank_card_list"/>
      <sheetName val="All_Cash_Dil"/>
      <sheetName val="关联交易-存款hࢀ_ࢀ__x005f_x005f_x005f_x005f_"/>
      <sheetName val="1-_Input_&amp;_Info"/>
      <sheetName val="CUSTOMER_(DETAIL)"/>
      <sheetName val="Antivol_D2"/>
      <sheetName val="2_5上年现金试算"/>
      <sheetName val="Romford_Market"/>
      <sheetName val="&lt;FF&gt;_Tax_Payable"/>
      <sheetName val="PPD_Schedule"/>
      <sheetName val="Base_Data"/>
      <sheetName val="1_0"/>
      <sheetName val="Detail_Loan_Move__&amp;_Listing"/>
      <sheetName val="AR_Drop_Downs"/>
      <sheetName val="PRC_GAAP"/>
      <sheetName val="addl_cost"/>
      <sheetName val="综合成本分析01_01-0205"/>
      <sheetName val="CY_sales_report"/>
      <sheetName val="SD-Report_5&quot;"/>
      <sheetName val="M_Schedules"/>
      <sheetName val="Staff_List"/>
      <sheetName val="Rejects_PPM"/>
      <sheetName val="QOS_RPPM"/>
      <sheetName val="Standort_(DE)"/>
      <sheetName val="Act_Vol"/>
      <sheetName val="链接表（勿动）_元)"/>
      <sheetName val="两次基准日的对比_(0531与0831)"/>
      <sheetName val="链接表（勿动）_(元表)"/>
      <sheetName val="Customer_Name"/>
      <sheetName val="辅助"/>
      <sheetName val="托售"/>
      <sheetName val="1019"/>
      <sheetName val="625"/>
      <sheetName val="1013"/>
      <sheetName val="1016"/>
      <sheetName val="Calculations"/>
      <sheetName val="1239"/>
      <sheetName val="Prices"/>
      <sheetName val="1017"/>
      <sheetName val="1018"/>
      <sheetName val="1020"/>
      <sheetName val="U112"/>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Sheet0"/>
      <sheetName val="Project Details"/>
      <sheetName val="Opening check_Misc (WO Only)"/>
      <sheetName val="Sum2000"/>
      <sheetName val="原材料变动表-金铜矿"/>
      <sheetName val="表二十二 (2)"/>
      <sheetName val="新的工作表_1"/>
      <sheetName val="附表1 年度人数"/>
      <sheetName val="成本测算"/>
      <sheetName val="设计部"/>
      <sheetName val="wl"/>
      <sheetName val="基础资料（B）"/>
      <sheetName val="A401"/>
      <sheetName val="Cash Flow"/>
      <sheetName val="备选项"/>
      <sheetName val="CS"/>
      <sheetName val="各公司简称"/>
      <sheetName val="WP-02"/>
      <sheetName val="编码表"/>
      <sheetName val="基础信息设置"/>
      <sheetName val="其他应收款"/>
      <sheetName val="WP-03"/>
      <sheetName val="FL"/>
      <sheetName val="WP-05"/>
      <sheetName val="函证对象基础表1"/>
      <sheetName val="往来科目余额明细表"/>
      <sheetName val="科目表（总）"/>
      <sheetName val="固定资产汇总表A17-1"/>
      <sheetName val="UFPrn20180206201449"/>
      <sheetName val="无形资产汇总表A21-1"/>
      <sheetName val="三和软件"/>
      <sheetName val="ITEM"/>
      <sheetName val="银行存款明细表"/>
      <sheetName val="_Profile"/>
      <sheetName val="26.存货月报表"/>
      <sheetName val="accode"/>
      <sheetName val="dpA"/>
      <sheetName val="METHANOL"/>
      <sheetName val="DSCR"/>
      <sheetName val="OPSRESULTS"/>
      <sheetName val="DEBT"/>
      <sheetName val="PARAMETER"/>
      <sheetName val="投入产出汇总"/>
      <sheetName val="指标"/>
      <sheetName val="IMPUTS"/>
      <sheetName val="CALCULOS"/>
      <sheetName val="2015调整分录"/>
      <sheetName val="2014调整分录"/>
      <sheetName val="项目索引"/>
      <sheetName val="2009调整分录"/>
      <sheetName val="cum pred"/>
      <sheetName val="签证"/>
      <sheetName val="_dropdownlistitems_"/>
      <sheetName val="N5b1-其他收入和利得净值"/>
      <sheetName val="关联交易-存款lঀ;ঀ;_x005f_x005f_"/>
      <sheetName val="关联交易-存款l઀Ƽ઀Ƽ_x005f_x005f_"/>
      <sheetName val="삅ོ䚋栠Ѫ_x005f_x005f_x005f_x005f_x"/>
      <sheetName val="类别"/>
      <sheetName val="DATA-P&amp;L98"/>
      <sheetName val="Sales Volumes &amp; Plan"/>
      <sheetName val="Net Sales LC"/>
      <sheetName val="项目目录"/>
      <sheetName val="企业项目目录"/>
      <sheetName val="科目名称表"/>
      <sheetName val="底稿01"/>
      <sheetName val="附注明细"/>
      <sheetName val="query results"/>
      <sheetName val="会计科目表"/>
      <sheetName val="Returns&gt;&gt;"/>
      <sheetName val="IRR Historic"/>
      <sheetName val="Portfolio IRR"/>
      <sheetName val="Marimekko"/>
      <sheetName val="Inputs&gt;&gt;"/>
      <sheetName val="Analyst&gt;&gt;"/>
      <sheetName val="Val Inputs"/>
      <sheetName val="Model Inputs"/>
      <sheetName val="2_AC"/>
      <sheetName val="3_AC"/>
      <sheetName val="4_AC"/>
      <sheetName val="5_AC"/>
      <sheetName val="6_AC"/>
      <sheetName val="7_AC"/>
      <sheetName val="8_AC"/>
      <sheetName val="9_AC"/>
      <sheetName val="10_AC"/>
      <sheetName val="11_AC"/>
      <sheetName val="12_AC"/>
      <sheetName val="13_AC"/>
      <sheetName val="14_AC"/>
      <sheetName val="Exchange Rates&gt;&gt;"/>
      <sheetName val="2"/>
      <sheetName val="3"/>
      <sheetName val="4"/>
      <sheetName val="Funding&gt;&gt;"/>
      <sheetName val="Years"/>
      <sheetName val="Funding Combined"/>
      <sheetName val="Q1"/>
      <sheetName val="Q2"/>
      <sheetName val="Q3"/>
      <sheetName val="Q4"/>
      <sheetName val="FY18 funding"/>
      <sheetName val="Previous"/>
      <sheetName val="iFood funding"/>
      <sheetName val="Conversions&gt;&gt;"/>
      <sheetName val="Summary Adjusted"/>
      <sheetName val="Summary Combined"/>
      <sheetName val="Conversion Roll forward"/>
      <sheetName val="Summary Roll Forward"/>
      <sheetName val="Conversion DCF"/>
      <sheetName val="Summary DCF"/>
      <sheetName val="Conversion Cash Flow"/>
      <sheetName val="Summary Cash Flow"/>
      <sheetName val="Variables&gt;&gt;"/>
      <sheetName val="Companies"/>
      <sheetName val="Company Name mappings"/>
      <sheetName val="End"/>
      <sheetName val="PH Car"/>
      <sheetName val="FORGING"/>
      <sheetName val="Dic"/>
      <sheetName val="工行"/>
      <sheetName val="利润分析"/>
      <sheetName val="资产负债分析"/>
      <sheetName val="固定资产清理Dy"/>
      <sheetName val="Proforma"/>
      <sheetName val="NC差异表"/>
      <sheetName val="Related company"/>
      <sheetName val="JobDetails"/>
      <sheetName val="Data From XXX"/>
      <sheetName val="Delphi original"/>
      <sheetName val="FUEL FILLER"/>
      <sheetName val="CA-O7"/>
      <sheetName val="Related_company"/>
      <sheetName val="Delphi_original"/>
      <sheetName val="Data_From_XXX"/>
      <sheetName val="FUEL_FILLER"/>
      <sheetName val="list导入方式"/>
      <sheetName val="Equity"/>
      <sheetName val="短期借款审定表"/>
      <sheetName val="Capex report"/>
      <sheetName val="F&amp;F(2003)"/>
      <sheetName val="IT(2003)"/>
      <sheetName val="Budget-Bal"/>
      <sheetName val="info"/>
      <sheetName val="银行余额调节表(明细)"/>
      <sheetName val="   合同台账  "/>
      <sheetName val="科目列表"/>
      <sheetName val="付款进度表"/>
      <sheetName val="CIP DETAILS"/>
      <sheetName val="1021"/>
      <sheetName val="Sales for 2001"/>
      <sheetName val="Incometl"/>
      <sheetName val="Nvar"/>
      <sheetName val="1380"/>
      <sheetName val="1381"/>
      <sheetName val="Salinfo"/>
      <sheetName val="Cntmrs-Recruit"/>
      <sheetName val="WP"/>
      <sheetName val="14480000"/>
      <sheetName val="AC_DATA"/>
      <sheetName val="U1.6"/>
      <sheetName val="底稿2001年"/>
      <sheetName val="老股估值及退出价格测算"/>
      <sheetName val="后续pre-IPO及IPO融资计划"/>
      <sheetName val="假设受让老股股东以增资方式进入-估值测算"/>
      <sheetName val="Price Provision 清单"/>
      <sheetName val="预提明细"/>
      <sheetName val="SFS(ACTUAL)"/>
      <sheetName val="Contents"/>
      <sheetName val="WELCOME"/>
      <sheetName val="bank"/>
      <sheetName val="管理费用部门"/>
      <sheetName val="CASH"/>
      <sheetName val="Corpalloc"/>
      <sheetName val="AcctChEntry"/>
      <sheetName val="ExchEntry"/>
      <sheetName val="PltRpt (A&amp;F)"/>
      <sheetName val="PltRpt (A&amp;FvsB)"/>
      <sheetName val="PltRpt (B&amp;AC)"/>
      <sheetName val="Schedule B"/>
      <sheetName val="TASSI2"/>
      <sheetName val="Tav.22 Rischio di Credito"/>
      <sheetName val="物流费用预算表(A4)"/>
      <sheetName val="销售费用预算表(A4)"/>
      <sheetName val="管理费用预算表(A4)"/>
      <sheetName val="信息费用预算表(A4) "/>
      <sheetName val="研发费用预算明细表A3"/>
      <sheetName val="制造成本预算表A3"/>
      <sheetName val="盈利打平趋势判断"/>
      <sheetName val="Depreciation test"/>
      <sheetName val="映射"/>
      <sheetName val="beer-indstry"/>
      <sheetName val="CoCos_Segments"/>
      <sheetName val="Table_US Currency"/>
      <sheetName val="Vol"/>
      <sheetName val="ORG"/>
      <sheetName val="工时"/>
      <sheetName val="T100"/>
      <sheetName val="ORG汇总表"/>
      <sheetName val="fixed assets –Forklifts"/>
      <sheetName val="fixed assets –battery"/>
      <sheetName val="ARP stt.2"/>
      <sheetName val="Jan"/>
      <sheetName val="Gen Accruals"/>
      <sheetName val="Legal Accrual"/>
      <sheetName val="Payroll Accrual"/>
      <sheetName val="Malaysia"/>
      <sheetName val="Taiwan"/>
      <sheetName val="CA_new"/>
      <sheetName val="匹配表"/>
      <sheetName val="物价指数（月度）"/>
      <sheetName val="analyse"/>
      <sheetName val="Cost of Equity"/>
      <sheetName val="有効使用期間12年"/>
      <sheetName val="CLA-21.1-4 OLD"/>
      <sheetName val="652"/>
      <sheetName val="E3 A"/>
      <sheetName val="1252"/>
      <sheetName val="1269"/>
      <sheetName val="648"/>
      <sheetName val="H101"/>
      <sheetName val=" "/>
      <sheetName val="首页"/>
      <sheetName val="程序执行复核"/>
      <sheetName val="单位情况调查表"/>
      <sheetName val="试算表"/>
      <sheetName val="调帐书(初)"/>
      <sheetName val="调帐书(末)"/>
      <sheetName val="资产负债(前)"/>
      <sheetName val="利润(前)"/>
      <sheetName val="资产负债(后)"/>
      <sheetName val="利润(后)"/>
      <sheetName val="现金流量"/>
      <sheetName val="流量表编制底稿"/>
      <sheetName val="所有者权益变动表"/>
      <sheetName val="税费"/>
      <sheetName val="个税"/>
      <sheetName val="透视表"/>
      <sheetName val="您好"/>
      <sheetName val="休息"/>
      <sheetName val="现金"/>
      <sheetName val="银行存款"/>
      <sheetName val="应收票据"/>
      <sheetName val="应收账款"/>
      <sheetName val="房款按项目分"/>
      <sheetName val="房款按明细"/>
      <sheetName val="25号、30号诚意金"/>
      <sheetName val="回迁区未给村面积"/>
      <sheetName val="一期已售未售统计"/>
      <sheetName val="一期未售明细"/>
      <sheetName val="一期未入账顶账差价"/>
      <sheetName val="一期顶账未定价、收款"/>
      <sheetName val="一期按揭款"/>
      <sheetName val="二期已售未售统计"/>
      <sheetName val="二期未售明细"/>
      <sheetName val="二期未入账顶账差价"/>
      <sheetName val="二期顶账未定价、收款"/>
      <sheetName val="储藏室"/>
      <sheetName val="车位"/>
      <sheetName val="27#计算"/>
      <sheetName val="应收-27#"/>
      <sheetName val="预付账款"/>
      <sheetName val="原材料"/>
      <sheetName val="低值易耗品"/>
      <sheetName val="开发成本"/>
      <sheetName val="待摊费用"/>
      <sheetName val="应付账款"/>
      <sheetName val="预收账款"/>
      <sheetName val="实收资本"/>
      <sheetName val="利润分配"/>
      <sheetName val="经营收入"/>
      <sheetName val="营业外收入"/>
      <sheetName val="经营成本"/>
      <sheetName val="税金及附加"/>
      <sheetName val="销售费用"/>
      <sheetName val="管理费用"/>
      <sheetName val="财务费用"/>
      <sheetName val="营业外支出"/>
      <sheetName val="所得税"/>
      <sheetName val="投资收益"/>
      <sheetName val="底稿"/>
      <sheetName val="空白表"/>
      <sheetName val="累计折旧计算"/>
      <sheetName val="存款"/>
      <sheetName val="增值税"/>
      <sheetName val="工资福利费"/>
      <sheetName val="房地产预售"/>
      <sheetName val="生产成本底稿"/>
      <sheetName val="成本倒轧"/>
      <sheetName val="发出计价"/>
      <sheetName val="期间费用分类明细"/>
      <sheetName val="通用检查底稿"/>
      <sheetName val="往来款款替代程序表"/>
      <sheetName val="函证汇总"/>
      <sheetName val="材料采购-入库"/>
      <sheetName val="原材料－其他"/>
      <sheetName val="材料成本差异－运费等"/>
      <sheetName val="会计政策"/>
      <sheetName val="设定"/>
      <sheetName val="2011年现金银行存款序时账"/>
      <sheetName val="receivable"/>
      <sheetName val="UFPrn20220125085127"/>
      <sheetName val="1月"/>
      <sheetName val="CAIXA"/>
      <sheetName val="Ex. rate"/>
      <sheetName val="报表项目"/>
      <sheetName val="POV"/>
      <sheetName val="591"/>
      <sheetName val="9100-PO"/>
      <sheetName val="制造费用分项明细表"/>
      <sheetName val="财务指标"/>
      <sheetName val="资产评估结果分类汇总表 (2)"/>
      <sheetName val="其他业务收入2010"/>
      <sheetName val="其他业务收入09"/>
      <sheetName val="其他业务收入08"/>
      <sheetName val="营业外收入09"/>
      <sheetName val="营业外收入08"/>
      <sheetName val="营业外支出08"/>
      <sheetName val="其他业务成本.111031"/>
      <sheetName val="气保"/>
      <sheetName val="联合"/>
      <sheetName val="分离后总调室"/>
      <sheetName val="FSA"/>
      <sheetName val="K200-PRC"/>
      <sheetName val="TC-Pricing"/>
      <sheetName val="Calculation"/>
      <sheetName val="二厂一季度单位成本"/>
      <sheetName val="K311 A_List02"/>
      <sheetName val="99Exh I"/>
      <sheetName val="596"/>
      <sheetName val="외주현황.wq1"/>
      <sheetName val="1074"/>
      <sheetName val="关联交易-存款h_x005f_x0001_?_x005f_x0001_??"/>
      <sheetName val="감가상각비(2002)"/>
      <sheetName val="zw"/>
      <sheetName val="Difference Reconcliation"/>
      <sheetName val="RPT Disclosure"/>
      <sheetName val="FY99 Volume"/>
      <sheetName val="Sal &amp; Wage Info"/>
      <sheetName val="合并范围内关联方清单"/>
      <sheetName val="LAbor estimate"/>
      <sheetName val="662"/>
      <sheetName val="141231#"/>
      <sheetName val="20141231"/>
      <sheetName val="1022"/>
      <sheetName val="MasterList"/>
      <sheetName val="帐户汇总表_2008年1月至12月_18末级"/>
      <sheetName val="帐户汇总表_2008年1月至12月_14一级"/>
      <sheetName val="帐户汇总表_2008年1月至12月_13末级"/>
      <sheetName val="帐户汇总表_2008年1月至12月_18一级"/>
      <sheetName val="帐户汇总表_2008年1月至12月_14末级"/>
      <sheetName val="Interim NWA converted in Dec02"/>
      <sheetName val="AP-NSK(other)"/>
      <sheetName val="AP-Sing"/>
      <sheetName val="AP-NSK(trade) USD"/>
      <sheetName val="IV-NSK JPY"/>
      <sheetName val="AP-anshun"/>
      <sheetName val="AP-KUSHAN"/>
      <sheetName val="ap-Korea"/>
      <sheetName val="AP-NSK (trade) JPY"/>
      <sheetName val="AP-ISC"/>
      <sheetName val="AR-Chiaphua"/>
      <sheetName val="AR-ASTEC"/>
      <sheetName val="AR-Handing"/>
      <sheetName val="AR-Hintai"/>
      <sheetName val="AR-INH"/>
      <sheetName val="AR-Iwatani"/>
      <sheetName val="ar-john"/>
      <sheetName val="AR-KTB JPY"/>
      <sheetName val="IV-KUSHAN"/>
      <sheetName val="ar-kusatsu"/>
      <sheetName val="AR-NSK (trade) USD"/>
      <sheetName val="ar-OKI Micro"/>
      <sheetName val="AR-Super"/>
      <sheetName val="AR-TAIKO JPY"/>
      <sheetName val="BR-Thousand JPY"/>
      <sheetName val="BR-Wah"/>
      <sheetName val="China-GBP"/>
      <sheetName val="China-JPY"/>
      <sheetName val="China-USD1"/>
      <sheetName val="IV-NIS"/>
      <sheetName val="DR-JPY"/>
      <sheetName val="DR-USD"/>
      <sheetName val="Fuji-USD"/>
      <sheetName val="Fuji-JPY"/>
      <sheetName val="Fuji"/>
      <sheetName val="IS01"/>
      <sheetName val="int-paid"/>
      <sheetName val="secretarial"/>
      <sheetName val="TR1"/>
      <sheetName val="F余额表2021"/>
      <sheetName val="F余额表2021 (2)"/>
      <sheetName val="F余额表2021 (3)"/>
      <sheetName val="Summary Page_VDF"/>
      <sheetName val="Invested capital_VDF"/>
      <sheetName val="FxdChg"/>
      <sheetName val="F2"/>
      <sheetName val="LT_ADJ"/>
      <sheetName val="LT TB"/>
      <sheetName val="LTMD TB"/>
      <sheetName val="OC TB"/>
      <sheetName val="ZD TB"/>
      <sheetName val="LSBP"/>
      <sheetName val="Agency Walker ID"/>
      <sheetName val="PublishCashFlow"/>
      <sheetName val="Client"/>
      <sheetName val="PublishIncome"/>
      <sheetName val="Databox"/>
      <sheetName val="sales breakdown"/>
      <sheetName val="co info"/>
      <sheetName val="表3_1_2货币资金—银行存款"/>
      <sheetName val="schdl"/>
      <sheetName val="2018.4.7 for Bank"/>
      <sheetName val="재료비"/>
      <sheetName val="661"/>
      <sheetName val="金额式"/>
      <sheetName val="关联交易-存款__x005f_x0000__x00"/>
      <sheetName val="关联交易-存款_x005f_x0000__x00"/>
      <sheetName val="关联交易-存款h_x005f_x0001___x0"/>
      <sheetName val="K(GDH)"/>
      <sheetName val="statement_1998"/>
      <sheetName val="XVIa(i)_-_average_price_(2)"/>
      <sheetName val="Table_13_1_-_3"/>
      <sheetName val="SPLICE HOURS"/>
      <sheetName val="DEP"/>
      <sheetName val="노동부"/>
      <sheetName val="SC HKD CA"/>
      <sheetName val="GDH"/>
      <sheetName val="M.P."/>
      <sheetName val="销量"/>
      <sheetName val="成本要素表"/>
      <sheetName val="Taux de change "/>
      <sheetName val="plantilla mes"/>
      <sheetName val="PL by month-EFY"/>
      <sheetName val="AR1-F20"/>
      <sheetName val="AR2-F21"/>
      <sheetName val="283"/>
      <sheetName val="TB_累2"/>
      <sheetName val="TB_当2"/>
      <sheetName val="TB_累1"/>
      <sheetName val="数据库"/>
      <sheetName val="Calcs_for _quarterly_pres"/>
      <sheetName val="FOREX_IMPACTS"/>
      <sheetName val="Valuation Matrix"/>
      <sheetName val="sales"/>
      <sheetName val="sd"/>
      <sheetName val="F-B"/>
      <sheetName val="Cash&amp;bank"/>
      <sheetName val="cur rates"/>
      <sheetName val="Total 2009"/>
      <sheetName val="3rd Qtr"/>
      <sheetName val="5th Qtr"/>
      <sheetName val="6th Qtr"/>
      <sheetName val="7th Qtr"/>
      <sheetName val="Exit Forecast"/>
      <sheetName val="2nd Qtr"/>
      <sheetName val="Rounded Input"/>
      <sheetName val="汇率影响"/>
      <sheetName val="_003.3固定资产"/>
      <sheetName val="551"/>
      <sheetName val="613"/>
      <sheetName val="1154"/>
      <sheetName val="620"/>
      <sheetName val="EV_VO"/>
      <sheetName val="SUIVI EFFECTIFS"/>
      <sheetName val="Tons"/>
      <sheetName val="tit"/>
      <sheetName val="#¡REF"/>
      <sheetName val="Vendas Tons"/>
      <sheetName val="C.Estr."/>
      <sheetName val="indice"/>
      <sheetName val="mixprod"/>
      <sheetName val="raf"/>
      <sheetName val="rce"/>
      <sheetName val="CAB"/>
      <sheetName val="EFFECT."/>
      <sheetName val="abcd"/>
      <sheetName val="P&amp;L-ACT"/>
      <sheetName val="504"/>
      <sheetName val="1440"/>
      <sheetName val="VT_TEB Planung-2006"/>
      <sheetName val="BT 03"/>
      <sheetName val="BT 02"/>
      <sheetName val="BT 01"/>
      <sheetName val="国民经济行业分类"/>
      <sheetName val="下拉列表"/>
      <sheetName val="truc_tiep2"/>
      <sheetName val="P_1预收、其他应付、其他流动负债2"/>
      <sheetName val="G_预付账款、其他应收款、其他流动资产2"/>
      <sheetName val="_U1502"/>
      <sheetName val="2-分类汇总_Classified_Summary2"/>
      <sheetName val="TAB_Daten1"/>
      <sheetName val="N_应付账款1"/>
      <sheetName val="Raw_materials1"/>
      <sheetName val="Tier1_Pref_SGP1"/>
      <sheetName val="Rev__Losses1"/>
      <sheetName val="SoP_SGP21"/>
      <sheetName val="Prop_R1"/>
      <sheetName val="Tier1_Pref_SBP1"/>
      <sheetName val="关联交易-存款hࢀ_ࢀ__x005f_x005f_x005f_x005f_x005f1"/>
      <sheetName val="关联交易-存款hࢀ_ࢀ__x005f_x005f_1"/>
      <sheetName val="Ex_Diff1"/>
      <sheetName val="II-_Liability_Component_June_01"/>
      <sheetName val="I-Conclusion_1"/>
      <sheetName val="II-_Liab__comp_IAS1"/>
      <sheetName val="Conversion_feature1"/>
      <sheetName val="I-_Summary1"/>
      <sheetName val="Income_Statement_breakdown1"/>
      <sheetName val="销售6_131"/>
      <sheetName val="Sch_PR-21"/>
      <sheetName val="Sch_PR-31"/>
      <sheetName val="Consol_BS1"/>
      <sheetName val="HO_&amp;_Aust_BS1"/>
      <sheetName val="JAC11_301"/>
      <sheetName val="关联交易-存款?滨?_1"/>
      <sheetName val="qad_TB1"/>
      <sheetName val="F40-Goodsin_transit"/>
      <sheetName val="开发成本2002_-_Movement"/>
      <sheetName val="库存商品余额表_dbf"/>
      <sheetName val="C-1_总表"/>
      <sheetName val="4_1-合同台帐"/>
      <sheetName val="Income_Statement_and_KPIs"/>
      <sheetName val="index_cc"/>
      <sheetName val="1_5_合同、非合同台帐"/>
      <sheetName val="IS_Summary-96"/>
      <sheetName val="Library_Procedures"/>
      <sheetName val="Non-Statistical_Sampling_Master"/>
      <sheetName val="Global_Data"/>
      <sheetName val="4_1拆出资金"/>
      <sheetName val="aging_0612"/>
      <sheetName val="NA_QTR_PROD"/>
      <sheetName val="Official_Lehman_PROD_Sched"/>
      <sheetName val="Income_statement"/>
      <sheetName val="PRC_15"/>
      <sheetName val="acc_list"/>
      <sheetName val="在建工程_final"/>
      <sheetName val="ACC_NAME"/>
      <sheetName val="ZP7_gespritzt"/>
      <sheetName val="GA5-2-1_明细表2015"/>
      <sheetName val="진행_DATA_(2)"/>
      <sheetName val="Service_Parts_Rejects_(RPPM)"/>
      <sheetName val="Carole_Worksheet_Table"/>
      <sheetName val="VS_Consensus"/>
      <sheetName val="销售人效_-_Overview"/>
      <sheetName val="Two_Step_Revenue_Testing_Master"/>
      <sheetName val="Share_Prices"/>
      <sheetName val="Book_1_Summary"/>
      <sheetName val="Salses_breakdown"/>
      <sheetName val="国别报告数据填报模板(Information_Request)"/>
      <sheetName val="Acq_Assumptions_I"/>
      <sheetName val="Acq_Assumptions_II"/>
      <sheetName val="Acq_Assumptions_III"/>
      <sheetName val="1002-1031170406_Capital_Account"/>
      <sheetName val="CJE_energy_inv"/>
      <sheetName val="YTD_SALES"/>
      <sheetName val="Air_Conditional"/>
      <sheetName val="Motor_Vehicle"/>
      <sheetName val="关联交易-存款_滨__1"/>
      <sheetName val="Feb_Allocation%"/>
      <sheetName val="Com_Lever"/>
      <sheetName val="expenses_calc"/>
      <sheetName val="existing_cities_benchmark"/>
      <sheetName val="master_sheet"/>
      <sheetName val="bike_loss"/>
      <sheetName val="exchange_rate"/>
      <sheetName val="Cash_Flow_Worksheet"/>
      <sheetName val="Chart_Analysis"/>
      <sheetName val="M&amp;A_pipeline"/>
      <sheetName val="POWER_ASSUMPTIONS"/>
      <sheetName val="summary_"/>
      <sheetName val="2018工程汇总_"/>
      <sheetName val="2005_01"/>
      <sheetName val="Access360_-_PP"/>
      <sheetName val="Program_Controls"/>
      <sheetName val="BS_Heading"/>
      <sheetName val="PER_SALES_ORG"/>
      <sheetName val="08_8"/>
      <sheetName val="其他货币资金_dbf"/>
      <sheetName val="银行存款_dbf"/>
      <sheetName val="2018_ADJ"/>
      <sheetName val="F19_2"/>
      <sheetName val="F19_1"/>
      <sheetName val="F5_5"/>
      <sheetName val="F5_3"/>
      <sheetName val="Cash_Flow_-_CY_Workings"/>
      <sheetName val="2_cot"/>
      <sheetName val="for_ey_reviewer_销售费用"/>
      <sheetName val="for_ey_reviewer_制造费用"/>
      <sheetName val="Accounts_Database"/>
      <sheetName val="CH_Car"/>
      <sheetName val="App1_Entities_sequence_number"/>
      <sheetName val="U210' "/>
      <sheetName val="SALE"/>
      <sheetName val="LTM"/>
      <sheetName val="CREDIT STATS"/>
      <sheetName val="FAT DB"/>
      <sheetName val="CF Bridge"/>
      <sheetName val="收入分析_客商量价步行图"/>
      <sheetName val="净利润步行图"/>
      <sheetName val="Other R&amp;O"/>
      <sheetName val="Co 59"/>
      <sheetName val="FA List"/>
      <sheetName val="XLNXWKSH"/>
      <sheetName val="Mobile"/>
      <sheetName val="Operating "/>
      <sheetName val="Earnings"/>
      <sheetName val="AP_Accrued"/>
      <sheetName val="CFS adjustments"/>
      <sheetName val="2018底稿"/>
      <sheetName val="Drop down"/>
      <sheetName val="17-19IS"/>
      <sheetName val="17-19BS"/>
      <sheetName val="17-19CFS"/>
      <sheetName val="BEV"/>
      <sheetName val="TTCS"/>
      <sheetName val="ﾁｮｺ停回数"/>
      <sheetName val="ﾁｮｺ停時間"/>
      <sheetName val="DFA"/>
      <sheetName val="初始设定"/>
      <sheetName val="CUST-STD"/>
      <sheetName val="1042"/>
      <sheetName val="2010 Breakdown"/>
      <sheetName val="1478"/>
      <sheetName val=" W60A Seating_2011.3.7.xlsx"/>
      <sheetName val="70151"/>
      <sheetName val="CA consolidated"/>
      <sheetName val="T1"/>
      <sheetName val="104"/>
      <sheetName val="RMB"/>
      <sheetName val="Sheet562"/>
      <sheetName val="P&amp;L Summary Page"/>
      <sheetName val="Expenses with Comparisons"/>
      <sheetName val="TEV Multiples"/>
      <sheetName val="srcsuses"/>
      <sheetName val="WACC"/>
      <sheetName val="pswzParams"/>
      <sheetName val="CSM Data by CY "/>
      <sheetName val="FX_Assumptions"/>
      <sheetName val="LBOSHEL5"/>
      <sheetName val="Pref Probable Case Returns"/>
      <sheetName val="Interco_BSC 01"/>
      <sheetName val="Chart of Acct"/>
      <sheetName val="销售(合同)"/>
      <sheetName val="MarkComp"/>
      <sheetName val="Comparative Balance Sheet"/>
      <sheetName val="Com list"/>
      <sheetName val="Headcount and Oil Price"/>
      <sheetName val="BOE Stats"/>
      <sheetName val="C - Cash and Bank"/>
      <sheetName val="others gl"/>
      <sheetName val="Inputs-$150"/>
      <sheetName val="Printout2"/>
      <sheetName val="工作表1"/>
      <sheetName val="BALANCE SHEET"/>
      <sheetName val="总公司2002.12.31"/>
      <sheetName val="截至2004年10月31日存货材料清单"/>
      <sheetName val="K110"/>
      <sheetName val="O111"/>
      <sheetName val="控制台"/>
      <sheetName val="Beg- End balance"/>
      <sheetName val="B30"/>
      <sheetName val="Net Trans Sum"/>
      <sheetName val="5.基础档案"/>
      <sheetName val="Sum Hist"/>
      <sheetName val="Corporate PPT"/>
      <sheetName val="WTI Coporate Eliminations PPT"/>
      <sheetName val="1436"/>
      <sheetName val="514"/>
      <sheetName val="PROD_CUST"/>
      <sheetName val="ExRate"/>
      <sheetName val="Manu"/>
      <sheetName val="Sheet618"/>
      <sheetName val="grofin"/>
      <sheetName val="Sales by category"/>
      <sheetName val="Sheet626"/>
      <sheetName val="Sheet648"/>
      <sheetName val="1136"/>
      <sheetName val="PRDCTVTY"/>
      <sheetName val="1102 TAB_OPPORTUNITY to import"/>
      <sheetName val="F_OH"/>
      <sheetName val="Bookings-summary"/>
      <sheetName val=" FY2000"/>
      <sheetName val="PARAMETRES"/>
      <sheetName val="基本情報"/>
      <sheetName val="95059D"/>
      <sheetName val="F810"/>
      <sheetName val="1495"/>
      <sheetName val="1222"/>
      <sheetName val="1438"/>
      <sheetName val="1541"/>
      <sheetName val="1542"/>
      <sheetName val="分公司汇总更新"/>
      <sheetName val="Product List"/>
      <sheetName val="管理"/>
      <sheetName val="synthgraph"/>
      <sheetName val="113103"/>
      <sheetName val="113104"/>
      <sheetName val="113105"/>
      <sheetName val="113303"/>
      <sheetName val="21210301"/>
      <sheetName val="21210302"/>
      <sheetName val="JE10310X"/>
      <sheetName val="附注汇总"/>
      <sheetName val="SharePoint"/>
      <sheetName val="Initial"/>
      <sheetName val="BU Parameters"/>
      <sheetName val="BU-Filter"/>
      <sheetName val="Filter"/>
      <sheetName val="基本資料"/>
      <sheetName val="Valuation Summary"/>
      <sheetName val="Capex &amp; Working Capital "/>
      <sheetName val="Product Summary"/>
      <sheetName val="Revenue Output"/>
      <sheetName val="P&amp;L Summary"/>
      <sheetName val="Gross Profit Output (100%)"/>
      <sheetName val="EBITDA"/>
      <sheetName val="Historical IS"/>
      <sheetName val="Other Working Assumptions"/>
      <sheetName val="Valuation Waterfall"/>
      <sheetName val="Gross Profit"/>
      <sheetName val="Historical BS"/>
      <sheetName val="Key Assumptions"/>
      <sheetName val="Instruction Sheet"/>
      <sheetName val="APCODE"/>
      <sheetName val="FIRE Parameters"/>
      <sheetName val="1558"/>
      <sheetName val="1270"/>
      <sheetName val="1271"/>
      <sheetName val="1730"/>
      <sheetName val="1731"/>
      <sheetName val="preBS"/>
      <sheetName val="preCF"/>
      <sheetName val="preIS"/>
      <sheetName val="preCE"/>
      <sheetName val="Monthly Ex rate"/>
      <sheetName val="Expense Accrual"/>
      <sheetName val="Gen. Accrual"/>
      <sheetName val="Prod. Accrual"/>
      <sheetName val="Rent Accrual"/>
      <sheetName val="Sheet616"/>
      <sheetName val="N301"/>
      <sheetName val="Co-SEGC"/>
      <sheetName val="MI02"/>
      <sheetName val="FZ"/>
      <sheetName val="应付账款审定表"/>
      <sheetName val="中储"/>
      <sheetName val="凌益"/>
      <sheetName val="3收止"/>
      <sheetName val="B001(Y)"/>
      <sheetName val="Sheet5"/>
      <sheetName val="调整分录"/>
      <sheetName val="WP-04-GP"/>
      <sheetName val="填写说明"/>
      <sheetName val="Corporate Sales"/>
      <sheetName val="Bridge"/>
      <sheetName val="Freight Issues"/>
      <sheetName val="6419-2"/>
      <sheetName val="G203"/>
      <sheetName val="贷款基准利率"/>
      <sheetName val="Financial Summary"/>
      <sheetName val="113301"/>
      <sheetName val="Rev provit"/>
      <sheetName val="Dashboard基础数据录入（2018）"/>
      <sheetName val="Dashboard基础数据录入（2017）"/>
      <sheetName val="UFPrn20040104084034"/>
      <sheetName val="现金流量表"/>
      <sheetName val="Repayment Summary"/>
      <sheetName val="会计科目设置  科目汇总表"/>
      <sheetName val="维度管理"/>
      <sheetName val="信息"/>
      <sheetName val="ADJ"/>
      <sheetName val="A100000-A104000参数"/>
      <sheetName val="其它应收款"/>
      <sheetName val="所有者权益(股东权益)变动表(未审)"/>
      <sheetName val="IND."/>
      <sheetName val="试算"/>
      <sheetName val="TB表（期末）"/>
      <sheetName val="租赁收入明细"/>
      <sheetName val="P4管理费用"/>
      <sheetName val="L2银行存款"/>
      <sheetName val="Performance Graphs"/>
      <sheetName val="5折旧预测ok"/>
      <sheetName val="关南Bt2000大包装"/>
      <sheetName val="关南Bt2000成品"/>
      <sheetName val="低值易收发存"/>
      <sheetName val="76767"/>
      <sheetName val="07固定资产明细账"/>
      <sheetName val="原材料明细"/>
      <sheetName val="准备工作"/>
      <sheetName val="4528"/>
      <sheetName val="立项表"/>
      <sheetName val="_5081"/>
      <sheetName val="Validation source"/>
      <sheetName val="Custom"/>
      <sheetName val="CRP-BS"/>
      <sheetName val="外销涤布"/>
      <sheetName val="交易性金融资产Dy"/>
      <sheetName val="净现金流计算表"/>
      <sheetName val="EXP LINE"/>
      <sheetName val="XBase"/>
      <sheetName val="_5284"/>
      <sheetName val="UFPrn20210522114546"/>
      <sheetName val="档案"/>
      <sheetName val="基本参数"/>
      <sheetName val="KM"/>
      <sheetName val="仪表"/>
      <sheetName val="A_R_014"/>
      <sheetName val="ADJ_Sum(console)4"/>
      <sheetName val="Defer_tax4"/>
      <sheetName val="Estimated_AP_9_034"/>
      <sheetName val="2005_063"/>
      <sheetName val="Mar_OR3"/>
      <sheetName val="REC_973"/>
      <sheetName val="daywork-_Tham_khao3"/>
      <sheetName val="TB_Link3"/>
      <sheetName val="office_supplies2"/>
      <sheetName val="Financ__Overview2"/>
      <sheetName val="各年往来_(2)2"/>
      <sheetName val="IFRS_REPORTING2"/>
      <sheetName val="关联交易-存款hࢀ_ࢀ__x005f_x0001_2"/>
      <sheetName val="A5_Summary2"/>
      <sheetName val="关联交易-存款hࢀ_ࢀ__x005f_x005f_x005f_x0001_2"/>
      <sheetName val="zero_(3)2"/>
      <sheetName val="3_22"/>
      <sheetName val="A3_Sum2"/>
      <sheetName val="Invest_2"/>
      <sheetName val="Inv_days_#52"/>
      <sheetName val="control_sheet_fund_II2"/>
      <sheetName val="Exec_Summary2"/>
      <sheetName val="F1100芯片测试费_2"/>
      <sheetName val="关联交易-存款hࢀ_ࢀ__1"/>
      <sheetName val="短期投资股票投资_dbf1"/>
      <sheetName val="短期投资国债投资_dbf1"/>
      <sheetName val="股票投资收益_dbf1"/>
      <sheetName val="其他货币海通_dbf1"/>
      <sheetName val="其他货币零领路_dbf1"/>
      <sheetName val="投资收益债券_dbf1"/>
      <sheetName val="Base_Info1"/>
      <sheetName val="PV6_3_5L_LX5_GMX1701"/>
      <sheetName val="Company_Information1"/>
      <sheetName val="P&amp;L_adhoc1"/>
      <sheetName val="Suppl_Adhoc_Inv_(F)1"/>
      <sheetName val="Suppl_Adhoc_Pers1"/>
      <sheetName val="QTR_Data_Analysis1"/>
      <sheetName val="Disclosure_Summary1"/>
      <sheetName val="BOX_SUM1"/>
      <sheetName val="FIN_GOOD1"/>
      <sheetName val="Hyperion_Link1"/>
      <sheetName val="Price_List1"/>
      <sheetName val="1461（12_6）1"/>
      <sheetName val="Payed_bonuses1"/>
      <sheetName val="Output_&amp;_Financial_Statements1"/>
      <sheetName val="Old_TWX_Quorfa1"/>
      <sheetName val="TWX_Model1"/>
      <sheetName val="FS_Output_41"/>
      <sheetName val="FS_Output_11"/>
      <sheetName val="FS_Output_31"/>
      <sheetName val="FS_Output21"/>
      <sheetName val="Deal_Structure_&amp;_Control_Page1"/>
      <sheetName val="Historic_Comps1"/>
      <sheetName val="Bank_card_list1"/>
      <sheetName val="All_Cash_Dil1"/>
      <sheetName val="关联交易-存款hࢀ_ࢀ__x005f_x005f_x005f_x005f_1"/>
      <sheetName val="1-_Input_&amp;_Info1"/>
      <sheetName val="CUSTOMER_(DETAIL)1"/>
      <sheetName val="Lease_AP_20081"/>
      <sheetName val="Antivol_D21"/>
      <sheetName val="Vendor_Data1"/>
      <sheetName val="Romford_Market1"/>
      <sheetName val="&lt;FF&gt;_Tax_Payable1"/>
      <sheetName val="PPD_Schedule1"/>
      <sheetName val="清单12_311"/>
      <sheetName val="Economic_evaluation_-_FY98_bas1"/>
      <sheetName val="2_5上年现金试算1"/>
      <sheetName val="Base_Data1"/>
      <sheetName val="1_01"/>
      <sheetName val="Detail_Loan_Move__&amp;_Listing1"/>
      <sheetName val="Non-Statistical_Sampling1"/>
      <sheetName val="AR_Drop_Downs1"/>
      <sheetName val="PRC_GAAP1"/>
      <sheetName val="Project_Details"/>
      <sheetName val="1_资金支付台帐"/>
      <sheetName val="0_1公司清单"/>
      <sheetName val="H_R"/>
      <sheetName val="IRR_Historic"/>
      <sheetName val="Portfolio_IRR"/>
      <sheetName val="Val_Inputs"/>
      <sheetName val="Model_Inputs"/>
      <sheetName val="Exchange_Rates&gt;&gt;"/>
      <sheetName val="Funding_Combined"/>
      <sheetName val="FY18_funding"/>
      <sheetName val="iFood_funding"/>
      <sheetName val="Summary_Adjusted"/>
      <sheetName val="Summary_Combined"/>
      <sheetName val="Conversion_Roll_forward"/>
      <sheetName val="Summary_Roll_Forward"/>
      <sheetName val="Conversion_DCF"/>
      <sheetName val="Summary_DCF"/>
      <sheetName val="Conversion_Cash_Flow"/>
      <sheetName val="Summary_Cash_Flow"/>
      <sheetName val="Company_Name_mappings"/>
      <sheetName val="7_-_ARO_Assumptions"/>
      <sheetName val="PH_Car"/>
      <sheetName val="___合同台账__"/>
      <sheetName val="Sales_for_2001"/>
      <sheetName val="Tritel_Consolidated"/>
      <sheetName val="TeleCorp_Holdco_Summary"/>
      <sheetName val="Opening_check_Misc_(WO_Only)"/>
      <sheetName val="U1_6"/>
      <sheetName val="CLA-21_1-4_OLD"/>
      <sheetName val="Related_company1"/>
      <sheetName val="Data_From_XXX1"/>
      <sheetName val="Delphi_original1"/>
      <sheetName val="FUEL_FILLER1"/>
      <sheetName val="资产评估结果分类汇总表_(2)"/>
      <sheetName val="Cost_of_Equity"/>
      <sheetName val="Capex_report"/>
      <sheetName val="VCC_11110-461"/>
      <sheetName val="Start"/>
      <sheetName val="Eingabe"/>
      <sheetName val="LE7"/>
      <sheetName val="职工薪酬抽查"/>
      <sheetName val="序列"/>
      <sheetName val="未审增减变动表"/>
      <sheetName val="固定资产审定表"/>
      <sheetName val="shan"/>
      <sheetName val="封面 Cover"/>
      <sheetName val="Other M&amp;R"/>
      <sheetName val="A141-20-17"/>
      <sheetName val="1－5月余额表"/>
      <sheetName val="1－10月余额表"/>
      <sheetName val="TR0198"/>
      <sheetName val="ProzessA"/>
      <sheetName val="EingabeMaske"/>
      <sheetName val="Q-Faehigk"/>
      <sheetName val="QTP_dt."/>
      <sheetName val="银行函证目录"/>
      <sheetName val="Basic_Local"/>
      <sheetName val="Aug"/>
      <sheetName val="Dec"/>
      <sheetName val="Nov"/>
      <sheetName val="Oct"/>
      <sheetName val="Sep"/>
      <sheetName val="参数表"/>
      <sheetName val="05 AOP - Exp by CC"/>
      <sheetName val="05 AOP - By Acct Detail"/>
      <sheetName val="coststruk"/>
      <sheetName val="PersPlan"/>
      <sheetName val="IB Average"/>
      <sheetName val="IB"/>
      <sheetName val="Int ZFLS"/>
      <sheetName val="WB"/>
      <sheetName val="WoS"/>
      <sheetName val="2019科余表"/>
      <sheetName val="DCF_VDF"/>
      <sheetName val="I-cycle count08"/>
      <sheetName val="Phase_II_steel_1000"/>
      <sheetName val="盤點清冊汇总"/>
      <sheetName val="Steuerung"/>
      <sheetName val="Months"/>
      <sheetName val="TT template"/>
      <sheetName val="2038"/>
      <sheetName val="Valuation - GSJBW"/>
      <sheetName val="AssBook"/>
      <sheetName val="Ass1"/>
      <sheetName val="680"/>
      <sheetName val="624"/>
      <sheetName val="Sheet602"/>
      <sheetName val="Group structure"/>
      <sheetName val="670"/>
      <sheetName val="565"/>
      <sheetName val="1052"/>
      <sheetName val="1817"/>
      <sheetName val="604"/>
      <sheetName val="1887"/>
      <sheetName val="LOT別原価明細_マシン_"/>
      <sheetName val="Mov‘2008"/>
      <sheetName val="Mov‘2007"/>
      <sheetName val="Mov‘2005"/>
      <sheetName val="Mov‘2006"/>
      <sheetName val="Profit and loss"/>
      <sheetName val="R3抵消"/>
      <sheetName val="收入抵消"/>
      <sheetName val="RB"/>
      <sheetName val="1727"/>
      <sheetName val="UPLDGA"/>
      <sheetName val="Pick Lists Sheet"/>
      <sheetName val="市场法案例"/>
      <sheetName val="K1 Tax computation"/>
      <sheetName val="547"/>
      <sheetName val="1149"/>
      <sheetName val="1148"/>
      <sheetName val="Sheet649"/>
      <sheetName val="chart"/>
      <sheetName val="SET_UP"/>
      <sheetName val="CF4"/>
      <sheetName val="CF5"/>
      <sheetName val="CF7"/>
      <sheetName val="CF8"/>
      <sheetName val="16EDO"/>
      <sheetName val="16SD"/>
      <sheetName val="16WB"/>
      <sheetName val="256M"/>
      <sheetName val="4M"/>
      <sheetName val="64EDO"/>
      <sheetName val="64SD"/>
      <sheetName val="DRD"/>
      <sheetName val="1226"/>
      <sheetName val="566"/>
      <sheetName val="1567"/>
      <sheetName val="_2594"/>
      <sheetName val="_2598"/>
      <sheetName val="2600"/>
      <sheetName val="5076"/>
      <sheetName val="_5174"/>
      <sheetName val="ContractList"/>
      <sheetName val="动态图表-定义名称"/>
      <sheetName val="Checking"/>
      <sheetName val="2weeeks All  Excess and Shortag"/>
      <sheetName val="FrontPage"/>
      <sheetName val="CheckSheet"/>
      <sheetName val="Data_Entry"/>
      <sheetName val="M1S"/>
      <sheetName val="M3"/>
      <sheetName val="M5A_M5B"/>
      <sheetName val="M6"/>
      <sheetName val="M5_M6 Summary"/>
      <sheetName val="M7"/>
      <sheetName val="M7B"/>
      <sheetName val="M8"/>
      <sheetName val="M8A"/>
      <sheetName val="M9"/>
      <sheetName val="AF1"/>
      <sheetName val="MD1"/>
      <sheetName val="MD2"/>
      <sheetName val="FC1"/>
      <sheetName val="FC2"/>
      <sheetName val="W1"/>
      <sheetName val="Dialogs"/>
      <sheetName val="Macros"/>
      <sheetName val="AutoData"/>
      <sheetName val="Sheet1 (3)"/>
      <sheetName val="应收帐款明细表"/>
      <sheetName val="现金流量表_月报_"/>
      <sheetName val="2006"/>
      <sheetName val="687"/>
      <sheetName val="单位设置"/>
      <sheetName val="合并科目"/>
      <sheetName val="Assistance"/>
      <sheetName val="出口免抵退"/>
      <sheetName val="ActiveRM"/>
      <sheetName val="1996"/>
      <sheetName val="1997"/>
      <sheetName val="NBE DCF"/>
      <sheetName val="Consolidated DCF"/>
      <sheetName val="Boilers DCF"/>
      <sheetName val="NBE (heat rate)"/>
      <sheetName val="物流超市5-1-1房建"/>
      <sheetName val="OPEX-IST"/>
      <sheetName val="source-1"/>
      <sheetName val="PL1"/>
      <sheetName val="2.1设计部"/>
      <sheetName val="1056"/>
      <sheetName val="1065"/>
      <sheetName val="592"/>
      <sheetName val="SUM14ZC1"/>
      <sheetName val="Business Unit"/>
      <sheetName val="现金银行日记账"/>
      <sheetName val="TSA"/>
      <sheetName val="关联交易-存款hࢀ_ࢀ__x0001_1"/>
      <sheetName val="삅ོ䚋栠Ѫ_x005f_x005f_x"/>
      <sheetName val="关联交易-存款__x00"/>
      <sheetName val="关联交易-存款_x00"/>
      <sheetName val="关联交易-存款h_x0001___x0"/>
      <sheetName val="关联交易-存款lঀ;ঀ;_"/>
      <sheetName val="关联交易-存款l઀Ƽ઀Ƽ_"/>
      <sheetName val="1.1 Project Data"/>
      <sheetName val="LOV"/>
      <sheetName val="HOME"/>
      <sheetName val="BS(goc)"/>
      <sheetName val="BS CHECK"/>
      <sheetName val="Scenario"/>
      <sheetName val="C.货币资金"/>
      <sheetName val="C.抵押存款"/>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Sheet502"/>
      <sheetName val="Sheet608"/>
      <sheetName val="Sheet656"/>
      <sheetName val="695"/>
      <sheetName val="Financial Statistics"/>
      <sheetName val="班部番別"/>
      <sheetName val="Sheet994"/>
      <sheetName val="Offering Stats"/>
      <sheetName val="Sheet639"/>
      <sheetName val="Segment to Legal"/>
      <sheetName val="木"/>
      <sheetName val="현금"/>
      <sheetName val="별제권_정리담보권"/>
      <sheetName val="ALL DATA"/>
      <sheetName val="1023"/>
      <sheetName val="992"/>
      <sheetName val="1024"/>
      <sheetName val="FY2016"/>
      <sheetName val="TB &amp; 2013"/>
      <sheetName val="EJE&amp;2013"/>
      <sheetName val="BIS LIST-NTH 18"/>
      <sheetName val="TTL"/>
      <sheetName val="Sheet482"/>
      <sheetName val="Sheet505"/>
      <sheetName val="Sheet1758"/>
      <sheetName val="Sheet668"/>
      <sheetName val="应收热费101112"/>
      <sheetName val="1673"/>
      <sheetName val="2125"/>
      <sheetName val="2126"/>
      <sheetName val="Sheet2055"/>
      <sheetName val="6641"/>
      <sheetName val="Scenarios"/>
      <sheetName val="CRC"/>
      <sheetName val="Gastric"/>
      <sheetName val="NSCLC"/>
      <sheetName val="应收帐款"/>
      <sheetName val="651"/>
      <sheetName val="2077"/>
      <sheetName val="Consol FS"/>
      <sheetName val="Konten"/>
      <sheetName val="0"/>
      <sheetName val="D410 应交税金变动表Movement"/>
      <sheetName val="Sheet1013"/>
      <sheetName val="1268"/>
      <sheetName val="汽车销量及出口（财务开票）"/>
      <sheetName val="10月份毛利表"/>
      <sheetName val="制费-分月"/>
      <sheetName val="基本资料(不打印)"/>
      <sheetName val="附件10 东莞百宏-待摊费用2019"/>
      <sheetName val="附件6 东莞百宏-其他应收款2019"/>
      <sheetName val="附件8 东莞百宏-预收账款2019"/>
      <sheetName val="科目余额2019"/>
      <sheetName val="P &amp; L Account"/>
      <sheetName val="Cntmrs"/>
      <sheetName val="A3.试算表Financial statement"/>
      <sheetName val="K.固定资产&amp;投资性房地产"/>
      <sheetName val="G.其他应收款"/>
      <sheetName val="Sheet552"/>
      <sheetName val="2454"/>
      <sheetName val="2456"/>
      <sheetName val="2675"/>
      <sheetName val="Sheet880"/>
      <sheetName val="标本-资产"/>
      <sheetName val="1220"/>
      <sheetName val="1218"/>
      <sheetName val="capital"/>
      <sheetName val="A810-ASM"/>
      <sheetName val="归类"/>
      <sheetName val="油墨"/>
      <sheetName val="FF-2 (1)"/>
      <sheetName val="WACC Analysis Output"/>
      <sheetName val="SFC fcst"/>
      <sheetName val="dd"/>
      <sheetName val="资产负债表验证表"/>
      <sheetName val="01 T"/>
      <sheetName val="03 "/>
      <sheetName val="수정시산표"/>
      <sheetName val="1544"/>
      <sheetName val="中山低值"/>
      <sheetName val="Occupancy 2004"/>
      <sheetName val="Fcst 2017"/>
      <sheetName val="关联交易-存款_滨__x001a_ "/>
      <sheetName val="1580"/>
      <sheetName val="1679"/>
      <sheetName val="1365"/>
      <sheetName val="ZO-510"/>
      <sheetName val="Z0-350"/>
      <sheetName val="ZO-300"/>
      <sheetName val="PPH1298S"/>
      <sheetName val="A_R_015"/>
      <sheetName val="Defer_tax5"/>
      <sheetName val="ADJ_Sum(console)5"/>
      <sheetName val="Estimated_AP_9_035"/>
      <sheetName val="2005_064"/>
      <sheetName val="daywork-_Tham_khao4"/>
      <sheetName val="TB_Link4"/>
      <sheetName val="Mar_OR4"/>
      <sheetName val="truc_tiep3"/>
      <sheetName val="REC_974"/>
      <sheetName val="P_1预收、其他应付、其他流动负债3"/>
      <sheetName val="G_预付账款、其他应收款、其他流动资产3"/>
      <sheetName val="_U1503"/>
      <sheetName val="2-分类汇总_Classified_Summary3"/>
      <sheetName val="各年往来_(2)3"/>
      <sheetName val="Financ__Overview3"/>
      <sheetName val="IFRS_REPORTING3"/>
      <sheetName val="关联交易-存款hࢀ_ࢀ__x005f_x0001_3"/>
      <sheetName val="A5_Summary3"/>
      <sheetName val="office_supplies3"/>
      <sheetName val="zero_(3)3"/>
      <sheetName val="Ex_Diff2"/>
      <sheetName val="关联交易-存款hࢀ_ࢀ__x005f_x005f_x005f_x0001_3"/>
      <sheetName val="Invest_3"/>
      <sheetName val="TAB_Daten2"/>
      <sheetName val="A3_Sum3"/>
      <sheetName val="II-_Liability_Component_June_02"/>
      <sheetName val="I-Conclusion_2"/>
      <sheetName val="II-_Liab__comp_IAS2"/>
      <sheetName val="Conversion_feature2"/>
      <sheetName val="I-_Summary2"/>
      <sheetName val="3_23"/>
      <sheetName val="Inv_days_#53"/>
      <sheetName val="control_sheet_fund_II3"/>
      <sheetName val="Exec_Summary3"/>
      <sheetName val="N_应付账款2"/>
      <sheetName val="Raw_materials2"/>
      <sheetName val="关联交易-存款hࢀ_ࢀ__x005f_x005f_x005f_x005f_x005f2"/>
      <sheetName val="关联交易-存款hࢀ_ࢀ__x005f_x005f_2"/>
      <sheetName val="F1100芯片测试费_3"/>
      <sheetName val="Sch_PR-22"/>
      <sheetName val="Sch_PR-32"/>
      <sheetName val="Consol_BS2"/>
      <sheetName val="HO_&amp;_Aust_BS2"/>
      <sheetName val="JAC11_302"/>
      <sheetName val="Tier1_Pref_SGP2"/>
      <sheetName val="Rev__Losses2"/>
      <sheetName val="SoP_SGP22"/>
      <sheetName val="Prop_R2"/>
      <sheetName val="Tier1_Pref_SBP2"/>
      <sheetName val="Income_Statement_breakdown2"/>
      <sheetName val="销售6_132"/>
      <sheetName val="关联交易-存款hࢀ_ࢀ__2"/>
      <sheetName val="qad_TB2"/>
      <sheetName val="短期投资股票投资_dbf2"/>
      <sheetName val="短期投资国债投资_dbf2"/>
      <sheetName val="股票投资收益_dbf2"/>
      <sheetName val="其他货币海通_dbf2"/>
      <sheetName val="其他货币零领路_dbf2"/>
      <sheetName val="投资收益债券_dbf2"/>
      <sheetName val="Base_Info2"/>
      <sheetName val="PV6_3_5L_LX5_GMX1702"/>
      <sheetName val="Company_Information2"/>
      <sheetName val="P&amp;L_adhoc2"/>
      <sheetName val="Suppl_Adhoc_Inv_(F)2"/>
      <sheetName val="Suppl_Adhoc_Pers2"/>
      <sheetName val="QTR_Data_Analysis2"/>
      <sheetName val="Disclosure_Summary2"/>
      <sheetName val="BOX_SUM2"/>
      <sheetName val="FIN_GOOD2"/>
      <sheetName val="Hyperion_Link2"/>
      <sheetName val="关联交易-存款?滨?_2"/>
      <sheetName val="Price_List2"/>
      <sheetName val="1461（12_6）2"/>
      <sheetName val="Payed_bonuses2"/>
      <sheetName val="Output_&amp;_Financial_Statements2"/>
      <sheetName val="Old_TWX_Quorfa2"/>
      <sheetName val="TWX_Model2"/>
      <sheetName val="FS_Output_42"/>
      <sheetName val="FS_Output_12"/>
      <sheetName val="FS_Output_32"/>
      <sheetName val="FS_Output22"/>
      <sheetName val="Deal_Structure_&amp;_Control_Page2"/>
      <sheetName val="Historic_Comps2"/>
      <sheetName val="Bank_card_list2"/>
      <sheetName val="All_Cash_Dil2"/>
      <sheetName val="关联交易-存款hࢀ_ࢀ__x005f_x005f_x005f_x005f_2"/>
      <sheetName val="1-_Input_&amp;_Info2"/>
      <sheetName val="CUSTOMER_(DETAIL)2"/>
      <sheetName val="Lease_AP_20082"/>
      <sheetName val="Antivol_D22"/>
      <sheetName val="Vendor_Data2"/>
      <sheetName val="2_5上年现金试算2"/>
      <sheetName val="Romford_Market2"/>
      <sheetName val="&lt;FF&gt;_Tax_Payable2"/>
      <sheetName val="PPD_Schedule2"/>
      <sheetName val="清单12_312"/>
      <sheetName val="Economic_evaluation_-_FY98_bas2"/>
      <sheetName val="Base_Data2"/>
      <sheetName val="1_02"/>
      <sheetName val="Detail_Loan_Move__&amp;_Listing2"/>
      <sheetName val="Non-Statistical_Sampling2"/>
      <sheetName val="AR_Drop_Downs2"/>
      <sheetName val="PRC_GAAP2"/>
      <sheetName val="CY_sales_report1"/>
      <sheetName val="addl_cost1"/>
      <sheetName val="综合成本分析01_01-02051"/>
      <sheetName val="statement_19981"/>
      <sheetName val="XVIa(i)_-_average_price_(2)1"/>
      <sheetName val="Table_13_1_-_31"/>
      <sheetName val="T__B1"/>
      <sheetName val="ACC_NAME1"/>
      <sheetName val="Cash_Flow_-_CY_Workings1"/>
      <sheetName val="2_cot1"/>
      <sheetName val="for_ey_reviewer_销售费用1"/>
      <sheetName val="for_ey_reviewer_制造费用1"/>
      <sheetName val="Rejects_PPM1"/>
      <sheetName val="QOS_RPPM1"/>
      <sheetName val="Standort_(DE)1"/>
      <sheetName val="Act_Vol1"/>
      <sheetName val="SD-Report_5&quot;1"/>
      <sheetName val="M_Schedules1"/>
      <sheetName val="Staff_List1"/>
      <sheetName val="链接表（勿动）_元)1"/>
      <sheetName val="两次基准日的对比_(0531与0831)1"/>
      <sheetName val="链接表（勿动）_(元表)1"/>
      <sheetName val="Customer_Name1"/>
      <sheetName val="IRR_&amp;_NPV1"/>
      <sheetName val="ZP7_gespritzt1"/>
      <sheetName val="C-1_总表1"/>
      <sheetName val="4_1-合同台帐1"/>
      <sheetName val="Income_Statement_and_KPIs1"/>
      <sheetName val="GA5-2-1_明细表20151"/>
      <sheetName val="index_cc1"/>
      <sheetName val="1_5_合同、非合同台帐1"/>
      <sheetName val="IS_Summary-961"/>
      <sheetName val="Library_Procedures1"/>
      <sheetName val="Non-Statistical_Sampling_Maste1"/>
      <sheetName val="Global_Data1"/>
      <sheetName val="4_1拆出资金1"/>
      <sheetName val="aging_06121"/>
      <sheetName val="NA_QTR_PROD1"/>
      <sheetName val="Official_Lehman_PROD_Sched1"/>
      <sheetName val="Income_statement1"/>
      <sheetName val="PRC_151"/>
      <sheetName val="acc_list1"/>
      <sheetName val="在建工程_final1"/>
      <sheetName val="7_-_ARO_Assumptions1"/>
      <sheetName val="진행_DATA_(2)1"/>
      <sheetName val="开发成本2002_-_Movement1"/>
      <sheetName val="Acq_Assumptions_I1"/>
      <sheetName val="Acq_Assumptions_II1"/>
      <sheetName val="Acq_Assumptions_III1"/>
      <sheetName val="Service_Parts_Rejects_(RPPM)1"/>
      <sheetName val="Carole_Worksheet_Table1"/>
      <sheetName val="VS_Consensus1"/>
      <sheetName val="销售人效_-_Overview1"/>
      <sheetName val="Two_Step_Revenue_Testing_Maste1"/>
      <sheetName val="Share_Prices1"/>
      <sheetName val="Book_1_Summary1"/>
      <sheetName val="Salses_breakdown1"/>
      <sheetName val="国别报告数据填报模板(Information_Request1"/>
      <sheetName val="CJE_energy_inv1"/>
      <sheetName val="YTD_SALES1"/>
      <sheetName val="0_1公司清单1"/>
      <sheetName val="H_R1"/>
      <sheetName val="1_资金支付台帐1"/>
      <sheetName val="M&amp;A_pipeline1"/>
      <sheetName val="Feb_Allocation%1"/>
      <sheetName val="Com_Lever1"/>
      <sheetName val="expenses_calc1"/>
      <sheetName val="existing_cities_benchmark1"/>
      <sheetName val="master_sheet1"/>
      <sheetName val="bike_loss1"/>
      <sheetName val="exchange_rate1"/>
      <sheetName val="Cash_Flow_Worksheet1"/>
      <sheetName val="Chart_Analysis1"/>
      <sheetName val="2005_011"/>
      <sheetName val="Comp_equip1"/>
      <sheetName val="Access360_-_PP1"/>
      <sheetName val="Program_Controls1"/>
      <sheetName val="BS_Heading1"/>
      <sheetName val="PER_SALES_ORG1"/>
      <sheetName val="08_81"/>
      <sheetName val="其他货币资金_dbf1"/>
      <sheetName val="银行存款_dbf1"/>
      <sheetName val="2018_ADJ1"/>
      <sheetName val="F19_21"/>
      <sheetName val="F19_11"/>
      <sheetName val="F5_51"/>
      <sheetName val="F5_31"/>
      <sheetName val="Accounts_Database1"/>
      <sheetName val="CH_Car1"/>
      <sheetName val="App1_Entities_sequence_number1"/>
      <sheetName val="POWER_ASSUMPTIONS1"/>
      <sheetName val="summary_1"/>
      <sheetName val="关联交易-存款_滨__2"/>
      <sheetName val="F40-Goodsin_transit1"/>
      <sheetName val="1002-1031170406_Capital_Accoun1"/>
      <sheetName val="Air_Conditional1"/>
      <sheetName val="Motor_Vehicle1"/>
      <sheetName val="2018工程汇总_1"/>
      <sheetName val="表二十二_(2)"/>
      <sheetName val="附表1_年度人数"/>
      <sheetName val="Cash_Flow1"/>
      <sheetName val="26_存货月报表"/>
      <sheetName val="cum_pred"/>
      <sheetName val="库存商品余额表_dbf1"/>
      <sheetName val="Project_Details1"/>
      <sheetName val="Tritel_Consolidated1"/>
      <sheetName val="TeleCorp_Holdco_Summary1"/>
      <sheetName val="Sales_Volumes_&amp;_Plan"/>
      <sheetName val="Net_Sales_LC"/>
      <sheetName val="query_results"/>
      <sheetName val="Opening_check_Misc_(WO_Only)1"/>
      <sheetName val="IRR_Historic1"/>
      <sheetName val="Portfolio_IRR1"/>
      <sheetName val="Val_Inputs1"/>
      <sheetName val="Model_Inputs1"/>
      <sheetName val="Exchange_Rates&gt;&gt;1"/>
      <sheetName val="Funding_Combined1"/>
      <sheetName val="FY18_funding1"/>
      <sheetName val="iFood_funding1"/>
      <sheetName val="Summary_Adjusted1"/>
      <sheetName val="Summary_Combined1"/>
      <sheetName val="Conversion_Roll_forward1"/>
      <sheetName val="Summary_Roll_Forward1"/>
      <sheetName val="Conversion_DCF1"/>
      <sheetName val="Summary_DCF1"/>
      <sheetName val="Conversion_Cash_Flow1"/>
      <sheetName val="Summary_Cash_Flow1"/>
      <sheetName val="Company_Name_mappings1"/>
      <sheetName val="PH_Car1"/>
      <sheetName val="Related_company2"/>
      <sheetName val="Data_From_XXX2"/>
      <sheetName val="Delphi_original2"/>
      <sheetName val="FUEL_FILLER2"/>
      <sheetName val="Capex_report1"/>
      <sheetName val="___合同台账__1"/>
      <sheetName val="CIP_DETAILS"/>
      <sheetName val="Sales_for_20011"/>
      <sheetName val="7_(2)1"/>
      <sheetName val="Info__Request"/>
      <sheetName val="U1_61"/>
      <sheetName val="Price_Provision_清单"/>
      <sheetName val="PltRpt_(A&amp;F)"/>
      <sheetName val="PltRpt_(A&amp;FvsB)"/>
      <sheetName val="PltRpt_(B&amp;AC)"/>
      <sheetName val="Schedule_B"/>
      <sheetName val="Tav_22_Rischio_di_Credito"/>
      <sheetName val="信息费用预算表(A4)_"/>
      <sheetName val="Depreciation_test"/>
      <sheetName val="Table_US_Currency"/>
      <sheetName val="fixed_assets_–Forklifts"/>
      <sheetName val="fixed_assets_–battery"/>
      <sheetName val="ARP_stt_2"/>
      <sheetName val="Gen_Accruals"/>
      <sheetName val="Legal_Accrual"/>
      <sheetName val="Payroll_Accrual"/>
      <sheetName val="Cost_of_Equity1"/>
      <sheetName val="CLA-21_1-4_OLD1"/>
      <sheetName val="E3_A"/>
      <sheetName val="_1"/>
      <sheetName val="Ex__rate"/>
      <sheetName val="资产评估结果分类汇总表_(2)1"/>
      <sheetName val="SPI_GMBH"/>
      <sheetName val="Summary_Page_VDF"/>
      <sheetName val="Invested_capital_VDF"/>
      <sheetName val="LT_TB"/>
      <sheetName val="LTMD_TB"/>
      <sheetName val="OC_TB"/>
      <sheetName val="ZD_TB"/>
      <sheetName val="Agency_Walker_ID"/>
      <sheetName val="sales_breakdown"/>
      <sheetName val="co_info"/>
      <sheetName val="Interim_NWA_converted_in_Dec02"/>
      <sheetName val="AP-NSK(trade)_USD"/>
      <sheetName val="IV-NSK_JPY"/>
      <sheetName val="AP-NSK_(trade)_JPY"/>
      <sheetName val="AR-KTB_JPY"/>
      <sheetName val="AR-NSK_(trade)_USD"/>
      <sheetName val="ar-OKI_Micro"/>
      <sheetName val="AR-TAIKO_JPY"/>
      <sheetName val="BR-Thousand_JPY"/>
      <sheetName val="F余额表2021_(2)"/>
      <sheetName val="F余额表2021_(3)"/>
      <sheetName val="其他业务成本_111031"/>
      <sheetName val="A6620_Detail"/>
      <sheetName val="K311_A_List02"/>
      <sheetName val="99Exh_I"/>
      <sheetName val="외주현황_wq1"/>
      <sheetName val="Difference_Reconcliation"/>
      <sheetName val="RPT_Disclosure"/>
      <sheetName val="FY99_Volume"/>
      <sheetName val="Sal_&amp;_Wage_Info"/>
      <sheetName val="LAbor_estimate"/>
      <sheetName val="2018_4_7_for_Bank"/>
      <sheetName val="SPLICE_HOURS"/>
      <sheetName val="SC_HKD_CA"/>
      <sheetName val="M_P_"/>
      <sheetName val="Taux_de_change_"/>
      <sheetName val="plantilla_mes"/>
      <sheetName val="PL_by_month-EFY"/>
      <sheetName val="Calcs_for__quarterly_pres"/>
      <sheetName val="Valuation_Matrix"/>
      <sheetName val="Mov_from_2001_to_20031"/>
      <sheetName val="cur_rates"/>
      <sheetName val="Total_2009"/>
      <sheetName val="3rd_Qtr"/>
      <sheetName val="5th_Qtr"/>
      <sheetName val="6th_Qtr"/>
      <sheetName val="7th_Qtr"/>
      <sheetName val="Exit_Forecast"/>
      <sheetName val="2nd_Qtr"/>
      <sheetName val="Rounded_Input"/>
      <sheetName val="_003_3固定资产"/>
      <sheetName val="SUIVI_EFFECTIFS"/>
      <sheetName val="Vendas_Tons"/>
      <sheetName val="C_Estr_"/>
      <sheetName val="EFFECT_"/>
      <sheetName val="Trial_Balance"/>
      <sheetName val="VT_TEB_Planung-2006"/>
      <sheetName val="BT_03"/>
      <sheetName val="BT_02"/>
      <sheetName val="BT_01"/>
      <sheetName val="ICP费用ICP_Expense"/>
      <sheetName val="ICP其他应付款ICP_OtherPayable"/>
      <sheetName val="Product_List"/>
      <sheetName val="BALANCE_SHEET"/>
      <sheetName val="总公司2002_12_31"/>
      <sheetName val="_W60A_Seating_2011_3_7_xlsx"/>
      <sheetName val="FIRE_Parameters"/>
      <sheetName val="5_基础档案"/>
      <sheetName val="P&amp;L_Summary_Page"/>
      <sheetName val="Expenses_with_Comparisons"/>
      <sheetName val="TEV_Multiples"/>
      <sheetName val="CSM_Data_by_CY_"/>
      <sheetName val="Pref_Probable_Case_Returns"/>
      <sheetName val="Interco_BSC_01"/>
      <sheetName val="U210'_"/>
      <sheetName val="VCC_11110-4611"/>
      <sheetName val="CREDIT_STATS"/>
      <sheetName val="FAT_DB"/>
      <sheetName val="CF_Bridge"/>
      <sheetName val="Other_R&amp;O"/>
      <sheetName val="Co_59"/>
      <sheetName val="FA_List"/>
      <sheetName val="Operating_"/>
      <sheetName val="CFS_adjustments"/>
      <sheetName val="Office_Improve"/>
      <sheetName val="Drop_down"/>
      <sheetName val="2010_Breakdown"/>
      <sheetName val="CA_consolidated"/>
      <sheetName val="Chart_of_Acct"/>
      <sheetName val="Comparative_Balance_Sheet"/>
      <sheetName val="Com_list"/>
      <sheetName val="Headcount_and_Oil_Price"/>
      <sheetName val="BOE_Stats"/>
      <sheetName val="C_-_Cash_and_Bank"/>
      <sheetName val="others_gl"/>
      <sheetName val="Beg-_End_balance"/>
      <sheetName val="Net_Trans_Sum"/>
      <sheetName val="Sum_Hist"/>
      <sheetName val="Corporate_PPT"/>
      <sheetName val="WTI_Coporate_Eliminations_PPT"/>
      <sheetName val="Sales_by_category"/>
      <sheetName val="1102_TAB_OPPORTUNITY_to_import"/>
      <sheetName val="_FY2000"/>
      <sheetName val="BU_Parameters"/>
      <sheetName val="Valuation_Summary"/>
      <sheetName val="Capex_&amp;_Working_Capital_"/>
      <sheetName val="Product_Summary"/>
      <sheetName val="Revenue_Output"/>
      <sheetName val="P&amp;L_Summary"/>
      <sheetName val="Gross_Profit_Output_(100%)"/>
      <sheetName val="Historical_IS"/>
      <sheetName val="Other_Working_Assumptions"/>
      <sheetName val="Valuation_Waterfall"/>
      <sheetName val="Gross_Profit"/>
      <sheetName val="Historical_BS"/>
      <sheetName val="Key_Assumptions"/>
      <sheetName val="Instruction_Sheet"/>
      <sheetName val="Monthly_Ex_rate"/>
      <sheetName val="Expense_Accrual"/>
      <sheetName val="Gen__Accrual"/>
      <sheetName val="Prod__Accrual"/>
      <sheetName val="Rent_Accrual"/>
      <sheetName val="Corporate_Sales"/>
      <sheetName val="Freight_Issues"/>
      <sheetName val="Financial_Summary"/>
      <sheetName val="Rev_provit"/>
      <sheetName val="Repayment_Summary"/>
      <sheetName val="会计科目设置__科目汇总表"/>
      <sheetName val="IND_"/>
      <sheetName val="Performance_Graphs"/>
      <sheetName val="Validation_source"/>
      <sheetName val="EXP_LINE"/>
      <sheetName val="封面_Cover"/>
      <sheetName val="Other_M&amp;R"/>
      <sheetName val="QTP_dt_"/>
      <sheetName val="05_AOP_-_Exp_by_CC"/>
      <sheetName val="05_AOP_-_By_Acct_Detail"/>
      <sheetName val="IB_Average"/>
      <sheetName val="Int_ZFLS"/>
      <sheetName val="I-cycle_count08"/>
      <sheetName val="TT_template"/>
      <sheetName val="Valuation_-_GSJBW"/>
      <sheetName val="Sheet654"/>
      <sheetName val="Sheet1137"/>
      <sheetName val="物料"/>
      <sheetName val="Account Map"/>
      <sheetName val="DOC34"/>
      <sheetName val="WendyCaymanEstimatePricing"/>
      <sheetName val="0521"/>
      <sheetName val="调整分录表"/>
      <sheetName val="全"/>
      <sheetName val="001铝锭"/>
      <sheetName val="003普废料"/>
      <sheetName val="004合金废料"/>
      <sheetName val="006精废料"/>
      <sheetName val="B03空调箔"/>
      <sheetName val="B06空调箔"/>
      <sheetName val="B02空调箔"/>
      <sheetName val="O adj"/>
      <sheetName val="1137"/>
      <sheetName val="1102 MIT"/>
      <sheetName val="BB"/>
      <sheetName val="基本情况表"/>
      <sheetName val="Sheet768"/>
      <sheetName val="枚举字典"/>
      <sheetName val="FZ-1"/>
      <sheetName val="Sheet643"/>
      <sheetName val="Sheet766"/>
      <sheetName val="Sheet662"/>
      <sheetName val="Sheet688"/>
      <sheetName val="NEWSPRINT &amp; UGW"/>
      <sheetName val="Management Projections"/>
      <sheetName val="会计报表_PRC"/>
      <sheetName val="会计报表_IFRS"/>
      <sheetName val="预付帐龄"/>
      <sheetName val="Inventories Analysis"/>
      <sheetName val="Sheet1484"/>
      <sheetName val="2127"/>
      <sheetName val="06.1"/>
      <sheetName val="TB0804"/>
      <sheetName val="NON-TP-ABB"/>
      <sheetName val="N1"/>
      <sheetName val="Basic_Data"/>
      <sheetName val="QAD"/>
      <sheetName val="Sept BF"/>
      <sheetName val="HDPE2"/>
      <sheetName val="Anlage 3b, Attachment 3b"/>
      <sheetName val="KE30"/>
      <sheetName val="DAT"/>
      <sheetName val="Kal_PP3"/>
      <sheetName val="Ant.Buss1"/>
      <sheetName val="Ant.Buss2"/>
      <sheetName val="Ant.ZSK"/>
      <sheetName val="Dehy"/>
      <sheetName val="line1"/>
      <sheetName val="Ber_HDPE"/>
      <sheetName val="Ber_PP1"/>
      <sheetName val="Ber_PP2"/>
      <sheetName val="2043"/>
      <sheetName val="Sheet1760"/>
      <sheetName val="Sheet1761"/>
      <sheetName val="_8022"/>
      <sheetName val="Spending-mth(Sohu)"/>
      <sheetName val="Spending-Qtr"/>
      <sheetName val="PP&amp;E &amp; Intangibles"/>
      <sheetName val="Cover --&gt;"/>
      <sheetName val="节奏讨论用"/>
      <sheetName val="COA映射"/>
      <sheetName val="Comps input"/>
      <sheetName val="G2a"/>
      <sheetName val="ConWP"/>
      <sheetName val="配置"/>
      <sheetName val="新名称管理"/>
      <sheetName val="MT by Dept 管理报表费用分类"/>
      <sheetName val="Volatility raw"/>
      <sheetName val="Welfare PIT"/>
      <sheetName val="MB51"/>
      <sheetName val="会计科目"/>
      <sheetName val="Sheet567"/>
      <sheetName val="GZ"/>
      <sheetName val="Pick_Lists_Sheet"/>
      <sheetName val="K1_Tax_computation"/>
      <sheetName val="NBE_DCF"/>
      <sheetName val="Consolidated_DCF"/>
      <sheetName val="Boilers_DCF"/>
      <sheetName val="NBE_(heat_rate)"/>
      <sheetName val="Sheet571"/>
      <sheetName val="Sheet2662"/>
      <sheetName val="6126.07披露表(国资)"/>
      <sheetName val="sales vol."/>
      <sheetName val="附件25.2-销售收入"/>
      <sheetName val="期间费用率"/>
      <sheetName val="采购降成本情况进度统计表"/>
      <sheetName val="核算"/>
      <sheetName val="GC0997"/>
      <sheetName val="Set-up"/>
      <sheetName val="2103"/>
      <sheetName val="15"/>
      <sheetName val="表二"/>
      <sheetName val="表五"/>
      <sheetName val="客户资料录入"/>
      <sheetName val="系统维护"/>
      <sheetName val="系统设置"/>
      <sheetName val="期初试算平衡表"/>
      <sheetName val="其他货币资金"/>
      <sheetName val="未审利润及利润分配表"/>
      <sheetName val="未审资产负债表"/>
      <sheetName val="现金流量表底稿"/>
      <sheetName val="一级科目表"/>
      <sheetName val="应收利息"/>
      <sheetName val="累计折旧"/>
      <sheetName val="未分配利润"/>
      <sheetName val="无形资产"/>
      <sheetName val="河北肃宁"/>
      <sheetName val="Movement-本部"/>
      <sheetName val="Movement-昌盛"/>
      <sheetName val="1043"/>
      <sheetName val="11累计完工表(内部)"/>
      <sheetName val="Sheet2639"/>
      <sheetName val="Ambares"/>
      <sheetName val="TRF"/>
      <sheetName val="2041"/>
      <sheetName val="2238"/>
      <sheetName val="2239"/>
      <sheetName val="ICP"/>
      <sheetName val="Graphs"/>
      <sheetName val="Regression_V1"/>
      <sheetName val="A | INPUT Filler"/>
      <sheetName val="Fitments Abs Ums"/>
      <sheetName val="Datenbank Fillers"/>
      <sheetName val="核对表"/>
      <sheetName val="其他流动资产"/>
      <sheetName val="其他业务收入成本"/>
      <sheetName val="FA ad09-12"/>
      <sheetName val="重置价计算表"/>
      <sheetName val="公积捐赠"/>
      <sheetName val="总措施项目"/>
      <sheetName val="VWAP_PPTOutput"/>
      <sheetName val="Output"/>
      <sheetName val="Sheet624"/>
      <sheetName val="Sheet2640"/>
      <sheetName val="Exp. Summary"/>
      <sheetName val="PTCG"/>
      <sheetName val="Tally TB June"/>
      <sheetName val="收入成本明细"/>
      <sheetName val="659"/>
      <sheetName val="U401(OK)"/>
      <sheetName val="Balance sheet for August"/>
      <sheetName val="Income statement for August"/>
      <sheetName val="概括表、结果汇总表"/>
      <sheetName val="按期限计算有偿维保"/>
      <sheetName val="二级成本动态表"/>
      <sheetName val="Data sheet"/>
      <sheetName val="1. Data Entry Sales, Carline"/>
      <sheetName val="Adm"/>
      <sheetName val="sell"/>
      <sheetName val="Fin"/>
      <sheetName val="UFPrn20081124111814"/>
      <sheetName val="报表标准名称"/>
      <sheetName val="db"/>
      <sheetName val="存货和固定资产暂估明细"/>
      <sheetName val="T6-6(7)"/>
      <sheetName val="601"/>
      <sheetName val="140509"/>
      <sheetName val="_80101"/>
      <sheetName val="_80102"/>
      <sheetName val="Sch0- Tax Recon"/>
      <sheetName val="Sch20-ROU"/>
      <sheetName val="调12"/>
      <sheetName val="_200212"/>
      <sheetName val="底盘厂"/>
      <sheetName val="合并"/>
      <sheetName val="_2551"/>
      <sheetName val="_2555"/>
      <sheetName val="基础信息表"/>
      <sheetName val="N"/>
      <sheetName val="purchase-subsi"/>
      <sheetName val="sales1-subsi."/>
      <sheetName val="sales2-subsi."/>
      <sheetName val="sales3-subsi"/>
      <sheetName val="A14_g280"/>
      <sheetName val="A14_g279"/>
      <sheetName val="PLCONSO"/>
      <sheetName val="Hidden"/>
      <sheetName val="Orientation"/>
      <sheetName val="Delivery"/>
      <sheetName val="Guizhou"/>
      <sheetName val="Assumption"/>
      <sheetName val="Depn"/>
      <sheetName val="Operations"/>
      <sheetName val="EqptList"/>
      <sheetName val="债权成本-2020年"/>
      <sheetName val="测算汇总"/>
      <sheetName val="资金使用假设 (可转债按账面拆分为股权与债权)"/>
      <sheetName val="PKH-Income"/>
      <sheetName val="BS data"/>
      <sheetName val="_606"/>
      <sheetName val="_607"/>
      <sheetName val="_608"/>
      <sheetName val="_609"/>
      <sheetName val="_610"/>
      <sheetName val="_611"/>
      <sheetName val="_612"/>
      <sheetName val="_706"/>
      <sheetName val="_707"/>
      <sheetName val="_708"/>
      <sheetName val="_709"/>
      <sheetName val="_710"/>
      <sheetName val="Historical prices(D)"/>
      <sheetName val="Historical prices(M)"/>
      <sheetName val="Historical prices(W)"/>
      <sheetName val="账"/>
      <sheetName val="（27）实收资本"/>
      <sheetName val="2002-CMHK"/>
      <sheetName val="GGP Expenses"/>
      <sheetName val="管理费用预测"/>
      <sheetName val="Daglig_Likviditet"/>
      <sheetName val="Lists (Hide)"/>
      <sheetName val="Sheet644"/>
      <sheetName val="209zt"/>
      <sheetName val="115zt"/>
      <sheetName val="11901zt"/>
      <sheetName val="Linkcleaner"/>
      <sheetName val="Month 8"/>
      <sheetName val="tax payable"/>
      <sheetName val="其他未交款"/>
      <sheetName val="Details of ledger "/>
      <sheetName val="商业街销售情况统计表（PBC)"/>
      <sheetName val="Management report vs ledger"/>
      <sheetName val="raw"/>
      <sheetName val="COSTAB97"/>
      <sheetName val="Q.CF-E01"/>
      <sheetName val="MV"/>
      <sheetName val="2032"/>
      <sheetName val="收入完成预测"/>
      <sheetName val="短期借款&amp;长期借款明细表20021231"/>
      <sheetName val="0194"/>
      <sheetName val="Sheet865"/>
      <sheetName val="BKD"/>
      <sheetName val="关联交易-存款h_x0001_?_x0001__x"/>
      <sheetName val="毛利步行图-按产品类型"/>
      <sheetName val="毛利步行图-主要产品量价分析"/>
      <sheetName val="Drop List References"/>
      <sheetName val="Instructions (2)"/>
      <sheetName val="Sheet952"/>
      <sheetName val="新"/>
      <sheetName val="Personal property HZ"/>
      <sheetName val="CY BS"/>
      <sheetName val="FAL as of 7.31.06"/>
      <sheetName val="Model"/>
      <sheetName val="PLI-1994"/>
      <sheetName val="Phase2 movementDEC"/>
      <sheetName val="Phase1f.a.DEC"/>
      <sheetName val="Phase2 f.a.DEC (2)"/>
      <sheetName val="Table - Current Year"/>
      <sheetName val="Fin_Ass"/>
      <sheetName val="Accrued Expenses"/>
      <sheetName val="Value summary"/>
      <sheetName val="Sheet9"/>
      <sheetName val="02车租"/>
      <sheetName val="定额"/>
      <sheetName val="CAB22.存放同业款项 "/>
      <sheetName val="Q1 "/>
      <sheetName val="loan database"/>
      <sheetName val="因子系数表"/>
      <sheetName val="Acct 22010"/>
      <sheetName val="Fee Rate Summary"/>
      <sheetName val="基本"/>
      <sheetName val="新准则TB"/>
      <sheetName val="FY03"/>
      <sheetName val="graph1"/>
      <sheetName val="1406"/>
      <sheetName val="617"/>
      <sheetName val="Share Px"/>
      <sheetName val="by category"/>
      <sheetName val="Administration"/>
      <sheetName val="P&amp;L PP"/>
      <sheetName val="Flash-pp"/>
      <sheetName val="MYF-pp"/>
      <sheetName val="1048"/>
      <sheetName val="TSNO-DC"/>
      <sheetName val="SAP 01-12-31"/>
      <sheetName val="IBD"/>
      <sheetName val="MGT"/>
      <sheetName val="conBS"/>
      <sheetName val="conCE"/>
      <sheetName val="conCF"/>
      <sheetName val="conIS"/>
      <sheetName val="母公司TB"/>
      <sheetName val="Exchange_Rates"/>
      <sheetName val="Summ"/>
      <sheetName val="Options"/>
      <sheetName val="重要性水平"/>
      <sheetName val="UFPrn20210114105843"/>
      <sheetName val="UFPrn20210114190800"/>
      <sheetName val="UFPrn20210114200340"/>
      <sheetName val="UFPrn20210114200354"/>
      <sheetName val="UFPrn20210114200426"/>
      <sheetName val="UFPrn20210114200550"/>
      <sheetName val="UFPrn20210114201346"/>
      <sheetName val="UFPrn20210116130132"/>
      <sheetName val="UFPrn20210116153205"/>
      <sheetName val="UFPrn20210116161353"/>
      <sheetName val="UFPrn20210116161456"/>
      <sheetName val="UFPrn20210116161512"/>
      <sheetName val="UFPrn20210116161529"/>
      <sheetName val="UFPrn20210116161544"/>
      <sheetName val="UFPrn20210116161601"/>
      <sheetName val="UFPrn20210116161616"/>
      <sheetName val="UFPrn20210116161630"/>
      <sheetName val="UFPrn20210118102619"/>
      <sheetName val="UFPrn20210130095810"/>
      <sheetName val="UFPrn20210205144440"/>
      <sheetName val="UFPrn20210205144827"/>
      <sheetName val="UFPrn20210205144835"/>
      <sheetName val="UFPrn20210205144855"/>
      <sheetName val="UFPrn20210205144917"/>
      <sheetName val="UFPrn20210205145020"/>
      <sheetName val="UFPrn20210205145028"/>
      <sheetName val="UFPrn20210205145038"/>
      <sheetName val="UFPrn20210205145048"/>
      <sheetName val="UFPrn20210205145059"/>
      <sheetName val="UFPrn20210205145116"/>
      <sheetName val="UFPrn20210205145125"/>
      <sheetName val="UFPrn20210218145645"/>
      <sheetName val="UFPrn20210218145851"/>
      <sheetName val="UFPrn20210218145904"/>
      <sheetName val="UFPrn20210218145928"/>
      <sheetName val="UFPrn20210224093859"/>
      <sheetName val="UFPrn20210314105647"/>
      <sheetName val="UFPrn20210314105724"/>
      <sheetName val="UFPrn20210314110215"/>
      <sheetName val="UFPrn20210316083000"/>
      <sheetName val="UFPrn20210316083159"/>
      <sheetName val="UFPrn20210316085117"/>
      <sheetName val="UFPrn20210316090225"/>
      <sheetName val="查询凭证列表"/>
      <sheetName val="UFPrn20210329152455"/>
      <sheetName val="UFPrn20210417141410"/>
      <sheetName val="UFPrn20210417142424"/>
      <sheetName val="UFPrn20210423192758"/>
      <sheetName val="UFPrn20210426134615"/>
      <sheetName val="UFPrn20210429165503"/>
      <sheetName val="UFPrn20210429165606"/>
      <sheetName val="UFPrn20210429180122"/>
      <sheetName val="UFPrn20210429180130"/>
      <sheetName val="UFPrn20210429180146"/>
      <sheetName val="UFPrn20210502105712"/>
      <sheetName val="UFPrn20210502143835"/>
      <sheetName val="UFPrn20210514142548"/>
      <sheetName val="UFPrn20210521100028"/>
      <sheetName val="UFPrn20210608222445"/>
      <sheetName val="UFPrn20210620093558"/>
      <sheetName val="UFPrn20210623133513"/>
      <sheetName val="UFPrn20210625123854"/>
      <sheetName val="凭证审核列表"/>
      <sheetName val="UFPrn20210628114802"/>
      <sheetName val="UFPrn20210701214708"/>
      <sheetName val="UFPrn20210712174811"/>
      <sheetName val="UFPrn20210719164600"/>
      <sheetName val="UFPrn20210727085509"/>
      <sheetName val="UFPrn20210819143755"/>
      <sheetName val="UFPrn20210914164248"/>
      <sheetName val="UFPrn20210914165238"/>
      <sheetName val="UFPrn20210914165836"/>
      <sheetName val="UFPrn20211019101411"/>
      <sheetName val="UFPrn20211201184329"/>
      <sheetName val="UFPrn20211209134041"/>
      <sheetName val="UFPrn20211209134323"/>
      <sheetName val="UFPrn20211209182658"/>
      <sheetName val="UFPrn20211209182714"/>
      <sheetName val="UFPrn20211215200537"/>
      <sheetName val="UFPrn20211215202839"/>
      <sheetName val="审计程序（旧）"/>
      <sheetName val="计提准备金明细"/>
      <sheetName val="Sheet455"/>
      <sheetName val="641"/>
      <sheetName val="446"/>
      <sheetName val="Phase I"/>
      <sheetName val="威娜"/>
      <sheetName val="大纲"/>
      <sheetName val="母公司应交税金明细表（含泵送）"/>
      <sheetName val="Elim Seg LM"/>
      <sheetName val="Elim Seg BM"/>
      <sheetName val="土方"/>
      <sheetName val="2012-2016 Grp Res Bdgt"/>
      <sheetName val="Annex B"/>
      <sheetName val="合并附注"/>
      <sheetName val="2货站"/>
      <sheetName val="1H"/>
      <sheetName val="2H"/>
      <sheetName val="CTV PL"/>
      <sheetName val="综合概算(2003)"/>
      <sheetName val="A501_AADJ#14-对价调整"/>
      <sheetName val="D-PL"/>
      <sheetName val="F1910"/>
      <sheetName val="Sales Data"/>
      <sheetName val="1198"/>
      <sheetName val="E201_AR"/>
      <sheetName val="E201_CA"/>
      <sheetName val="Data Arrangement"/>
      <sheetName val="REPOT"/>
      <sheetName val="REPEN"/>
      <sheetName val="省环保科目余额表9月"/>
      <sheetName val="2111"/>
      <sheetName val="5503"/>
      <sheetName val="미수"/>
      <sheetName val="外协件"/>
      <sheetName val="Mbew"/>
      <sheetName val="調整BS"/>
      <sheetName val="大额未达"/>
      <sheetName val="FA. 0012"/>
      <sheetName val="Sheet429"/>
      <sheetName val="New investment"/>
      <sheetName val="load"/>
      <sheetName val="BANK ac no,"/>
      <sheetName val="Liste"/>
      <sheetName val="产品"/>
      <sheetName val="关联交易-存款h_x0001___x0001__x"/>
      <sheetName val="001Disclosure Summary"/>
      <sheetName val="L1-1 Ageing analysis"/>
      <sheetName val="本期报表"/>
      <sheetName val="对照表"/>
      <sheetName val="Co Des BBXL"/>
      <sheetName val="Regression"/>
      <sheetName val="J-cycle count09"/>
      <sheetName val="PCB"/>
      <sheetName val="客户略名"/>
      <sheetName val="Total Coach"/>
      <sheetName val="其他应收款个人"/>
      <sheetName val="Sale breakdown"/>
      <sheetName val="zhongshan "/>
      <sheetName val="A120-10"/>
      <sheetName val="中颖"/>
      <sheetName val="FF"/>
      <sheetName val="现金明细余额表"/>
      <sheetName val="其他货币资金余额表"/>
      <sheetName val="S-A130应收票据"/>
      <sheetName val="财务费用明细"/>
      <sheetName val="S-I210财务费用"/>
      <sheetName val="FY04Store"/>
      <sheetName val="Struktur"/>
      <sheetName val="2016~2018.8凭证库加工"/>
      <sheetName val="销售收入统计按科目"/>
      <sheetName val="应收票据(关联方)"/>
      <sheetName val="Directions"/>
      <sheetName val="A140-1应收账款明细"/>
      <sheetName val="SIZE &amp; VALUE"/>
      <sheetName val="MPC"/>
      <sheetName val="应收账款审定表"/>
      <sheetName val="软件公司收入与成本对应分析表"/>
      <sheetName val="Vorbereitende Eingaben (Teil 1)"/>
      <sheetName val="SB营业成本审定表"/>
      <sheetName val="Scrap Bridge Ytd"/>
      <sheetName val="202101-202106充值明细"/>
      <sheetName val="截止9月26日会员卡余额（企业提供）"/>
      <sheetName val="LookupTable"/>
      <sheetName val="MCS_P&amp;L_By_Sub_ USD"/>
      <sheetName val="Berechnung"/>
      <sheetName val="报告披露_非上市合并&amp;FIE"/>
      <sheetName val="1540"/>
      <sheetName val="7378 StockBalance"/>
      <sheetName val="Base 基础"/>
      <sheetName val="CILO"/>
      <sheetName val="Sheet659"/>
      <sheetName val="Sheet686"/>
      <sheetName val="Sheet1459"/>
      <sheetName val="Sheet676"/>
      <sheetName val="Sheet660"/>
      <sheetName val="Sheet1460"/>
      <sheetName val="I101"/>
      <sheetName val="Sign Off Form"/>
      <sheetName val="Football"/>
      <sheetName val="LBO Valuation Analysis"/>
      <sheetName val="Buy"/>
      <sheetName val="Spin 1"/>
      <sheetName val="Sec Equity"/>
      <sheetName val="GRAPH &amp; SOURCE DATA"/>
      <sheetName val="LBO Assumptions"/>
      <sheetName val="Split"/>
      <sheetName val="TargetDCF"/>
      <sheetName val="A_Gen"/>
      <sheetName val="Sens"/>
      <sheetName val="E"/>
      <sheetName val="J&amp;Q"/>
      <sheetName val="Within"/>
      <sheetName val="Expenses"/>
      <sheetName val="Sheet628"/>
      <sheetName val="产品地区"/>
      <sheetName val="Month"/>
      <sheetName val="Interco Sales"/>
      <sheetName val="Net Bookings"/>
      <sheetName val="Net Sales &amp; Cost of Sales"/>
      <sheetName val="A_T5"/>
      <sheetName val="Sheet650"/>
      <sheetName val="NEW"/>
      <sheetName val="Sheet2621"/>
      <sheetName val="12201001"/>
      <sheetName val="unfinished"/>
      <sheetName val="A3_影视技术"/>
      <sheetName val="A3_conso"/>
      <sheetName val="Service Year"/>
      <sheetName val="Wufeng"/>
      <sheetName val="Wuchi"/>
      <sheetName val="Table"/>
      <sheetName val="Sheet1186"/>
      <sheetName val="sheet6"/>
      <sheetName val="PBC - PHS"/>
      <sheetName val="HKBUD"/>
      <sheetName val="May"/>
      <sheetName val="1 Eckdaten in LW"/>
      <sheetName val="Calc &amp; Export"/>
      <sheetName val="Carryover 2004"/>
      <sheetName val="AOP Exec Summary"/>
      <sheetName val="变动信息_变动类型"/>
      <sheetName val="U102-U104 Detail"/>
      <sheetName val="BBW"/>
      <sheetName val="983"/>
      <sheetName val="Revenue &amp; Expenses"/>
      <sheetName val="补贴收入"/>
      <sheetName val="分专业利润表"/>
      <sheetName val="分专业资产负债表"/>
      <sheetName val="分专业利润分配表"/>
      <sheetName val="上市公司与关联公司往来"/>
      <sheetName val="其他业务利润"/>
      <sheetName val="人工成本"/>
      <sheetName val="营业费用"/>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不良排名"/>
      <sheetName val="PRC 13"/>
      <sheetName val="인사현황(부서)"/>
      <sheetName val="Vehicles"/>
      <sheetName val="suivi cash flow par affaire"/>
      <sheetName val="608"/>
      <sheetName val="변수"/>
      <sheetName val="基本信息输入"/>
      <sheetName val="AR movement"/>
      <sheetName val="intbutot wksheet current"/>
      <sheetName val="Understand the client"/>
      <sheetName val="Bokslutsprocessen"/>
      <sheetName val="Indata"/>
      <sheetName val="CO-Master"/>
      <sheetName val="BI-POLAR"/>
      <sheetName val="合并抵销或调整分录（1）"/>
      <sheetName val="2.2 付款及计提明细"/>
      <sheetName val="印花税档案"/>
      <sheetName val="1.汇总统计"/>
      <sheetName val="LTM Volume"/>
      <sheetName val="附表2-合同台账"/>
      <sheetName val="租赁合同期限超过5年的商户"/>
      <sheetName val="JPY_Rates"/>
      <sheetName val="HKD_Rates"/>
      <sheetName val="卖出国债test"/>
      <sheetName val="Bank Table"/>
      <sheetName val="1 LeadSchedule"/>
      <sheetName val="3 Analysis"/>
      <sheetName val="OCT BANK"/>
      <sheetName val="Lockbox"/>
      <sheetName val="Technical"/>
      <sheetName val="Parametri"/>
      <sheetName val="FP"/>
      <sheetName val="COS1"/>
      <sheetName val="COS2"/>
      <sheetName val="COS3"/>
      <sheetName val="COS4"/>
      <sheetName val="PL2"/>
      <sheetName val="PL3"/>
      <sheetName val="PL4"/>
      <sheetName val="GM Trend"/>
      <sheetName val="GM% Trend"/>
      <sheetName val="Linearity"/>
      <sheetName val="Linearity Chart"/>
      <sheetName val="NP Trend"/>
      <sheetName val="Recon"/>
      <sheetName val="Rev Trend"/>
      <sheetName val="Rev-GM Detail 1"/>
      <sheetName val="Rev-GM Detail 2"/>
      <sheetName val="Rev Mix Trend"/>
      <sheetName val="SUMMARY (EXPD)"/>
      <sheetName val="SUMMARY (%)"/>
      <sheetName val="QTD TO GO"/>
      <sheetName val="600"/>
      <sheetName val="analysis"/>
      <sheetName val="Sensitivities"/>
      <sheetName val="h1h2 model"/>
      <sheetName val="八月"/>
      <sheetName val="A5_合并调整"/>
      <sheetName val="A3_合并财务报表"/>
      <sheetName val="公司名称"/>
      <sheetName val="Sheet634"/>
      <sheetName val="王府井折旧测算表-税收口径"/>
      <sheetName val="10月"/>
      <sheetName val="11月"/>
      <sheetName val="12月"/>
      <sheetName val="2月"/>
      <sheetName val="7月"/>
      <sheetName val="8月"/>
      <sheetName val="9月"/>
      <sheetName val="公司股东权益变动"/>
      <sheetName val="余额表"/>
      <sheetName val="Sheet667"/>
      <sheetName val="3.４Ｒ損益"/>
      <sheetName val="Sheet833"/>
      <sheetName val="工具HK库龄"/>
      <sheetName val="Sheet547"/>
      <sheetName val="sapactivexlhiddensheet"/>
      <sheetName val="Fixed Assets"/>
      <sheetName val="1025"/>
      <sheetName val="1026"/>
      <sheetName val="Sheet593"/>
      <sheetName val="Recov"/>
      <sheetName val="Sheet652"/>
      <sheetName val="总部&amp;平台10月费用明细-预算口径"/>
      <sheetName val="CLOC's"/>
      <sheetName val="LOB"/>
      <sheetName val="Sheet633"/>
      <sheetName val="现调整"/>
      <sheetName val="附表2关联交易"/>
      <sheetName val="Table Rates"/>
      <sheetName val="GG&amp;P Yield"/>
      <sheetName val="PBY Adj"/>
      <sheetName val="PMO"/>
      <sheetName val="RV"/>
      <sheetName val="bal1"/>
      <sheetName val="_2731"/>
      <sheetName val="_2733"/>
      <sheetName val="_2568"/>
      <sheetName val="5426"/>
      <sheetName val="_8048"/>
      <sheetName val="RJE#3"/>
      <sheetName val="取费表"/>
      <sheetName val="其他应付款4-12月份明细表"/>
      <sheetName val="表单1"/>
      <sheetName val="G-35-3"/>
      <sheetName val="经评"/>
      <sheetName val="1-12"/>
      <sheetName val="12.APaging附表"/>
      <sheetName val="Sheet449"/>
      <sheetName val="2_1设计部"/>
      <sheetName val="Group_structure"/>
      <sheetName val="Profit_and_loss"/>
      <sheetName val="Detail_Loan_Move____Listing"/>
      <sheetName val="2weeeks_All__Excess_and_Shortag"/>
      <sheetName val="Business_Unit"/>
      <sheetName val="TargIS"/>
      <sheetName val="Raw Mtl Prep"/>
      <sheetName val="2016分录"/>
      <sheetName val="Sheet3615"/>
      <sheetName val="Sheet435"/>
      <sheetName val="EQUIP"/>
      <sheetName val="3直"/>
      <sheetName val="U-3x1_YE"/>
      <sheetName val="U-3x2_YE"/>
      <sheetName val="V_over_1"/>
      <sheetName val="V_over_2"/>
      <sheetName val="Bal_Sheet"/>
      <sheetName val="‘‡B"/>
      <sheetName val="OrgEstSum(not used)"/>
      <sheetName val="1-11"/>
      <sheetName val="SFS(BUDGET)"/>
      <sheetName val="应收楼款账龄分析清单 "/>
      <sheetName val="8 adminexp by nature"/>
      <sheetName val="0.09"/>
      <sheetName val="Sheet630"/>
      <sheetName val="entry"/>
      <sheetName val="產成品收發明細表5"/>
      <sheetName val="MP2006 data"/>
      <sheetName val="COA"/>
      <sheetName val="5 Analysis"/>
      <sheetName val="Company Info"/>
      <sheetName val="U1300"/>
      <sheetName val="U1310"/>
      <sheetName val="CLRN-NEW"/>
      <sheetName val="Elim (novated) -#H"/>
      <sheetName val="Movement-#E"/>
      <sheetName val="C_100Breakdown"/>
      <sheetName val="C_110函证控制表"/>
      <sheetName val="Sheet625"/>
      <sheetName val="DATOS"/>
      <sheetName val="MN T.B."/>
      <sheetName val="Cash bal Mar"/>
      <sheetName val="Com Trial Bal"/>
      <sheetName val="EXCHANGE RATE PROFIT AND LOSS"/>
      <sheetName val="ﾏｽﾀｰ!"/>
      <sheetName val="Sensitivity analysis"/>
      <sheetName val="关联方参数表"/>
      <sheetName val="FUM_Source"/>
      <sheetName val="设备大修"/>
      <sheetName val="门窗表"/>
      <sheetName val="楼梯钢筋"/>
      <sheetName val="01上製品計画"/>
      <sheetName val="明细余额表"/>
      <sheetName val="EFF &amp; HRS"/>
      <sheetName val="0804"/>
      <sheetName val="A4-4"/>
      <sheetName val="HISTORY "/>
      <sheetName val="DOWNLOAD"/>
      <sheetName val="已背书未到期票据清单"/>
      <sheetName val="Center"/>
      <sheetName val="MTRL"/>
      <sheetName val="Artikel"/>
      <sheetName val="Lås"/>
      <sheetName val="SHFMA"/>
      <sheetName val="NJFMA"/>
      <sheetName val="WHFMA"/>
      <sheetName val="CDFMA"/>
      <sheetName val="KMFMA"/>
      <sheetName val="Fidelity Option"/>
      <sheetName val="PAY REGISTER~Input Values"/>
      <sheetName val="04"/>
      <sheetName val="03"/>
      <sheetName val="CD FMA"/>
      <sheetName val="FMC"/>
      <sheetName val="FMT"/>
      <sheetName val="Bank Debt"/>
      <sheetName val="GFA"/>
      <sheetName val="N310应付人民币"/>
      <sheetName val="U300-上海启昇"/>
      <sheetName val="U210_租赁PIT-上海朗昇"/>
      <sheetName val="U210_租赁PIT-上海启昇"/>
      <sheetName val="2234"/>
      <sheetName val="2235"/>
      <sheetName val="A14_g132"/>
      <sheetName val="A14_g134"/>
      <sheetName val="1055"/>
      <sheetName val="特殊情况表"/>
      <sheetName val="计算期表"/>
      <sheetName val="能源动力表"/>
      <sheetName val="人工表"/>
      <sheetName val="投资表4"/>
      <sheetName val="投资表3"/>
      <sheetName val="二次取费表"/>
      <sheetName val="投资表2"/>
      <sheetName val="投资表1"/>
      <sheetName val="融资表"/>
      <sheetName val="辅助材料表"/>
      <sheetName val="原料表"/>
      <sheetName val="产品表"/>
      <sheetName val="二级取费计算表"/>
      <sheetName val="1月1"/>
      <sheetName val="Leasehold_imp"/>
      <sheetName val="A_R_016"/>
      <sheetName val="ADJ_Sum(console)6"/>
      <sheetName val="Defer_tax6"/>
      <sheetName val="Estimated_AP_9_036"/>
      <sheetName val="2005_065"/>
      <sheetName val="Mar_OR5"/>
      <sheetName val="REC_975"/>
      <sheetName val="关联交易-存款hࢀ_ࢀ_2"/>
      <sheetName val="daywork-_Tham_khao5"/>
      <sheetName val="TB_Link5"/>
      <sheetName val="office_supplies4"/>
      <sheetName val="truc_tiep4"/>
      <sheetName val="P_1预收、其他应付、其他流动负债4"/>
      <sheetName val="G_预付账款、其他应收款、其他流动资产4"/>
      <sheetName val="_U1504"/>
      <sheetName val="2-分类汇总_Classified_Summary4"/>
      <sheetName val="Financ__Overview4"/>
      <sheetName val="各年往来_(2)4"/>
      <sheetName val="IFRS_REPORTING4"/>
      <sheetName val="关联交易-存款hࢀ_ࢀ__x005f_x0001_4"/>
      <sheetName val="A5_Summary4"/>
      <sheetName val="关联交易-存款hࢀ_ࢀ__x005f_x005f_x005f_x0001_4"/>
      <sheetName val="zero_(3)4"/>
      <sheetName val="3_24"/>
      <sheetName val="A3_Sum4"/>
      <sheetName val="Invest_4"/>
      <sheetName val="Inv_days_#54"/>
      <sheetName val="control_sheet_fund_II4"/>
      <sheetName val="Exec_Summary4"/>
      <sheetName val="N_应付账款3"/>
      <sheetName val="Raw_materials3"/>
      <sheetName val="TAB_Daten3"/>
      <sheetName val="关联交易-存款hࢀ_ࢀ__x005f_x005f_x005f_x005f_x005f3"/>
      <sheetName val="关联交易-存款hࢀ_ࢀ__x005f_x005f_3"/>
      <sheetName val="F1100芯片测试费_4"/>
      <sheetName val="Ex_Diff3"/>
      <sheetName val="II-_Liability_Component_June_03"/>
      <sheetName val="I-Conclusion_3"/>
      <sheetName val="II-_Liab__comp_IAS3"/>
      <sheetName val="Conversion_feature3"/>
      <sheetName val="I-_Summary3"/>
      <sheetName val="Sch_PR-23"/>
      <sheetName val="Sch_PR-33"/>
      <sheetName val="Consol_BS3"/>
      <sheetName val="HO_&amp;_Aust_BS3"/>
      <sheetName val="JAC11_303"/>
      <sheetName val="Tier1_Pref_SGP3"/>
      <sheetName val="Rev__Losses3"/>
      <sheetName val="SoP_SGP23"/>
      <sheetName val="Prop_R3"/>
      <sheetName val="Tier1_Pref_SBP3"/>
      <sheetName val="Income_Statement_breakdown3"/>
      <sheetName val="销售6_133"/>
      <sheetName val="关联交易-存款hࢀ_ࢀ__3"/>
      <sheetName val="qad_TB3"/>
      <sheetName val="短期投资股票投资_dbf3"/>
      <sheetName val="短期投资国债投资_dbf3"/>
      <sheetName val="股票投资收益_dbf3"/>
      <sheetName val="其他货币海通_dbf3"/>
      <sheetName val="其他货币零领路_dbf3"/>
      <sheetName val="投资收益债券_dbf3"/>
      <sheetName val="Base_Info3"/>
      <sheetName val="PV6_3_5L_LX5_GMX1703"/>
      <sheetName val="Company_Information3"/>
      <sheetName val="P&amp;L_adhoc3"/>
      <sheetName val="Suppl_Adhoc_Inv_(F)3"/>
      <sheetName val="Suppl_Adhoc_Pers3"/>
      <sheetName val="QTR_Data_Analysis3"/>
      <sheetName val="Disclosure_Summary3"/>
      <sheetName val="BOX_SUM3"/>
      <sheetName val="FIN_GOOD3"/>
      <sheetName val="Hyperion_Link3"/>
      <sheetName val="关联交易-存款?滨?_3"/>
      <sheetName val="Price_List3"/>
      <sheetName val="1461（12_6）3"/>
      <sheetName val="Payed_bonuses3"/>
      <sheetName val="Output_&amp;_Financial_Statements3"/>
      <sheetName val="Old_TWX_Quorfa3"/>
      <sheetName val="TWX_Model3"/>
      <sheetName val="FS_Output_43"/>
      <sheetName val="FS_Output_13"/>
      <sheetName val="FS_Output_33"/>
      <sheetName val="FS_Output23"/>
      <sheetName val="Deal_Structure_&amp;_Control_Page3"/>
      <sheetName val="Historic_Comps3"/>
      <sheetName val="Bank_card_list3"/>
      <sheetName val="All_Cash_Dil3"/>
      <sheetName val="关联交易-存款hࢀ_ࢀ__x005f_x005f_x005f_x005f_3"/>
      <sheetName val="1-_Input_&amp;_Info3"/>
      <sheetName val="CUSTOMER_(DETAIL)3"/>
      <sheetName val="Lease_AP_20083"/>
      <sheetName val="Antivol_D23"/>
      <sheetName val="Vendor_Data3"/>
      <sheetName val="2_5上年现金试算3"/>
      <sheetName val="Romford_Market3"/>
      <sheetName val="&lt;FF&gt;_Tax_Payable3"/>
      <sheetName val="PPD_Schedule3"/>
      <sheetName val="清单12_313"/>
      <sheetName val="Economic_evaluation_-_FY98_bas3"/>
      <sheetName val="Base_Data3"/>
      <sheetName val="1_03"/>
      <sheetName val="Detail_Loan_Move__&amp;_Listing3"/>
      <sheetName val="Non-Statistical_Sampling3"/>
      <sheetName val="AR_Drop_Downs3"/>
      <sheetName val="PRC_GAAP3"/>
      <sheetName val="addl_cost2"/>
      <sheetName val="综合成本分析01_01-02052"/>
      <sheetName val="CY_sales_report2"/>
      <sheetName val="SD-Report_5&quot;2"/>
      <sheetName val="M_Schedules2"/>
      <sheetName val="Staff_List2"/>
      <sheetName val="Rejects_PPM2"/>
      <sheetName val="QOS_RPPM2"/>
      <sheetName val="Standort_(DE)2"/>
      <sheetName val="Act_Vol2"/>
      <sheetName val="链接表（勿动）_元)2"/>
      <sheetName val="两次基准日的对比_(0531与0831)2"/>
      <sheetName val="链接表（勿动）_(元表)2"/>
      <sheetName val="Customer_Name2"/>
      <sheetName val="T__B2"/>
      <sheetName val="IRR_&amp;_NPV2"/>
      <sheetName val="statement_19982"/>
      <sheetName val="XVIa(i)_-_average_price_(2)2"/>
      <sheetName val="Table_13_1_-_32"/>
      <sheetName val="ACC_NAME2"/>
      <sheetName val="GA5-2-1_明细表20152"/>
      <sheetName val="ZP7_gespritzt2"/>
      <sheetName val="C-1_总表2"/>
      <sheetName val="4_1-合同台帐2"/>
      <sheetName val="Income_Statement_and_KPIs2"/>
      <sheetName val="index_cc2"/>
      <sheetName val="1_5_合同、非合同台帐2"/>
      <sheetName val="IS_Summary-962"/>
      <sheetName val="Library_Procedures2"/>
      <sheetName val="Non-Statistical_Sampling_Maste2"/>
      <sheetName val="Global_Data2"/>
      <sheetName val="4_1拆出资金2"/>
      <sheetName val="aging_06122"/>
      <sheetName val="NA_QTR_PROD2"/>
      <sheetName val="Official_Lehman_PROD_Sched2"/>
      <sheetName val="Income_statement2"/>
      <sheetName val="PRC_152"/>
      <sheetName val="acc_list2"/>
      <sheetName val="在建工程_final2"/>
      <sheetName val="开发成本2002_-_Movement2"/>
      <sheetName val="Acq_Assumptions_I2"/>
      <sheetName val="Acq_Assumptions_II2"/>
      <sheetName val="Acq_Assumptions_III2"/>
      <sheetName val="1_资金支付台帐2"/>
      <sheetName val="VS_Consensus2"/>
      <sheetName val="CJE_energy_inv2"/>
      <sheetName val="YTD_SALES2"/>
      <sheetName val="国别报告数据填报模板(Information_Request2"/>
      <sheetName val="진행_DATA_(2)2"/>
      <sheetName val="0_1公司清单2"/>
      <sheetName val="H_R2"/>
      <sheetName val="POWER_ASSUMPTIONS2"/>
      <sheetName val="summary_2"/>
      <sheetName val="Salses_breakdown2"/>
      <sheetName val="其他货币资金_dbf2"/>
      <sheetName val="银行存款_dbf2"/>
      <sheetName val="2018_ADJ2"/>
      <sheetName val="08_82"/>
      <sheetName val="Cash_Flow_-_CY_Workings2"/>
      <sheetName val="2_cot2"/>
      <sheetName val="for_ey_reviewer_销售费用2"/>
      <sheetName val="for_ey_reviewer_制造费用2"/>
      <sheetName val="Service_Parts_Rejects_(RPPM)2"/>
      <sheetName val="Carole_Worksheet_Table2"/>
      <sheetName val="销售人效_-_Overview2"/>
      <sheetName val="Two_Step_Revenue_Testing_Maste2"/>
      <sheetName val="Share_Prices2"/>
      <sheetName val="Book_1_Summary2"/>
      <sheetName val="1002-1031170406_Capital_Accoun2"/>
      <sheetName val="Air_Conditional2"/>
      <sheetName val="Motor_Vehicle2"/>
      <sheetName val="F40-Goodsin_transit2"/>
      <sheetName val="M&amp;A_pipeline2"/>
      <sheetName val="Feb_Allocation%2"/>
      <sheetName val="Com_Lever2"/>
      <sheetName val="expenses_calc2"/>
      <sheetName val="existing_cities_benchmark2"/>
      <sheetName val="master_sheet2"/>
      <sheetName val="bike_loss2"/>
      <sheetName val="exchange_rate2"/>
      <sheetName val="Access360_-_PP2"/>
      <sheetName val="Program_Controls2"/>
      <sheetName val="BS_Heading2"/>
      <sheetName val="Cash_Flow_Worksheet2"/>
      <sheetName val="Chart_Analysis2"/>
      <sheetName val="2005_012"/>
      <sheetName val="Comp_equip2"/>
      <sheetName val="2018工程汇总_2"/>
      <sheetName val="表二十二_(2)1"/>
      <sheetName val="附表1_年度人数1"/>
      <sheetName val="Cash_Flow2"/>
      <sheetName val="26_存货月报表1"/>
      <sheetName val="cum_pred1"/>
      <sheetName val="PER_SALES_ORG2"/>
      <sheetName val="F19_22"/>
      <sheetName val="F19_12"/>
      <sheetName val="F5_52"/>
      <sheetName val="F5_32"/>
      <sheetName val="关联交易-存款_滨__3"/>
      <sheetName val="Accounts_Database2"/>
      <sheetName val="CH_Car2"/>
      <sheetName val="App1_Entities_sequence_number2"/>
      <sheetName val="7_-_ARO_Assumptions2"/>
      <sheetName val="库存商品余额表_dbf2"/>
      <sheetName val="Project_Details2"/>
      <sheetName val="Tritel_Consolidated2"/>
      <sheetName val="TeleCorp_Holdco_Summary2"/>
      <sheetName val="Sales_Volumes_&amp;_Plan1"/>
      <sheetName val="Net_Sales_LC1"/>
      <sheetName val="query_results1"/>
      <sheetName val="Opening_check_Misc_(WO_Only)2"/>
      <sheetName val="IRR_Historic2"/>
      <sheetName val="Portfolio_IRR2"/>
      <sheetName val="Val_Inputs2"/>
      <sheetName val="Model_Inputs2"/>
      <sheetName val="Exchange_Rates&gt;&gt;2"/>
      <sheetName val="Funding_Combined2"/>
      <sheetName val="FY18_funding2"/>
      <sheetName val="iFood_funding2"/>
      <sheetName val="Summary_Adjusted2"/>
      <sheetName val="Summary_Combined2"/>
      <sheetName val="Conversion_Roll_forward2"/>
      <sheetName val="Summary_Roll_Forward2"/>
      <sheetName val="Conversion_DCF2"/>
      <sheetName val="Summary_DCF2"/>
      <sheetName val="Conversion_Cash_Flow2"/>
      <sheetName val="Summary_Cash_Flow2"/>
      <sheetName val="Company_Name_mappings2"/>
      <sheetName val="PH_Car2"/>
      <sheetName val="Related_company3"/>
      <sheetName val="Data_From_XXX3"/>
      <sheetName val="Delphi_original3"/>
      <sheetName val="FUEL_FILLER3"/>
      <sheetName val="Capex_report2"/>
      <sheetName val="___合同台账__2"/>
      <sheetName val="CIP_DETAILS1"/>
      <sheetName val="Sales_for_20012"/>
      <sheetName val="7_(2)2"/>
      <sheetName val="Info__Request1"/>
      <sheetName val="U1_62"/>
      <sheetName val="Price_Provision_清单1"/>
      <sheetName val="PltRpt_(A&amp;F)1"/>
      <sheetName val="PltRpt_(A&amp;FvsB)1"/>
      <sheetName val="PltRpt_(B&amp;AC)1"/>
      <sheetName val="Schedule_B1"/>
      <sheetName val="Tav_22_Rischio_di_Credito1"/>
      <sheetName val="信息费用预算表(A4)_1"/>
      <sheetName val="Depreciation_test1"/>
      <sheetName val="Table_US_Currency1"/>
      <sheetName val="fixed_assets_–Forklifts1"/>
      <sheetName val="fixed_assets_–battery1"/>
      <sheetName val="ARP_stt_21"/>
      <sheetName val="Gen_Accruals1"/>
      <sheetName val="Legal_Accrual1"/>
      <sheetName val="Payroll_Accrual1"/>
      <sheetName val="Cost_of_Equity2"/>
      <sheetName val="CLA-21_1-4_OLD2"/>
      <sheetName val="E3_A1"/>
      <sheetName val="Net_REVENUE1"/>
      <sheetName val="_2"/>
      <sheetName val="Ex__rate1"/>
      <sheetName val="资产评估结果分类汇总表_(2)2"/>
      <sheetName val="SPI_GMBH1"/>
      <sheetName val="Summary_Page_VDF1"/>
      <sheetName val="Invested_capital_VDF1"/>
      <sheetName val="LT_TB1"/>
      <sheetName val="LTMD_TB1"/>
      <sheetName val="OC_TB1"/>
      <sheetName val="ZD_TB1"/>
      <sheetName val="Agency_Walker_ID1"/>
      <sheetName val="sales_breakdown1"/>
      <sheetName val="co_info1"/>
      <sheetName val="FA_Roll_to_GL_(p_2)1"/>
      <sheetName val="Lead_(p_1)1"/>
      <sheetName val="Interim_NWA_converted_in_Dec021"/>
      <sheetName val="AP-NSK(trade)_USD1"/>
      <sheetName val="IV-NSK_JPY1"/>
      <sheetName val="AP-NSK_(trade)_JPY1"/>
      <sheetName val="AR-KTB_JPY1"/>
      <sheetName val="AR-NSK_(trade)_USD1"/>
      <sheetName val="ar-OKI_Micro1"/>
      <sheetName val="AR-TAIKO_JPY1"/>
      <sheetName val="BR-Thousand_JPY1"/>
      <sheetName val="F余额表2021_(2)1"/>
      <sheetName val="F余额表2021_(3)1"/>
      <sheetName val="其他业务成本_1110311"/>
      <sheetName val="A6620_Detail1"/>
      <sheetName val="K311_A_List021"/>
      <sheetName val="99Exh_I1"/>
      <sheetName val="외주현황_wq11"/>
      <sheetName val="Difference_Reconcliation1"/>
      <sheetName val="RPT_Disclosure1"/>
      <sheetName val="FY99_Volume1"/>
      <sheetName val="Sal_&amp;_Wage_Info1"/>
      <sheetName val="LAbor_estimate1"/>
      <sheetName val="2018_4_7_for_Bank1"/>
      <sheetName val="Chart_of_acct_1"/>
      <sheetName val="SPLICE_HOURS1"/>
      <sheetName val="SC_HKD_CA1"/>
      <sheetName val="M_P_1"/>
      <sheetName val="Taux_de_change_1"/>
      <sheetName val="plantilla_mes1"/>
      <sheetName val="PL_by_month-EFY1"/>
      <sheetName val="Calcs_for__quarterly_pres1"/>
      <sheetName val="Valuation_Matrix1"/>
      <sheetName val="Mov_from_2001_to_20032"/>
      <sheetName val="VCC_11110-4612"/>
      <sheetName val="CREDIT_STATS1"/>
      <sheetName val="FAT_DB1"/>
      <sheetName val="CF_Bridge1"/>
      <sheetName val="Other_R&amp;O1"/>
      <sheetName val="Co_591"/>
      <sheetName val="FA_List1"/>
      <sheetName val="Operating_1"/>
      <sheetName val="CFS_adjustments1"/>
      <sheetName val="Office_Improve1"/>
      <sheetName val="Drop_down1"/>
      <sheetName val="2010_Breakdown1"/>
      <sheetName val="_W60A_Seating_2011_3_7_xlsx1"/>
      <sheetName val="cur_rates1"/>
      <sheetName val="Total_20091"/>
      <sheetName val="3rd_Qtr1"/>
      <sheetName val="5th_Qtr1"/>
      <sheetName val="6th_Qtr1"/>
      <sheetName val="7th_Qtr1"/>
      <sheetName val="Exit_Forecast1"/>
      <sheetName val="2nd_Qtr1"/>
      <sheetName val="Rounded_Input1"/>
      <sheetName val="_003_3固定资产1"/>
      <sheetName val="CA_consolidated1"/>
      <sheetName val="VT_TEB_Planung-20061"/>
      <sheetName val="SUIVI_EFFECTIFS1"/>
      <sheetName val="Vendas_Tons1"/>
      <sheetName val="C_Estr_1"/>
      <sheetName val="EFFECT_1"/>
      <sheetName val="P&amp;L_Summary_Page1"/>
      <sheetName val="Expenses_with_Comparisons1"/>
      <sheetName val="TEV_Multiples1"/>
      <sheetName val="CSM_Data_by_CY_1"/>
      <sheetName val="Pref_Probable_Case_Returns1"/>
      <sheetName val="Interco_BSC_011"/>
      <sheetName val="Chart_of_Acct1"/>
      <sheetName val="Trial_Balance1"/>
      <sheetName val="U210'_1"/>
      <sheetName val="Comparative_Balance_Sheet1"/>
      <sheetName val="Com_list1"/>
      <sheetName val="Headcount_and_Oil_Price1"/>
      <sheetName val="BOE_Stats1"/>
      <sheetName val="C_-_Cash_and_Bank1"/>
      <sheetName val="others_gl1"/>
      <sheetName val="BALANCE_SHEET1"/>
      <sheetName val="总公司2002_12_311"/>
      <sheetName val="Beg-_End_balance1"/>
      <sheetName val="Net_Trans_Sum1"/>
      <sheetName val="5_基础档案1"/>
      <sheetName val="Sum_Hist1"/>
      <sheetName val="Corporate_PPT1"/>
      <sheetName val="WTI_Coporate_Eliminations_PPT1"/>
      <sheetName val="BT_031"/>
      <sheetName val="BT_021"/>
      <sheetName val="BT_011"/>
      <sheetName val="ICP费用ICP_Expense1"/>
      <sheetName val="ICP其他应付款ICP_OtherPayable1"/>
      <sheetName val="BU_Parameters1"/>
      <sheetName val="Product_List1"/>
      <sheetName val="Monthly_Ex_rate1"/>
      <sheetName val="Expense_Accrual1"/>
      <sheetName val="Gen__Accrual1"/>
      <sheetName val="Prod__Accrual1"/>
      <sheetName val="Rent_Accrual1"/>
      <sheetName val="Sales_by_category1"/>
      <sheetName val="Corporate_Sales1"/>
      <sheetName val="Freight_Issues1"/>
      <sheetName val="Financial_Summary1"/>
      <sheetName val="Rev_provit1"/>
      <sheetName val="Repayment_Summary1"/>
      <sheetName val="会计科目设置__科目汇总表1"/>
      <sheetName val="IND_1"/>
      <sheetName val="Performance_Graphs1"/>
      <sheetName val="Validation_source1"/>
      <sheetName val="EXP_LINE1"/>
      <sheetName val="封面_Cover1"/>
      <sheetName val="Other_M&amp;R1"/>
      <sheetName val="QTP_dt_1"/>
      <sheetName val="05_AOP_-_Exp_by_CC1"/>
      <sheetName val="05_AOP_-_By_Acct_Detail1"/>
      <sheetName val="IB_Average1"/>
      <sheetName val="Int_ZFLS1"/>
      <sheetName val="I-cycle_count081"/>
      <sheetName val="TT_template1"/>
      <sheetName val="FIRE_Parameters1"/>
      <sheetName val="1102_TAB_OPPORTUNITY_to_import1"/>
      <sheetName val="_FY20001"/>
      <sheetName val="Valuation_Summary1"/>
      <sheetName val="Capex_&amp;_Working_Capital_1"/>
      <sheetName val="Product_Summary1"/>
      <sheetName val="Revenue_Output1"/>
      <sheetName val="P&amp;L_Summary1"/>
      <sheetName val="Gross_Profit_Output_(100%)1"/>
      <sheetName val="Historical_IS1"/>
      <sheetName val="Other_Working_Assumptions1"/>
      <sheetName val="Valuation_Waterfall1"/>
      <sheetName val="Gross_Profit1"/>
      <sheetName val="Historical_BS1"/>
      <sheetName val="Key_Assumptions1"/>
      <sheetName val="Instruction_Sheet1"/>
      <sheetName val="Invested_Capital1"/>
      <sheetName val="Valuation_-_GSJBW1"/>
      <sheetName val="Pick_Lists_Sheet1"/>
      <sheetName val="K1_Tax_computation1"/>
      <sheetName val="NBE_DCF1"/>
      <sheetName val="Consolidated_DCF1"/>
      <sheetName val="Boilers_DCF1"/>
      <sheetName val="NBE_(heat_rate)1"/>
      <sheetName val="M5_M6_Summary"/>
      <sheetName val="Sheet1_(3)"/>
      <sheetName val="BIS_LIST-NTH_18"/>
      <sheetName val="TB_&amp;_2013"/>
      <sheetName val="附件10_东莞百宏-待摊费用2019"/>
      <sheetName val="附件6_东莞百宏-其他应收款2019"/>
      <sheetName val="附件8_东莞百宏-预收账款2019"/>
      <sheetName val="关联交易-存款h__x0"/>
      <sheetName val="1_1_Project_Data"/>
      <sheetName val="BS_CHECK"/>
      <sheetName val="C_货币资金"/>
      <sheetName val="C_抵押存款"/>
      <sheetName val="D_可供出售投资-流动"/>
      <sheetName val="D_衍生金融资产"/>
      <sheetName val="D_持有至到期投资-流动"/>
      <sheetName val="D_短期投资"/>
      <sheetName val="D_单列金融资产"/>
      <sheetName val="A5_dim&amp;adj_sum"/>
      <sheetName val="E_应收账款"/>
      <sheetName val="E_应收贸易款及票据"/>
      <sheetName val="E_应收票据"/>
      <sheetName val="F_存货"/>
      <sheetName val="F_房地产"/>
      <sheetName val="G_预付账款&amp;其他应收款&amp;待摊费用"/>
      <sheetName val="G_应收股利"/>
      <sheetName val="G_待售资产"/>
      <sheetName val="G_HK其他应收"/>
      <sheetName val="G_应收利息"/>
      <sheetName val="G_其他流动资产"/>
      <sheetName val="H_可供出售投资-非流动"/>
      <sheetName val="H_HK长投"/>
      <sheetName val="H_商誉"/>
      <sheetName val="H_持有至到期投资-非流动"/>
      <sheetName val="H_投资性房地产"/>
      <sheetName val="H_PRC长投"/>
      <sheetName val="I_应收关联方"/>
      <sheetName val="I_应付关联方"/>
      <sheetName val="J_在建工程"/>
      <sheetName val="K_固定资产"/>
      <sheetName val="K_固定资产清理"/>
      <sheetName val="L_一年内到期的长期债权投资"/>
      <sheetName val="L_无形"/>
      <sheetName val="L_长期待摊"/>
      <sheetName val="L_其他长期资产"/>
      <sheetName val="M_短借"/>
      <sheetName val="N_应付票据"/>
      <sheetName val="P_预收账款&amp;其他应付款&amp;应付职工薪酬&amp;预提费用&amp;其他应交款"/>
      <sheetName val="U_其他业务收支&amp;营业外收支&amp;补贴收入&amp;利息收入"/>
      <sheetName val="U_所得税"/>
      <sheetName val="O_递延税资产"/>
      <sheetName val="O_递延税负债"/>
      <sheetName val="O_应交税费"/>
      <sheetName val="U_税金及附加"/>
      <sheetName val="P_应付股利"/>
      <sheetName val="P_HK其他应付"/>
      <sheetName val="P_应付利息"/>
      <sheetName val="P_其他应付款"/>
      <sheetName val="P_其他流动负债"/>
      <sheetName val="P_应付职工薪酬"/>
      <sheetName val="P_预计负债"/>
      <sheetName val="Q_应付债券"/>
      <sheetName val="Q_可转债"/>
      <sheetName val="Q_政府补助"/>
      <sheetName val="Q_一年内到期负债"/>
      <sheetName val="Q_应付融资租赁款"/>
      <sheetName val="Q_长借"/>
      <sheetName val="Q_长期应付"/>
      <sheetName val="Q_其他长期负债"/>
      <sheetName val="Q_专项应付"/>
      <sheetName val="T_股本"/>
      <sheetName val="T_资本公积"/>
      <sheetName val="T_折算差额"/>
      <sheetName val="T_未分配利润"/>
      <sheetName val="T_盈余公积"/>
      <sheetName val="U_主营业务"/>
      <sheetName val="U_财务费用"/>
      <sheetName val="U_投资收益&amp;公允价值变动收益"/>
      <sheetName val="U_管理费用&amp;资产减值损失"/>
      <sheetName val="U_成本倒轧表&amp;制造费用"/>
      <sheetName val="U_销售费用"/>
      <sheetName val="U_分占下属损益"/>
      <sheetName val="Offering_Stats"/>
      <sheetName val="Segment_to_Legal"/>
      <sheetName val="Consol_FS"/>
      <sheetName val="D410_应交税金变动表Movement"/>
      <sheetName val="Financial_Statistics"/>
      <sheetName val="P_&amp;_L_Account"/>
      <sheetName val="A3_试算表Financial_statement"/>
      <sheetName val="K_固定资产&amp;投资性房地产"/>
      <sheetName val="G_其他应收款"/>
      <sheetName val="Occupancy_2004"/>
      <sheetName val="Fcst_2017"/>
      <sheetName val="FF-2_(1)"/>
      <sheetName val="WACC_Analysis_Output"/>
      <sheetName val="ALL_DATA"/>
      <sheetName val="PP&amp;E_&amp;_Intangibles"/>
      <sheetName val="Cover_--&gt;"/>
      <sheetName val="Comps_input"/>
      <sheetName val="NEWSPRINT_&amp;_UGW"/>
      <sheetName val="MT_by_Dept_管理报表费用分类"/>
      <sheetName val="Volatility_raw"/>
      <sheetName val="Welfare_PIT"/>
      <sheetName val="O_adj"/>
      <sheetName val="Management_Projections"/>
      <sheetName val="Inventories_Analysis"/>
      <sheetName val="06_1"/>
      <sheetName val="Account_Map"/>
      <sheetName val="SFC_fcst"/>
      <sheetName val="01_T"/>
      <sheetName val="03_"/>
      <sheetName val="1102_MIT"/>
      <sheetName val="Sept_BF"/>
      <sheetName val="Anlage_3b,_Attachment_3b"/>
      <sheetName val="Ant_Buss1"/>
      <sheetName val="Ant_Buss2"/>
      <sheetName val="Ant_ZSK"/>
      <sheetName val="6126_07披露表(国资)"/>
      <sheetName val="sales_vol_"/>
      <sheetName val="For_Report"/>
      <sheetName val="附件25_2-销售收入"/>
      <sheetName val="Review_pts"/>
      <sheetName val="资金使用假设_(可转债按账面拆分为股权与债权)"/>
      <sheetName val="BS_data"/>
      <sheetName val="Balance_sheet_for_August"/>
      <sheetName val="Income_statement_for_August"/>
      <sheetName val="Data_sheet"/>
      <sheetName val="1__Data_Entry_Sales,_Carline"/>
      <sheetName val="A_|_INPUT_Filler"/>
      <sheetName val="Fitments_Abs_Ums"/>
      <sheetName val="Datenbank_Fillers"/>
      <sheetName val="FA_ad09-12"/>
      <sheetName val="Calibration_to_Swaptions"/>
      <sheetName val="Swaption_Data"/>
      <sheetName val="Acct_22010"/>
      <sheetName val="P&amp;L_PP"/>
      <sheetName val="Sch0-_Tax_Recon"/>
      <sheetName val="G_1R-Shou_COP_Gf"/>
      <sheetName val="sales1-subsi_"/>
      <sheetName val="sales2-subsi_"/>
      <sheetName val="Lists_(Hide)"/>
      <sheetName val="Historical_prices(D)"/>
      <sheetName val="Historical_prices(M)"/>
      <sheetName val="Historical_prices(W)"/>
      <sheetName val="Client_Data"/>
      <sheetName val="Sales_Data"/>
      <sheetName val="Base_基础"/>
      <sheetName val="Month_8"/>
      <sheetName val="tax_payable"/>
      <sheetName val="Details_of_ledger_"/>
      <sheetName val="Management_report_vs_ledger"/>
      <sheetName val="Exp__Summary"/>
      <sheetName val="Tally_TB_June"/>
      <sheetName val="2007_12折旧差异"/>
      <sheetName val="by_category"/>
      <sheetName val="Q_CF-E01"/>
      <sheetName val="A3_&amp;_U_09-01"/>
      <sheetName val="Elim_Seg_LM"/>
      <sheetName val="Elim_Seg_BM"/>
      <sheetName val="2012-2016_Grp_Res_Bdgt"/>
      <sheetName val="Annex_B"/>
      <sheetName val="GGP_Expenses"/>
      <sheetName val="Data_Arrangement"/>
      <sheetName val="Share_Px"/>
      <sheetName val="CTV_PL"/>
      <sheetName val="Fee_Rate_Summary"/>
      <sheetName val="FA__0012"/>
      <sheetName val="Phase_I"/>
      <sheetName val="Loc_Master"/>
      <sheetName val="New_investment"/>
      <sheetName val="BANK_ac_no,"/>
      <sheetName val="关联交易-存款h?_x"/>
      <sheetName val="关联交易-存款h__x"/>
      <sheetName val="001Disclosure_Summary"/>
      <sheetName val="L1-1_Ageing_analysis"/>
      <sheetName val="Co_Des_BBXL"/>
      <sheetName val="J-cycle_count09"/>
      <sheetName val="Total_Coach"/>
      <sheetName val="Sale_breakdown"/>
      <sheetName val="zhongshan_"/>
      <sheetName val="2016~2018_8凭证库加工"/>
      <sheetName val="SIZE_&amp;_VALUE"/>
      <sheetName val="Vorbereitende_Eingaben_(Teil_1)"/>
      <sheetName val="Scrap_Bridge_Ytd"/>
      <sheetName val="MCS_P&amp;L_By_Sub__USD"/>
      <sheetName val="7378_StockBalance"/>
      <sheetName val="Sign_Off_Form"/>
      <sheetName val="LBO_Valuation_Analysis"/>
      <sheetName val="Sheet1_(2)"/>
      <sheetName val="Spin_1"/>
      <sheetName val="Sec_Equity"/>
      <sheetName val="GRAPH_&amp;_SOURCE_DATA"/>
      <sheetName val="LBO_Assumptions"/>
      <sheetName val="Drop_List_References"/>
      <sheetName val="Instructions_(2)"/>
      <sheetName val="Personal_property_HZ"/>
      <sheetName val="CY_BS"/>
      <sheetName val="FAL_as_of_7_31_06"/>
      <sheetName val="Phase2_movementDEC"/>
      <sheetName val="Phase1f_a_DEC"/>
      <sheetName val="Phase2_f_a_DEC_(2)"/>
      <sheetName val="Table_-_Current_Year"/>
      <sheetName val="Accrued_Expenses"/>
      <sheetName val="Value_summary"/>
      <sheetName val="CAB22_存放同业款项_"/>
      <sheetName val="Q1_"/>
      <sheetName val="loan_database"/>
      <sheetName val="SAP_01-12-31"/>
      <sheetName val="Interco_Sales"/>
      <sheetName val="Net_Bookings"/>
      <sheetName val="Net_Sales_&amp;_Cost_of_Sales"/>
      <sheetName val="PBC_-_PHS"/>
      <sheetName val="1_Eckdaten_in_LW"/>
      <sheetName val="Calc_&amp;_Export"/>
      <sheetName val="Carryover_2004"/>
      <sheetName val="AOP_Exec_Summary"/>
      <sheetName val="U102-U104_Detail"/>
      <sheetName val="Service_Year"/>
      <sheetName val="Revenue_&amp;_Expenses"/>
      <sheetName val="PRC_13"/>
      <sheetName val="suivi_cash_flow_par_affaire"/>
      <sheetName val="AR_movement"/>
      <sheetName val="intbutot_wksheet_current"/>
      <sheetName val="Understand_the_client"/>
      <sheetName val="2_2_付款及计提明细"/>
      <sheetName val="1_汇总统计"/>
      <sheetName val="LTM_Volume"/>
      <sheetName val="Bank_Table"/>
      <sheetName val="1_LeadSchedule"/>
      <sheetName val="3_Analysis"/>
      <sheetName val="OCT_BANK"/>
      <sheetName val="GM_Trend"/>
      <sheetName val="GM%_Trend"/>
      <sheetName val="Linearity_Chart"/>
      <sheetName val="NP_Trend"/>
      <sheetName val="Rev_Trend"/>
      <sheetName val="Rev-GM_Detail_1"/>
      <sheetName val="Rev-GM_Detail_2"/>
      <sheetName val="Rev_Mix_Trend"/>
      <sheetName val="SUMMARY_(EXPD)"/>
      <sheetName val="SUMMARY_(%)"/>
      <sheetName val="QTD_TO_GO"/>
      <sheetName val="Summary Financials"/>
      <sheetName val="Reported"/>
      <sheetName val="Adjusted"/>
      <sheetName val="表2&lt;销售出库单&gt;"/>
      <sheetName val="UFPrn20081114105806"/>
      <sheetName val="Aladdin Macro1"/>
      <sheetName val="SERV. COMEDOR"/>
      <sheetName val="h1h2_model"/>
      <sheetName val="688"/>
      <sheetName val="2000"/>
      <sheetName val="BD-breakdown"/>
      <sheetName val="存货明细2002"/>
      <sheetName val="付款统计"/>
      <sheetName val="合同法摊销金额合计"/>
      <sheetName val="会计科目使用"/>
      <sheetName val="AP RMB"/>
      <sheetName val="FS_0331"/>
      <sheetName val="Stock Chart"/>
      <sheetName val="选择键"/>
      <sheetName val="MASTER_主数据"/>
      <sheetName val="MASTER_主数据_补"/>
      <sheetName val="COVER_报表封面"/>
      <sheetName val="主表-TB输入表-手填(地产专用)"/>
      <sheetName val="IFRS-TB自动对照-手填(地产专用)"/>
      <sheetName val="土地基准地价法"/>
      <sheetName val="实绩"/>
      <sheetName val="Sen_Mod"/>
      <sheetName val="Assumptions &amp; Returns"/>
      <sheetName val="CJE1"/>
      <sheetName val="所得税测算表 (2)"/>
      <sheetName val="5"/>
      <sheetName val="6"/>
      <sheetName val="7"/>
      <sheetName val="8"/>
      <sheetName val="9"/>
      <sheetName val="10"/>
      <sheetName val="11"/>
      <sheetName val="Labor cost"/>
      <sheetName val="宅E贷申请量"/>
      <sheetName val="By Client - NPL Purchase"/>
      <sheetName val="附表1-产品目录"/>
      <sheetName val="2.科目体系费用汇总表"/>
      <sheetName val="1.组织架构"/>
      <sheetName val="毛利及利润分析7月"/>
      <sheetName val="Stds"/>
      <sheetName val="2022"/>
      <sheetName val="7 - ORDER ENTRIES"/>
      <sheetName val="8 - BACKLOG"/>
      <sheetName val="9 - SALES BY ENTITY"/>
      <sheetName val="10 - SALES BY BA-SUMMARY"/>
      <sheetName val="11 - SALES BY BA-FC"/>
      <sheetName val="12 - SALES BY BA-CB"/>
      <sheetName val="13 - SALES BY BA-FM"/>
      <sheetName val="14 - BSA"/>
      <sheetName val="19 - BIN"/>
      <sheetName val="SIG_LANGUE"/>
      <sheetName val="-&gt; EDV Budget"/>
      <sheetName val="栏目及类别表"/>
      <sheetName val="P&amp;L(M)"/>
      <sheetName val="DIL4"/>
      <sheetName val="应收帐款 AR "/>
      <sheetName val="SCB-HK"/>
      <sheetName val="Devises"/>
      <sheetName val="OR Breakdown"/>
      <sheetName val="Sheet16"/>
      <sheetName val="北京对帐表"/>
      <sheetName val="SH-3rd party"/>
      <sheetName val="企业邮局 (2)"/>
      <sheetName val="利润表"/>
      <sheetName val="BKD-consol"/>
      <sheetName val="库存表"/>
      <sheetName val="U-13-2(disc)"/>
      <sheetName val="zValidations-DO NOT TOUCH"/>
      <sheetName val="BS-1"/>
      <sheetName val="BS-2"/>
      <sheetName val="CF-1"/>
      <sheetName val="EM-1"/>
      <sheetName val="EM-2"/>
      <sheetName val="EM-3"/>
      <sheetName val="IS-2"/>
      <sheetName val="IS-1"/>
      <sheetName val="CF-3"/>
      <sheetName val="CF-4"/>
      <sheetName val="Non-GAAP"/>
      <sheetName val="Note10"/>
      <sheetName val="Note12-1"/>
      <sheetName val="Note12-2"/>
      <sheetName val="Note12-3"/>
      <sheetName val="Note12-4"/>
      <sheetName val="Note14-1"/>
      <sheetName val="Note15-1"/>
      <sheetName val="Note15-2"/>
      <sheetName val="Note16-2"/>
      <sheetName val="Note16-1"/>
      <sheetName val="Note16-1 (2)"/>
      <sheetName val="Note16-3"/>
      <sheetName val="Note16-6"/>
      <sheetName val="Note16-5"/>
      <sheetName val="Note16-4"/>
      <sheetName val="Note17-1 "/>
      <sheetName val="Note17-3"/>
      <sheetName val="Note17-2"/>
      <sheetName val="Note18-1"/>
      <sheetName val="Note18-2"/>
      <sheetName val="Note19"/>
      <sheetName val="Note20-1"/>
      <sheetName val="Note20-2"/>
      <sheetName val="Note20-3"/>
      <sheetName val="Note21"/>
      <sheetName val="Note23"/>
      <sheetName val="Note24-2"/>
      <sheetName val="Note24-3"/>
      <sheetName val="Note24-4"/>
      <sheetName val="Note24-5"/>
      <sheetName val="Note25-1"/>
      <sheetName val="Note25-2"/>
      <sheetName val="Note26-1"/>
      <sheetName val="Note26-2"/>
      <sheetName val="Note27"/>
      <sheetName val="Note28-2"/>
      <sheetName val="Note28-3"/>
      <sheetName val="Note29-1"/>
      <sheetName val="Note29-2"/>
      <sheetName val="Note29-3"/>
      <sheetName val="Note3.0-2"/>
      <sheetName val="Note3.0-1"/>
      <sheetName val="Note3.1-1"/>
      <sheetName val="Note3.1-2"/>
      <sheetName val="Note3.1-3"/>
      <sheetName val="Note3.1-5"/>
      <sheetName val="Note3.3-1 "/>
      <sheetName val="Note3.3-2"/>
      <sheetName val="Note3.3-3"/>
      <sheetName val="Note3.3-4"/>
      <sheetName val="Note3.3-5"/>
      <sheetName val="Note32"/>
      <sheetName val="Note33"/>
      <sheetName val="Note34-1"/>
      <sheetName val="Note34-2"/>
      <sheetName val="Note34-3"/>
      <sheetName val="Note34-4"/>
      <sheetName val="Note 37"/>
      <sheetName val="Note5-1"/>
      <sheetName val="Note5-2"/>
      <sheetName val="Note5-3"/>
      <sheetName val="Note5-4"/>
      <sheetName val="Note5-5"/>
      <sheetName val="Note6-1"/>
      <sheetName val="Note6-2"/>
      <sheetName val="Note6-3"/>
      <sheetName val="Note7"/>
      <sheetName val="Note8"/>
      <sheetName val="Note9-1"/>
      <sheetName val="Note9-2"/>
      <sheetName val="Note9-3"/>
      <sheetName val="Note9-4"/>
      <sheetName val="Note9-5"/>
      <sheetName val="Note9-6"/>
      <sheetName val="CF-2"/>
      <sheetName val="Ag Sector P&amp;L 01F"/>
      <sheetName val="1 预设值"/>
      <sheetName val="BS Assets"/>
      <sheetName val="PNVp2010"/>
      <sheetName val="列表"/>
      <sheetName val="ACTUAL_TOTAL"/>
      <sheetName val="LABELS-PRODUCT"/>
      <sheetName val="TNT"/>
      <sheetName val="Sheet677"/>
      <sheetName val="Sheet697"/>
      <sheetName val="Sheet671"/>
      <sheetName val="Sheet703"/>
      <sheetName val="Sheet979"/>
      <sheetName val="Sheet694"/>
      <sheetName val="勿动 选项列表"/>
      <sheetName val="Sheet693"/>
      <sheetName val="Sheet950"/>
      <sheetName val="Sheet1843"/>
      <sheetName val="Sheet981"/>
      <sheetName val="Sheet982"/>
      <sheetName val="Sheet983"/>
      <sheetName val="97 Mnthly Splits Caps"/>
      <sheetName val="基本信息表"/>
      <sheetName val="元数据"/>
      <sheetName val="V - Income"/>
      <sheetName val="FORM06"/>
      <sheetName val="Basic Information"/>
      <sheetName val="PNL_COST"/>
      <sheetName val="1011"/>
      <sheetName val="C1-Cash"/>
      <sheetName val="应收"/>
      <sheetName val="By client"/>
      <sheetName val="By nature"/>
      <sheetName val="8.31"/>
      <sheetName val="sz2"/>
      <sheetName val="Permit"/>
      <sheetName val="2033"/>
      <sheetName val="Sheet506"/>
      <sheetName val="Sheet858"/>
      <sheetName val="Fixed_Assets"/>
      <sheetName val="3_４Ｒ損益"/>
      <sheetName val="Table_Rates"/>
      <sheetName val="GG&amp;P_Yield"/>
      <sheetName val="PBY_Adj"/>
      <sheetName val="Sheet494"/>
      <sheetName val="2453"/>
      <sheetName val="資料"/>
      <sheetName val="Deal CF"/>
      <sheetName val="Pivot Aug'01"/>
      <sheetName val="LAPORAN"/>
      <sheetName val="4020"/>
      <sheetName val="F420SP_Breakdown"/>
      <sheetName val="VENDORS"/>
      <sheetName val="China_Rev&amp;ProviderCost"/>
      <sheetName val="BL Multiples"/>
      <sheetName val="CALEND"/>
      <sheetName val="3690.HK_Annotation_Sheet"/>
      <sheetName val="3690.HK_Exchange_Sheet"/>
      <sheetName val="3690.HK_Live_Sheet"/>
      <sheetName val="3690.HK_Validation_Sheet"/>
      <sheetName val="MasterSheet"/>
      <sheetName val="Monomers"/>
      <sheetName val="资本承诺"/>
      <sheetName val="担保情况表"/>
      <sheetName val="合并报表编制资料目录"/>
      <sheetName val="2000 Cal"/>
      <sheetName val="5.6 回拨运营收入"/>
      <sheetName val="May 07"/>
      <sheetName val="管理费用 "/>
      <sheetName val="关联单位列表"/>
      <sheetName val="USD_Rates"/>
      <sheetName val="订"/>
      <sheetName val="构筑物"/>
      <sheetName val="机器设备"/>
      <sheetName val="电子设备"/>
      <sheetName val="土地使用权"/>
      <sheetName val="Interim --&gt; Top"/>
      <sheetName val="Pnl-10"/>
      <sheetName val="20"/>
      <sheetName val="30"/>
      <sheetName val="70"/>
      <sheetName val="AA"/>
      <sheetName val="AP110"/>
      <sheetName val="B-10"/>
      <sheetName val="BB-1"/>
      <sheetName val="C-5"/>
      <sheetName val="C-6"/>
      <sheetName val="C-6a"/>
      <sheetName val="CC"/>
      <sheetName val="F-1l2"/>
      <sheetName val="F-21"/>
      <sheetName val="F-4"/>
      <sheetName val="F-9c"/>
      <sheetName val="FF-2"/>
      <sheetName val="F-8(FSA)"/>
      <sheetName val="L"/>
      <sheetName val="M MM"/>
      <sheetName val="30a"/>
      <sheetName val="30-Note"/>
      <sheetName val="U-2"/>
      <sheetName val="MET_H_KK"/>
      <sheetName val="填报说明"/>
      <sheetName val="分类"/>
      <sheetName val="Sheet4084"/>
      <sheetName val="Sheet545"/>
      <sheetName val="301 RTI"/>
      <sheetName val="zfi044-ALL"/>
      <sheetName val="Results"/>
      <sheetName val="ROE"/>
      <sheetName val="B1-Assumption"/>
      <sheetName val="Sheet01S"/>
      <sheetName val="Country Risk"/>
      <sheetName val="现金流量基础数据"/>
      <sheetName val="BKD-2008"/>
      <sheetName val="Tailored procedures"/>
      <sheetName val="SA02-03"/>
      <sheetName val="3.1 应收账款"/>
      <sheetName val="钻井(调整)"/>
      <sheetName val="Details listing per department"/>
      <sheetName val="J.工程物资"/>
      <sheetName val="K.生物资产"/>
      <sheetName val="L.开发支出"/>
      <sheetName val="L.一年内到期长期资产"/>
      <sheetName val="L.长期应收"/>
      <sheetName val="L.HK单列无形"/>
      <sheetName val="M.衍生金融负债"/>
      <sheetName val="M.交易性金融负债"/>
      <sheetName val="M.带息借款-流动"/>
      <sheetName val="M.无息借款-流动"/>
      <sheetName val="M.其他金融负债"/>
      <sheetName val="N.应付贸易款及票据"/>
      <sheetName val="O.应交所得税"/>
      <sheetName val="Q.递延收益"/>
      <sheetName val="Q.带息借款-非流动"/>
      <sheetName val="Q.无息借款-非流动"/>
      <sheetName val="T.少数股东"/>
      <sheetName val="U.财务成本"/>
      <sheetName val="U.财务收入"/>
      <sheetName val="U.公允价值变动收益"/>
      <sheetName val="U.资产减值损失"/>
      <sheetName val="U.其他费用"/>
      <sheetName val="U.其他收入"/>
      <sheetName val="CIP"/>
      <sheetName val="tblNNSExport23Master"/>
      <sheetName val="11. equity"/>
      <sheetName val="7.taxes payable &amp; 9.income tax "/>
      <sheetName val="2. sales and cost of sales"/>
      <sheetName val="单位名称"/>
      <sheetName val="审计资料清单"/>
      <sheetName val="附件2、往来"/>
      <sheetName val="公司"/>
      <sheetName val="年初数"/>
      <sheetName val="上月累计"/>
      <sheetName val="损益同期"/>
      <sheetName val="资料"/>
      <sheetName val="G201"/>
      <sheetName val="G301"/>
      <sheetName val="Erection"/>
      <sheetName val="Sheet448"/>
      <sheetName val="Sheet4040"/>
      <sheetName val="TB-WP"/>
      <sheetName val="G9"/>
      <sheetName val="ARTARG"/>
      <sheetName val="Group_structure1"/>
      <sheetName val="2weeeks_All__Excess_and_Shorta1"/>
      <sheetName val="Business_Unit1"/>
      <sheetName val="BJ_Expenses1"/>
      <sheetName val="Sample_Rev1"/>
      <sheetName val="Sample_IS1"/>
      <sheetName val="Probability_View1"/>
      <sheetName val="Profit_and_loss1"/>
      <sheetName val="(i)_Fixed_assets-PBC1"/>
      <sheetName val="Detail_Loan_Move____Listing1"/>
      <sheetName val="2_1设计部1"/>
      <sheetName val="Chart_of_Account1"/>
      <sheetName val="12_APaging附表"/>
      <sheetName val="Raw_Mtl_Prep"/>
      <sheetName val="HISTORY_"/>
      <sheetName val="4011"/>
      <sheetName val="1.2持有参数"/>
      <sheetName val="1.1销售参数"/>
      <sheetName val="2.2规划方案"/>
      <sheetName val="4.1持有输入"/>
      <sheetName val="3.2销售去化"/>
      <sheetName val="貨品科目"/>
      <sheetName val="REBPAYJE"/>
      <sheetName val="CJE_Building Prod"/>
      <sheetName val="CJE_VSC ENERGY DEV"/>
      <sheetName val="CJE_vantage"/>
      <sheetName val="CJE_HONG"/>
      <sheetName val="CJE_VSC HOLDINGS"/>
      <sheetName val="PAJE"/>
      <sheetName val="CJE_SBSC"/>
      <sheetName val="CJE_VSC BVI"/>
      <sheetName val="CJE_VSC FE"/>
      <sheetName val="P&amp;L Mth 02"/>
      <sheetName val="chart_acc"/>
      <sheetName val="PM-TE_2011"/>
      <sheetName val="02"/>
      <sheetName val="escenarios"/>
      <sheetName val="坏帐准备"/>
      <sheetName val="variable 1"/>
      <sheetName val="Theoretical Sales comparison"/>
      <sheetName val="主营收支"/>
      <sheetName val="联盛持有项目"/>
      <sheetName val="附件19"/>
      <sheetName val="运维收入确认台账202111|字段补充"/>
      <sheetName val="translate"/>
      <sheetName val="2007 04 KE5Z detail"/>
      <sheetName val="ACCTS"/>
      <sheetName val="2100"/>
      <sheetName val="2009 3KE5Z detail"/>
      <sheetName val="1403"/>
      <sheetName val="sales by product"/>
      <sheetName val="M1.1 Cash at Bank"/>
      <sheetName val="M1. Lead sheet"/>
      <sheetName val="M1.2 Time Deposit"/>
      <sheetName val="成本调整明细表"/>
      <sheetName val="게이트 지연시간 설정 2"/>
      <sheetName val="Sheet690"/>
      <sheetName val="Sheet669"/>
      <sheetName val="运煤预算"/>
      <sheetName val="Sheet2538"/>
      <sheetName val="Sheet1136"/>
      <sheetName val="Sheet1431"/>
      <sheetName val="Sheet1462"/>
      <sheetName val="Sheet1461"/>
      <sheetName val="Sheet1464"/>
      <sheetName val="Sheet1468"/>
      <sheetName val="Sheet1493"/>
      <sheetName val="2052"/>
      <sheetName val="Sheet700"/>
      <sheetName val="主营业务收入"/>
      <sheetName val="供应商资料"/>
      <sheetName val="工程物资Dy"/>
      <sheetName val="FLdeleted"/>
      <sheetName val="长期股权投资Dy"/>
      <sheetName val="存货_库存商品Dy"/>
      <sheetName val="应付工资Dy"/>
      <sheetName val="应付福利费Dy"/>
      <sheetName val="预提费用Dy"/>
      <sheetName val="主营业务成本Dy"/>
      <sheetName val="长期股权投资Mx"/>
      <sheetName val="存货_库存商品Mx"/>
      <sheetName val="应付工资Mx"/>
      <sheetName val="应付福利费Mx"/>
      <sheetName val="预提费用Mx"/>
      <sheetName val="主营业务成本Mx"/>
      <sheetName val="短期投资Dy"/>
      <sheetName val="现金流量分析表"/>
      <sheetName val="边际贡献分析表"/>
      <sheetName val="主料"/>
      <sheetName val="备品"/>
      <sheetName val="燃料"/>
      <sheetName val="纸箱纸盒"/>
      <sheetName val="FINCAL"/>
      <sheetName val="_2640"/>
      <sheetName val="06"/>
      <sheetName val="07"/>
      <sheetName val="08"/>
      <sheetName val="09"/>
      <sheetName val="01"/>
      <sheetName val="010"/>
      <sheetName val="011"/>
      <sheetName val="05"/>
      <sheetName val="Derrames la"/>
      <sheetName val="FZ9用于合并"/>
      <sheetName val="FZ1"/>
      <sheetName val="FZ5 ITE测算表"/>
      <sheetName val="FZ2"/>
      <sheetName val="FZ3往来"/>
      <sheetName val="FZ4借款"/>
      <sheetName val="FZ5 DITE测算表"/>
      <sheetName val="FZ6并购与处置"/>
      <sheetName val="W附注模板"/>
      <sheetName val="调查表"/>
      <sheetName val="A16C"/>
      <sheetName val="CAR"/>
      <sheetName val="Sheet613"/>
      <sheetName val="NOC"/>
      <sheetName val="07KM"/>
      <sheetName val="2104"/>
      <sheetName val="Assum"/>
      <sheetName val="BS_ReportingDate"/>
      <sheetName val="CE-1"/>
      <sheetName val="EJE#9权益调整"/>
      <sheetName val="CF附注"/>
      <sheetName val="data_Sheet2"/>
      <sheetName val="Global Epi Inputs"/>
      <sheetName val="采购底稿"/>
      <sheetName val="_002。6新"/>
      <sheetName val="Sheet553"/>
      <sheetName val="Sheet512"/>
      <sheetName val="SalesMYP"/>
      <sheetName val="BWSHEET1"/>
      <sheetName val="ECU_BOM"/>
      <sheetName val="SummaryReport"/>
      <sheetName val="EE BOM"/>
      <sheetName val="  ACTadj  "/>
      <sheetName val="  ACTvol  "/>
      <sheetName val="Sheet1849"/>
      <sheetName val="附表-勿动"/>
      <sheetName val="K3100"/>
      <sheetName val="MI_SepNov2012"/>
      <sheetName val="MI_DecFeb2013"/>
      <sheetName val="MI_MarMay2013"/>
      <sheetName val="MI_JunAug2013"/>
      <sheetName val="Hidden Lists"/>
      <sheetName val="Page 1"/>
      <sheetName val="Page 2"/>
      <sheetName val="30万表三"/>
      <sheetName val="银行借款询证"/>
      <sheetName val="Data Input"/>
      <sheetName val="Sheet431"/>
      <sheetName val="预决算"/>
      <sheetName val="ADRESSES"/>
      <sheetName val="SAR"/>
      <sheetName val="KPI"/>
      <sheetName val="试算资产负债表"/>
      <sheetName val="报表项目对照"/>
      <sheetName val="明细项目字段"/>
      <sheetName val="p &amp; lx"/>
      <sheetName val="预付款项"/>
      <sheetName val="材料采购"/>
      <sheetName val="周转材料"/>
      <sheetName val="投资性房地产"/>
      <sheetName val="委托加工物资"/>
      <sheetName val="库存商品"/>
      <sheetName val="在产品"/>
      <sheetName val="发出商品"/>
      <sheetName val="消耗性生物"/>
      <sheetName val="委托代销商品"/>
      <sheetName val="受托代销商品"/>
      <sheetName val="长期应收款"/>
      <sheetName val="一年到期非流资产"/>
      <sheetName val="可售金融资产"/>
      <sheetName val="持有到期投资"/>
      <sheetName val="房屋建筑物"/>
      <sheetName val="管道和沟槽"/>
      <sheetName val="车辆"/>
      <sheetName val="工程物资"/>
      <sheetName val="土建工程"/>
      <sheetName val="安装工程"/>
      <sheetName val="交易性金融资产"/>
      <sheetName val="固定资产清理"/>
      <sheetName val="油气资产"/>
      <sheetName val="其他无形资产"/>
      <sheetName val="开发支出"/>
      <sheetName val="长期待摊费用"/>
      <sheetName val="其他非流资产"/>
      <sheetName val="递延税资产"/>
      <sheetName val="应付票据"/>
      <sheetName val="预收款项"/>
      <sheetName val="交易性金融负债"/>
      <sheetName val="应付薪酬"/>
      <sheetName val="应付利息"/>
      <sheetName val="应交税费"/>
      <sheetName val="应付股利"/>
      <sheetName val="预计负债"/>
      <sheetName val="一年到期非流负债"/>
      <sheetName val="其他流动负债"/>
      <sheetName val="长期借款"/>
      <sheetName val="应付债券"/>
      <sheetName val="长期应付款"/>
      <sheetName val="专项应付款"/>
      <sheetName val="其他非流负债"/>
      <sheetName val="递延税负债"/>
      <sheetName val="应收股利"/>
      <sheetName val="GiaVL"/>
      <sheetName val="dongia (2)"/>
      <sheetName val="giathanh1"/>
      <sheetName val="THPDMoi  (2)"/>
      <sheetName val="gtrinh"/>
      <sheetName val="phuluc1"/>
      <sheetName val="lam-moi"/>
      <sheetName val="DONGIA"/>
      <sheetName val="thao-go"/>
      <sheetName val="DON GIA"/>
      <sheetName val="TONGKE-HT"/>
      <sheetName val="DG"/>
      <sheetName val="t-h HA THE"/>
      <sheetName val="CHITIET VL-NC-TT -1p"/>
      <sheetName val="TONG HOP VL-NC TT"/>
      <sheetName val="TNHCHINH"/>
      <sheetName val="TH XL"/>
      <sheetName val="TONGKE3p "/>
      <sheetName val="CHITIET VL-NC"/>
      <sheetName val="chitiet"/>
      <sheetName val="VC"/>
      <sheetName val="Tiepdia"/>
      <sheetName val="CHITIET VL-NC-TT-3p"/>
      <sheetName val="TDTKP"/>
      <sheetName val="TDTKP1"/>
      <sheetName val="KPVC-BD "/>
      <sheetName val="VCV-BE-TONG"/>
      <sheetName val="Breadown"/>
      <sheetName val="Work Centers"/>
      <sheetName val="EBITDA Cause of Change"/>
      <sheetName val="Margin Cause of Change by Cat"/>
      <sheetName val="INDEXES"/>
      <sheetName val="工单类型数据定义"/>
      <sheetName val="变动表"/>
      <sheetName val="Sheet793"/>
      <sheetName val="Sheet603"/>
      <sheetName val="P412-2001"/>
      <sheetName val="P413-2002"/>
      <sheetName val="K-0 PPE Overview PSP_OSP"/>
      <sheetName val="应收票据(关联方)(5)"/>
      <sheetName val="Società"/>
      <sheetName val="Peer"/>
      <sheetName val="PCL"/>
      <sheetName val="map"/>
      <sheetName val="数外余额"/>
      <sheetName val="Based Data_wacc"/>
      <sheetName val="DEH94"/>
      <sheetName val="tf04"/>
      <sheetName val="Sheet1910"/>
      <sheetName val="Sheet572"/>
      <sheetName val="Sheet1911"/>
      <sheetName val="Sheet1913"/>
      <sheetName val="Sheet3419"/>
      <sheetName val="Sheet3420"/>
      <sheetName val="名称表"/>
      <sheetName val="AUD_Rates"/>
      <sheetName val="Sheet2866"/>
      <sheetName val="Sheet1015"/>
      <sheetName val="财务费用明细表"/>
      <sheetName val="长期待摊费用明细表"/>
      <sheetName val="L3-1 AR ageing list"/>
      <sheetName val="Flow"/>
      <sheetName val="少数股东损益测算表"/>
      <sheetName val="Stock Analysis"/>
      <sheetName val="company operations"/>
      <sheetName val="hangzhou2"/>
      <sheetName val="Yearly"/>
      <sheetName val="Slides 1-3"/>
      <sheetName val="Overview"/>
      <sheetName val="Sources &amp; Uses"/>
      <sheetName val="미지급이자(분쟁대상)"/>
      <sheetName val="数据源"/>
      <sheetName val="KOR"/>
      <sheetName val="원가관리"/>
      <sheetName val="생계99ST"/>
      <sheetName val="BU"/>
      <sheetName val="STD. COST"/>
      <sheetName val="Marshal"/>
      <sheetName val="Depreciation  schedule"/>
      <sheetName val="BI RATE"/>
      <sheetName val="Sheet5158"/>
      <sheetName val="#RIF"/>
      <sheetName val="3020101010"/>
      <sheetName val="GroƲƲ_x0006__x0007_t_Output_(100%)"/>
      <sheetName val="U110_收入明细分析"/>
      <sheetName val="Riepilogo linee-direz BUD"/>
      <sheetName val="AN532"/>
      <sheetName val="10年12月应付工资余额表"/>
      <sheetName val="10年12月份应交个人所得税余额表"/>
      <sheetName val="10年12月份应付帐款余额表"/>
      <sheetName val="10年12月份销项税额余额表"/>
      <sheetName val="10年12月份应付帐款余额表-暂估"/>
      <sheetName val="10年12月份其他应交款余额表"/>
      <sheetName val="+++ Help +++"/>
      <sheetName val="Grunddaten"/>
      <sheetName val="合并报表"/>
      <sheetName val="Data_Functional"/>
      <sheetName val="Data Credit Losses"/>
      <sheetName val="Data_Equity II"/>
      <sheetName val="Data_Equity I"/>
      <sheetName val="Data_FL Maturity"/>
      <sheetName val="Data PaL"/>
      <sheetName val="Data_Pensions"/>
      <sheetName val="Positionsplan englisch"/>
      <sheetName val="Data_Provisions"/>
      <sheetName val="Data_Receivables"/>
      <sheetName val="Data_COGS"/>
      <sheetName val="Data_Leasing"/>
      <sheetName val="Data_Line of Credit"/>
      <sheetName val="Data_Assets"/>
      <sheetName val="Data_Employees"/>
      <sheetName val="Data_Cashflow"/>
      <sheetName val="Data_Balance Sheet"/>
      <sheetName val="Data_IT"/>
      <sheetName val="Revenue &amp; Cost"/>
      <sheetName val="Other Income and other expenses"/>
      <sheetName val="1111应付帐款明细表"/>
      <sheetName val="Sheet3484"/>
      <sheetName val="Sheet1 (11)"/>
      <sheetName val="应收账款Dy"/>
      <sheetName val="预收账款Dy"/>
      <sheetName val="主营业务收入Dy"/>
      <sheetName val="应收账款Mx"/>
      <sheetName val="878"/>
      <sheetName val="0295INV"/>
      <sheetName val="Age311299TAS"/>
      <sheetName val="TASintDec00"/>
      <sheetName val="P4DDBFTAS"/>
      <sheetName val="Comps"/>
      <sheetName val="TMS2000"/>
      <sheetName val="NRV2"/>
      <sheetName val="Ex_Rate"/>
      <sheetName val="Plan1"/>
      <sheetName val="1-7月"/>
      <sheetName val="ALL"/>
      <sheetName val="x_rates"/>
      <sheetName val="1.1牛奶--原奶和产品指标统计表"/>
      <sheetName val="TB-Total"/>
      <sheetName val="Value 1"/>
      <sheetName val="Sheet5117"/>
      <sheetName val="Sheet653"/>
      <sheetName val="ROCE"/>
      <sheetName val="SUNDRIES"/>
      <sheetName val="10月回款"/>
      <sheetName val="10月销售"/>
      <sheetName val="B5 SUAD"/>
      <sheetName val="202204 ACT"/>
      <sheetName val="Sheet558"/>
      <sheetName val="Sheet990"/>
      <sheetName val="Hardware"/>
      <sheetName val="Sheet3421"/>
      <sheetName val="OUT"/>
      <sheetName val="F4110-Inventory List"/>
      <sheetName val="100172"/>
      <sheetName val="Sheet542"/>
      <sheetName val="Transinputs"/>
      <sheetName val="InventorySummary"/>
      <sheetName val="总人口"/>
      <sheetName val="定义-ready"/>
      <sheetName val="CMX-1298"/>
      <sheetName val="DEFLEET APR-05"/>
      <sheetName val="I200-内部交易"/>
      <sheetName val="Source1"/>
      <sheetName val="W200关联方交易"/>
      <sheetName val="W100关联方往来"/>
      <sheetName val="시설이용권명세서"/>
      <sheetName val="Cntry"/>
      <sheetName val="1Ed"/>
      <sheetName val="2Ed"/>
      <sheetName val="电子"/>
      <sheetName val="0506合并附注"/>
      <sheetName val="2动力设备"/>
      <sheetName val="对应现金流量表1"/>
      <sheetName val="Exp"/>
      <sheetName val="Imp"/>
      <sheetName val="长期投资"/>
      <sheetName val="Contratos"/>
      <sheetName val="Chart of Accounts"/>
      <sheetName val="Confirm form"/>
      <sheetName val="Contact info"/>
      <sheetName val="0302_生技科"/>
      <sheetName val="0303_制造科"/>
      <sheetName val="FA-LISTING"/>
      <sheetName val="Sheet850"/>
      <sheetName val="Sheet3379"/>
      <sheetName val="Sheet849"/>
      <sheetName val="Sheet640"/>
      <sheetName val="Corporate"/>
      <sheetName val="DC A VS B"/>
      <sheetName val="Depreciation PIT"/>
      <sheetName val="Exp Structure by Project"/>
      <sheetName val="Exp Structure by BU"/>
      <sheetName val="组织"/>
      <sheetName val="RefH"/>
      <sheetName val="2008实际(每月)"/>
      <sheetName val="2008实际(截至)"/>
      <sheetName val="2008予算(每月)"/>
      <sheetName val="2008予算(截至)"/>
      <sheetName val="目錄"/>
      <sheetName val="B1 - HC Forecast"/>
      <sheetName val="Q1 销售人力成本 - 实际"/>
      <sheetName val="成本中心Mapping 1-7月"/>
      <sheetName val="Sheet951"/>
      <sheetName val="download from LIVE"/>
      <sheetName val="Sheet980"/>
      <sheetName val="ws9"/>
      <sheetName val="shtLookup"/>
      <sheetName val="InfoMatrix"/>
      <sheetName val="Index &amp; SignOff"/>
      <sheetName val="GVCT &amp; FOH_BS"/>
      <sheetName val="SMI"/>
      <sheetName val="Payroll (E-5)"/>
      <sheetName val="Apportionment Summary"/>
      <sheetName val="PPE - Summary"/>
      <sheetName val="Sales Summary"/>
      <sheetName val="Floating leg"/>
      <sheetName val="Fixed Leg Curve"/>
      <sheetName val="Floating Leg Curve"/>
      <sheetName val="Swap summary"/>
      <sheetName val="G4-2 应付账款明细-常熟"/>
      <sheetName val="Sheet1907"/>
      <sheetName val="Sheet1908"/>
      <sheetName val="North America AR"/>
      <sheetName val="通用设备"/>
      <sheetName val="GroƲ"/>
      <sheetName val="DCF_3资产负债分析调整表"/>
      <sheetName val="EBITDA Charts"/>
      <sheetName val="科目列表其中项"/>
      <sheetName val="币种其中项"/>
      <sheetName val="自定义一列表"/>
      <sheetName val="自定义二列表"/>
      <sheetName val="其中项及原币调整"/>
      <sheetName val="基础表"/>
      <sheetName val="212101"/>
      <sheetName val="办事处经费"/>
      <sheetName val="办事处市场部经费"/>
      <sheetName val="营销人员借款"/>
      <sheetName val="离职营销人员借款"/>
      <sheetName val="公司备用金"/>
      <sheetName val="律师"/>
      <sheetName val="Sheet524"/>
      <sheetName val="售后资产租回测算过程"/>
      <sheetName val="售后回租资产对应的借款"/>
      <sheetName val="收入和成本对应表"/>
      <sheetName val="C_110发函回函地址核查"/>
      <sheetName val="Contribution Analysis New"/>
      <sheetName val="营外收支"/>
      <sheetName val="II-3.매출입금채권계획"/>
      <sheetName val="Input 1 Main"/>
      <sheetName val="Input 2 NAV"/>
      <sheetName val="Sheet1964"/>
      <sheetName val="Sheet2786"/>
      <sheetName val="Sheet1850"/>
      <sheetName val="categoryHidden6"/>
      <sheetName val="Merger"/>
      <sheetName val="SCALE"/>
      <sheetName val="FIN_STAT"/>
      <sheetName val="Checkbook"/>
      <sheetName val="A1 - Income Statement"/>
      <sheetName val="FA"/>
      <sheetName val="变动类型"/>
      <sheetName val="分类汇总表"/>
      <sheetName val="未完工合同成本设备"/>
      <sheetName val="预付款项RMB租金"/>
      <sheetName val="长期其他应收款"/>
      <sheetName val="WW"/>
      <sheetName val="T&amp;D"/>
      <sheetName val="Item Info."/>
      <sheetName val="3rd_FIS"/>
      <sheetName val="MACRO2"/>
      <sheetName val="SA Procedures"/>
      <sheetName val="G140"/>
      <sheetName val="当前视图_Data"/>
      <sheetName val="Landed Costs"/>
      <sheetName val="HideSheet"/>
      <sheetName val="JF"/>
      <sheetName val="JVoutput"/>
      <sheetName val="DB9911"/>
      <sheetName val="JVFORM"/>
      <sheetName val="DO"/>
      <sheetName val="DN &amp;IN"/>
      <sheetName val="DB9910"/>
      <sheetName val="Program"/>
      <sheetName val="AFA_O.A.B"/>
      <sheetName val="Cust List"/>
      <sheetName val="cr余额"/>
      <sheetName val="7a.Other Inc Exp"/>
      <sheetName val="EX-TGS"/>
      <sheetName val="2003(4)"/>
      <sheetName val="本月在途2003(5)"/>
      <sheetName val="客戶清單customer list"/>
      <sheetName val="เครื่องตกแต่ง"/>
      <sheetName val="เครื่องมือ"/>
      <sheetName val="อาคาร"/>
      <sheetName val="瓶类"/>
      <sheetName val="办公用品"/>
      <sheetName val="备品备件"/>
      <sheetName val="标签"/>
      <sheetName val="玻璃仪器"/>
      <sheetName val="辅料"/>
      <sheetName val="化剂"/>
      <sheetName val="劳保"/>
      <sheetName val="其他材料"/>
      <sheetName val="产成品"/>
      <sheetName val="中草药"/>
      <sheetName val="自制半成品"/>
      <sheetName val=" Kostenstruktur Fab."/>
      <sheetName val="17. Non consolidated stock"/>
      <sheetName val="General Data"/>
      <sheetName val="Liabilities"/>
      <sheetName val="P-L"/>
      <sheetName val="14. Fixed assets"/>
      <sheetName val="13. Intangible assets"/>
      <sheetName val="ECON"/>
      <sheetName val="QTLY"/>
      <sheetName val="COATED PUBLICATION"/>
      <sheetName val="AirConditional"/>
      <sheetName val="MotorVehicle"/>
      <sheetName val="ProformaWS"/>
      <sheetName val="layout"/>
      <sheetName val="Tombstone"/>
      <sheetName val="2670"/>
      <sheetName val="其他业务收支 杨"/>
      <sheetName val="CIP&lt;1&gt; 杨"/>
      <sheetName val="P12 TB SZ"/>
      <sheetName val="GuV"/>
      <sheetName val="Sheet543"/>
      <sheetName val="P&amp;L - BS mapping table"/>
      <sheetName val="model by field"/>
      <sheetName val="Summary model"/>
      <sheetName val="Block A"/>
      <sheetName val="Corridor"/>
      <sheetName val="Crude oil"/>
      <sheetName val="直运直汇到站明细表"/>
      <sheetName val="Consol worksheet-Final"/>
      <sheetName val="Pick Lists"/>
      <sheetName val="sheet 1"/>
      <sheetName val="Table 0703"/>
      <sheetName val="MPL 技連"/>
      <sheetName val="342E BLOCK"/>
      <sheetName val="APP1999"/>
      <sheetName val="PM-TE"/>
      <sheetName val="补充资料"/>
      <sheetName val="持有待售资产"/>
      <sheetName val="递延收益"/>
      <sheetName val="递延所得税资产和递延所得税负债"/>
      <sheetName val="费用按性质分类的利润表补充资料"/>
      <sheetName val="在建工程"/>
      <sheetName val="公允价值变动收益"/>
      <sheetName val="公允价值的披露"/>
      <sheetName val="股本"/>
      <sheetName val="固定资产"/>
      <sheetName val="合并范围的变更"/>
      <sheetName val="资合并"/>
      <sheetName val="利合并"/>
      <sheetName val="所合并"/>
      <sheetName val="现合并"/>
      <sheetName val="合同负债"/>
      <sheetName val="合同资产"/>
      <sheetName val="持有待售负债"/>
      <sheetName val="货币资金"/>
      <sheetName val="净敞口套期收益"/>
      <sheetName val="库存股"/>
      <sheetName val="每股收益"/>
      <sheetName val="资"/>
      <sheetName val="利"/>
      <sheetName val="母公司其他应收款"/>
      <sheetName val="所"/>
      <sheetName val="母公司投资收益"/>
      <sheetName val="现"/>
      <sheetName val="母公司应收款项融资"/>
      <sheetName val="母公司应收票据"/>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其他综合收益"/>
      <sheetName val="商誉"/>
      <sheetName val="生产性生物资产"/>
      <sheetName val="使用权资产"/>
      <sheetName val="所得税费用"/>
      <sheetName val="所有权或使用权受到限制的资产"/>
      <sheetName val="套期"/>
      <sheetName val="外币货币性项目"/>
      <sheetName val="现金流量表补充资料"/>
      <sheetName val="现金流量表项目"/>
      <sheetName val="信用减值损失"/>
      <sheetName val="研发费用"/>
      <sheetName val="衍生金融负债"/>
      <sheetName val="衍生金融资产"/>
      <sheetName val="一年内到期的非流动负债"/>
      <sheetName val="一年内到期的非流动资产"/>
      <sheetName val="应付职工薪酬"/>
      <sheetName val="应收款项融资"/>
      <sheetName val="盈余公积"/>
      <sheetName val="营业收入和营业成本"/>
      <sheetName val="与金融工具相关的风险"/>
      <sheetName val="在其他主体中的权益"/>
      <sheetName val="债权投资"/>
      <sheetName val="长期应付职工薪酬"/>
      <sheetName val="政府补助"/>
      <sheetName val="专项储备"/>
      <sheetName val="资本公积"/>
      <sheetName val="资本管理"/>
      <sheetName val="资产处置收益"/>
      <sheetName val="资产负债表日后事项"/>
      <sheetName val="资产减值损失"/>
      <sheetName val="租赁"/>
      <sheetName val="租赁负债"/>
      <sheetName val="原料"/>
      <sheetName val="关联交易-存款?_x005f_x0000__x005f_x0000_滨㠼_x005f_x0000_"/>
      <sheetName val="关联交易-存款?_x005f_x0000__x005f_x0000__x005f_x0000__x"/>
      <sheetName val="关联交易-存款?_x005f_x0000__x005f_x0000_滨?_x005f_x0000_"/>
      <sheetName val="HC"/>
      <sheetName val="Sheet874"/>
      <sheetName val="ARP-G101"/>
      <sheetName val="ARP-U101"/>
      <sheetName val="AP"/>
      <sheetName val="Input Tab"/>
      <sheetName val="PROOF"/>
      <sheetName val="生皮,盐"/>
      <sheetName val="同业借款"/>
      <sheetName val="AR NET后"/>
      <sheetName val="F110"/>
      <sheetName val="ARP-U301"/>
      <sheetName val="E221"/>
      <sheetName val="Finsum-NAS"/>
      <sheetName val="NAS-BS"/>
      <sheetName val="Summary Fins Output"/>
      <sheetName val="Football Field"/>
      <sheetName val="PandL"/>
      <sheetName val="Birow"/>
      <sheetName val="BS Birow"/>
      <sheetName val="VolGrwth"/>
      <sheetName val="2006 NOPAT"/>
      <sheetName val="Prior &amp; Plan Capital"/>
      <sheetName val="Prior &amp; Plan NOPAT"/>
      <sheetName val="2006 Capital"/>
      <sheetName val="Working"/>
      <sheetName val="A01"/>
      <sheetName val="A08"/>
      <sheetName val="B20"/>
      <sheetName val="D02"/>
      <sheetName val="D7B"/>
      <sheetName val="M29"/>
      <sheetName val="Sheet1494"/>
      <sheetName val="Sheet1495"/>
      <sheetName val="Sheet1496"/>
      <sheetName val="DPL"/>
      <sheetName val="Prices P11 and P12 (PAG) (2)"/>
      <sheetName val="Sheet5326"/>
      <sheetName val="Sheet1135"/>
      <sheetName val="Expectation"/>
      <sheetName val="Variance threshold"/>
      <sheetName val="实际2020"/>
      <sheetName val="M002"/>
      <sheetName val="实际2019"/>
      <sheetName val="Sheet651"/>
      <sheetName val="Feb04 VAT (AL-3)"/>
      <sheetName val="uvap"/>
      <sheetName val="辅表-标的原始利润表"/>
      <sheetName val="辅表-标的原始资产负债表"/>
      <sheetName val="辅助计算表"/>
      <sheetName val="Sheet1463"/>
      <sheetName val="Sheet1432"/>
      <sheetName val="Sheet685"/>
      <sheetName val="Sheet1467"/>
      <sheetName val="Sheet1498"/>
      <sheetName val="US$ TRIAL BALANCE BY MONTH"/>
      <sheetName val="Deferred Tax"/>
      <sheetName val="Sheet670"/>
      <sheetName val="A_R_017"/>
      <sheetName val="ADJ_Sum(console)7"/>
      <sheetName val="Defer_tax7"/>
      <sheetName val="Estimated_AP_9_037"/>
      <sheetName val="2005_066"/>
      <sheetName val="REC_976"/>
      <sheetName val="Mar_OR6"/>
      <sheetName val="daywork-_Tham_khao6"/>
      <sheetName val="TB_Link6"/>
      <sheetName val="truc_tiep5"/>
      <sheetName val="P_1预收、其他应付、其他流动负债5"/>
      <sheetName val="G_预付账款、其他应收款、其他流动资产5"/>
      <sheetName val="_U1505"/>
      <sheetName val="2-分类汇总_Classified_Summary5"/>
      <sheetName val="Financ__Overview5"/>
      <sheetName val="各年往来_(2)5"/>
      <sheetName val="IFRS_REPORTING5"/>
      <sheetName val="office_supplies5"/>
      <sheetName val="关联交易-存款hࢀ_ࢀ__x005f_x0001_5"/>
      <sheetName val="A5_Summary5"/>
      <sheetName val="关联交易-存款hࢀ_ࢀ__x005f_x005f_x005f_x0001_5"/>
      <sheetName val="Invest_5"/>
      <sheetName val="A3_Sum5"/>
      <sheetName val="zero_(3)5"/>
      <sheetName val="3_25"/>
      <sheetName val="Inv_days_#55"/>
      <sheetName val="control_sheet_fund_II5"/>
      <sheetName val="Exec_Summary5"/>
      <sheetName val="F1100芯片测试费_5"/>
      <sheetName val="TAB_Daten4"/>
      <sheetName val="关联交易-存款hࢀ_ࢀ__x005f_x005f_x005f_x005f_x005f4"/>
      <sheetName val="关联交易-存款hࢀ_ࢀ__x005f_x005f_4"/>
      <sheetName val="Ex_Diff4"/>
      <sheetName val="Sch_PR-24"/>
      <sheetName val="Sch_PR-34"/>
      <sheetName val="II-_Liability_Component_June_05"/>
      <sheetName val="I-Conclusion_4"/>
      <sheetName val="II-_Liab__comp_IAS4"/>
      <sheetName val="Conversion_feature4"/>
      <sheetName val="I-_Summary4"/>
      <sheetName val="Consol_BS4"/>
      <sheetName val="HO_&amp;_Aust_BS4"/>
      <sheetName val="JAC11_304"/>
      <sheetName val="N_应付账款4"/>
      <sheetName val="Raw_materials4"/>
      <sheetName val="Tier1_Pref_SGP4"/>
      <sheetName val="Rev__Losses4"/>
      <sheetName val="SoP_SGP24"/>
      <sheetName val="Prop_R4"/>
      <sheetName val="Tier1_Pref_SBP4"/>
      <sheetName val="关联交易-存款hࢀ_ࢀ__4"/>
      <sheetName val="Income_Statement_breakdown4"/>
      <sheetName val="销售6_134"/>
      <sheetName val="短期投资股票投资_dbf4"/>
      <sheetName val="短期投资国债投资_dbf4"/>
      <sheetName val="股票投资收益_dbf4"/>
      <sheetName val="其他货币海通_dbf4"/>
      <sheetName val="其他货币零领路_dbf4"/>
      <sheetName val="投资收益债券_dbf4"/>
      <sheetName val="Base_Info4"/>
      <sheetName val="PV6_3_5L_LX5_GMX1704"/>
      <sheetName val="Company_Information4"/>
      <sheetName val="qad_TB4"/>
      <sheetName val="P&amp;L_adhoc4"/>
      <sheetName val="Suppl_Adhoc_Inv_(F)4"/>
      <sheetName val="Suppl_Adhoc_Pers4"/>
      <sheetName val="QTR_Data_Analysis4"/>
      <sheetName val="Disclosure_Summary4"/>
      <sheetName val="BOX_SUM4"/>
      <sheetName val="FIN_GOOD4"/>
      <sheetName val="Hyperion_Link4"/>
      <sheetName val="Lease_AP_20084"/>
      <sheetName val="关联交易-存款?滨?_4"/>
      <sheetName val="Bank_card_list4"/>
      <sheetName val="Antivol_D24"/>
      <sheetName val="Vendor_Data4"/>
      <sheetName val="1461（12_6）4"/>
      <sheetName val="&lt;FF&gt;_Tax_Payable4"/>
      <sheetName val="PPD_Schedule4"/>
      <sheetName val="清单12_314"/>
      <sheetName val="Economic_evaluation_-_FY98_bas4"/>
      <sheetName val="Price_List4"/>
      <sheetName val="1-_Input_&amp;_Info4"/>
      <sheetName val="CUSTOMER_(DETAIL)4"/>
      <sheetName val="Payed_bonuses4"/>
      <sheetName val="Output_&amp;_Financial_Statements4"/>
      <sheetName val="Old_TWX_Quorfa4"/>
      <sheetName val="TWX_Model4"/>
      <sheetName val="FS_Output_44"/>
      <sheetName val="FS_Output_14"/>
      <sheetName val="FS_Output_34"/>
      <sheetName val="FS_Output24"/>
      <sheetName val="Deal_Structure_&amp;_Control_Page4"/>
      <sheetName val="Historic_Comps4"/>
      <sheetName val="All_Cash_Dil4"/>
      <sheetName val="关联交易-存款hࢀ_ࢀ__x005f_x005f_x005f_x005f_4"/>
      <sheetName val="2_5上年现金试算4"/>
      <sheetName val="Base_Data4"/>
      <sheetName val="CY_sales_report3"/>
      <sheetName val="Romford_Market4"/>
      <sheetName val="1_04"/>
      <sheetName val="Detail_Loan_Move__&amp;_Listing4"/>
      <sheetName val="Non-Statistical_Sampling4"/>
      <sheetName val="AR_Drop_Downs4"/>
      <sheetName val="PRC_GAAP4"/>
      <sheetName val="addl_cost3"/>
      <sheetName val="综合成本分析01_01-02053"/>
      <sheetName val="SD-Report_5&quot;3"/>
      <sheetName val="M_Schedules3"/>
      <sheetName val="Staff_List3"/>
      <sheetName val="Rejects_PPM3"/>
      <sheetName val="QOS_RPPM3"/>
      <sheetName val="Standort_(DE)3"/>
      <sheetName val="Act_Vol3"/>
      <sheetName val="链接表（勿动）_元)3"/>
      <sheetName val="两次基准日的对比_(0531与0831)3"/>
      <sheetName val="链接表（勿动）_(元表)3"/>
      <sheetName val="Customer_Name3"/>
      <sheetName val="T__B3"/>
      <sheetName val="IRR_&amp;_NPV3"/>
      <sheetName val="M&amp;A_pipeline3"/>
      <sheetName val="开发成本2002_-_Movement3"/>
      <sheetName val="ACC_NAME3"/>
      <sheetName val="statement_19983"/>
      <sheetName val="XVIa(i)_-_average_price_(2)3"/>
      <sheetName val="Table_13_1_-_33"/>
      <sheetName val="Cash_Flow_-_CY_Workings3"/>
      <sheetName val="2_cot3"/>
      <sheetName val="for_ey_reviewer_销售费用3"/>
      <sheetName val="for_ey_reviewer_制造费用3"/>
      <sheetName val="C-1_总表3"/>
      <sheetName val="4_1-合同台帐3"/>
      <sheetName val="Income_Statement_and_KPIs3"/>
      <sheetName val="index_cc3"/>
      <sheetName val="GA5-2-1_明细表20153"/>
      <sheetName val="VS_Consensus3"/>
      <sheetName val="CJE_energy_inv3"/>
      <sheetName val="YTD_SALES3"/>
      <sheetName val="国别报告数据填报模板(Information_Request3"/>
      <sheetName val="진행_DATA_(2)3"/>
      <sheetName val="0_1公司清单3"/>
      <sheetName val="H_R3"/>
      <sheetName val="Acq_Assumptions_I3"/>
      <sheetName val="Acq_Assumptions_II3"/>
      <sheetName val="Acq_Assumptions_III3"/>
      <sheetName val="ZP7_gespritzt3"/>
      <sheetName val="1_5_合同、非合同台帐3"/>
      <sheetName val="IS_Summary-963"/>
      <sheetName val="Library_Procedures3"/>
      <sheetName val="Non-Statistical_Sampling_Maste3"/>
      <sheetName val="Global_Data3"/>
      <sheetName val="4_1拆出资金3"/>
      <sheetName val="aging_06123"/>
      <sheetName val="NA_QTR_PROD3"/>
      <sheetName val="Official_Lehman_PROD_Sched3"/>
      <sheetName val="Income_statement3"/>
      <sheetName val="PRC_153"/>
      <sheetName val="acc_list3"/>
      <sheetName val="在建工程_final3"/>
      <sheetName val="Service_Parts_Rejects_(RPPM)3"/>
      <sheetName val="Carole_Worksheet_Table3"/>
      <sheetName val="销售人效_-_Overview3"/>
      <sheetName val="Two_Step_Revenue_Testing_Maste3"/>
      <sheetName val="Share_Prices3"/>
      <sheetName val="Book_1_Summary3"/>
      <sheetName val="Salses_breakdown3"/>
      <sheetName val="POWER_ASSUMPTIONS3"/>
      <sheetName val="7_-_ARO_Assumptions3"/>
      <sheetName val="Tritel_Consolidated3"/>
      <sheetName val="TeleCorp_Holdco_Summary3"/>
      <sheetName val="关联交易-存款_滨__4"/>
      <sheetName val="F40-Goodsin_transit3"/>
      <sheetName val="1_资金支付台帐3"/>
      <sheetName val="Feb_Allocation%3"/>
      <sheetName val="Com_Lever3"/>
      <sheetName val="expenses_calc3"/>
      <sheetName val="existing_cities_benchmark3"/>
      <sheetName val="master_sheet3"/>
      <sheetName val="bike_loss3"/>
      <sheetName val="exchange_rate3"/>
      <sheetName val="Cash_Flow_Worksheet3"/>
      <sheetName val="Chart_Analysis3"/>
      <sheetName val="2005_013"/>
      <sheetName val="Comp_equip3"/>
      <sheetName val="Access360_-_PP3"/>
      <sheetName val="Program_Controls3"/>
      <sheetName val="BS_Heading3"/>
      <sheetName val="其他货币资金_dbf3"/>
      <sheetName val="银行存款_dbf3"/>
      <sheetName val="2018_ADJ3"/>
      <sheetName val="08_83"/>
      <sheetName val="1002-1031170406_Capital_Accoun3"/>
      <sheetName val="Air_Conditional3"/>
      <sheetName val="Motor_Vehicle3"/>
      <sheetName val="7_(2)3"/>
      <sheetName val="summary_3"/>
      <sheetName val="PER_SALES_ORG3"/>
      <sheetName val="F19_23"/>
      <sheetName val="F19_13"/>
      <sheetName val="F5_53"/>
      <sheetName val="F5_33"/>
      <sheetName val="Accounts_Database3"/>
      <sheetName val="CH_Car3"/>
      <sheetName val="App1_Entities_sequence_number3"/>
      <sheetName val="Project_Details3"/>
      <sheetName val="Sales_Volumes_&amp;_Plan2"/>
      <sheetName val="Net_Sales_LC2"/>
      <sheetName val="2018工程汇总_3"/>
      <sheetName val="表二十二_(2)2"/>
      <sheetName val="附表1_年度人数2"/>
      <sheetName val="Cash_Flow3"/>
      <sheetName val="26_存货月报表2"/>
      <sheetName val="cum_pred2"/>
      <sheetName val="库存商品余额表_dbf3"/>
      <sheetName val="query_results2"/>
      <sheetName val="Opening_check_Misc_(WO_Only)3"/>
      <sheetName val="IRR_Historic3"/>
      <sheetName val="Portfolio_IRR3"/>
      <sheetName val="Val_Inputs3"/>
      <sheetName val="Model_Inputs3"/>
      <sheetName val="Exchange_Rates&gt;&gt;3"/>
      <sheetName val="Funding_Combined3"/>
      <sheetName val="FY18_funding3"/>
      <sheetName val="iFood_funding3"/>
      <sheetName val="Summary_Adjusted3"/>
      <sheetName val="Summary_Combined3"/>
      <sheetName val="Conversion_Roll_forward3"/>
      <sheetName val="Summary_Roll_Forward3"/>
      <sheetName val="Conversion_DCF3"/>
      <sheetName val="Summary_DCF3"/>
      <sheetName val="Conversion_Cash_Flow3"/>
      <sheetName val="Summary_Cash_Flow3"/>
      <sheetName val="Company_Name_mappings3"/>
      <sheetName val="PH_Car3"/>
      <sheetName val="Related_company4"/>
      <sheetName val="Data_From_XXX4"/>
      <sheetName val="Delphi_original4"/>
      <sheetName val="FUEL_FILLER4"/>
      <sheetName val="Capex_report3"/>
      <sheetName val="___合同台账__3"/>
      <sheetName val="CIP_DETAILS2"/>
      <sheetName val="Sales_for_20013"/>
      <sheetName val="Info__Request2"/>
      <sheetName val="U1_63"/>
      <sheetName val="Price_Provision_清单2"/>
      <sheetName val="PltRpt_(A&amp;F)2"/>
      <sheetName val="PltRpt_(A&amp;FvsB)2"/>
      <sheetName val="PltRpt_(B&amp;AC)2"/>
      <sheetName val="Schedule_B2"/>
      <sheetName val="Tav_22_Rischio_di_Credito2"/>
      <sheetName val="信息费用预算表(A4)_2"/>
      <sheetName val="Depreciation_test2"/>
      <sheetName val="Table_US_Currency2"/>
      <sheetName val="fixed_assets_–Forklifts2"/>
      <sheetName val="fixed_assets_–battery2"/>
      <sheetName val="ARP_stt_22"/>
      <sheetName val="Gen_Accruals2"/>
      <sheetName val="Legal_Accrual2"/>
      <sheetName val="Payroll_Accrual2"/>
      <sheetName val="Cost_of_Equity3"/>
      <sheetName val="CLA-21_1-4_OLD3"/>
      <sheetName val="E3_A2"/>
      <sheetName val="Net_REVENUE2"/>
      <sheetName val="_3"/>
      <sheetName val="Ex__rate2"/>
      <sheetName val="资产评估结果分类汇总表_(2)3"/>
      <sheetName val="SPI_GMBH2"/>
      <sheetName val="Summary_Page_VDF2"/>
      <sheetName val="Invested_capital_VDF2"/>
      <sheetName val="LT_TB2"/>
      <sheetName val="LTMD_TB2"/>
      <sheetName val="OC_TB2"/>
      <sheetName val="ZD_TB2"/>
      <sheetName val="Agency_Walker_ID2"/>
      <sheetName val="sales_breakdown2"/>
      <sheetName val="co_info2"/>
      <sheetName val="FA_Roll_to_GL_(p_2)2"/>
      <sheetName val="Lead_(p_1)2"/>
      <sheetName val="Interim_NWA_converted_in_Dec022"/>
      <sheetName val="AP-NSK(trade)_USD2"/>
      <sheetName val="IV-NSK_JPY2"/>
      <sheetName val="AP-NSK_(trade)_JPY2"/>
      <sheetName val="AR-KTB_JPY2"/>
      <sheetName val="AR-NSK_(trade)_USD2"/>
      <sheetName val="ar-OKI_Micro2"/>
      <sheetName val="AR-TAIKO_JPY2"/>
      <sheetName val="BR-Thousand_JPY2"/>
      <sheetName val="F余额表2021_(2)2"/>
      <sheetName val="F余额表2021_(3)2"/>
      <sheetName val="其他业务成本_1110312"/>
      <sheetName val="A6620_Detail2"/>
      <sheetName val="K311_A_List022"/>
      <sheetName val="99Exh_I2"/>
      <sheetName val="외주현황_wq12"/>
      <sheetName val="Difference_Reconcliation2"/>
      <sheetName val="RPT_Disclosure2"/>
      <sheetName val="FY99_Volume2"/>
      <sheetName val="Sal_&amp;_Wage_Info2"/>
      <sheetName val="LAbor_estimate2"/>
      <sheetName val="2018_4_7_for_Bank2"/>
      <sheetName val="Chart_of_acct_2"/>
      <sheetName val="SPLICE_HOURS2"/>
      <sheetName val="SC_HKD_CA2"/>
      <sheetName val="M_P_2"/>
      <sheetName val="Taux_de_change_2"/>
      <sheetName val="plantilla_mes2"/>
      <sheetName val="PL_by_month-EFY2"/>
      <sheetName val="Calcs_for__quarterly_pres2"/>
      <sheetName val="Valuation_Matrix2"/>
      <sheetName val="Mov_from_2001_to_20033"/>
      <sheetName val="cur_rates2"/>
      <sheetName val="Total_20092"/>
      <sheetName val="3rd_Qtr2"/>
      <sheetName val="5th_Qtr2"/>
      <sheetName val="6th_Qtr2"/>
      <sheetName val="7th_Qtr2"/>
      <sheetName val="Exit_Forecast2"/>
      <sheetName val="2nd_Qtr2"/>
      <sheetName val="Rounded_Input2"/>
      <sheetName val="_003_3固定资产2"/>
      <sheetName val="SUIVI_EFFECTIFS2"/>
      <sheetName val="Vendas_Tons2"/>
      <sheetName val="C_Estr_2"/>
      <sheetName val="EFFECT_2"/>
      <sheetName val="Valuation_-_GSJBW2"/>
      <sheetName val="_W60A_Seating_2011_3_7_xlsx2"/>
      <sheetName val="VT_TEB_Planung-20062"/>
      <sheetName val="BT_032"/>
      <sheetName val="BT_022"/>
      <sheetName val="BT_012"/>
      <sheetName val="ICP费用ICP_Expense2"/>
      <sheetName val="ICP其他应付款ICP_OtherPayable2"/>
      <sheetName val="VCC_11110-4613"/>
      <sheetName val="CREDIT_STATS2"/>
      <sheetName val="FAT_DB2"/>
      <sheetName val="CF_Bridge2"/>
      <sheetName val="Other_R&amp;O2"/>
      <sheetName val="Co_592"/>
      <sheetName val="FA_List2"/>
      <sheetName val="Operating_2"/>
      <sheetName val="CFS_adjustments2"/>
      <sheetName val="Office_Improve2"/>
      <sheetName val="Drop_down2"/>
      <sheetName val="2010_Breakdown2"/>
      <sheetName val="CA_consolidated2"/>
      <sheetName val="P&amp;L_Summary_Page2"/>
      <sheetName val="Expenses_with_Comparisons2"/>
      <sheetName val="TEV_Multiples2"/>
      <sheetName val="CSM_Data_by_CY_2"/>
      <sheetName val="Pref_Probable_Case_Returns2"/>
      <sheetName val="Interco_BSC_012"/>
      <sheetName val="Chart_of_Acct2"/>
      <sheetName val="Trial_Balance2"/>
      <sheetName val="U210'_2"/>
      <sheetName val="Comparative_Balance_Sheet2"/>
      <sheetName val="Com_list2"/>
      <sheetName val="Headcount_and_Oil_Price2"/>
      <sheetName val="BOE_Stats2"/>
      <sheetName val="C_-_Cash_and_Bank2"/>
      <sheetName val="others_gl2"/>
      <sheetName val="BALANCE_SHEET2"/>
      <sheetName val="总公司2002_12_312"/>
      <sheetName val="Beg-_End_balance2"/>
      <sheetName val="Net_Trans_Sum2"/>
      <sheetName val="5_基础档案2"/>
      <sheetName val="Sum_Hist2"/>
      <sheetName val="Corporate_PPT2"/>
      <sheetName val="WTI_Coporate_Eliminations_PPT2"/>
      <sheetName val="Sales_by_category2"/>
      <sheetName val="FIRE_Parameters2"/>
      <sheetName val="Group_structure2"/>
      <sheetName val="Product_List2"/>
      <sheetName val="Corporate_Sales2"/>
      <sheetName val="1102_TAB_OPPORTUNITY_to_import2"/>
      <sheetName val="_FY20002"/>
      <sheetName val="BU_Parameters2"/>
      <sheetName val="Valuation_Summary2"/>
      <sheetName val="Capex_&amp;_Working_Capital_2"/>
      <sheetName val="Product_Summary2"/>
      <sheetName val="Revenue_Output2"/>
      <sheetName val="P&amp;L_Summary2"/>
      <sheetName val="Gross_Profit_Output_(100%)2"/>
      <sheetName val="Historical_IS2"/>
      <sheetName val="Other_Working_Assumptions2"/>
      <sheetName val="Valuation_Waterfall2"/>
      <sheetName val="Gross_Profit2"/>
      <sheetName val="Historical_BS2"/>
      <sheetName val="Key_Assumptions2"/>
      <sheetName val="Instruction_Sheet2"/>
      <sheetName val="Invested_Capital2"/>
      <sheetName val="Monthly_Ex_rate2"/>
      <sheetName val="Expense_Accrual2"/>
      <sheetName val="Gen__Accrual2"/>
      <sheetName val="Prod__Accrual2"/>
      <sheetName val="Rent_Accrual2"/>
      <sheetName val="Freight_Issues2"/>
      <sheetName val="Financial_Summary2"/>
      <sheetName val="Rev_provit2"/>
      <sheetName val="Repayment_Summary2"/>
      <sheetName val="会计科目设置__科目汇总表2"/>
      <sheetName val="IND_2"/>
      <sheetName val="Performance_Graphs2"/>
      <sheetName val="Validation_source2"/>
      <sheetName val="EXP_LINE2"/>
      <sheetName val="封面_Cover2"/>
      <sheetName val="Other_M&amp;R2"/>
      <sheetName val="QTP_dt_2"/>
      <sheetName val="05_AOP_-_Exp_by_CC2"/>
      <sheetName val="05_AOP_-_By_Acct_Detail2"/>
      <sheetName val="IB_Average2"/>
      <sheetName val="Int_ZFLS2"/>
      <sheetName val="I-cycle_count082"/>
      <sheetName val="TT_template2"/>
      <sheetName val="Profit_and_loss2"/>
      <sheetName val="(i)_Fixed_assets-PBC2"/>
      <sheetName val="Detail_Loan_Move____Listing2"/>
      <sheetName val="2weeeks_All__Excess_and_Shorta2"/>
      <sheetName val="Pick_Lists_Sheet2"/>
      <sheetName val="K1_Tax_computation2"/>
      <sheetName val="NBE_DCF2"/>
      <sheetName val="Consolidated_DCF2"/>
      <sheetName val="Boilers_DCF2"/>
      <sheetName val="NBE_(heat_rate)2"/>
      <sheetName val="P_&amp;_L_Account1"/>
      <sheetName val="Offering_Stats1"/>
      <sheetName val="Segment_to_Legal1"/>
      <sheetName val="Financial_Statistics1"/>
      <sheetName val="1_1_Project_Data1"/>
      <sheetName val="A3_试算表Financial_statement1"/>
      <sheetName val="K_固定资产&amp;投资性房地产1"/>
      <sheetName val="P_其他应付款1"/>
      <sheetName val="G_其他应收款1"/>
      <sheetName val="BJ_Expenses2"/>
      <sheetName val="Sample_Rev2"/>
      <sheetName val="Sample_IS2"/>
      <sheetName val="Probability_View2"/>
      <sheetName val="2_1设计部2"/>
      <sheetName val="Chart_of_Account2"/>
      <sheetName val="Business_Unit2"/>
      <sheetName val="TB_&amp;_20131"/>
      <sheetName val="BIS_LIST-NTH_181"/>
      <sheetName val="BS_CHECK1"/>
      <sheetName val="Consol_FS1"/>
      <sheetName val="D410_应交税金变动表Movement1"/>
      <sheetName val="1102_MIT1"/>
      <sheetName val="O_adj1"/>
      <sheetName val="NEWSPRINT_&amp;_UGW1"/>
      <sheetName val="WACC_Analysis_Output1"/>
      <sheetName val="Management_Projections1"/>
      <sheetName val="Inventories_Analysis1"/>
      <sheetName val="sales_vol_1"/>
      <sheetName val="ALL_DATA1"/>
      <sheetName val="C_货币资金1"/>
      <sheetName val="C_抵押存款1"/>
      <sheetName val="D_可供出售投资-流动1"/>
      <sheetName val="D_衍生金融资产1"/>
      <sheetName val="D_持有至到期投资-流动1"/>
      <sheetName val="D_短期投资1"/>
      <sheetName val="D_单列金融资产1"/>
      <sheetName val="A5_dim&amp;adj_sum1"/>
      <sheetName val="E_应收账款1"/>
      <sheetName val="E_应收贸易款及票据1"/>
      <sheetName val="E_应收票据1"/>
      <sheetName val="F_存货1"/>
      <sheetName val="F_房地产1"/>
      <sheetName val="G_预付账款&amp;其他应收款&amp;待摊费用1"/>
      <sheetName val="G_应收股利1"/>
      <sheetName val="G_待售资产1"/>
      <sheetName val="G_HK其他应收1"/>
      <sheetName val="G_应收利息1"/>
      <sheetName val="G_其他流动资产1"/>
      <sheetName val="H_可供出售投资-非流动1"/>
      <sheetName val="H_HK长投1"/>
      <sheetName val="H_商誉1"/>
      <sheetName val="H_持有至到期投资-非流动1"/>
      <sheetName val="H_投资性房地产1"/>
      <sheetName val="H_PRC长投1"/>
      <sheetName val="I_应收关联方1"/>
      <sheetName val="I_应付关联方1"/>
      <sheetName val="J_在建工程1"/>
      <sheetName val="K_固定资产1"/>
      <sheetName val="K_固定资产清理1"/>
      <sheetName val="L_一年内到期的长期债权投资1"/>
      <sheetName val="L_无形1"/>
      <sheetName val="L_长期待摊1"/>
      <sheetName val="L_其他长期资产1"/>
      <sheetName val="M_短借1"/>
      <sheetName val="N_应付票据1"/>
      <sheetName val="P_预收账款&amp;其他应付款&amp;应付职工薪酬&amp;预提费用&amp;其他应交款1"/>
      <sheetName val="U_其他业务收支&amp;营业外收支&amp;补贴收入&amp;利息收入1"/>
      <sheetName val="U_所得税1"/>
      <sheetName val="O_递延税资产1"/>
      <sheetName val="O_递延税负债1"/>
      <sheetName val="O_应交税费1"/>
      <sheetName val="U_税金及附加1"/>
      <sheetName val="P_应付股利1"/>
      <sheetName val="P_HK其他应付1"/>
      <sheetName val="P_应付利息1"/>
      <sheetName val="P_其他流动负债1"/>
      <sheetName val="P_应付职工薪酬1"/>
      <sheetName val="P_预计负债1"/>
      <sheetName val="Q_应付债券1"/>
      <sheetName val="Q_可转债1"/>
      <sheetName val="Q_政府补助1"/>
      <sheetName val="Q_一年内到期负债1"/>
      <sheetName val="Q_应付融资租赁款1"/>
      <sheetName val="Q_长借1"/>
      <sheetName val="Q_长期应付1"/>
      <sheetName val="Q_其他长期负债1"/>
      <sheetName val="Q_专项应付1"/>
      <sheetName val="T_股本1"/>
      <sheetName val="T_资本公积1"/>
      <sheetName val="T_折算差额1"/>
      <sheetName val="T_未分配利润1"/>
      <sheetName val="T_盈余公积1"/>
      <sheetName val="U_主营业务1"/>
      <sheetName val="U_财务费用1"/>
      <sheetName val="U_投资收益&amp;公允价值变动收益1"/>
      <sheetName val="U_管理费用&amp;资产减值损失1"/>
      <sheetName val="U_成本倒轧表&amp;制造费用1"/>
      <sheetName val="U_销售费用1"/>
      <sheetName val="U_分占下属损益1"/>
      <sheetName val="Occupancy_20041"/>
      <sheetName val="M5_M6_Summary1"/>
      <sheetName val="Sheet1_(3)1"/>
      <sheetName val="A_|_INPUT_Filler1"/>
      <sheetName val="Fitments_Abs_Ums1"/>
      <sheetName val="Datenbank_Fillers1"/>
      <sheetName val="SFC_fcst1"/>
      <sheetName val="Fcst_20171"/>
      <sheetName val="FF-2_(1)1"/>
      <sheetName val="PP&amp;E_&amp;_Intangibles1"/>
      <sheetName val="Cover_--&gt;1"/>
      <sheetName val="Comps_input1"/>
      <sheetName val="MT_by_Dept_管理报表费用分类1"/>
      <sheetName val="Volatility_raw1"/>
      <sheetName val="Welfare_PIT1"/>
      <sheetName val="by_category1"/>
      <sheetName val="Calibration_to_Swaptions1"/>
      <sheetName val="Swaption_Data1"/>
      <sheetName val="附件10_东莞百宏-待摊费用20191"/>
      <sheetName val="附件6_东莞百宏-其他应收款20191"/>
      <sheetName val="附件8_东莞百宏-预收账款20191"/>
      <sheetName val="Account_Map1"/>
      <sheetName val="06_11"/>
      <sheetName val="AP_Recap1"/>
      <sheetName val="Month_81"/>
      <sheetName val="附件25_2-销售收入1"/>
      <sheetName val="6126_07披露表(国资)1"/>
      <sheetName val="Aging_Analysis1"/>
      <sheetName val="Review_pts1"/>
      <sheetName val="Q_CF-E011"/>
      <sheetName val="For_Report1"/>
      <sheetName val="01_T1"/>
      <sheetName val="03_1"/>
      <sheetName val="FA_ad09-121"/>
      <sheetName val="Sales_Data1"/>
      <sheetName val="OE_AC#411111"/>
      <sheetName val="资金使用假设_(可转债按账面拆分为股权与债权)1"/>
      <sheetName val="BS_data1"/>
      <sheetName val="A3_&amp;_U_09-011"/>
      <sheetName val="Elim_Seg_LM1"/>
      <sheetName val="Elim_Seg_BM1"/>
      <sheetName val="2012-2016_Grp_Res_Bdgt1"/>
      <sheetName val="Annex_B1"/>
      <sheetName val="Sch0-_Tax_Recon1"/>
      <sheetName val="Balance_sheet_for_August1"/>
      <sheetName val="Income_statement_for_August1"/>
      <sheetName val="Lists_(Hide)1"/>
      <sheetName val="GGP_Expenses1"/>
      <sheetName val="Client_Data1"/>
      <sheetName val="Data_Arrangement1"/>
      <sheetName val="Data_sheet1"/>
      <sheetName val="1__Data_Entry_Sales,_Carline1"/>
      <sheetName val="Acct_220101"/>
      <sheetName val="P&amp;L_PP1"/>
      <sheetName val="Share_Px1"/>
      <sheetName val="Sept_BF1"/>
      <sheetName val="Anlage_3b,_Attachment_3b1"/>
      <sheetName val="Ant_Buss11"/>
      <sheetName val="Ant_Buss21"/>
      <sheetName val="Ant_ZSK1"/>
      <sheetName val="Historical_prices(D)1"/>
      <sheetName val="Historical_prices(M)1"/>
      <sheetName val="Historical_prices(W)1"/>
      <sheetName val="Exp__Summary1"/>
      <sheetName val="Tally_TB_June1"/>
      <sheetName val="2007_12折旧差异1"/>
      <sheetName val="Fee_Rate_Summary1"/>
      <sheetName val="FA__00121"/>
      <sheetName val="CTV_PL1"/>
      <sheetName val="Phase_I1"/>
      <sheetName val="sales1-subsi_1"/>
      <sheetName val="sales2-subsi_1"/>
      <sheetName val="G_1R-Shou_COP_Gf1"/>
      <sheetName val="Loc_Master1"/>
      <sheetName val="New_investment1"/>
      <sheetName val="BANK_ac_no,1"/>
      <sheetName val="001Disclosure_Summary1"/>
      <sheetName val="L1-1_Ageing_analysis1"/>
      <sheetName val="Co_Des_BBXL1"/>
      <sheetName val="J-cycle_count091"/>
      <sheetName val="Total_Coach1"/>
      <sheetName val="Sale_breakdown1"/>
      <sheetName val="zhongshan_1"/>
      <sheetName val="2016~2018_8凭证库加工1"/>
      <sheetName val="SIZE_&amp;_VALUE1"/>
      <sheetName val="Vorbereitende_Eingaben_(Teil_11"/>
      <sheetName val="Scrap_Bridge_Ytd1"/>
      <sheetName val="MCS_P&amp;L_By_Sub__USD1"/>
      <sheetName val="tax_payable1"/>
      <sheetName val="Details_of_ledger_1"/>
      <sheetName val="Management_report_vs_ledger1"/>
      <sheetName val="7378_StockBalance1"/>
      <sheetName val="Base_基础1"/>
      <sheetName val="Sign_Off_Form1"/>
      <sheetName val="LBO_Valuation_Analysis1"/>
      <sheetName val="Sheet1_(2)1"/>
      <sheetName val="Spin_11"/>
      <sheetName val="Sec_Equity1"/>
      <sheetName val="GRAPH_&amp;_SOURCE_DATA1"/>
      <sheetName val="LBO_Assumptions1"/>
      <sheetName val="Drop_List_References1"/>
      <sheetName val="Instructions_(2)1"/>
      <sheetName val="Personal_property_HZ1"/>
      <sheetName val="CY_BS1"/>
      <sheetName val="FAL_as_of_7_31_061"/>
      <sheetName val="Phase2_movementDEC1"/>
      <sheetName val="Phase1f_a_DEC1"/>
      <sheetName val="Phase2_f_a_DEC_(2)1"/>
      <sheetName val="Table_-_Current_Year1"/>
      <sheetName val="Accrued_Expenses1"/>
      <sheetName val="Value_summary1"/>
      <sheetName val="CAB22_存放同业款项_1"/>
      <sheetName val="Q1_1"/>
      <sheetName val="loan_database1"/>
      <sheetName val="SAP_01-12-311"/>
      <sheetName val="Interco_Sales1"/>
      <sheetName val="Net_Bookings1"/>
      <sheetName val="Net_Sales_&amp;_Cost_of_Sales1"/>
      <sheetName val="PBC_-_PHS1"/>
      <sheetName val="1_Eckdaten_in_LW1"/>
      <sheetName val="Calc_&amp;_Export1"/>
      <sheetName val="Carryover_20041"/>
      <sheetName val="AOP_Exec_Summary1"/>
      <sheetName val="U102-U104_Detail1"/>
      <sheetName val="Service_Year1"/>
      <sheetName val="Mach_&amp;_equip1"/>
      <sheetName val="Revenue_&amp;_Expenses1"/>
      <sheetName val="PRC_131"/>
      <sheetName val="suivi_cash_flow_par_affaire1"/>
      <sheetName val="AR_movement1"/>
      <sheetName val="intbutot_wksheet_current1"/>
      <sheetName val="Understand_the_client1"/>
      <sheetName val="2_2_付款及计提明细1"/>
      <sheetName val="1_汇总统计1"/>
      <sheetName val="LTM_Volume1"/>
      <sheetName val="Bank_Table1"/>
      <sheetName val="1_LeadSchedule1"/>
      <sheetName val="3_Analysis1"/>
      <sheetName val="OCT_BANK1"/>
      <sheetName val="GM_Trend1"/>
      <sheetName val="GM%_Trend1"/>
      <sheetName val="Linearity_Chart1"/>
      <sheetName val="NP_Trend1"/>
      <sheetName val="Rev_Trend1"/>
      <sheetName val="Rev-GM_Detail_11"/>
      <sheetName val="Rev-GM_Detail_21"/>
      <sheetName val="Rev_Mix_Trend1"/>
      <sheetName val="SUMMARY_(EXPD)1"/>
      <sheetName val="SUMMARY_(%)1"/>
      <sheetName val="QTD_TO_GO1"/>
      <sheetName val="h1h2_model1"/>
      <sheetName val="3_４Ｒ損益1"/>
      <sheetName val="EFF_&amp;_HRS"/>
      <sheetName val="12_APaging附表1"/>
      <sheetName val="GG&amp;P_Yield1"/>
      <sheetName val="PBY_Adj1"/>
      <sheetName val="Fixed_Assets1"/>
      <sheetName val="Raw_Mtl_Prep1"/>
      <sheetName val="OrgEstSum(not_used)"/>
      <sheetName val="应收楼款账龄分析清单_"/>
      <sheetName val="8_adminexp_by_nature"/>
      <sheetName val="Note16-1_(2)"/>
      <sheetName val="Note17-1_"/>
      <sheetName val="Note3_0-2"/>
      <sheetName val="Note3_0-1"/>
      <sheetName val="Note3_1-1"/>
      <sheetName val="Note3_1-2"/>
      <sheetName val="Note3_1-3"/>
      <sheetName val="Note3_1-5"/>
      <sheetName val="Note3_3-1_"/>
      <sheetName val="Note3_3-2"/>
      <sheetName val="Note3_3-3"/>
      <sheetName val="Note3_3-4"/>
      <sheetName val="Note3_3-5"/>
      <sheetName val="Note_37"/>
      <sheetName val="Ag_Sector_P&amp;L_01F"/>
      <sheetName val="1_预设值"/>
      <sheetName val="BS_Assets"/>
      <sheetName val="Basic_Information"/>
      <sheetName val="Depts_LOOKUP"/>
      <sheetName val="Elim_(novated)_-#H"/>
      <sheetName val="Assumptions_&amp;_Returns"/>
      <sheetName val="所得税测算表_(2)"/>
      <sheetName val="MN_T_B_"/>
      <sheetName val="Labor_cost"/>
      <sheetName val="By_Client_-_NPL_Purchase"/>
      <sheetName val="2_科目体系费用汇总表"/>
      <sheetName val="1_组织架构"/>
      <sheetName val="7_-_ORDER_ENTRIES"/>
      <sheetName val="8_-_BACKLOG"/>
      <sheetName val="9_-_SALES_BY_ENTITY"/>
      <sheetName val="10_-_SALES_BY_BA-SUMMARY"/>
      <sheetName val="11_-_SALES_BY_BA-FC"/>
      <sheetName val="12_-_SALES_BY_BA-CB"/>
      <sheetName val="13_-_SALES_BY_BA-FM"/>
      <sheetName val="14_-_BSA"/>
      <sheetName val="19_-_BIN"/>
      <sheetName val="-&gt;_EDV_Budget"/>
      <sheetName val="应收帐款_AR_"/>
      <sheetName val="Cash_bal_Mar"/>
      <sheetName val="Com_Trial_Bal"/>
      <sheetName val="EXCHANGE_RATE_PROFIT_AND_LOSS"/>
      <sheetName val="Sensitivity_analysis"/>
      <sheetName val="Table_Rates1"/>
      <sheetName val="HISTORY_1"/>
      <sheetName val="Aladdin_Macro1"/>
      <sheetName val="SERV__COMEDOR"/>
      <sheetName val="0_09"/>
      <sheetName val="Bank_Debt"/>
      <sheetName val="3__Other_gains"/>
      <sheetName val="MP2006_data"/>
      <sheetName val="5_Analysis"/>
      <sheetName val="Company_Info"/>
      <sheetName val="Summary_Financials"/>
      <sheetName val="zValidations-DO_NOT_TOUCH"/>
      <sheetName val="勿动_选项列表"/>
      <sheetName val="97_Mnthly_Splits_Caps"/>
      <sheetName val="V_-_Income"/>
      <sheetName val="3_1_应收账款"/>
      <sheetName val="1_2持有参数"/>
      <sheetName val="1_1销售参数"/>
      <sheetName val="2_2规划方案"/>
      <sheetName val="4_1持有输入"/>
      <sheetName val="3_2销售去化"/>
      <sheetName val="OR_Breakdown"/>
      <sheetName val="Pivot_Aug'01"/>
      <sheetName val="Deal_CF"/>
      <sheetName val="Interim_--&gt;_Top"/>
      <sheetName val="M_MM"/>
      <sheetName val="By_client"/>
      <sheetName val="By_nature"/>
      <sheetName val="8_31"/>
      <sheetName val="Stock_Chart"/>
      <sheetName val="SH-3rd_party"/>
      <sheetName val="Fidelity_Option"/>
      <sheetName val="PAY_REGISTER~Input_Values"/>
      <sheetName val="CD_FMA"/>
      <sheetName val="Tailored_procedures"/>
      <sheetName val="企业邮局_(2)"/>
      <sheetName val="BL_Multiples"/>
      <sheetName val="3690_HK_Annotation_Sheet"/>
      <sheetName val="3690_HK_Exchange_Sheet"/>
      <sheetName val="3690_HK_Live_Sheet"/>
      <sheetName val="3690_HK_Validation_Sheet"/>
      <sheetName val="CJE_Building_Prod"/>
      <sheetName val="CJE_VSC_ENERGY_DEV"/>
      <sheetName val="CJE_VSC_HOLDINGS"/>
      <sheetName val="CJE_VSC_BVI"/>
      <sheetName val="CJE_VSC_FE"/>
      <sheetName val="J_工程物资"/>
      <sheetName val="K_生物资产"/>
      <sheetName val="L_开发支出"/>
      <sheetName val="L_一年内到期长期资产"/>
      <sheetName val="L_长期应收"/>
      <sheetName val="L_HK单列无形"/>
      <sheetName val="M_衍生金融负债"/>
      <sheetName val="M_交易性金融负债"/>
      <sheetName val="M_带息借款-流动"/>
      <sheetName val="M_无息借款-流动"/>
      <sheetName val="M_其他金融负债"/>
      <sheetName val="N_应付贸易款及票据"/>
      <sheetName val="O_应交所得税"/>
      <sheetName val="Q_递延收益"/>
      <sheetName val="Q_带息借款-非流动"/>
      <sheetName val="Q_无息借款-非流动"/>
      <sheetName val="T_少数股东"/>
      <sheetName val="U_财务成本"/>
      <sheetName val="U_财务收入"/>
      <sheetName val="U_公允价值变动收益"/>
      <sheetName val="U_资产减值损失"/>
      <sheetName val="U_其他费用"/>
      <sheetName val="U_其他收入"/>
      <sheetName val="AP_RMB"/>
      <sheetName val="301_RTI"/>
      <sheetName val="_U140-SalesTOT"/>
      <sheetName val="sales_by_product"/>
      <sheetName val="Country_Risk"/>
      <sheetName val="11__equity"/>
      <sheetName val="7_taxes_payable_&amp;_9_income_tax_"/>
      <sheetName val="2__sales_and_cost_of_sales"/>
      <sheetName val="P&amp;L_Mth_02"/>
      <sheetName val="管理费用_"/>
      <sheetName val="Details_listing_per_department"/>
      <sheetName val="2000_Cal"/>
      <sheetName val="5_6_回拨运营收入"/>
      <sheetName val="May_07"/>
      <sheetName val="M1_1_Cash_at_Bank"/>
      <sheetName val="M1__Lead_sheet"/>
      <sheetName val="M1_2_Time_Deposit"/>
      <sheetName val="2007_04_KE5Z_detail"/>
      <sheetName val="Derrames_la"/>
      <sheetName val="FZ5_ITE测算表"/>
      <sheetName val="FZ5_DITE测算表"/>
      <sheetName val="variable_1"/>
      <sheetName val="Theoretical_Sales_comparison"/>
      <sheetName val="게이트_지연시간_설정_2"/>
      <sheetName val="Global Assumptions"/>
      <sheetName val="其他应付款Dy"/>
      <sheetName val="FF-1"/>
      <sheetName val="低值易耗摊销明晰"/>
      <sheetName val="DEF REV"/>
      <sheetName val="Oct Starts Plan"/>
      <sheetName val="3级明细余额表.dbf"/>
      <sheetName val="mm"/>
      <sheetName val="Extent of Tests"/>
      <sheetName val="Sample Planning"/>
      <sheetName val="Sample Tables"/>
      <sheetName val="Demand"/>
      <sheetName val="Occ"/>
      <sheetName val="地税税%"/>
      <sheetName val="Liste sociétés"/>
      <sheetName val="Procédure"/>
      <sheetName val="TX_CUMUL"/>
      <sheetName val="下拉框来源"/>
      <sheetName val="核銷表"/>
      <sheetName val="Rental Exp Adj"/>
      <sheetName val="BP沈阳领事馆"/>
      <sheetName val="AB郑州二七"/>
      <sheetName val="BM包头"/>
      <sheetName val="L无锡川妹子"/>
      <sheetName val="Adjustment Summary"/>
      <sheetName val="Consuntivo1"/>
      <sheetName val="Consuntivo2"/>
      <sheetName val="Consuntivo3"/>
      <sheetName val="Consuntivo4"/>
      <sheetName val="FamiglieProd"/>
      <sheetName val="E110"/>
      <sheetName val="月损益表"/>
      <sheetName val="ARP-U401"/>
      <sheetName val="委托加工材料"/>
      <sheetName val="Detailed Profit and Loss"/>
      <sheetName val="VSPA"/>
      <sheetName val="下拉值"/>
      <sheetName val="1999 Revenue Forecast"/>
      <sheetName val="NON_OP I&amp;E_JV1"/>
      <sheetName val="_4库产成品"/>
      <sheetName val="工具"/>
      <sheetName val="内外包"/>
      <sheetName val="INPUT ICO balances"/>
      <sheetName val="INPUT ICO balances currency"/>
      <sheetName val="00 FG breakdown"/>
      <sheetName val="01 FG breakdown"/>
      <sheetName val="99 FG breakdown"/>
      <sheetName val="Seg P&amp;L"/>
      <sheetName val="Sheet614"/>
      <sheetName val="Data_Credit_Losses"/>
      <sheetName val="Data_Equity_II"/>
      <sheetName val="Data_Equity_I"/>
      <sheetName val="Data_FL_Maturity"/>
      <sheetName val="Data_PaL"/>
      <sheetName val="Positionsplan_englisch"/>
      <sheetName val="Data_Line_of_Credit"/>
      <sheetName val="Data_Balance_Sheet"/>
      <sheetName val="Summary_Fins_Output"/>
      <sheetName val="Football_Field"/>
      <sheetName val="报表目录"/>
      <sheetName val="各门店2016年1-12月费用"/>
      <sheetName val="各门店17.5费用明细"/>
      <sheetName val="各门店16年收入利润"/>
      <sheetName val="各门店17.5收入利润"/>
      <sheetName val="2017.6门店费用"/>
      <sheetName val="16年客流会员"/>
      <sheetName val="店名索引&gt;&gt;&gt;&gt;"/>
      <sheetName val="2017.6门店开业时间汇总"/>
      <sheetName val="4.门店信息汇总Output(运营版本）"/>
      <sheetName val="2017.6门店收入利润"/>
      <sheetName val="KE5Z"/>
      <sheetName val="TB_09"/>
      <sheetName val="MBAG"/>
      <sheetName val="Elements"/>
      <sheetName val="30.09.2017"/>
      <sheetName val="N3000"/>
      <sheetName val="UFPrn20041012143803"/>
      <sheetName val="PLANBILANZ-BEWEGUNGSBILANZ"/>
      <sheetName val="EmphasisList"/>
      <sheetName val="EntityList"/>
      <sheetName val="Upload"/>
      <sheetName val="chitimc"/>
      <sheetName val="dt"/>
      <sheetName val="Welfare SAR"/>
      <sheetName val="A964_Provision"/>
      <sheetName val="科目库"/>
      <sheetName val="差异调整97"/>
      <sheetName val="SD-1销售费用审定表"/>
      <sheetName val="本月计画"/>
      <sheetName val="新规"/>
      <sheetName val="家电类模具"/>
      <sheetName val="关联交易-存款hࢀ_ࢀ__x005f_x005f_x005f1"/>
      <sheetName val="关联交易-存款hࢀ_ࢀ__x0001_2"/>
      <sheetName val="G301(01)"/>
      <sheetName val="DDETABLE "/>
      <sheetName val="Macro"/>
      <sheetName val="行业数据summary"/>
      <sheetName val="PSR DATA"/>
      <sheetName val="SummaryMIS"/>
      <sheetName val="规划指标表"/>
      <sheetName val="表2"/>
      <sheetName val="BEST"/>
      <sheetName val="Revenue by Customer&amp;Brand"/>
      <sheetName val="Titel"/>
      <sheetName val="辅助项"/>
      <sheetName val="TRANSACTION"/>
      <sheetName val="POTO MAC"/>
      <sheetName val="Control Page"/>
      <sheetName val="Data_Input"/>
      <sheetName val="2009_3KE5Z_detail"/>
      <sheetName val="p_&amp;_lx"/>
      <sheetName val="E-Client_Information"/>
      <sheetName val="M3_M4_(2)"/>
      <sheetName val="M3_M4"/>
      <sheetName val="长期待摊费用审定表"/>
      <sheetName val="butubmf"/>
      <sheetName val="_2576"/>
      <sheetName val="_2577"/>
      <sheetName val="_3422"/>
      <sheetName val="5039"/>
      <sheetName val="_3432(1)"/>
      <sheetName val="_3436(1)"/>
      <sheetName val="_3440(1)"/>
      <sheetName val="_4339(1)"/>
      <sheetName val="_4356(1)"/>
      <sheetName val="yb"/>
      <sheetName val="_5534"/>
      <sheetName val="For SRM_COS"/>
      <sheetName val="U_D_针对负数销售明细的程序"/>
      <sheetName val="APP_2&amp;3"/>
      <sheetName val="$_TEU"/>
      <sheetName val="Sheet695"/>
      <sheetName val="Sheet500"/>
      <sheetName val="설계상수"/>
      <sheetName val="DB_固定资产-PY"/>
      <sheetName val="待摊费用明细表"/>
      <sheetName val="外表面Ａ"/>
      <sheetName val="长期借款明细表1"/>
      <sheetName val="IP breakdown"/>
      <sheetName val="辽宁三生库存商品总帐2005 3.1.3a"/>
      <sheetName val="Data Dump 2004_2007Q1"/>
      <sheetName val="Map2007"/>
      <sheetName val="MAP1205"/>
      <sheetName val="GGF"/>
      <sheetName val="CIP additions"/>
      <sheetName val="Licences"/>
      <sheetName val="1601 Detail information"/>
      <sheetName val="Eur-Azeo Report"/>
      <sheetName val="BetaSolver"/>
      <sheetName val="Source Tables"/>
      <sheetName val="Backend"/>
      <sheetName val="Buffer"/>
      <sheetName val="StabilityBands-4Yr"/>
      <sheetName val="Liability Inputs"/>
      <sheetName val="StabilityBands-1Yr"/>
      <sheetName val="Scratch Pad2"/>
      <sheetName val="学历"/>
      <sheetName val="应付账款Dy"/>
      <sheetName val="应付账款mx"/>
      <sheetName val="固定资产减值准备mx"/>
      <sheetName val="在建工程mx"/>
      <sheetName val="KLHT"/>
      <sheetName val="$TB 1"/>
      <sheetName val="$TB"/>
      <sheetName val="职位"/>
      <sheetName val="专业"/>
      <sheetName val="政治"/>
      <sheetName val="SDK流水-台服4月"/>
      <sheetName val="SDK流水-日服4月"/>
      <sheetName val="预算明细数据"/>
      <sheetName val="输入表"/>
      <sheetName val="onfin"/>
      <sheetName val="TB表"/>
      <sheetName val="SP"/>
      <sheetName val="05分析性底稿"/>
      <sheetName val="Aug01 Status Rpt"/>
      <sheetName val="Input Area"/>
      <sheetName val="Sheet836"/>
      <sheetName val="Sheet835"/>
      <sheetName val="Accounts"/>
      <sheetName val="纳入合并范围企业口径"/>
      <sheetName val="HB"/>
      <sheetName val="_detailitems_171"/>
      <sheetName val="F4301"/>
      <sheetName val="固定资产增减表#0.00_ "/>
      <sheetName val="To tied 2001 opening RE"/>
      <sheetName val="关联交易-存款h_x005f_x0001__x005f_x0001_"/>
      <sheetName val="关联交易-存款h_x005f_x0001__x005f_x0001__x"/>
      <sheetName val="삅ོ䚋栠Ѫࡪ㋨ﯾ_x005f_xffff_ﱅ잃蔐緀薼"/>
      <sheetName val="삅ོ䚋栠Ѫࡪ㋨ﯾ_x005f_xffff_ﱅ잃蔐緀薼糀"/>
      <sheetName val="삅ོ䚋栠Ѫࡪ㋨ﯾ_x005f_xffff_ﱅ"/>
      <sheetName val="삅ོ䚋栠Ѫࡪ㋨ﯾ_x005f_xffff_ﱅ잃蔐"/>
      <sheetName val="삅ོ䚋栠Ѫࡪ㋨ﯾ_x005f_xffff_ﱅ잃"/>
      <sheetName val="삅ོ䚋栠Ѫࡪ㋨ﯾ_x005f_xffff_ﱅ잃蔐緀薼糀謋⁎橓晴￻孟싉_x"/>
      <sheetName val="삅ོ䚋栠Ѫࡪ㋨ﯾ_x005f_xffff_ﱅ잃蔐緀薼糀謋⁎橓晴"/>
      <sheetName val="삅ོ䚋栠Ѫࡪ㋨ﯾ_x005f_xffff_ﱅ잃蔐緀薼糀謋⁎橓晴￻孟싉"/>
      <sheetName val="삅ོ䚋栠Ѫࡪ㋨ﯾ_x005f_xffff_"/>
      <sheetName val="삅ོ䚋栠Ѫࡪ㋨ﯾ_x005f_xffff_ﱅ잃蔐緀薼糀謋⁎橓晴￻孟"/>
      <sheetName val="AFS-PL"/>
      <sheetName val="StkIndx"/>
      <sheetName val="Salesfor2001"/>
      <sheetName val="ARP_U501"/>
      <sheetName val="FA Additions (p.3)"/>
      <sheetName val="FA Disposals (p.4)"/>
      <sheetName val="Capital Leases (p.5)"/>
      <sheetName val=" Depreciation Expense (p.6)"/>
      <sheetName val="FA roll to report p.7"/>
      <sheetName val="Pro Forma"/>
      <sheetName val="C-OSP-03-01"/>
      <sheetName val="Openfile"/>
      <sheetName val="Produzione"/>
      <sheetName val="Airport - Downtown"/>
      <sheetName val="Reservations"/>
      <sheetName val="JRZ"/>
      <sheetName val="폐토수익화 "/>
      <sheetName val="销售收入A4"/>
      <sheetName val="产量预算表Ａ4"/>
      <sheetName val="其它销售成本 A4"/>
      <sheetName val="销售成本A4"/>
      <sheetName val="销售量A4"/>
      <sheetName val="5月份呆料分析"/>
      <sheetName val="SUD-Iron Curtain Method"/>
      <sheetName val="VAS TB"/>
      <sheetName val="面积指标"/>
      <sheetName val="UFPrn20050110083250"/>
      <sheetName val="CON CT SINO AGRO"/>
      <sheetName val="P1_Lead"/>
      <sheetName val="´æ»õÊÕ·¢»ã×Ü±í"/>
      <sheetName val="Profile"/>
      <sheetName val="Altman Z"/>
      <sheetName val="08序时账"/>
      <sheetName val="09收入"/>
      <sheetName val="09应收"/>
      <sheetName val="08应收"/>
      <sheetName val="07预收"/>
      <sheetName val="C3WB Sales and Receivables"/>
      <sheetName val="03-B4"/>
      <sheetName val="03-B10"/>
      <sheetName val="04-B5"/>
      <sheetName val="04-B11"/>
      <sheetName val="Credit Card"/>
      <sheetName val="Verhandlungsmandat"/>
      <sheetName val="RBCY"/>
      <sheetName val="P500-预提费用明细表"/>
      <sheetName val="ยานพาหนะ"/>
      <sheetName val="Other expenses"/>
      <sheetName val="生產部"/>
      <sheetName val="C0-Lead"/>
      <sheetName val="SCH 2 - Highlights_2"/>
      <sheetName val="99年度原単位"/>
      <sheetName val="Check-Rate"/>
      <sheetName val="DEP12"/>
      <sheetName val="DATA SHEET-DO NOT DELETE"/>
      <sheetName val="PTCN"/>
      <sheetName val="Invoices received and payment"/>
      <sheetName val="Doors-TBH(Internship)"/>
      <sheetName val="CapitalUsage"/>
      <sheetName val="Positions_PandL"/>
      <sheetName val="assumption1"/>
      <sheetName val="details"/>
      <sheetName val="GZ-Sum"/>
      <sheetName val="1.11 长期应收款"/>
      <sheetName val="1.12 长期股权投资"/>
      <sheetName val="Namen"/>
      <sheetName val="Worksheet in 5610 Property &amp; Eq"/>
      <sheetName val="Tax proj-Shenzhen"/>
      <sheetName val="Labor"/>
      <sheetName val="Graph"/>
      <sheetName val="100152"/>
      <sheetName val="应交税金明细"/>
      <sheetName val="内仓免税进口"/>
      <sheetName val="Data List"/>
      <sheetName val="K420"/>
      <sheetName val="TopAct_Actives"/>
      <sheetName val="IMPORT"/>
      <sheetName val="96000407"/>
      <sheetName val="科目明细"/>
      <sheetName val="CC SAP"/>
      <sheetName val="accounting"/>
      <sheetName val="余额表(RT)"/>
      <sheetName val="Invidual Company_E.Asia MCO"/>
      <sheetName val="报告披露_A股已执行新金融工具准则但尚未执行新收入及新租赁准则"/>
      <sheetName val="报告披露_企业会计制度"/>
      <sheetName val="披露表_非上市合并未执行"/>
      <sheetName val="披露表_企业会计制度"/>
      <sheetName val="ARP-P101"/>
      <sheetName val="A3单体_20191231"/>
      <sheetName val="E100--AR--Major"/>
      <sheetName val="E101AR--Others"/>
      <sheetName val="OUT EDP 04"/>
      <sheetName val=" g300"/>
      <sheetName val="t_b"/>
      <sheetName val="下拉菜单表"/>
      <sheetName val="OutSum"/>
      <sheetName val="AOP 07 INPUT - local currency"/>
      <sheetName val="固定资产清单"/>
      <sheetName val="样品成本251"/>
      <sheetName val="FY17 Revenue Tracker Data"/>
      <sheetName val="关联库"/>
      <sheetName val="科目说明表-资产、负债、权益类COA"/>
      <sheetName val="6.3.1关联交易"/>
      <sheetName val="9月TB"/>
      <sheetName val="盛联余"/>
      <sheetName val="常用项目"/>
      <sheetName val="沈阳三生库存商品总帐2005"/>
      <sheetName val="沈阳三生商品总帐2006"/>
      <sheetName val="10月帐务"/>
      <sheetName val="FY12发机预估"/>
      <sheetName val="FY13-17发机台量"/>
      <sheetName val="调整结果明细表"/>
      <sheetName val="BJ05-经开"/>
      <sheetName val="BJ04-中科创投"/>
      <sheetName val="洪泰成都"/>
      <sheetName val="洪泰成都独角兽"/>
      <sheetName val="信息定义"/>
      <sheetName val="510103"/>
      <sheetName val="生产成本"/>
      <sheetName val="F100-2018"/>
      <sheetName val="Premisses"/>
      <sheetName val="CJE"/>
      <sheetName val="Filtered_IML"/>
      <sheetName val="Marketing product ranges"/>
      <sheetName val="Value Chain definitions"/>
      <sheetName val="Marketing vehicle definitions"/>
      <sheetName val="19-直方和正态图1"/>
      <sheetName val="SAP Trend-Revenue"/>
      <sheetName val="A3单体_20181231"/>
      <sheetName val="drivers"/>
      <sheetName val="ICTSI"/>
      <sheetName val="For Dis."/>
      <sheetName val="Yuhui"/>
      <sheetName val="G2TempSheet"/>
      <sheetName val="BKD-钻井深圳"/>
      <sheetName val="BKD-钻井湛江"/>
      <sheetName val="H1.3"/>
      <sheetName val="营业税金所得税Breakdown"/>
      <sheetName val="3.2.100.4.1    3"/>
      <sheetName val="3.2.100.4.3 aging Equip  "/>
      <sheetName val="3.2.100.4.1    1"/>
      <sheetName val="SH FA 检查"/>
      <sheetName val="成本项目"/>
      <sheetName val="O5-1 Notes"/>
      <sheetName val="PACK"/>
      <sheetName val="10.10.2003"/>
      <sheetName val="F_Summary"/>
      <sheetName val="JE Upload"/>
      <sheetName val="U411"/>
      <sheetName val="Guidance"/>
      <sheetName val="Guidance-English"/>
      <sheetName val="1 - Lead"/>
      <sheetName val="2 - Lapsing"/>
      <sheetName val="3- Depreciation"/>
      <sheetName val="4 - Additions"/>
      <sheetName val="5 -Capital Lease"/>
      <sheetName val="6 - FA Verification"/>
      <sheetName val="Sched "/>
      <sheetName val="Beg. Balance Sched"/>
      <sheetName val="Assets with no cost"/>
      <sheetName val="Beg__Balance_Sched"/>
      <sheetName val="1_-_Lead"/>
      <sheetName val="2_-_Lapsing"/>
      <sheetName val="3-_Depreciation"/>
      <sheetName val="4_-_Additions"/>
      <sheetName val="5_-Capital_Lease"/>
      <sheetName val="6_-_FA_Verification"/>
      <sheetName val="Sched_"/>
      <sheetName val="Beg__Balance_Sched1"/>
      <sheetName val="Assets_with_no_cost"/>
      <sheetName val="FA_Additions_(p_3)"/>
      <sheetName val="FA_Disposals_(p_4)"/>
      <sheetName val="Capital_Leases_(p_5)"/>
      <sheetName val="_Depreciation_Expense_(p_6)"/>
      <sheetName val="FA_roll_to_report_p_7"/>
      <sheetName val="1_-_Lead1"/>
      <sheetName val="2_-_Lapsing1"/>
      <sheetName val="3-_Depreciation1"/>
      <sheetName val="4_-_Additions1"/>
      <sheetName val="5_-Capital_Lease1"/>
      <sheetName val="6_-_FA_Verification1"/>
      <sheetName val="Sched_1"/>
      <sheetName val="Beg__Balance_Sched2"/>
      <sheetName val="Assets_with_no_cost1"/>
      <sheetName val="FA_Additions_(p_3)1"/>
      <sheetName val="FA_Disposals_(p_4)1"/>
      <sheetName val="Capital_Leases_(p_5)1"/>
      <sheetName val="_Depreciation_Expense_(p_6)1"/>
      <sheetName val="FA_roll_to_report_p_71"/>
      <sheetName val="1_-_Lead2"/>
      <sheetName val="2_-_Lapsing2"/>
      <sheetName val="3-_Depreciation2"/>
      <sheetName val="4_-_Additions2"/>
      <sheetName val="5_-Capital_Lease2"/>
      <sheetName val="6_-_FA_Verification2"/>
      <sheetName val="Sched_2"/>
      <sheetName val="Beg__Balance_Sched3"/>
      <sheetName val="Assets_with_no_cost2"/>
      <sheetName val="FA_Additions_(p_3)2"/>
      <sheetName val="FA_Disposals_(p_4)2"/>
      <sheetName val="Capital_Leases_(p_5)2"/>
      <sheetName val="_Depreciation_Expense_(p_6)2"/>
      <sheetName val="FA_roll_to_report_p_72"/>
      <sheetName val="A&amp;P"/>
      <sheetName val="Insurance"/>
      <sheetName val="IT Costs"/>
      <sheetName val="Legal and Prof"/>
      <sheetName val="Relationship Analysis(2)"/>
      <sheetName val="Depr_Exp__Testing_(5)"/>
      <sheetName val="Pro_Forma"/>
      <sheetName val="Airport_-_Downtown"/>
      <sheetName val="폐토수익화_"/>
      <sheetName val="其它销售成本_A4"/>
      <sheetName val="2__PPR_REVENUE_APR10"/>
      <sheetName val="VAS_TB"/>
      <sheetName val="C3WB_Sales_and_Receivables"/>
      <sheetName val="Credit_Card"/>
      <sheetName val="CON_CT_SINO_AGRO"/>
      <sheetName val="Other_expenses"/>
      <sheetName val="SCH_2_-_Highlights_2"/>
      <sheetName val="DATA_SHEET-DO_NOT_DELETE"/>
      <sheetName val="Invoices_received_and_payment"/>
      <sheetName val="_Kostenstruktur_Fab_"/>
      <sheetName val="SUD-Iron_Curtain_Method"/>
      <sheetName val="1_11_长期应收款"/>
      <sheetName val="1_12_长期股权投资"/>
      <sheetName val="Worksheet_in_5610_Property_&amp;_Eq"/>
      <sheetName val="Tax_proj-Shenzhen"/>
      <sheetName val="Data_List"/>
      <sheetName val="CC_SAP"/>
      <sheetName val="Sum sum Dep"/>
      <sheetName val="资产减值损失-final"/>
      <sheetName val="损（蓝5）"/>
      <sheetName val="资金状况表"/>
      <sheetName val="预提"/>
      <sheetName val="AREAINDEX"/>
      <sheetName val="Q4Purchases"/>
      <sheetName val="2005租赁汇总bj"/>
      <sheetName val="Baitak PS schedule"/>
      <sheetName val="detailitems_40"/>
      <sheetName val="2-1"/>
      <sheetName val="2-5"/>
      <sheetName val="4-1"/>
      <sheetName val="4-6"/>
      <sheetName val="Cashflow "/>
      <sheetName val="借款"/>
      <sheetName val="L1-1-1拆放同业合理性测试"/>
      <sheetName val="Basic data"/>
      <sheetName val="進銷存"/>
      <sheetName val="Related companies"/>
      <sheetName val="中旅集團屬下和中投屬下公司明細表"/>
      <sheetName val="4_货币资金_现金"/>
      <sheetName val="WTB"/>
      <sheetName val="01TBlast"/>
      <sheetName val="Offering Structure"/>
      <sheetName val="Sale summary"/>
      <sheetName val="Consultants local currency"/>
      <sheetName val="2月回款"/>
      <sheetName val="2月销售"/>
      <sheetName val="数据模板1"/>
      <sheetName val="BZJ"/>
      <sheetName val="Constants"/>
      <sheetName val="FF-6"/>
      <sheetName val="incomplete - 5411B"/>
      <sheetName val="TS-Zero"/>
      <sheetName val="Terms Summary"/>
      <sheetName val="2007-09折旧"/>
      <sheetName val="通用数据"/>
      <sheetName val="31夹层类-1-3"/>
      <sheetName val="1资产负债表"/>
      <sheetName val="Walkthrough "/>
      <sheetName val="A300-合并"/>
      <sheetName val="totalg&amp;a"/>
      <sheetName val="成本计算-6"/>
      <sheetName val="信息费用预算表(A4)"/>
      <sheetName val="US WACC"/>
      <sheetName val="BS-past"/>
      <sheetName val="选择项"/>
      <sheetName val="AR Ageing - 1130"/>
      <sheetName val="应收账款明细表"/>
      <sheetName val="Coach Chassis (inventory)"/>
      <sheetName val="VAT Payable01"/>
      <sheetName val="VAT Payable 02"/>
      <sheetName val="VAT Payable 03"/>
      <sheetName val="1102 (2)"/>
      <sheetName val="YTD-Entity"/>
      <sheetName val="HQ C"/>
      <sheetName val="15287贵阳市乌当区天网工程"/>
      <sheetName val="U401-租赁合同"/>
      <sheetName val="Entry Sheet"/>
      <sheetName val="P800-Vouching"/>
      <sheetName val="U113(1)-details 2005"/>
      <sheetName val="asset list"/>
      <sheetName val="Date Source"/>
      <sheetName val="报告披露"/>
      <sheetName val="AGRO PRC DATABASE"/>
      <sheetName val="2月收入成本明细表"/>
      <sheetName val="I1"/>
      <sheetName val="GDB-SZB"/>
      <sheetName val="1売上債権期間分析"/>
      <sheetName val="2売掛金残高比較"/>
      <sheetName val="U130-1按月"/>
      <sheetName val="K1500"/>
      <sheetName val="成本动态台帐"/>
      <sheetName val="codeValue"/>
      <sheetName val="유통망계획"/>
      <sheetName val="협조전"/>
      <sheetName val="전체현황"/>
      <sheetName val="dep08"/>
      <sheetName val="FA台账2012"/>
      <sheetName val="PL1506"/>
      <sheetName val="by BU1506"/>
      <sheetName val="exp1506"/>
      <sheetName val="BS1506"/>
      <sheetName val="Pro Forma (2)"/>
      <sheetName val="Invidual_Company_E_Asia_MCO"/>
      <sheetName val="OUT_EDP_04"/>
      <sheetName val="_g300"/>
      <sheetName val="AOP_07_INPUT_-_local_currency"/>
      <sheetName val="FY17_Revenue_Tracker_Data"/>
      <sheetName val="Sheet1_(11)"/>
      <sheetName val="K-0_PPE_Overview_PSP_OSP"/>
      <sheetName val="Consol_worksheet-Final"/>
      <sheetName val="Marketing_product_ranges"/>
      <sheetName val="Value_Chain_definitions"/>
      <sheetName val="Marketing_vehicle_definitions"/>
      <sheetName val="SAP_Trend-Revenue"/>
      <sheetName val="TIG Loan Interest Calculation"/>
      <sheetName val="Proforma BS"/>
      <sheetName val="Notes"/>
      <sheetName val="产品销售毛利表"/>
      <sheetName val="Bloomberg"/>
      <sheetName val="Datastream_IBES"/>
      <sheetName val="DB_Estimates"/>
      <sheetName val="9.银行持有之局部付款"/>
      <sheetName val="FIXASSET"/>
      <sheetName val="冲A11预提房租"/>
      <sheetName val="M.P.S."/>
      <sheetName val="G1_Lead"/>
      <sheetName val="MORE"/>
      <sheetName val="DFI Statement_Jan"/>
      <sheetName val="WWCA科目表"/>
      <sheetName val="PopCache"/>
      <sheetName val="17应付票据明细表"/>
      <sheetName val="其他业务利润明细表"/>
      <sheetName val="投资收益明细表"/>
      <sheetName val="未交税金明细表"/>
      <sheetName val="GeneralInfo"/>
      <sheetName val="Bal 1997-1998"/>
      <sheetName val="prod"/>
      <sheetName val="REP04B 301202"/>
      <sheetName val="backlog"/>
      <sheetName val="00年损益（分月）"/>
      <sheetName val="月别计"/>
      <sheetName val="课别计"/>
      <sheetName val="要員"/>
      <sheetName val="Whse Code"/>
      <sheetName val="Projects structure"/>
      <sheetName val="TB_HBII"/>
      <sheetName val="EY data"/>
      <sheetName val="销管费用明细"/>
      <sheetName val="sintesi per referenza"/>
      <sheetName val="1.概述"/>
      <sheetName val="Jumei"/>
      <sheetName val="数据引用"/>
      <sheetName val="IBC Project Overview2012918"/>
      <sheetName val="应付明细"/>
      <sheetName val="_010_10118"/>
      <sheetName val="2009movement"/>
      <sheetName val="商会大厦-总表-楼层顺序"/>
      <sheetName val="房屋类"/>
      <sheetName val="H_Lead"/>
      <sheetName val="嘉华仓库"/>
      <sheetName val="Interest #9"/>
      <sheetName val="Bank_sum#10"/>
      <sheetName val="Custs #2"/>
      <sheetName val="BKD-财务部"/>
      <sheetName val="1999 Plan Summary"/>
      <sheetName val="集团财务报表"/>
      <sheetName val="Range Values"/>
      <sheetName val="G1_100Breakdown"/>
      <sheetName val="AFS"/>
      <sheetName val="G1_130双边挂账Check"/>
      <sheetName val="SRM"/>
      <sheetName val="其他应收款Dy"/>
      <sheetName val="nSAP GLSU Template"/>
      <sheetName val="Reversal Reason - Reversal Date"/>
      <sheetName val="Base_Results"/>
      <sheetName val="A2爱威思特"/>
      <sheetName val="sal"/>
      <sheetName val="2004年"/>
      <sheetName val="Item master"/>
      <sheetName val="UFPrn20080612114440"/>
      <sheetName val="序时账"/>
      <sheetName val="上期报表"/>
      <sheetName val="G"/>
      <sheetName val="G3"/>
      <sheetName val="调整原因汇总表"/>
      <sheetName val="收入2"/>
      <sheetName val="闭店"/>
      <sheetName val="坏账准备_其他应收款Dy"/>
      <sheetName val="其他应收款Mx"/>
      <sheetName val="合并清单"/>
      <sheetName val="专项应付款Dy"/>
      <sheetName val="财务费用Dy"/>
      <sheetName val="专项应付款Mx"/>
      <sheetName val="AU"/>
      <sheetName val="DK"/>
      <sheetName val="PA"/>
      <sheetName val="1 Lillysummary"/>
      <sheetName val="계DATA"/>
      <sheetName val="실DATA "/>
      <sheetName val="resume"/>
      <sheetName val="생산전망"/>
      <sheetName val="Regionen"/>
      <sheetName val="20211231网点收入"/>
      <sheetName val="Beta DATA SHEET"/>
      <sheetName val="Worksheet_in_5610_Property____2"/>
      <sheetName val="实际与预算对比"/>
      <sheetName val="AGRO-DATA"/>
      <sheetName val="科目代码-匹配用"/>
      <sheetName val="NewB Sheet"/>
      <sheetName val="Par"/>
      <sheetName val="Coffeemate"/>
      <sheetName val="0402"/>
      <sheetName val="银行代码"/>
      <sheetName val="Asset9809CAK"/>
      <sheetName val="input data"/>
      <sheetName val="WEIGHT"/>
      <sheetName val="Asset98-CAK"/>
      <sheetName val="S"/>
      <sheetName val="COSTI"/>
      <sheetName val="明细"/>
      <sheetName val="分公司07年余额明细"/>
      <sheetName val="B5302 Random population"/>
      <sheetName val="C_Lead"/>
      <sheetName val="參數"/>
      <sheetName val="Slide 1"/>
      <sheetName val="Slide 2"/>
      <sheetName val="slide 3"/>
      <sheetName val="G402."/>
      <sheetName val="COTIZACIONES"/>
      <sheetName val="ACTData"/>
      <sheetName val="CommData"/>
      <sheetName val="差异率"/>
      <sheetName val="OBData"/>
      <sheetName val="管理费用表"/>
      <sheetName val="11111111"/>
      <sheetName val="Consignment_Analysis"/>
      <sheetName val="GP Analysis"/>
      <sheetName val="费用重分类"/>
      <sheetName val="18.BGEI Mgt (SH)-BJ Br"/>
      <sheetName val="U120_借项余额测试"/>
      <sheetName val="U130_成本倒轧表"/>
      <sheetName val="U_TOD成本"/>
      <sheetName val="UGP_Lead"/>
      <sheetName val="UGP_Breakdown"/>
      <sheetName val="U100_收入合同审阅"/>
      <sheetName val="U_TOD收入&amp;成本"/>
      <sheetName val="U110_收入分析按产品类别"/>
      <sheetName val="FAST TRACK"/>
      <sheetName val="数据录入"/>
      <sheetName val="K401"/>
      <sheetName val="其他应付款科目余额2005.12.31"/>
      <sheetName val="P08A自制半成品收发存"/>
      <sheetName val="consol bal sheet"/>
      <sheetName val="F34-1"/>
      <sheetName val="B11-1"/>
      <sheetName val="B01-1"/>
      <sheetName val="应付款项"/>
      <sheetName val="AP1998KX(estimated)"/>
      <sheetName val="JAL "/>
      <sheetName val="P2_100"/>
      <sheetName val="F601-pool"/>
      <sheetName val="累计1"/>
      <sheetName val="应收账龄BS.01"/>
      <sheetName val="被审单位科目余额表"/>
      <sheetName val="IFRS 9规定"/>
      <sheetName val="附表2"/>
      <sheetName val="附表3"/>
      <sheetName val="6月回款"/>
      <sheetName val="3月回款"/>
      <sheetName val="7月销售"/>
      <sheetName val="4月回款"/>
      <sheetName val="5月回款"/>
      <sheetName val="上海2012年1-11月科目余额表"/>
      <sheetName val="40"/>
      <sheetName val=".xls)rep1011173124(1)"/>
      <sheetName val="Australia"/>
      <sheetName val="Tax Rates"/>
      <sheetName val="Accuracy Check"/>
      <sheetName val="UNIT COST REC"/>
      <sheetName val="Capital leases"/>
      <sheetName val="compare to jan07"/>
      <sheetName val=" Due from (Sep)"/>
      <sheetName val="Due to 1005"/>
      <sheetName val="Volume"/>
      <sheetName val="Table calendaire"/>
      <sheetName val="Table paiements"/>
      <sheetName val="Table Fournisseurs"/>
      <sheetName val="0000"/>
      <sheetName val="Summary Data"/>
      <sheetName val="ARCELIK项目收入成本"/>
      <sheetName val="8.2.1-单项计提明细"/>
      <sheetName val="12-合并资产负债表"/>
      <sheetName val="ee&amp;offsort"/>
      <sheetName val="New Cancelled Breakout"/>
      <sheetName val="OfficerList"/>
      <sheetName val="VestTemp&amp;Typeclean"/>
      <sheetName val="Vauxhall Opel 30004"/>
      <sheetName val="Comet Q202 Flash"/>
      <sheetName val="蚓激酶成品30万单位-板装"/>
      <sheetName val="17 AR ECL &lt;对上5,439m&gt;"/>
      <sheetName val="5.2 Multipler"/>
      <sheetName val="计秖参璸"/>
      <sheetName val="玻Θ珇虫Θセ璸衡猭(5)"/>
      <sheetName val="G&amp;A"/>
      <sheetName val="Specifications"/>
      <sheetName val="val"/>
      <sheetName val="HTM市值变动"/>
      <sheetName val="VISION MRP"/>
      <sheetName val="MEXICO"/>
      <sheetName val="EV"/>
      <sheetName val="11月回款"/>
      <sheetName val="11月销售"/>
      <sheetName val="Macro1"/>
      <sheetName val="B3Ex-Rate"/>
      <sheetName val="U1 P&amp;L"/>
      <sheetName val="Financial highligts"/>
      <sheetName val="M3-COS"/>
      <sheetName val="M4-Adm"/>
      <sheetName val="BB01"/>
      <sheetName val="实体清单"/>
      <sheetName val="集团内公司"/>
      <sheetName val="项目信息"/>
      <sheetName val="固定资产折旧表"/>
      <sheetName val="Comparison"/>
      <sheetName val="期別全体表"/>
      <sheetName val="Sponsor as Beneficiary (Burl)"/>
      <sheetName val="2011Cash"/>
      <sheetName val="差异调整95"/>
      <sheetName val="差异调整96"/>
      <sheetName val="Volumen AOP 2004"/>
      <sheetName val="Conso-PL(A4.3)"/>
      <sheetName val="Input_Eingabewerte"/>
      <sheetName val="Ausdruck"/>
      <sheetName val="機器"/>
      <sheetName val="IG non trade"/>
      <sheetName val="Inventory Change(FG)"/>
      <sheetName val="Calcs"/>
      <sheetName val="Merge"/>
      <sheetName val="审计项目信息"/>
      <sheetName val="VACCINE"/>
      <sheetName val="往来函证(基本资料) "/>
      <sheetName val="ZKA2_lista"/>
      <sheetName val="Q2_Lead"/>
      <sheetName val="Q2_100Breakdown"/>
      <sheetName val="before"/>
      <sheetName val="ANNUAL.OLD"/>
      <sheetName val="Video"/>
      <sheetName val="ANNUAL"/>
      <sheetName val="Content"/>
      <sheetName val="QVC"/>
      <sheetName val="Telephony"/>
      <sheetName val="管理费用-CM"/>
      <sheetName val="管理费用-SH"/>
      <sheetName val="研发费用-CM"/>
      <sheetName val="detailitems_162"/>
      <sheetName val="Current Account"/>
      <sheetName val="AP movement"/>
      <sheetName val="P101"/>
      <sheetName val="AJE"/>
      <sheetName val="RJE"/>
      <sheetName val="母公司财务报表"/>
      <sheetName val="EJE"/>
      <sheetName val="假设"/>
      <sheetName val="A4_报表-202206"/>
      <sheetName val="A4_公司架构_20220630"/>
      <sheetName val="报表11"/>
      <sheetName val="Interim"/>
      <sheetName val="Receiver"/>
      <sheetName val="股本Dy"/>
      <sheetName val="资本公积Dy"/>
      <sheetName val="盈余公积Dy"/>
      <sheetName val="F10~22圆形柱及零星非通用"/>
      <sheetName val="nada"/>
      <sheetName val="INV Sep"/>
      <sheetName val="O5-1_Notes"/>
      <sheetName val="10_10_2003"/>
      <sheetName val="Cashflow_"/>
      <sheetName val="Floating_leg"/>
      <sheetName val="Fixed_Leg_Curve"/>
      <sheetName val="Floating_Leg_Curve"/>
      <sheetName val="Swap_summary"/>
      <sheetName val="PI"/>
      <sheetName val="PW1"/>
      <sheetName val="财务费用&lt;U200&gt;"/>
      <sheetName val="Major Account"/>
      <sheetName val="99.12"/>
      <sheetName val="科目设置"/>
      <sheetName val="凭证"/>
      <sheetName val="Deduction ok"/>
      <sheetName val="Addition1 ok"/>
      <sheetName val="Addition2 ok"/>
      <sheetName val="冲压加工13ACCD BB BH用模具 11-A-028"/>
      <sheetName val="Malli"/>
      <sheetName val="Salaried main"/>
      <sheetName val="B1"/>
      <sheetName val="IA2"/>
      <sheetName val="R2"/>
      <sheetName val="0.科目余额表"/>
      <sheetName val="主营业务税金及附加Dy"/>
      <sheetName val="C2WB Primary and Secondary"/>
      <sheetName val="orignal"/>
      <sheetName val="所有凭证"/>
      <sheetName val="NAV Output"/>
      <sheetName val="Changed"/>
      <sheetName val="MWA RR"/>
      <sheetName val="cost"/>
      <sheetName val="RGDP"/>
      <sheetName val="N1_100APBreakdown"/>
      <sheetName val="表格清单"/>
      <sheetName val="N_Lead"/>
      <sheetName val="银行列表"/>
      <sheetName val="UFPrn20180528111055"/>
      <sheetName val="其他应付款.dbf"/>
      <sheetName val="2002-07"/>
      <sheetName val="for retest"/>
      <sheetName val="前提1-综合"/>
      <sheetName val="New FC Pivot Table"/>
      <sheetName val="February"/>
      <sheetName val="January"/>
      <sheetName val="batch"/>
      <sheetName val="data_val"/>
      <sheetName val="O201_VAT销项测算"/>
      <sheetName val="N101"/>
      <sheetName val="V1-OSP-05"/>
      <sheetName val="输入数据和汇总"/>
      <sheetName val="SENA"/>
      <sheetName val="TPQ INDEX"/>
      <sheetName val="N102"/>
      <sheetName val="合并抵消分录"/>
      <sheetName val="TB96"/>
      <sheetName val="TB97"/>
      <sheetName val="Detail Summary"/>
      <sheetName val="二期销售日报表20110331"/>
      <sheetName val="import duties"/>
      <sheetName val="ctTBA"/>
      <sheetName val="Lead_(p_1)3"/>
      <sheetName val="FA_Roll_to_GL_(p_2)3"/>
      <sheetName val="FA_Additions_(p_3)3"/>
      <sheetName val="FA_Disposals_(p_4)3"/>
      <sheetName val="Capital_Leases_(p_5)3"/>
      <sheetName val="_Depreciation_Expense_(p_6)3"/>
      <sheetName val="FA_roll_to_report_p_73"/>
      <sheetName val="Depr_Exp__Testing_(5)1"/>
      <sheetName val="Pro_Forma1"/>
      <sheetName val="Airport_-_Downtown1"/>
      <sheetName val="폐토수익화_1"/>
      <sheetName val="其它销售成本_A41"/>
      <sheetName val="2__PPR_REVENUE_APR101"/>
      <sheetName val="VAS_TB1"/>
      <sheetName val="C3WB_Sales_and_Receivables1"/>
      <sheetName val="Credit_Card1"/>
      <sheetName val="CON_CT_SINO_AGRO1"/>
      <sheetName val="Other_expenses1"/>
      <sheetName val="SCH_2_-_Highlights_21"/>
      <sheetName val="DATA_SHEET-DO_NOT_DELETE1"/>
      <sheetName val="Invoices_received_and_payment1"/>
      <sheetName val="_Kostenstruktur_Fab_1"/>
      <sheetName val="SUD-Iron_Curtain_Method1"/>
      <sheetName val="1_11_长期应收款1"/>
      <sheetName val="1_12_长期股权投资1"/>
      <sheetName val="Worksheet_in_5610_Property_&amp;_E1"/>
      <sheetName val="Tax_proj-Shenzhen1"/>
      <sheetName val="Data_List1"/>
      <sheetName val="应收帐款_AR_1"/>
      <sheetName val="CC_SAP1"/>
      <sheetName val="_g3001"/>
      <sheetName val="Marketing_product_ranges1"/>
      <sheetName val="Value_Chain_definitions1"/>
      <sheetName val="Marketing_vehicle_definitions1"/>
      <sheetName val="SAP_Trend-Revenue1"/>
      <sheetName val="Invidual_Company_E_Asia_MCO1"/>
      <sheetName val="OUT_EDP_041"/>
      <sheetName val="AOP_07_INPUT_-_local_currency1"/>
      <sheetName val="FY17_Revenue_Tracker_Data1"/>
      <sheetName val="Sheet1_(11)1"/>
      <sheetName val="K-0_PPE_Overview_PSP_OSP1"/>
      <sheetName val="Consol_worksheet-Final1"/>
      <sheetName val="For_Dis_"/>
      <sheetName val="Altman_Z"/>
      <sheetName val="H1_3"/>
      <sheetName val="Consultants_local_currency"/>
      <sheetName val="Date_Source"/>
      <sheetName val="SH_FA_检查"/>
      <sheetName val="ICP主营业务收入ICP_CoreRevenue"/>
      <sheetName val="ICP递延收益ICP_DeferredIncome"/>
      <sheetName val="ICP股利分配ICP_DevidendDeclared"/>
      <sheetName val="ICP投资收益ICP_InvestmentIncome"/>
      <sheetName val="ICP应付利息ICP_InterestPayable"/>
      <sheetName val="ICP长期应付款ICP_LongtermPayable"/>
      <sheetName val="ICP其他流动负债ICP_OtherCurrentLiab"/>
      <sheetName val="ICP其他业务收入ICP_OtherRevenue"/>
      <sheetName val="ICP短期借款ICP_ShorttermLoans"/>
      <sheetName val="JE_Upload"/>
      <sheetName val="Related_companies"/>
      <sheetName val="incomplete_-_5411B"/>
      <sheetName val="Terms_Summary"/>
      <sheetName val="Offering_Structure"/>
      <sheetName val="Sale_summary"/>
      <sheetName val="6_3_1关联交易"/>
      <sheetName val="3_2_100_4_1____3"/>
      <sheetName val="3_2_100_4_3_aging_Equip__"/>
      <sheetName val="3_2_100_4_1____1"/>
      <sheetName val="Sum_sum_Dep"/>
      <sheetName val="1_-_Lead3"/>
      <sheetName val="2_-_Lapsing3"/>
      <sheetName val="3-_Depreciation3"/>
      <sheetName val="4_-_Additions3"/>
      <sheetName val="5_-Capital_Lease3"/>
      <sheetName val="6_-_FA_Verification3"/>
      <sheetName val="Sched_3"/>
      <sheetName val="Beg__Balance_Sched4"/>
      <sheetName val="Assets_with_no_cost3"/>
      <sheetName val="IT_Costs"/>
      <sheetName val="Legal_and_Prof"/>
      <sheetName val="Relationship_Analysis(2)"/>
      <sheetName val="Walkthrough_"/>
      <sheetName val="US_WACC"/>
      <sheetName val="Final_sample_listing"/>
      <sheetName val="AR_Ageing_-_1130"/>
      <sheetName val="Coach_Chassis_(inventory)"/>
      <sheetName val="VAT_Payable01"/>
      <sheetName val="VAT_Payable_02"/>
      <sheetName val="VAT_Payable_03"/>
      <sheetName val="1102_(2)"/>
      <sheetName val="HQ_C"/>
      <sheetName val="Entry_Sheet"/>
      <sheetName val="U113(1)-details_2005"/>
      <sheetName val="asset_list"/>
      <sheetName val="Baitak_PS_schedule"/>
      <sheetName val="AGRO_PRC_DATABASE"/>
      <sheetName val="TIG_Loan_Interest_Calculation"/>
      <sheetName val="Proforma_BS"/>
      <sheetName val="Whse_Code"/>
      <sheetName val="Pro_Forma_(2)"/>
      <sheetName val="M_P_S_"/>
      <sheetName val="sintesi_per_referenza"/>
      <sheetName val="1_概述"/>
      <sheetName val="IBC_Project_Overview2012918"/>
      <sheetName val="Projects_structure"/>
      <sheetName val="DFI_Statement_Jan"/>
      <sheetName val="Riepilogo_linee-direz_BUD"/>
      <sheetName val="现_金_流_量_表"/>
      <sheetName val="Range_Values"/>
      <sheetName val="EY_data"/>
      <sheetName val="Bal_1997-1998"/>
      <sheetName val="nSAP_GLSU_Template"/>
      <sheetName val="Reversal_Reason_-_Reversal_Date"/>
      <sheetName val="1999_Plan_Summary"/>
      <sheetName val="To_tied_2001_opening_RE"/>
      <sheetName val="Interest_#9"/>
      <sheetName val="Custs_#2"/>
      <sheetName val="Item_master"/>
      <sheetName val="9_银行持有之局部付款"/>
      <sheetName val="REP04B_301202"/>
      <sheetName val="NewB_Sheet"/>
      <sheetName val="1_Lillysummary"/>
      <sheetName val="실DATA_"/>
      <sheetName val="Beta_DATA_SHEET"/>
      <sheetName val="input_data"/>
      <sheetName val="B5302_Random_population"/>
      <sheetName val="Slide_1"/>
      <sheetName val="Slide_2"/>
      <sheetName val="slide_3"/>
      <sheetName val="G402_"/>
      <sheetName val="GP_Analysis"/>
      <sheetName val="18_BGEI_Mgt_(SH)-BJ_Br"/>
      <sheetName val="FAST_TRACK"/>
      <sheetName val="JAL_"/>
      <sheetName val="其他应付款科目余额2005_12_31"/>
      <sheetName val="consol_bal_sheet"/>
      <sheetName val="应收账龄BS_01"/>
      <sheetName val="IFRS_9规定"/>
      <sheetName val="P504_3_Expected_life"/>
      <sheetName val="_xls)rep1011173124(1)"/>
      <sheetName val="UNIT_COST_REC"/>
      <sheetName val="Capital_leases"/>
      <sheetName val="compare_to_jan07"/>
      <sheetName val="_Due_from_(Sep)"/>
      <sheetName val="Due_to_1005"/>
      <sheetName val="Tax_Rates"/>
      <sheetName val="Accuracy_Check"/>
      <sheetName val="P&amp;L_Report-S"/>
      <sheetName val="P&amp;L_Report-M"/>
      <sheetName val="Table_calendaire"/>
      <sheetName val="Table_paiements"/>
      <sheetName val="Table_Fournisseurs"/>
      <sheetName val="Summary_Data"/>
      <sheetName val="8_2_1-单项计提明细"/>
      <sheetName val="New_Cancelled_Breakout"/>
      <sheetName val="Vauxhall_Opel_30004"/>
      <sheetName val="Comet_Q202_Flash"/>
      <sheetName val="17_AR_ECL_&lt;对上5,439m&gt;"/>
      <sheetName val="5_2_Multipler"/>
      <sheetName val="ye"/>
      <sheetName val="Categories of Tax Positions"/>
      <sheetName val="C_100 Breakdown"/>
      <sheetName val="9 analysis of finance costs"/>
      <sheetName val="6a bank loan &amp; bond analysis"/>
      <sheetName val="capital structures"/>
      <sheetName val="checking Dep DT"/>
      <sheetName val="7 operating by nature"/>
      <sheetName val="1 highlights and ratio"/>
      <sheetName val="2020 final"/>
      <sheetName val="3 net profit by jv"/>
      <sheetName val="analysis of net profit "/>
      <sheetName val="2 PL shortform"/>
      <sheetName val="5 turnover by non-contrlled jv"/>
      <sheetName val="turnver &amp; pl by non-cont jv"/>
      <sheetName val="4,6 turnover by controlled jv"/>
      <sheetName val="F_Lead"/>
      <sheetName val="系统数据"/>
      <sheetName val="-GZ"/>
      <sheetName val="-SZ"/>
      <sheetName val="-WZ"/>
      <sheetName val="OTA"/>
      <sheetName val="-SH"/>
      <sheetName val="-BJ"/>
      <sheetName val="1.3 应收票据、应收款项融资"/>
      <sheetName val="1.2 交易性金融资产、衍生金融资产"/>
      <sheetName val="1.10 长期应收款"/>
      <sheetName val="1.9 其他流动资产"/>
      <sheetName val="1.12 其他权益工具投资"/>
      <sheetName val="1.11 长期股权投资"/>
      <sheetName val="1.15 固定资产"/>
      <sheetName val="1.16 在建工程"/>
      <sheetName val="1.18 无形资产"/>
      <sheetName val="1.19 商誉"/>
      <sheetName val="1.21 其他非流动资产"/>
      <sheetName val="1.6 其他应收款(含应收资金集中管理款)"/>
      <sheetName val="1.7 存货"/>
      <sheetName val="1.5 预付账款"/>
      <sheetName val="121105"/>
      <sheetName val="cogs-Rx"/>
      <sheetName val="PCAP"/>
      <sheetName val="中山市新泰兴粉末冶金有限公司-其他应付款替代测试表 "/>
      <sheetName val="other lia"/>
      <sheetName val="prepayment"/>
      <sheetName val="related co"/>
      <sheetName val="sel"/>
      <sheetName val="Volatility "/>
      <sheetName val="Formal Name"/>
      <sheetName val="总表"/>
      <sheetName val="Investment Property"/>
      <sheetName val="sheet"/>
      <sheetName val="MFG Capital"/>
      <sheetName val="F130&quot;"/>
      <sheetName val="CA Comp"/>
      <sheetName val="2005 BS Preliminary"/>
      <sheetName val="510102明细"/>
      <sheetName val="510101明细"/>
      <sheetName val="51010102明细"/>
      <sheetName val="51010103明细"/>
      <sheetName val="510103明细"/>
      <sheetName val="510104明细"/>
      <sheetName val="512101明细"/>
      <sheetName val="512102明细"/>
      <sheetName val="512103明细"/>
      <sheetName val="512106明细"/>
      <sheetName val="510101"/>
      <sheetName val="510102"/>
      <sheetName val="510104"/>
      <sheetName val="512101"/>
      <sheetName val="512102"/>
      <sheetName val="512103"/>
      <sheetName val="512105"/>
      <sheetName val="512106"/>
      <sheetName val="UFPrn20060102184135"/>
      <sheetName val="UFPrn20060102184147"/>
      <sheetName val="2011-11-14执行表 (资源表）"/>
      <sheetName val="区域提供台量及价格"/>
      <sheetName val="三分厂04年1-12月销售价 "/>
      <sheetName val="05年1月销售价"/>
      <sheetName val="04年12月销售价"/>
      <sheetName val="CJA 2006"/>
      <sheetName val="7.5 FY08 TCOE执行计划完成情况回顾"/>
      <sheetName val="敏感参数"/>
      <sheetName val="PLRMB"/>
      <sheetName val="pd"/>
      <sheetName val="1104a"/>
      <sheetName val="1110b"/>
      <sheetName val="1112c"/>
      <sheetName val="预付货款"/>
      <sheetName val="Nov,01"/>
      <sheetName val="J3122_403天井"/>
      <sheetName val="J3123_518硐"/>
      <sheetName val="J3124_520硐"/>
      <sheetName val="J3125_1号堆场"/>
      <sheetName val="J3126_2号堆场"/>
      <sheetName val="J3127_3号堆场"/>
      <sheetName val="J3128_4号堆场"/>
      <sheetName val="J3131_技改粉矿仓"/>
      <sheetName val="J3129_517至520轨道"/>
      <sheetName val="VarianceFY00vsBP"/>
      <sheetName val="C2W Summary"/>
      <sheetName val="东软发展1"/>
      <sheetName val="东软发展2"/>
      <sheetName val="大发3"/>
      <sheetName val="Scatter"/>
      <sheetName val="1997 IPO"/>
      <sheetName val="Customize Your Purchase Order"/>
      <sheetName val="2004核对表"/>
      <sheetName val="Interest Method"/>
      <sheetName val="PSR Names"/>
      <sheetName val="A812-1_法审报告PM TE设定"/>
      <sheetName val="E3_100(合同资产)_集团内"/>
      <sheetName val="DataLookups"/>
      <sheetName val="UFPrn20070308145706"/>
      <sheetName val="Sales by customer "/>
      <sheetName val="03合并附注"/>
      <sheetName val="IG_non_trade"/>
      <sheetName val="VISION_MRP"/>
      <sheetName val="by_BU1506"/>
      <sheetName val="Inventory_Change(FG)"/>
      <sheetName val="Sponsor_as_Beneficiary_(Burl)"/>
      <sheetName val="C2WB_Primary_and_Secondary"/>
      <sheetName val="0_科目余额表"/>
      <sheetName val="U1_P&amp;L"/>
      <sheetName val="Financial_highligts"/>
      <sheetName val="V_Lead "/>
      <sheetName val="Bacis"/>
      <sheetName val="Type"/>
      <sheetName val="081231"/>
      <sheetName val="固定资产12月"/>
      <sheetName val="工程部备件库9月份消耗"/>
      <sheetName val="工程部辅料库9月份消耗"/>
      <sheetName val="04收发存汇总表"/>
      <sheetName val="Net Assets"/>
      <sheetName val="5400-재고자산Lead"/>
      <sheetName val="Inventory"/>
      <sheetName val="G201os"/>
      <sheetName val="07-7月"/>
      <sheetName val="2003-H300"/>
      <sheetName val="Reprice Lookup"/>
      <sheetName val="Termination Dates clean"/>
      <sheetName val="TBM"/>
      <sheetName val="Module2"/>
      <sheetName val="FA movement"/>
      <sheetName val="STDCOST"/>
      <sheetName val="2001"/>
      <sheetName val="往来账龄-RPT"/>
      <sheetName val="BS3"/>
      <sheetName val="BS4"/>
      <sheetName val="BS5"/>
      <sheetName val="BS6"/>
      <sheetName val="BS7"/>
      <sheetName val="IC0"/>
      <sheetName val="PL5"/>
      <sheetName val="TB1"/>
      <sheetName val="TB2"/>
      <sheetName val="INPUT WH"/>
      <sheetName val="U710"/>
      <sheetName val="F911"/>
      <sheetName val="손익계산서"/>
      <sheetName val="HR-10"/>
      <sheetName val="F_Model-KWSC"/>
      <sheetName val="Assumptions for OPEX"/>
      <sheetName val="Breakdown-SH"/>
      <sheetName val="Link-PRC"/>
      <sheetName val="Link-Misal"/>
      <sheetName val="Payroll-Interim"/>
      <sheetName val="comparison march to feb"/>
      <sheetName val="Product sales"/>
      <sheetName val="wsData"/>
      <sheetName val="2. Brk - PT"/>
      <sheetName val="LZ Component FG"/>
      <sheetName val="土地摊销"/>
      <sheetName val="Values"/>
      <sheetName val="2171_FYbk"/>
      <sheetName val="2171-BK"/>
      <sheetName val="A3_conso_集团"/>
      <sheetName val="Movement-DPCA"/>
      <sheetName val="Report Schedule"/>
      <sheetName val=" UA. Revenue"/>
      <sheetName val="M1.4 Vouch bank rec."/>
      <sheetName val="Financial Assets and Liability"/>
      <sheetName val="Workload"/>
      <sheetName val="应收地区分析"/>
      <sheetName val="2020年研发费用折旧明细账"/>
      <sheetName val="합계잔액시산표"/>
      <sheetName val="INF"/>
      <sheetName val="2003"/>
      <sheetName val="Tax"/>
      <sheetName val="Segment"/>
      <sheetName val="list of LC"/>
      <sheetName val="Sales taxes"/>
      <sheetName val="Blad1"/>
      <sheetName val="Combined1"/>
      <sheetName val="Permanent info"/>
      <sheetName val="OTHER PREPAID EXPENSE"/>
      <sheetName val="BasicInfo_IT"/>
      <sheetName val="KRP"/>
      <sheetName val="A6-2"/>
      <sheetName val="A6-1"/>
      <sheetName val="安装指标库1"/>
      <sheetName val="2000F"/>
      <sheetName val="adj#5-b-2筛选底稿"/>
      <sheetName val="Sheet1 "/>
      <sheetName val="hkgapadj"/>
      <sheetName val="retained movt"/>
      <sheetName val="inv in GWSR"/>
      <sheetName val="PRC-BS-SZ"/>
      <sheetName val="C3WB Revenue and Debtors"/>
      <sheetName val="C3WD Debtors and Cash"/>
      <sheetName val="已审CF"/>
      <sheetName val="Yr_1997"/>
      <sheetName val="科目余额"/>
      <sheetName val="Matrix-Level 3-Gastonia"/>
      <sheetName val="TEE"/>
      <sheetName val="Executive Summary"/>
      <sheetName val="Table of Contents"/>
      <sheetName val="Net Sales"/>
      <sheetName val="销售订单（每月系统导出）"/>
      <sheetName val="截止10.31"/>
      <sheetName val="2月OP PAY"/>
      <sheetName val="key parameter1st"/>
      <sheetName val="Backward Calculation"/>
      <sheetName val="3.3.3额外增加审计范围的考虑"/>
      <sheetName val="福利费1"/>
      <sheetName val="资产负债表及利润表"/>
      <sheetName val="销售费用明细表"/>
      <sheetName val="制造费用明细表"/>
      <sheetName val="Consolidation Rates"/>
      <sheetName val="E302"/>
      <sheetName val="Lead sheet"/>
      <sheetName val="表0-汇总表"/>
      <sheetName val="K2-03-100"/>
      <sheetName val="收入_按产品类别（旧版已作废）_"/>
      <sheetName val="12月到货 "/>
      <sheetName val="MUS Calculations- Figure 5410.1"/>
      <sheetName val="Plano Contas"/>
      <sheetName val="VIDE1"/>
      <sheetName val="VIDE2"/>
      <sheetName val="Taxes"/>
      <sheetName val="临时借款"/>
      <sheetName val="login"/>
      <sheetName val="Communication Eco dev"/>
      <sheetName val="Communication Eco frf"/>
      <sheetName val="Payroll"/>
      <sheetName val="Trade Payable &amp;Vendor Dashboard"/>
      <sheetName val="Journal Entries - EJE(09930)"/>
      <sheetName val="Personnaliser votre facture"/>
      <sheetName val="F2-1 unvouvcher PPV "/>
      <sheetName val="WORDs"/>
      <sheetName val="Promo"/>
      <sheetName val="Investment_Income$ NEW"/>
      <sheetName val="Data Validation"/>
      <sheetName val="Exchange rates"/>
      <sheetName val="Rented Equipment"/>
      <sheetName val="usermap1-9"/>
      <sheetName val="Page1"/>
      <sheetName val="BTR"/>
      <sheetName val="BGR"/>
      <sheetName val="BKS"/>
      <sheetName val="812户日记帐"/>
      <sheetName val="817户日记帐"/>
      <sheetName val="PCBC_Sec_Acct"/>
      <sheetName val="Int_history"/>
      <sheetName val="Control panel"/>
      <sheetName val="SF OR2"/>
      <sheetName val="Select month"/>
      <sheetName val="Lead -1"/>
      <sheetName val="徊,戈の硑禣ノ"/>
      <sheetName val="附注列表"/>
      <sheetName val="税费明细"/>
      <sheetName val="(QB0) Global Properties"/>
      <sheetName val="OTHER(FLASH)"/>
      <sheetName val="B-4_2"/>
      <sheetName val="7a_Other Inc Exp"/>
      <sheetName val="直接材料"/>
      <sheetName val="標准成本"/>
      <sheetName val="A400"/>
      <sheetName val="U"/>
      <sheetName val="直接法"/>
      <sheetName val="专项资金构成"/>
      <sheetName val="30.06.03"/>
      <sheetName val="辅表-原始利润表"/>
      <sheetName val="辅表-原始资产负债表"/>
      <sheetName val="B1-4001"/>
      <sheetName val="7-9月补发王志华工资"/>
      <sheetName val="Schedules"/>
      <sheetName val="Cash Lead Schedule"/>
      <sheetName val="GEAUDIT"/>
      <sheetName val="Collateral Monitoring"/>
      <sheetName val="cg"/>
      <sheetName val="Inv breakdown-PRCGAAP for ref"/>
      <sheetName val="Recon."/>
      <sheetName val="Disclosure 1-12"/>
      <sheetName val="分部-Dec"/>
      <sheetName val="LBSA-BS(2nd)"/>
      <sheetName val="LBSA-PL(2nd)"/>
      <sheetName val="VISION 1"/>
      <sheetName val="应收款信用分析(汇总)"/>
      <sheetName val="ARP-U311"/>
      <sheetName val="ARP-U321"/>
      <sheetName val="FX Rate Table"/>
      <sheetName val="Bal Sheet"/>
      <sheetName val="K3"/>
      <sheetName val="Bank Adjustment"/>
      <sheetName val="ACTUALCD - FCST Download"/>
      <sheetName val="assembly_r12 detail"/>
      <sheetName val="PG Valor Residual"/>
      <sheetName val="应付账款 (2)"/>
      <sheetName val="输液器"/>
      <sheetName val="Timing"/>
      <sheetName val="priv"/>
      <sheetName val="Ratings"/>
      <sheetName val="应收票据Dy"/>
      <sheetName val="FORMAT 1 - GENERAL FORMAT"/>
      <sheetName val="Selection"/>
      <sheetName val="三江对萧山2010"/>
      <sheetName val="Process cost"/>
      <sheetName val="oil收发存"/>
      <sheetName val="递延所得税资产审定表"/>
      <sheetName val="Cut-off Weekly"/>
      <sheetName val="Cut-off Daily"/>
      <sheetName val="C2WB ICO and Cash"/>
      <sheetName val="内部往来"/>
      <sheetName val="L3"/>
      <sheetName val="L2-9"/>
      <sheetName val="L2-8"/>
      <sheetName val="L2-10"/>
      <sheetName val="E430"/>
      <sheetName val="PMTE"/>
      <sheetName val="損益表-年度比較"/>
      <sheetName val="資產負債表-年度比較"/>
      <sheetName val="Coding"/>
      <sheetName val="Closing of Accounts"/>
      <sheetName val="cm3g"/>
      <sheetName val="包材领用工作底稿"/>
      <sheetName val="原料领用工作底稿"/>
      <sheetName val="坏账核销"/>
      <sheetName val="Paramètres"/>
      <sheetName val="Other IA and Goodwill"/>
      <sheetName val="Tracking"/>
      <sheetName val="HEAD"/>
      <sheetName val="3.2.400.4.TOD01.0010"/>
      <sheetName val="短期借款余额表"/>
      <sheetName val="周承惠（嘉隆利）"/>
      <sheetName val="STD"/>
      <sheetName val="CodeDescription"/>
      <sheetName val="wyniki"/>
      <sheetName val="wynikiRCV"/>
      <sheetName val="财政供养人员增幅"/>
      <sheetName val="应付股利_原"/>
      <sheetName val="VII-Redemption Nov"/>
      <sheetName val="Forecast"/>
      <sheetName val="主要财务指标表"/>
      <sheetName val="DI-ESTI"/>
      <sheetName val="k100-transferred out"/>
      <sheetName val="94B"/>
      <sheetName val="发电量&amp;主营业务收入"/>
      <sheetName val="IV - Assumptions"/>
      <sheetName val="C2WB G&amp;A Prepaid &amp; Accrue and G"/>
      <sheetName val=".1 Lead"/>
      <sheetName val=".2 FA Rollforward"/>
      <sheetName val=".3 Additions"/>
      <sheetName val=".4 IPE Testing"/>
      <sheetName val="TB04"/>
      <sheetName val="C3WB Revenue and Contas a receb"/>
      <sheetName val="C3WD Contas a recebe and Caixa "/>
      <sheetName val="Banner"/>
      <sheetName val="C2W Summary(1)"/>
      <sheetName val="Total Stock Summary"/>
      <sheetName val="WIP Valuation"/>
      <sheetName val="Consumption"/>
      <sheetName val="CC1"/>
      <sheetName val="3392 Grand Hyatt Denver TB"/>
      <sheetName val="O101"/>
      <sheetName val="Thuc thanh"/>
      <sheetName val="条件输入页"/>
      <sheetName val="清单定稿"/>
      <sheetName val="EXCH97 (1101)"/>
      <sheetName val="PL2013"/>
      <sheetName val="Conso adj"/>
      <sheetName val="BS2013"/>
      <sheetName val="FRS 107"/>
      <sheetName val="2011.3应付职工薪酬明细账"/>
      <sheetName val="值列表"/>
      <sheetName val="长期应付款Dy"/>
      <sheetName val="应交税金Dy"/>
      <sheetName val="Debtors Aging List"/>
      <sheetName val="MetricsRef"/>
      <sheetName val="Carver Merger Model"/>
      <sheetName val="预收帐款"/>
      <sheetName val="C.现金"/>
      <sheetName val="D.交易性金融资产"/>
      <sheetName val="A3.试算表"/>
      <sheetName val="G.预付"/>
      <sheetName val="P.预收"/>
      <sheetName val="T.专项储备"/>
      <sheetName val="U.管理费用"/>
      <sheetName val="U.投资收益"/>
      <sheetName val="U.营业外"/>
      <sheetName val="U.其他业务"/>
      <sheetName val="tax summary-total"/>
      <sheetName val="DEP SHA-Moyu 2006Mar"/>
      <sheetName val="2008收发存"/>
      <sheetName val="WORDTAB"/>
      <sheetName val="June"/>
      <sheetName val="ADJ-单体汇总"/>
      <sheetName val="ADJ-合并汇总"/>
      <sheetName val="科目清单"/>
      <sheetName val="所并"/>
      <sheetName val="表紙"/>
      <sheetName val="dieu kien"/>
      <sheetName val="Internal Data"/>
      <sheetName val="Data Summary"/>
      <sheetName val="PLDTL911"/>
      <sheetName val="Asset_Data"/>
      <sheetName val="JE - Depn Sept"/>
      <sheetName val="fedcapct2006"/>
      <sheetName val="C-Summary"/>
      <sheetName val="Senior Notes"/>
      <sheetName val="Table b4 Redemp"/>
      <sheetName val="EIR b4 Redemp"/>
      <sheetName val="Claims&amp;Dispute"/>
      <sheetName val="Lead Sheets"/>
      <sheetName val="NOPAT_VDF"/>
      <sheetName val="WACC_VDF"/>
      <sheetName val="PV of Op Leases_VDF"/>
      <sheetName val="Income Statement_VDF"/>
      <sheetName val="T1_100Breakdown实收资本"/>
      <sheetName val="G102"/>
      <sheetName val="A20a"/>
      <sheetName val="INTER-CO"/>
      <sheetName val="2.1. Claimed Not Ack as debts"/>
      <sheetName val="2.2. Unitech Contingent"/>
      <sheetName val="7. Pauling Joint Venture"/>
      <sheetName val="31. EPS"/>
      <sheetName val="13. Finance Lease"/>
      <sheetName val="18. Earnings"/>
      <sheetName val="8. Non Provision"/>
      <sheetName val="auditor"/>
      <sheetName val="N100-evie"/>
      <sheetName val="Feb 1-26"/>
      <sheetName val="PriceList"/>
      <sheetName val="编辑部03"/>
      <sheetName val="递延税款Dy"/>
      <sheetName val="未分配利润Dy"/>
      <sheetName val="补贴收入Dy"/>
      <sheetName val="所得税Dy"/>
      <sheetName val="坏账准备_应收账款Dy"/>
      <sheetName val="其他应交款Dy"/>
      <sheetName val="坏账准备_应收账款Mx"/>
      <sheetName val="O_310捐赠明细"/>
      <sheetName val="O_300VAT"/>
      <sheetName val="Suppliers"/>
      <sheetName val="BOMA"/>
      <sheetName val="BOMA-G&amp;A"/>
      <sheetName val="BOMA-Inventory"/>
      <sheetName val="Supplier"/>
      <sheetName val="TAB CA"/>
      <sheetName val="03年待摊费用"/>
      <sheetName val="弘文list"/>
      <sheetName val="Raw Data"/>
      <sheetName val="Q110"/>
      <sheetName val="附表"/>
      <sheetName val="Language"/>
      <sheetName val="BookSchema"/>
      <sheetName val="C3WB Ingresos and CXC"/>
      <sheetName val="C3WD CXC and Efectivo"/>
      <sheetName val="Transaction tagging analysis"/>
      <sheetName val="Rental Commitment 06.01"/>
      <sheetName val="USD Swap Rates"/>
      <sheetName val="存货（替换）"/>
      <sheetName val="2015固定资产清单"/>
      <sheetName val="A3_杭州启明"/>
      <sheetName val="劳务成本（新动）"/>
      <sheetName val="SAD Conclusion"/>
      <sheetName val="Fundamentals"/>
      <sheetName val="BetaCalcs"/>
      <sheetName val="MGT ACCT"/>
      <sheetName val="28100-1-1EJE 调整汇总"/>
      <sheetName val="程序的适用范围"/>
      <sheetName val="U1-OSP-01"/>
      <sheetName val="FDV B45"/>
      <sheetName val="报表科目明细"/>
      <sheetName val="Cellular"/>
      <sheetName val="GLR"/>
      <sheetName val="NER"/>
      <sheetName val="SWBW&amp;PBW"/>
      <sheetName val="Approved Renov Payment Schedule"/>
      <sheetName val="泳场明细"/>
      <sheetName val="R.F"/>
      <sheetName val="Logistic"/>
      <sheetName val="accudepr1"/>
      <sheetName val="PROFIT &amp; LOSS PLANNING"/>
      <sheetName val="Investment Planning"/>
      <sheetName val="Breakdown of Expenses "/>
      <sheetName val="合并底稿-自营"/>
      <sheetName val="Invoice detail"/>
      <sheetName val="2002年12月预"/>
      <sheetName val="丹阳绝缘"/>
      <sheetName val="东莞生益"/>
      <sheetName val="湖州锦龙"/>
      <sheetName val="浙华立达"/>
      <sheetName val="南京同德"/>
      <sheetName val="三和国际"/>
      <sheetName val="山东招远"/>
      <sheetName val="上海田村"/>
      <sheetName val="应付工资"/>
      <sheetName val="应付福利费"/>
      <sheetName val="Bud (200-OO)"/>
      <sheetName val="Cash_fcst-currrent-inputs"/>
      <sheetName val="损益表（按单位)01"/>
      <sheetName val="35.1租赁明细"/>
      <sheetName val="주주명부&lt;끝&gt;"/>
      <sheetName val="2005 Sales breakdown"/>
      <sheetName val="杭州华健"/>
      <sheetName val="5201.2004"/>
      <sheetName val="A310-Ledger Summary"/>
      <sheetName val="A320-ADJ_CLA"/>
      <sheetName val="Land and Building"/>
      <sheetName val="ASSETMST"/>
      <sheetName val="OTHERSUM"/>
      <sheetName val="wrk"/>
      <sheetName val="D3-1"/>
      <sheetName val="竜･高機械"/>
      <sheetName val="Sch.1"/>
      <sheetName val="長投"/>
      <sheetName val="上月26-15"/>
      <sheetName val="绛RMB"/>
      <sheetName val="US Codes"/>
      <sheetName val="U1.2"/>
      <sheetName val="U1.5"/>
      <sheetName val="U1.1"/>
      <sheetName val="U1.3"/>
      <sheetName val="FLYLEAF PLANNING"/>
      <sheetName val="OrgList"/>
      <sheetName val="For BLS &amp; TX"/>
      <sheetName val="Q of E-worse"/>
      <sheetName val="PPE Mov't- HC "/>
      <sheetName val="Outsourcing Service-2018"/>
      <sheetName val="Outsourcing Service-2019"/>
      <sheetName val="研发费用by nature"/>
      <sheetName val="上海药明生物"/>
      <sheetName val="ROC"/>
      <sheetName val="H4000-04披露表(上市)"/>
      <sheetName val="H4000-02审定表"/>
      <sheetName val="MUS"/>
      <sheetName val="H4000-05-01披露表(上市)"/>
      <sheetName val="DATE_Instructions"/>
      <sheetName val="LIST OF CLIENTS "/>
      <sheetName val="wko_as of 20 Mar-02"/>
      <sheetName val="O- Sumaria"/>
      <sheetName val="J1-1"/>
      <sheetName val="For Ref"/>
      <sheetName val="Costing of D"/>
      <sheetName val="Cost summary"/>
      <sheetName val="Costing of ABC"/>
      <sheetName val="Sundries creditors"/>
      <sheetName val="Advance to staff"/>
      <sheetName val="HK-GL-AR"/>
      <sheetName val="ABB(final)"/>
      <sheetName val="99 Affil Combined"/>
      <sheetName val="A401_PL"/>
      <sheetName val="Check Mark"/>
      <sheetName val="Loading List"/>
      <sheetName val="国际店"/>
      <sheetName val="石厦(华沙)"/>
      <sheetName val="福华店"/>
      <sheetName val="民治店"/>
      <sheetName val="国王店"/>
      <sheetName val="华之沙"/>
      <sheetName val="ARP-G201"/>
      <sheetName val="ARP-P201"/>
      <sheetName val="6-GZ"/>
      <sheetName val="预付款-Supporting（含固定资产）"/>
      <sheetName val="6月账龄"/>
      <sheetName val="一级科目余额表"/>
      <sheetName val="二级科目余额表"/>
      <sheetName val="计提折旧清单"/>
      <sheetName val="减少固定资产清单"/>
      <sheetName val="固定资产增减"/>
      <sheetName val="1-6月收入"/>
      <sheetName val="6月应收账款明细"/>
      <sheetName val="Cap Ex actual &amp; forecasted"/>
      <sheetName val="P100-其他应付款"/>
      <sheetName val="Capex"/>
      <sheetName val="P - 导引表"/>
      <sheetName val="P&amp;L Consol"/>
      <sheetName val="Store Lists"/>
      <sheetName val="Jan 2014"/>
      <sheetName val="Oct 2013"/>
      <sheetName val="Nov 2013"/>
      <sheetName val="Dec 2013"/>
      <sheetName val="Feb 2014"/>
      <sheetName val="Mar 2014"/>
      <sheetName val="Apr 2014"/>
      <sheetName val="Sep 2013"/>
      <sheetName val="04.9.30"/>
      <sheetName val="工單差异分攤"/>
      <sheetName val="通用设备折旧复核"/>
      <sheetName val="专用设备折旧复核"/>
      <sheetName val="运输设备折旧复核"/>
      <sheetName val="电子设备折旧复核"/>
      <sheetName val="其他设备折旧"/>
      <sheetName val="B21.1"/>
      <sheetName val="F212-监盘样本选择"/>
      <sheetName val="PCJE"/>
      <sheetName val="输血器Breakdown"/>
      <sheetName val="Share capital"/>
      <sheetName val="Reserve"/>
      <sheetName val="煲"/>
      <sheetName val="DataConsol (BSP)"/>
      <sheetName val="CE"/>
      <sheetName val="1月销售"/>
      <sheetName val="1月回款"/>
      <sheetName val="Headcount Reduction"/>
      <sheetName val="1370"/>
      <sheetName val="1380_3YR"/>
      <sheetName val="Reserves"/>
      <sheetName val="BPR"/>
      <sheetName val="营业税针对性测试"/>
      <sheetName val="18.J"/>
      <sheetName val="III-1-10"/>
      <sheetName val="III-1-7"/>
      <sheetName val="III-1-9"/>
      <sheetName val="III-1-6"/>
      <sheetName val="III-1-1"/>
      <sheetName val="III-1-8"/>
      <sheetName val="III-1-2-1"/>
      <sheetName val="III-1-5"/>
      <sheetName val="III-1-4"/>
      <sheetName val="国倍率表"/>
      <sheetName val="BOT模型 2011.12.31"/>
      <sheetName val="累计投资明细"/>
      <sheetName val="累计投资Movement"/>
      <sheetName val="PIT"/>
      <sheetName val="明细清单-2016.12.31"/>
      <sheetName val="Introduction"/>
      <sheetName val="Exch.rate"/>
      <sheetName val="original2"/>
      <sheetName val="材料出库单"/>
      <sheetName val="&lt;8110&gt;"/>
      <sheetName val="A4-2"/>
      <sheetName val="SGA"/>
      <sheetName val="2006 Deferred Tax"/>
      <sheetName val="M2.1.1 Leadsheet - ST Loan"/>
      <sheetName val="至爱板块_无小计"/>
      <sheetName val="1002_广州至爱智家"/>
      <sheetName val="U600-投资收益"/>
      <sheetName val="Summary-ending bal"/>
      <sheetName val="云达"/>
      <sheetName val="AM"/>
      <sheetName val="ROMI"/>
      <sheetName val="struc_SBU"/>
      <sheetName val="日報表"/>
      <sheetName val="직원별 11월"/>
      <sheetName val="U4"/>
      <sheetName val="AR Breakdown&amp;Aging"/>
      <sheetName val="AP Breakdown &amp; Aging"/>
      <sheetName val="（1）固定资产情况底稿"/>
      <sheetName val="Deferred Dev Cost"/>
      <sheetName val="Duration "/>
      <sheetName val="DateAnalysis Day Lag"/>
      <sheetName val="Peso áreas e CPs"/>
      <sheetName val="Taxas"/>
      <sheetName val="Statement"/>
      <sheetName val="表15"/>
      <sheetName val="Income Tax Expense"/>
      <sheetName val="K1_100Breakdown"/>
      <sheetName val="K1_210新增清单"/>
      <sheetName val="P600"/>
      <sheetName val="DATA LTW"/>
      <sheetName val="Map receivables &amp; revenue"/>
      <sheetName val="DateAnalysis Day Lag(1)"/>
      <sheetName val="CVC"/>
      <sheetName val="410"/>
      <sheetName val="430"/>
      <sheetName val="460"/>
      <sheetName val="450"/>
      <sheetName val="470"/>
      <sheetName val="440"/>
      <sheetName val="222"/>
      <sheetName val="420"/>
      <sheetName val="PRED99"/>
      <sheetName val="Freezers"/>
      <sheetName val="币种"/>
      <sheetName val="2002年资产负债表"/>
      <sheetName val="原版"/>
      <sheetName val="售楼明细"/>
      <sheetName val="Uexp_Lead-美国子公司"/>
      <sheetName val="汇总-美国子公司"/>
      <sheetName val="_0081231"/>
      <sheetName val="UFPrn20090225195104"/>
      <sheetName val="PLALL"/>
      <sheetName val="BQMPALOC"/>
      <sheetName val="Baseline Exp"/>
      <sheetName val="Cost-Tracking Detail"/>
      <sheetName val="INDICADORES"/>
      <sheetName val="MAR"/>
      <sheetName val="Cost structure Alcatel"/>
      <sheetName val="ARP_G101"/>
      <sheetName val="ARP_U301"/>
      <sheetName val="Global"/>
      <sheetName val="Entity"/>
      <sheetName val="安全性"/>
      <sheetName val="平衡类型"/>
      <sheetName val="凭证类型"/>
      <sheetName val="组"/>
      <sheetName val="项目部经营情况表"/>
      <sheetName val="匯率"/>
      <sheetName val="综合概算"/>
      <sheetName val="1st AP"/>
      <sheetName val="A300_"/>
      <sheetName val="FO-PastDue"/>
      <sheetName val="新科目余额"/>
      <sheetName val="TB's by Pak Code"/>
      <sheetName val="P220_高管薪酬分析 (2)"/>
      <sheetName val="SCH 1B, 1B-1 &amp; 1B-2"/>
      <sheetName val="Reporting"/>
      <sheetName val="通玻"/>
      <sheetName val="柱"/>
      <sheetName val="审计程序"/>
      <sheetName val="Cash &amp; Bank"/>
      <sheetName val="6.比較資產負債表"/>
      <sheetName val="稅籍代碼檢查表"/>
      <sheetName val="0-2.資料聯"/>
      <sheetName val="基本稅額計算"/>
      <sheetName val="0-1.基本資料"/>
      <sheetName val="EFTvsTAXmapping"/>
      <sheetName val="4.損益表"/>
      <sheetName val="9.各類給付扣繳表"/>
      <sheetName val="管理费用(集团董事会)"/>
      <sheetName val="U700"/>
      <sheetName val="Pre Model"/>
      <sheetName val="单位名录"/>
      <sheetName val="事業計画"/>
      <sheetName val="目录 Index"/>
      <sheetName val="方案分析 (分产品)"/>
      <sheetName val="成本表"/>
      <sheetName val="CCtr structure"/>
      <sheetName val="Tabelle1"/>
      <sheetName val="基本资料"/>
      <sheetName val="快报清单"/>
      <sheetName val="뒤차축소"/>
      <sheetName val="2004.12.31"/>
      <sheetName val="Revenue_Trend_New_Prod_Update_2"/>
      <sheetName val="FC switches"/>
      <sheetName val="Finance Cost Center"/>
      <sheetName val="Site"/>
      <sheetName val="Vendor"/>
      <sheetName val="固定"/>
      <sheetName val="在建"/>
      <sheetName val="期间"/>
      <sheetName val="PL底稿"/>
      <sheetName val="A500_adjustment"/>
      <sheetName val="预算假设-项目状态"/>
      <sheetName val="06.11.24SAP"/>
      <sheetName val="标400章台账"/>
      <sheetName val="338 Apparel"/>
      <sheetName val="Upload Apr 13"/>
      <sheetName val="SZSales07"/>
      <sheetName val="MthCust2007"/>
      <sheetName val="dbase"/>
      <sheetName val="2.1 收入"/>
      <sheetName val="2.2营业成本"/>
      <sheetName val="1.35应付债券"/>
      <sheetName val="1.22 短期借款"/>
      <sheetName val="B_负债及权益汇总"/>
      <sheetName val="1.11 发放贷款及垫款 "/>
      <sheetName val="1.20  长期待摊费用"/>
      <sheetName val="2.3 预收账款 "/>
      <sheetName val="2.5 应付职工薪酬"/>
      <sheetName val="1.6 应收股利"/>
      <sheetName val="1.18 开发支出 "/>
      <sheetName val="1.21 递延所得税资产&amp;负债"/>
      <sheetName val="3.1 应交税费"/>
      <sheetName val="1.1 短期借款"/>
      <sheetName val="1.4 其他流动负债"/>
      <sheetName val="4.6 吸收存款及同业存放"/>
      <sheetName val="2.1 应付票据"/>
      <sheetName val="2.6 其他应付款"/>
      <sheetName val="4.5 一年内到期的非流动负债"/>
      <sheetName val="1.3 应付债券"/>
      <sheetName val="4.1 预计负债"/>
      <sheetName val="4.4 其他非流动负债"/>
      <sheetName val="5.3 资本公积"/>
      <sheetName val="5.7 未分配利润"/>
      <sheetName val="5.8 少数股东权益"/>
      <sheetName val="1.43 应收利息"/>
      <sheetName val="5.1 股本"/>
      <sheetName val="Cover &amp; setup"/>
      <sheetName val="合并抵消-2014"/>
      <sheetName val="Mar Begining Balance"/>
      <sheetName val="饭煲次品盘点表"/>
      <sheetName val="次品原始数据"/>
      <sheetName val="Überleitung_15"/>
      <sheetName val="P11"/>
      <sheetName val="Income Statement Input"/>
      <sheetName val="Invoice Template"/>
      <sheetName val="MTO REV.2(ARMOR)"/>
      <sheetName val="COAT&amp;WRAP-QIOT-#3"/>
      <sheetName val="PNT-QUOT-#3"/>
      <sheetName val="CP"/>
      <sheetName val="detailitems_11"/>
      <sheetName val="detailitems_59"/>
      <sheetName val="detailitems_82"/>
      <sheetName val="SZ3"/>
      <sheetName val="CRV"/>
      <sheetName val="JUU"/>
      <sheetName val="S30"/>
      <sheetName val="S0A"/>
      <sheetName val="S0D"/>
      <sheetName val="S3N"/>
      <sheetName val="部品名"/>
      <sheetName val="CTS"/>
      <sheetName val="Source Gr."/>
      <sheetName val="aged"/>
      <sheetName val="Entities"/>
      <sheetName val="ICP合同负债ICPContract Liability"/>
      <sheetName val="ICP租赁负债ICPlease liability"/>
      <sheetName val="建築面積"/>
      <sheetName val="十价"/>
      <sheetName val="冻品入库"/>
      <sheetName val="鸡油车间"/>
      <sheetName val="科目余额表（2017年1-9月）"/>
      <sheetName val="TM"/>
      <sheetName val="Detailed TB"/>
      <sheetName val="免抵退"/>
      <sheetName val="21710130"/>
      <sheetName val="21710131"/>
      <sheetName val="2c.Sales analysis by region-ok"/>
      <sheetName val="Client Code"/>
      <sheetName val="Project Code"/>
      <sheetName val="纳税计算表"/>
      <sheetName val="Baxter"/>
      <sheetName val="Twigg"/>
      <sheetName val="22"/>
      <sheetName val="26"/>
      <sheetName val="32"/>
      <sheetName val="21"/>
      <sheetName val="17"/>
      <sheetName val="31"/>
      <sheetName val="28"/>
      <sheetName val="19"/>
      <sheetName val="18"/>
      <sheetName val="CRI -CR(HK) unreal"/>
      <sheetName val="1204应付帐款明细表"/>
      <sheetName val="1109应付帐款明细表"/>
      <sheetName val="未分配盈餘明細表-17頁"/>
      <sheetName val="SBUList"/>
      <sheetName val="Flash Data"/>
      <sheetName val="Sales overheads"/>
      <sheetName val="Supply chain NF"/>
      <sheetName val="R&amp;D and TS"/>
      <sheetName val="A&amp;F and IT"/>
      <sheetName val="Factory overheads"/>
      <sheetName val="dropdownList4"/>
      <sheetName val="A3.3_抗体中心"/>
      <sheetName val="Audited BS-含关联方调整"/>
      <sheetName val="廢品損失匯總表"/>
      <sheetName val="流量-销售支出明细"/>
      <sheetName val="Macro Summary"/>
      <sheetName val="LC95SPEC"/>
      <sheetName val="GP_Product"/>
      <sheetName val="附加四-闲置固定资产"/>
      <sheetName val="管理费用各月比较 "/>
      <sheetName val="acc"/>
      <sheetName val="Total Europe Calc. hours"/>
      <sheetName val="Total Europe 1"/>
      <sheetName val="Semi-An CF"/>
      <sheetName val="1.1"/>
      <sheetName val="AIS (Coating)"/>
      <sheetName val="AIS (Tin)"/>
      <sheetName val="AIS-Forecast (Coating)"/>
      <sheetName val="AIS-Forecast (Tin)"/>
      <sheetName val="Trun-Over RPTI"/>
      <sheetName val="CASH'99"/>
      <sheetName val="DateTemplate"/>
      <sheetName val="LCQ"/>
      <sheetName val="detailitems_111"/>
      <sheetName val="detailitems_112"/>
      <sheetName val="detailitems_113"/>
      <sheetName val="detailitems_114"/>
      <sheetName val="detailitems_117"/>
      <sheetName val="detailitems_118"/>
      <sheetName val="detailitems_13"/>
      <sheetName val="detailitems_15"/>
      <sheetName val="detailitems_150"/>
      <sheetName val="detailitems_152"/>
      <sheetName val="detailitems_158"/>
      <sheetName val="detailitems_159"/>
      <sheetName val="detailitems_160"/>
      <sheetName val="detailitems_161"/>
      <sheetName val="detailitems_163"/>
      <sheetName val="detailitems_166"/>
      <sheetName val="detailitems_182"/>
      <sheetName val="detailitems_183"/>
      <sheetName val="detailitems_184"/>
      <sheetName val="detailitems_185"/>
      <sheetName val="detailitems_186"/>
      <sheetName val="detailitems_187"/>
      <sheetName val="detailitems_188"/>
      <sheetName val="detailitems_189"/>
      <sheetName val="detailitems_192"/>
      <sheetName val="detailitems_193"/>
      <sheetName val="detailitems_194"/>
      <sheetName val="detailitems_195"/>
      <sheetName val="detailitems_196"/>
      <sheetName val="detailitems_197"/>
      <sheetName val="detailitems_198"/>
      <sheetName val="detailitems_199"/>
      <sheetName val="detailitems_2"/>
      <sheetName val="detailitems_23"/>
      <sheetName val="detailitems_26"/>
      <sheetName val="detailitems_300"/>
      <sheetName val="detailitems_301"/>
      <sheetName val="detailitems_302"/>
      <sheetName val="detailitems_303"/>
      <sheetName val="detailitems_304"/>
      <sheetName val="detailitems_305"/>
      <sheetName val="detailitems_306"/>
      <sheetName val="detailitems_307"/>
      <sheetName val="detailitems_308"/>
      <sheetName val="detailitems_309"/>
      <sheetName val="detailitems_310"/>
      <sheetName val="detailitems_311"/>
      <sheetName val="detailitems_312"/>
      <sheetName val="detailitems_313"/>
      <sheetName val="detailitems_317"/>
      <sheetName val="detailitems_318"/>
      <sheetName val="detailitems_319"/>
      <sheetName val="detailitems_320"/>
      <sheetName val="detailitems_321"/>
      <sheetName val="detailitems_322"/>
      <sheetName val="detailitems_323"/>
      <sheetName val="detailitems_324"/>
      <sheetName val="detailitems_325"/>
      <sheetName val="detailitems_327"/>
      <sheetName val="detailitems_41"/>
      <sheetName val="detailitems_44"/>
      <sheetName val="detailitems_47"/>
      <sheetName val="detailitems_51"/>
      <sheetName val="detailitems_52"/>
      <sheetName val="detailitems_53"/>
      <sheetName val="detailitems_54"/>
      <sheetName val="detailitems_58"/>
      <sheetName val="detailitems_61"/>
      <sheetName val="detailitems_62"/>
      <sheetName val="detailitems_63"/>
      <sheetName val="detailitems_64"/>
      <sheetName val="detailitems_66"/>
      <sheetName val="detailitems_67"/>
      <sheetName val="detailitems_68"/>
      <sheetName val="detailitems_70"/>
      <sheetName val="detailitems_71"/>
      <sheetName val="detailitems_72"/>
      <sheetName val="detailitems_73"/>
      <sheetName val="detailitems_74"/>
      <sheetName val="detailitems_8"/>
      <sheetName val="detailitems_80"/>
      <sheetName val="detailitems_81"/>
      <sheetName val="detailitems_84"/>
      <sheetName val="detailitems_9"/>
      <sheetName val="detailitems_95"/>
      <sheetName val="detailitems_99"/>
      <sheetName val="96PRCBAK"/>
      <sheetName val="Detail - CSM CY04 monthly"/>
      <sheetName val="Original Stefan"/>
      <sheetName val="客户融资"/>
      <sheetName val="Netearnanal"/>
      <sheetName val="Bielsko Biała"/>
      <sheetName val="Wałbrzych"/>
      <sheetName val="RECAP RETURNS"/>
      <sheetName val="Kopie von Download ECCS_2"/>
      <sheetName val="Option Summary"/>
      <sheetName val="9609Aß"/>
      <sheetName val="Financial Statements"/>
      <sheetName val="借款还本付息估算表"/>
      <sheetName val="生产成本和费用表"/>
      <sheetName val="评价基础数据表一"/>
      <sheetName val="评价基础数据表二"/>
      <sheetName val="固定资产投资估算计算表"/>
      <sheetName val="固定资产投资估算表"/>
      <sheetName val="投资计划与资金筹措表"/>
      <sheetName val="销售收入与销售税金及附加计算表"/>
      <sheetName val="销售收入与销售税金及附加明细表"/>
      <sheetName val="SaveData"/>
      <sheetName val="财务现金流量表(全部投资)"/>
      <sheetName val="财务现金流量表(自有资金)"/>
      <sheetName val="KeyAs"/>
      <sheetName val="Brachy"/>
      <sheetName val="Catheters"/>
      <sheetName val="DU"/>
      <sheetName val="MH"/>
      <sheetName val="OUS"/>
      <sheetName val="US"/>
      <sheetName val="WH"/>
      <sheetName val="Korrekt_Fin_Debts_InteCo2005"/>
      <sheetName val="cathayforecasts"/>
      <sheetName val="Sample Layout (new)"/>
      <sheetName val="PdcSAP2007"/>
      <sheetName val="PdcSAP2008"/>
      <sheetName val="CE Mensile"/>
      <sheetName val="Budget2007"/>
      <sheetName val="应收出口退税mx"/>
      <sheetName val="Withholding Tax"/>
      <sheetName val="short term loan"/>
      <sheetName val="BE 重要性水平"/>
      <sheetName val="X-Rate"/>
      <sheetName val="SALES95"/>
      <sheetName val="Actual-Roller"/>
      <sheetName val="Xilinx_vs_Altera1"/>
      <sheetName val="TOD_Poplulation_Billing1"/>
      <sheetName val="TOD_Population_Non-Billing1"/>
      <sheetName val="TOD_Population_Billing1"/>
      <sheetName val="U1-OSP-04-01_客户清单1"/>
      <sheetName val="1_00_-_Summary_at_Acquisition1"/>
      <sheetName val="6001-TB_20211"/>
      <sheetName val="6001-TB_20201"/>
      <sheetName val="140101-1451by_category1"/>
      <sheetName val="For_AFS1"/>
      <sheetName val="Customer_churn1"/>
      <sheetName val="Transaction_rollforward1"/>
      <sheetName val="Credit_limit_analysis1"/>
      <sheetName val="XRef_Table1"/>
      <sheetName val="725_BS1"/>
      <sheetName val="FA_lead1"/>
      <sheetName val="BS_表1"/>
      <sheetName val="无形资产清单_1"/>
      <sheetName val="Console_TB1"/>
      <sheetName val="US_Bal_Sheet1"/>
      <sheetName val="18_存货1"/>
      <sheetName val="勤務ｼﾌﾄﾍﾞｰｽ表_下期1"/>
      <sheetName val="PAX_&amp;_SEATS_%1"/>
      <sheetName val="L310-Adjustment_for_R&amp;D_cost1"/>
      <sheetName val="_PPE"/>
      <sheetName val="1__Template"/>
      <sheetName val="C3WB_Revenue3_and_Receivables"/>
      <sheetName val="Revenue_Trend_New_Prod_Update_i"/>
      <sheetName val="直_接_法_"/>
      <sheetName val="间_接_法_"/>
      <sheetName val="Poland_£"/>
      <sheetName val="Returns_Analysis"/>
      <sheetName val="Cash_Balance_(Computed)"/>
      <sheetName val="Veh_Info"/>
      <sheetName val="Basic_Info"/>
      <sheetName val="表21_净利润调节表"/>
      <sheetName val="Leadsheet_Template"/>
      <sheetName val="Input_Sheet"/>
      <sheetName val="DEC_Bank"/>
      <sheetName val="gares_02_BON_FICHIER_"/>
      <sheetName val="Adf_par_resp"/>
      <sheetName val="Breakdown_RMB"/>
      <sheetName val="Customize_Your_Loan_Manager"/>
      <sheetName val="CBS_-_App1"/>
      <sheetName val="Pls_do_not_delete"/>
      <sheetName val="Lease_AP_2009"/>
      <sheetName val="Lease_AP_2009_ITALY"/>
      <sheetName val="EDR_Feb-09"/>
      <sheetName val="Entry_1412_-_2102"/>
      <sheetName val="PO_upload_sheet"/>
      <sheetName val="Italy_Lease_2009"/>
      <sheetName val="REFERENCE_FILE"/>
      <sheetName val="Gross_Margin"/>
      <sheetName val="CON_MR2K_AL_ck"/>
      <sheetName val="Currency_Codes"/>
      <sheetName val="1__Scoping"/>
      <sheetName val="2__Expectation"/>
      <sheetName val="3__Variance_threshold"/>
      <sheetName val="INPUT_rates"/>
      <sheetName val="E_Lead"/>
      <sheetName val="A300_and_U"/>
      <sheetName val="A510_-_SAD"/>
      <sheetName val="C_-_Cash"/>
      <sheetName val="E_-_AR"/>
      <sheetName val="F_-_Stock"/>
      <sheetName val="K_-_FA"/>
      <sheetName val="O_-_Tax_pay"/>
      <sheetName val="P_-_Other_pay"/>
      <sheetName val="U200_-_Selling_expenses"/>
      <sheetName val="附表32_-_无形资产明细表"/>
      <sheetName val="U324-Treaty_ceding_船舶险"/>
      <sheetName val="Daily_net_avail"/>
      <sheetName val="Cover_sheet"/>
      <sheetName val="Cost-Tracking_Detail"/>
      <sheetName val="Technology_ID"/>
      <sheetName val="Loan_Movement_"/>
      <sheetName val="BS_vs_Rpt"/>
      <sheetName val="2012_BS_with_Rpt_Jan-Apr"/>
      <sheetName val="DIVIDEND_LONG"/>
      <sheetName val="2012_IS_with_Rpt_Jan-Apr_(2)"/>
      <sheetName val="LdrPkg_IS"/>
      <sheetName val="DEFLEET_APR-05"/>
      <sheetName val="1st_AP"/>
      <sheetName val="2020_12_31"/>
      <sheetName val="263-B2_Business_Segment_BS_2005"/>
      <sheetName val="TB's_by_Pak_Code"/>
      <sheetName val="4035_4"/>
      <sheetName val="PROD_"/>
      <sheetName val="Lessee_Import_new_lease"/>
      <sheetName val="POINTAGE_(2)"/>
      <sheetName val="OP_Assets"/>
      <sheetName val="Timed_Plan"/>
      <sheetName val="Detail_Test"/>
      <sheetName val="OT_Hours"/>
      <sheetName val="Graph_1"/>
      <sheetName val="Change_Log"/>
      <sheetName val="Cost_&amp;_Expenses"/>
      <sheetName val="Working_Cap"/>
      <sheetName val="도"/>
      <sheetName val="SFCP"/>
      <sheetName val="试算平衡表6"/>
      <sheetName val="FY 2004"/>
      <sheetName val="W.REG"/>
      <sheetName val="COW Detail"/>
      <sheetName val="COS"/>
      <sheetName val="1999 BUDGET"/>
      <sheetName val="KMB"/>
      <sheetName val="产成品（K库）"/>
      <sheetName val="Leased Properties"/>
      <sheetName val="Sub-Leases"/>
      <sheetName val="Concessions"/>
      <sheetName val="GAR Recap"/>
      <sheetName val="BKD amt due from 20230630"/>
      <sheetName val="Q"/>
      <sheetName val="305上海"/>
      <sheetName val="Base de Gráficos"/>
      <sheetName val="03年1季度"/>
      <sheetName val="1、基本假设"/>
      <sheetName val="3、产品单价"/>
      <sheetName val="2、规划指标"/>
      <sheetName val="表现奖"/>
      <sheetName val="补贴"/>
      <sheetName val="加班工资"/>
      <sheetName val="应付工资基本工资"/>
      <sheetName val="产成品库存帐"/>
      <sheetName val="方案设计1"/>
      <sheetName val="流动资金估算表"/>
      <sheetName val="FinStats"/>
      <sheetName val="浮"/>
      <sheetName val="其他利润明细"/>
      <sheetName val="数量对比"/>
      <sheetName val="MOH"/>
      <sheetName val="sysparm"/>
      <sheetName val="N17 prepayment"/>
      <sheetName val="N21 loans and borrowings"/>
      <sheetName val="N20&amp;N22 other payables"/>
      <sheetName val="0508"/>
      <sheetName val="0504"/>
      <sheetName val="0506"/>
      <sheetName val="A500-Audit adjustment"/>
      <sheetName val="资产占有方承诺函"/>
      <sheetName val="Probe"/>
      <sheetName val="R25"/>
      <sheetName val="R51"/>
      <sheetName val="R52"/>
      <sheetName val="R53"/>
      <sheetName val="R90"/>
      <sheetName val="R0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refreshError="1"/>
      <sheetData sheetId="649"/>
      <sheetData sheetId="650"/>
      <sheetData sheetId="651"/>
      <sheetData sheetId="652"/>
      <sheetData sheetId="653"/>
      <sheetData sheetId="654"/>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refreshError="1"/>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sheetData sheetId="969"/>
      <sheetData sheetId="970"/>
      <sheetData sheetId="971"/>
      <sheetData sheetId="972"/>
      <sheetData sheetId="973"/>
      <sheetData sheetId="974"/>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sheetData sheetId="103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sheetData sheetId="1217"/>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sheetData sheetId="2086"/>
      <sheetData sheetId="2087"/>
      <sheetData sheetId="2088"/>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sheetData sheetId="2146"/>
      <sheetData sheetId="2147"/>
      <sheetData sheetId="2148"/>
      <sheetData sheetId="2149"/>
      <sheetData sheetId="2150"/>
      <sheetData sheetId="2151"/>
      <sheetData sheetId="2152"/>
      <sheetData sheetId="2153"/>
      <sheetData sheetId="2154"/>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sheetData sheetId="2185"/>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sheetData sheetId="2204" refreshError="1"/>
      <sheetData sheetId="2205" refreshError="1"/>
      <sheetData sheetId="2206"/>
      <sheetData sheetId="2207"/>
      <sheetData sheetId="2208" refreshError="1"/>
      <sheetData sheetId="2209" refreshError="1"/>
      <sheetData sheetId="2210" refreshError="1"/>
      <sheetData sheetId="2211"/>
      <sheetData sheetId="2212" refreshError="1"/>
      <sheetData sheetId="2213" refreshError="1"/>
      <sheetData sheetId="2214" refreshError="1"/>
      <sheetData sheetId="2215" refreshError="1"/>
      <sheetData sheetId="2216"/>
      <sheetData sheetId="2217" refreshError="1"/>
      <sheetData sheetId="2218"/>
      <sheetData sheetId="2219"/>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sheetData sheetId="2391"/>
      <sheetData sheetId="2392"/>
      <sheetData sheetId="2393"/>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refreshError="1"/>
      <sheetData sheetId="2493"/>
      <sheetData sheetId="2494"/>
      <sheetData sheetId="2495"/>
      <sheetData sheetId="2496"/>
      <sheetData sheetId="2497"/>
      <sheetData sheetId="2498"/>
      <sheetData sheetId="2499"/>
      <sheetData sheetId="2500"/>
      <sheetData sheetId="2501" refreshError="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refreshError="1"/>
      <sheetData sheetId="2520"/>
      <sheetData sheetId="2521"/>
      <sheetData sheetId="2522"/>
      <sheetData sheetId="2523" refreshError="1"/>
      <sheetData sheetId="2524" refreshError="1"/>
      <sheetData sheetId="2525"/>
      <sheetData sheetId="2526" refreshError="1"/>
      <sheetData sheetId="2527"/>
      <sheetData sheetId="2528"/>
      <sheetData sheetId="2529"/>
      <sheetData sheetId="2530"/>
      <sheetData sheetId="2531"/>
      <sheetData sheetId="2532"/>
      <sheetData sheetId="2533" refreshError="1"/>
      <sheetData sheetId="2534" refreshError="1"/>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refreshError="1"/>
      <sheetData sheetId="2553" refreshError="1"/>
      <sheetData sheetId="2554" refreshError="1"/>
      <sheetData sheetId="2555"/>
      <sheetData sheetId="2556"/>
      <sheetData sheetId="2557"/>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sheetData sheetId="2679"/>
      <sheetData sheetId="2680"/>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refreshError="1"/>
      <sheetData sheetId="2931" refreshError="1"/>
      <sheetData sheetId="2932"/>
      <sheetData sheetId="2933"/>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sheetData sheetId="3412"/>
      <sheetData sheetId="3413"/>
      <sheetData sheetId="3414" refreshError="1"/>
      <sheetData sheetId="3415" refreshError="1"/>
      <sheetData sheetId="3416" refreshError="1"/>
      <sheetData sheetId="3417"/>
      <sheetData sheetId="3418" refreshError="1"/>
      <sheetData sheetId="3419"/>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sheetData sheetId="3434"/>
      <sheetData sheetId="3435"/>
      <sheetData sheetId="3436"/>
      <sheetData sheetId="3437" refreshError="1"/>
      <sheetData sheetId="3438" refreshError="1"/>
      <sheetData sheetId="3439" refreshError="1"/>
      <sheetData sheetId="3440" refreshError="1"/>
      <sheetData sheetId="344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sheetData sheetId="3470" refreshError="1"/>
      <sheetData sheetId="3471" refreshError="1"/>
      <sheetData sheetId="3472" refreshError="1"/>
      <sheetData sheetId="3473"/>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sheetData sheetId="3930"/>
      <sheetData sheetId="3931" refreshError="1"/>
      <sheetData sheetId="3932"/>
      <sheetData sheetId="3933"/>
      <sheetData sheetId="3934"/>
      <sheetData sheetId="3935"/>
      <sheetData sheetId="3936" refreshError="1"/>
      <sheetData sheetId="3937" refreshError="1"/>
      <sheetData sheetId="3938" refreshError="1"/>
      <sheetData sheetId="3939" refreshError="1"/>
      <sheetData sheetId="3940" refreshError="1"/>
      <sheetData sheetId="3941" refreshError="1"/>
      <sheetData sheetId="3942"/>
      <sheetData sheetId="3943" refreshError="1"/>
      <sheetData sheetId="3944" refreshError="1"/>
      <sheetData sheetId="3945" refreshError="1"/>
      <sheetData sheetId="3946" refreshError="1"/>
      <sheetData sheetId="3947" refreshError="1"/>
      <sheetData sheetId="3948"/>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sheetData sheetId="3966"/>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sheetData sheetId="3985" refreshError="1"/>
      <sheetData sheetId="3986"/>
      <sheetData sheetId="3987"/>
      <sheetData sheetId="3988"/>
      <sheetData sheetId="3989"/>
      <sheetData sheetId="3990"/>
      <sheetData sheetId="3991"/>
      <sheetData sheetId="3992"/>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sheetData sheetId="4144" refreshError="1"/>
      <sheetData sheetId="4145" refreshError="1"/>
      <sheetData sheetId="4146" refreshError="1"/>
      <sheetData sheetId="4147" refreshError="1"/>
      <sheetData sheetId="4148" refreshError="1"/>
      <sheetData sheetId="4149" refreshError="1"/>
      <sheetData sheetId="4150"/>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sheetData sheetId="4371"/>
      <sheetData sheetId="4372"/>
      <sheetData sheetId="4373"/>
      <sheetData sheetId="4374"/>
      <sheetData sheetId="4375"/>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sheetData sheetId="4394" refreshError="1"/>
      <sheetData sheetId="4395" refreshError="1"/>
      <sheetData sheetId="4396" refreshError="1"/>
      <sheetData sheetId="4397" refreshError="1"/>
      <sheetData sheetId="4398" refreshError="1"/>
      <sheetData sheetId="4399" refreshError="1"/>
      <sheetData sheetId="4400"/>
      <sheetData sheetId="4401" refreshError="1"/>
      <sheetData sheetId="4402"/>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sheetData sheetId="4514" refreshError="1"/>
      <sheetData sheetId="4515" refreshError="1"/>
      <sheetData sheetId="4516" refreshError="1"/>
      <sheetData sheetId="4517"/>
      <sheetData sheetId="4518" refreshError="1"/>
      <sheetData sheetId="4519" refreshError="1"/>
      <sheetData sheetId="4520" refreshError="1"/>
      <sheetData sheetId="4521" refreshError="1"/>
      <sheetData sheetId="4522"/>
      <sheetData sheetId="4523" refreshError="1"/>
      <sheetData sheetId="4524"/>
      <sheetData sheetId="4525" refreshError="1"/>
      <sheetData sheetId="4526" refreshError="1"/>
      <sheetData sheetId="4527" refreshError="1"/>
      <sheetData sheetId="4528"/>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sheetData sheetId="4551"/>
      <sheetData sheetId="4552"/>
      <sheetData sheetId="4553"/>
      <sheetData sheetId="4554"/>
      <sheetData sheetId="4555"/>
      <sheetData sheetId="4556"/>
      <sheetData sheetId="4557" refreshError="1"/>
      <sheetData sheetId="4558" refreshError="1"/>
      <sheetData sheetId="4559"/>
      <sheetData sheetId="4560"/>
      <sheetData sheetId="456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refreshError="1"/>
      <sheetData sheetId="5315" refreshError="1"/>
      <sheetData sheetId="5316" refreshError="1"/>
      <sheetData sheetId="5317" refreshError="1"/>
      <sheetData sheetId="5318" refreshError="1"/>
      <sheetData sheetId="5319" refreshError="1"/>
      <sheetData sheetId="5320" refreshError="1"/>
      <sheetData sheetId="532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sheetData sheetId="5482"/>
      <sheetData sheetId="5483"/>
      <sheetData sheetId="5484"/>
      <sheetData sheetId="5485"/>
      <sheetData sheetId="5486"/>
      <sheetData sheetId="5487" refreshError="1"/>
      <sheetData sheetId="5488"/>
      <sheetData sheetId="5489" refreshError="1"/>
      <sheetData sheetId="5490"/>
      <sheetData sheetId="5491"/>
      <sheetData sheetId="5492"/>
      <sheetData sheetId="5493"/>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sheetData sheetId="5511"/>
      <sheetData sheetId="5512"/>
      <sheetData sheetId="5513"/>
      <sheetData sheetId="5514"/>
      <sheetData sheetId="5515"/>
      <sheetData sheetId="5516"/>
      <sheetData sheetId="5517"/>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sheetData sheetId="5577"/>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sheetData sheetId="5632"/>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sheetData sheetId="5645" refreshError="1"/>
      <sheetData sheetId="5646" refreshError="1"/>
      <sheetData sheetId="5647" refreshError="1"/>
      <sheetData sheetId="5648"/>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sheetData sheetId="5697"/>
      <sheetData sheetId="5698"/>
      <sheetData sheetId="5699"/>
      <sheetData sheetId="5700"/>
      <sheetData sheetId="5701"/>
      <sheetData sheetId="5702"/>
      <sheetData sheetId="5703" refreshError="1"/>
      <sheetData sheetId="5704"/>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sheetData sheetId="5765"/>
      <sheetData sheetId="5766" refreshError="1"/>
      <sheetData sheetId="5767" refreshError="1"/>
      <sheetData sheetId="5768" refreshError="1"/>
      <sheetData sheetId="5769" refreshError="1"/>
      <sheetData sheetId="5770" refreshError="1"/>
      <sheetData sheetId="5771" refreshError="1"/>
      <sheetData sheetId="5772" refreshError="1"/>
      <sheetData sheetId="5773"/>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sheetData sheetId="5876"/>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sheetData sheetId="5890"/>
      <sheetData sheetId="5891"/>
      <sheetData sheetId="5892"/>
      <sheetData sheetId="5893"/>
      <sheetData sheetId="5894"/>
      <sheetData sheetId="5895" refreshError="1"/>
      <sheetData sheetId="5896" refreshError="1"/>
      <sheetData sheetId="5897"/>
      <sheetData sheetId="5898"/>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sheetData sheetId="5922" refreshError="1"/>
      <sheetData sheetId="5923" refreshError="1"/>
      <sheetData sheetId="5924"/>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sheetData sheetId="5981"/>
      <sheetData sheetId="5982" refreshError="1"/>
      <sheetData sheetId="5983" refreshError="1"/>
      <sheetData sheetId="5984" refreshError="1"/>
      <sheetData sheetId="5985" refreshError="1"/>
      <sheetData sheetId="5986" refreshError="1"/>
      <sheetData sheetId="5987" refreshError="1"/>
      <sheetData sheetId="5988"/>
      <sheetData sheetId="5989"/>
      <sheetData sheetId="5990" refreshError="1"/>
      <sheetData sheetId="5991"/>
      <sheetData sheetId="5992" refreshError="1"/>
      <sheetData sheetId="5993" refreshError="1"/>
      <sheetData sheetId="5994" refreshError="1"/>
      <sheetData sheetId="5995"/>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sheetData sheetId="6025"/>
      <sheetData sheetId="6026"/>
      <sheetData sheetId="6027"/>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sheetData sheetId="6046" refreshError="1"/>
      <sheetData sheetId="6047" refreshError="1"/>
      <sheetData sheetId="6048" refreshError="1"/>
      <sheetData sheetId="6049" refreshError="1"/>
      <sheetData sheetId="6050" refreshError="1"/>
      <sheetData sheetId="605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sheetData sheetId="6062"/>
      <sheetData sheetId="6063" refreshError="1"/>
      <sheetData sheetId="6064" refreshError="1"/>
      <sheetData sheetId="6065"/>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sheetData sheetId="6092"/>
      <sheetData sheetId="6093"/>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sheetData sheetId="6117"/>
      <sheetData sheetId="6118"/>
      <sheetData sheetId="6119"/>
      <sheetData sheetId="6120"/>
      <sheetData sheetId="6121"/>
      <sheetData sheetId="6122"/>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sheetData sheetId="6294"/>
      <sheetData sheetId="6295"/>
      <sheetData sheetId="6296" refreshError="1"/>
      <sheetData sheetId="6297" refreshError="1"/>
      <sheetData sheetId="6298"/>
      <sheetData sheetId="6299"/>
      <sheetData sheetId="6300" refreshError="1"/>
      <sheetData sheetId="6301" refreshError="1"/>
      <sheetData sheetId="6302" refreshError="1"/>
      <sheetData sheetId="6303" refreshError="1"/>
      <sheetData sheetId="6304" refreshError="1"/>
      <sheetData sheetId="6305"/>
      <sheetData sheetId="6306" refreshError="1"/>
      <sheetData sheetId="6307" refreshError="1"/>
      <sheetData sheetId="6308" refreshError="1"/>
      <sheetData sheetId="6309" refreshError="1"/>
      <sheetData sheetId="6310" refreshError="1"/>
      <sheetData sheetId="6311"/>
      <sheetData sheetId="6312"/>
      <sheetData sheetId="6313"/>
      <sheetData sheetId="6314"/>
      <sheetData sheetId="6315"/>
      <sheetData sheetId="6316" refreshError="1"/>
      <sheetData sheetId="6317" refreshError="1"/>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sheetData sheetId="7186"/>
      <sheetData sheetId="7187"/>
      <sheetData sheetId="7188"/>
      <sheetData sheetId="7189"/>
      <sheetData sheetId="7190"/>
      <sheetData sheetId="7191"/>
      <sheetData sheetId="7192"/>
      <sheetData sheetId="7193"/>
      <sheetData sheetId="7194"/>
      <sheetData sheetId="7195"/>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sheetData sheetId="7246"/>
      <sheetData sheetId="7247"/>
      <sheetData sheetId="7248"/>
      <sheetData sheetId="7249"/>
      <sheetData sheetId="7250"/>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sheetData sheetId="7269"/>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sheetData sheetId="7315"/>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refreshError="1"/>
      <sheetData sheetId="7539" refreshError="1"/>
      <sheetData sheetId="7540" refreshError="1"/>
      <sheetData sheetId="7541" refreshError="1"/>
      <sheetData sheetId="7542" refreshError="1"/>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sheetData sheetId="7923"/>
      <sheetData sheetId="7924"/>
      <sheetData sheetId="7925"/>
      <sheetData sheetId="7926"/>
      <sheetData sheetId="7927"/>
      <sheetData sheetId="7928"/>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sheetData sheetId="8243"/>
      <sheetData sheetId="8244"/>
      <sheetData sheetId="8245"/>
      <sheetData sheetId="8246"/>
      <sheetData sheetId="8247"/>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sheetData sheetId="8258"/>
      <sheetData sheetId="8259"/>
      <sheetData sheetId="8260"/>
      <sheetData sheetId="8261"/>
      <sheetData sheetId="8262"/>
      <sheetData sheetId="8263"/>
      <sheetData sheetId="8264"/>
      <sheetData sheetId="8265"/>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sheetData sheetId="8493"/>
      <sheetData sheetId="8494" refreshError="1"/>
      <sheetData sheetId="8495" refreshError="1"/>
      <sheetData sheetId="8496" refreshError="1"/>
      <sheetData sheetId="8497" refreshError="1"/>
      <sheetData sheetId="8498" refreshError="1"/>
      <sheetData sheetId="8499" refreshError="1"/>
      <sheetData sheetId="8500" refreshError="1"/>
      <sheetData sheetId="8501"/>
      <sheetData sheetId="8502"/>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Lease AP 2008"/>
      <sheetName val="Lease AP 2009"/>
      <sheetName val="Lease AP 2009 ITALY"/>
      <sheetName val="EDR Feb-09"/>
      <sheetName val="Entry 1412 - 2102"/>
      <sheetName val="PO upload sheet"/>
      <sheetName val="Italy Lease 2009"/>
      <sheetName val="2009"/>
      <sheetName val="REFERENCE FILE"/>
      <sheetName val="历次融资情况"/>
      <sheetName val="老股估值及退出价格测算"/>
      <sheetName val="AP Recap"/>
      <sheetName val="902"/>
      <sheetName val="上报资产负债表"/>
      <sheetName val="上报损益表"/>
      <sheetName val="补充表"/>
      <sheetName val="热力"/>
      <sheetName val="ProdCompar"/>
      <sheetName val="关联交易-存款"/>
      <sheetName val="Lease_AP_2008"/>
      <sheetName val="Lease_AP_2009"/>
      <sheetName val="Lease_AP_2009_ITALY"/>
      <sheetName val="EDR_Feb-09"/>
      <sheetName val="Entry_1412_-_2102"/>
      <sheetName val="PO_upload_sheet"/>
      <sheetName val="Italy_Lease_2009"/>
      <sheetName val="REFERENCE_FILE"/>
      <sheetName val="表三"/>
      <sheetName val="其他业务成本09"/>
      <sheetName val="其他业务收入2010"/>
      <sheetName val="其他业务收入09"/>
      <sheetName val="其他业务收入08"/>
      <sheetName val="INVDAYS"/>
      <sheetName val="其他业务收支 杨"/>
      <sheetName val="CIP&lt;1&gt; 杨"/>
      <sheetName val="2001预提费用"/>
      <sheetName val="报表格式"/>
      <sheetName val="Sheet1"/>
      <sheetName val="MAP"/>
      <sheetName val="FA Roll to GL (p.2)"/>
      <sheetName val="Lead (p.1)"/>
      <sheetName val="XREF"/>
      <sheetName val="kmb"/>
      <sheetName val="7 (2)"/>
      <sheetName val="NOTE 29"/>
      <sheetName val="Ã«ÀûÂÊ·ÖÎö±í"/>
      <sheetName val="1"/>
      <sheetName val="HB"/>
      <sheetName val="流资汇总"/>
      <sheetName val="通玻"/>
      <sheetName val="销售"/>
      <sheetName val="成品科"/>
      <sheetName val="U510-final"/>
      <sheetName val="Vendor Data"/>
      <sheetName val="0508"/>
      <sheetName val="0504"/>
      <sheetName val="0506"/>
      <sheetName val="07应付工资"/>
      <sheetName val="Lsit"/>
      <sheetName val="c"/>
      <sheetName val="No.4-3_現金同等物明細"/>
      <sheetName val="10色母料"/>
      <sheetName val="现金流量表（月报）"/>
      <sheetName val="B"/>
      <sheetName val="NBCF"/>
      <sheetName val="EURMKTG"/>
      <sheetName val="実績SK"/>
      <sheetName val="ZLR1"/>
      <sheetName val="Chart"/>
      <sheetName val="TrialBalance"/>
      <sheetName val="通常結晶"/>
      <sheetName val="70151"/>
      <sheetName val="#REF"/>
      <sheetName val="CA consolidated"/>
      <sheetName val="104"/>
      <sheetName val="Namen"/>
      <sheetName val="0630"/>
      <sheetName val="3"/>
      <sheetName val="4"/>
      <sheetName val="5"/>
      <sheetName val="6"/>
      <sheetName val="9"/>
      <sheetName val="2"/>
      <sheetName val="7"/>
      <sheetName val="8"/>
      <sheetName val="选择报表"/>
      <sheetName val="BALANCE SHEET"/>
      <sheetName val="披露表(国资)"/>
      <sheetName val="F1"/>
      <sheetName val="土建表三乙"/>
      <sheetName val="表三甲"/>
      <sheetName val="2002-H300"/>
      <sheetName val="2001-H300"/>
      <sheetName val="CCTL"/>
      <sheetName val="WIP"/>
      <sheetName val="Check"/>
      <sheetName val="Mov‘2008"/>
      <sheetName val="Mov‘2007"/>
      <sheetName val="Mov‘2005"/>
      <sheetName val="Mov‘2006"/>
      <sheetName val="Sheet2"/>
      <sheetName val="Summary"/>
      <sheetName val="D"/>
      <sheetName val="CBUGL"/>
      <sheetName val="IRR &amp; NPV"/>
      <sheetName val="US Bal_Sheet"/>
      <sheetName val="VCC 11110-461"/>
      <sheetName val="sch10-rm2"/>
      <sheetName val="sch6-rm"/>
      <sheetName val="目录"/>
      <sheetName val="Comp equip"/>
      <sheetName val="Lguide"/>
      <sheetName val="Dati"/>
      <sheetName val="1.1 Project Data"/>
      <sheetName val="SHELL"/>
      <sheetName val="PNL"/>
      <sheetName val="TB0804"/>
      <sheetName val="FX"/>
      <sheetName val="schdl"/>
      <sheetName val="U434_Sample pool2008"/>
      <sheetName val="1102 (2)"/>
      <sheetName val="Client Data"/>
      <sheetName val="FF-21(a)"/>
      <sheetName val="Chart of Account"/>
      <sheetName val="Cash Flow"/>
      <sheetName val="Control"/>
      <sheetName val="Projections"/>
      <sheetName val="Returns Analysis"/>
      <sheetName val="Parameter"/>
      <sheetName val="T  B"/>
      <sheetName val="struc_SBU"/>
      <sheetName val="BS10"/>
      <sheetName val="navigation"/>
      <sheetName val="struc_country"/>
      <sheetName val="SP10"/>
      <sheetName val="cover"/>
      <sheetName val="translate"/>
      <sheetName val="Seoul"/>
      <sheetName val="환산SHEET"/>
      <sheetName val="合同付款"/>
      <sheetName val="营销费用预算"/>
      <sheetName val="营销合约"/>
      <sheetName val="成本项目"/>
      <sheetName val="Net REVENUE"/>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CUSTOMER"/>
      <sheetName val="FACILITY"/>
      <sheetName val="SERVIVEH"/>
      <sheetName val="COMPUTER"/>
      <sheetName val="ADVSYST"/>
      <sheetName val="COUADMIN"/>
      <sheetName val="ADMINFLD"/>
      <sheetName val="ADVCIT&amp;D"/>
      <sheetName val="EURSALES"/>
      <sheetName val="ADMINREB"/>
      <sheetName val="U102"/>
      <sheetName val="Consol"/>
      <sheetName val="Antivol D2"/>
      <sheetName val="_001年其他业务利润"/>
      <sheetName val="_002年其他业务利润"/>
      <sheetName val="_003年其他业务利润"/>
      <sheetName val="_2U03营业费用"/>
      <sheetName val="2001年营业费用"/>
      <sheetName val="银行信息"/>
      <sheetName val="List"/>
      <sheetName val="Source"/>
      <sheetName val="Sheet3"/>
      <sheetName val="A300"/>
      <sheetName val="DATA"/>
      <sheetName val="eqpmad2"/>
      <sheetName val="GL-R"/>
      <sheetName val="ADJ Sum(console)"/>
      <sheetName val="K100"/>
      <sheetName val="(i) Fixed assets-PBC"/>
      <sheetName val="NKCR_comm_scheme"/>
      <sheetName val="NKCR_appliedrates"/>
      <sheetName val="KCR_comm_scheme"/>
      <sheetName val="Settings"/>
      <sheetName val="master"/>
      <sheetName val="Steuerung"/>
      <sheetName val="C08"/>
      <sheetName val="Parameters"/>
      <sheetName val="Invoice detail"/>
      <sheetName val="员工工资"/>
      <sheetName val="HanCai cost DT"/>
      <sheetName val="HanE cost DT"/>
      <sheetName val="ASN cost DT"/>
      <sheetName val="ASN FV DT"/>
      <sheetName val="HanCai FV DT"/>
      <sheetName val="HanE FV DT"/>
      <sheetName val="Currency"/>
      <sheetName val="A500-Audit adjustment"/>
      <sheetName val="Config"/>
      <sheetName val="12月底个人往来余额表"/>
      <sheetName val="move"/>
      <sheetName val="10K4"/>
      <sheetName val="090831-往来"/>
      <sheetName val="DB"/>
      <sheetName val="披露表(标准)"/>
      <sheetName val="Collateral"/>
      <sheetName val="Disposition"/>
      <sheetName val="ARP-U501"/>
      <sheetName val="SAR"/>
      <sheetName val="A3-CLA"/>
      <sheetName val="Staff List"/>
      <sheetName val="P&amp;L"/>
      <sheetName val="P &amp; L Account"/>
      <sheetName val="ADJ"/>
      <sheetName val="应付明细"/>
      <sheetName val="会计科目"/>
      <sheetName val="Lead"/>
      <sheetName val="Detail Loan Move. &amp; Listing"/>
      <sheetName val="29-1 贴现融资-回购式"/>
      <sheetName val="总公司2002.12.31"/>
      <sheetName val="Final sample listing"/>
      <sheetName val="平衡测试"/>
      <sheetName val="Trans"/>
      <sheetName val="base"/>
      <sheetName val="HOU143A"/>
      <sheetName val="Sch11"/>
      <sheetName val="Input"/>
      <sheetName val="会计科目对照表"/>
      <sheetName val="Movement"/>
      <sheetName val="Translation"/>
      <sheetName val="P310"/>
      <sheetName val="G210"/>
      <sheetName val="車会集約"/>
      <sheetName val="Console"/>
      <sheetName val="营外收支"/>
      <sheetName val="管理"/>
      <sheetName val="托售"/>
      <sheetName val="C1"/>
      <sheetName val="敏感性"/>
      <sheetName val="COSTOMAT.XLS"/>
      <sheetName val="Detail - CSM CY04 monthly"/>
      <sheetName val="aged"/>
      <sheetName val="Sal &amp; Wage Info"/>
      <sheetName val="2007.12折旧差异"/>
      <sheetName val="Air Conditional"/>
      <sheetName val="Equipment"/>
      <sheetName val="Motor Vehicle"/>
      <sheetName val="Renovation"/>
      <sheetName val="O"/>
      <sheetName val="AP018"/>
      <sheetName val="AP019"/>
      <sheetName val="AP020"/>
      <sheetName val="AP021"/>
      <sheetName val="AP022"/>
      <sheetName val="AP023"/>
      <sheetName val="AP026"/>
      <sheetName val="AP001_JiFeng"/>
      <sheetName val="AP010_KeXunBaoZhuang"/>
      <sheetName val="AP011_YiLi"/>
      <sheetName val="AP012_"/>
      <sheetName val="AP013_HuaLian"/>
      <sheetName val="AP015_Jinchang"/>
      <sheetName val="AP016"/>
      <sheetName val="AP017"/>
      <sheetName val="AP002_SanJi"/>
      <sheetName val="AP027"/>
      <sheetName val="AP003_QiDianMo"/>
      <sheetName val="AP004_FengZheng"/>
      <sheetName val="AP005_HanBuo"/>
      <sheetName val="AP006_SiYin"/>
      <sheetName val="AP007_DeLiTai"/>
      <sheetName val="AP008_ZhongYa"/>
      <sheetName val="AP009_YiDa"/>
      <sheetName val="AP9990"/>
      <sheetName val="AP9999"/>
      <sheetName val="VENDORS"/>
      <sheetName val="GZ"/>
      <sheetName val="CAL-TB-MFG"/>
      <sheetName val="Mov from 2001 to 2003"/>
      <sheetName val="披露表(上市)"/>
      <sheetName val="U-500销售费用"/>
      <sheetName val="U-600管理费用"/>
      <sheetName val="U-700财务费用"/>
      <sheetName val="Validation"/>
      <sheetName val="W"/>
      <sheetName val="FAB별"/>
      <sheetName val="母公司应交税金明细表（含泵送）"/>
      <sheetName val="FS"/>
      <sheetName val="Breakdown"/>
      <sheetName val="original"/>
      <sheetName val="AGENT"/>
      <sheetName val="by category"/>
      <sheetName val="Currency Codes"/>
      <sheetName val="Scoping"/>
      <sheetName val="Expectation"/>
      <sheetName val="Variance threshold"/>
      <sheetName val="SignificantAcctsTemplate"/>
      <sheetName val="Configure"/>
      <sheetName val="H101(OK)"/>
      <sheetName val="E100"/>
      <sheetName val="N100"/>
      <sheetName val="analysis"/>
      <sheetName val="P412-2001"/>
      <sheetName val="P413-2002"/>
      <sheetName val="enums"/>
      <sheetName val="inventory2002"/>
      <sheetName val="PPV2002"/>
      <sheetName val="3A FA Record"/>
      <sheetName val="9B RUL Range"/>
      <sheetName val="C - Cash and Bank"/>
      <sheetName val="短期借款余额表"/>
      <sheetName val="#1 Basic"/>
      <sheetName val="00'미수"/>
      <sheetName val="INDEX"/>
      <sheetName val="1-11"/>
      <sheetName val="SFS(BUDGET)"/>
      <sheetName val="A"/>
      <sheetName val="ContractList"/>
      <sheetName val="Checking"/>
      <sheetName val="07-6068"/>
      <sheetName val="40-2701"/>
      <sheetName val="辅表-原始利润表"/>
      <sheetName val="辅表-原始资产负债表"/>
      <sheetName val="FC switches"/>
      <sheetName val="索引"/>
      <sheetName val="N63_在其他主体中的权益-子（孙）公司"/>
      <sheetName val="N67_重要联营企业的主要财务信息"/>
      <sheetName val="N72_关联方往来（应收）"/>
      <sheetName val="sumdepn01"/>
      <sheetName val="Comparative Balance Sheet"/>
      <sheetName val="6621"/>
      <sheetName val="GDH"/>
      <sheetName val="BQ"/>
      <sheetName val="CP"/>
      <sheetName val="以前年度损益调整"/>
      <sheetName val="不良排名"/>
      <sheetName val="101"/>
      <sheetName val="YTD122006"/>
      <sheetName val="Budget'07"/>
      <sheetName val="Lease_AP_20081"/>
      <sheetName val="Lease_AP_20091"/>
      <sheetName val="Lease_AP_2009_ITALY1"/>
      <sheetName val="EDR_Feb-091"/>
      <sheetName val="Entry_1412_-_21021"/>
      <sheetName val="PO_upload_sheet1"/>
      <sheetName val="Italy_Lease_20091"/>
      <sheetName val="REFERENCE_FILE1"/>
      <sheetName val="AP_Recap"/>
      <sheetName val="其他业务收支_杨"/>
      <sheetName val="CIP&lt;1&gt;_杨"/>
      <sheetName val="FA_Roll_to_GL_(p_2)"/>
      <sheetName val="Lead_(p_1)"/>
      <sheetName val="7_(2)"/>
      <sheetName val="NOTE_29"/>
      <sheetName val="Vendor_Data"/>
      <sheetName val="TB"/>
      <sheetName val="TB Link"/>
      <sheetName val="SCTB"/>
      <sheetName val="LinkData"/>
      <sheetName val="TOTALE"/>
      <sheetName val="AR2-F21"/>
      <sheetName val="AR1-F20"/>
      <sheetName val="source-1"/>
      <sheetName val="TDC COA Sumry"/>
      <sheetName val="TDC Item Dets"/>
      <sheetName val="TDC Item Sumry"/>
      <sheetName val="TDC Key Qty Sumry"/>
      <sheetName val="COA Sumry - Std Imp"/>
      <sheetName val="Contr TDC - Std Imp"/>
      <sheetName val="Item Sumry - Std Imp"/>
      <sheetName val="Unit Costs - Std Imp"/>
      <sheetName val="Unit MH - Std Imp"/>
      <sheetName val="Proj TIC - Std Imp"/>
      <sheetName val="A_T5"/>
      <sheetName val="资金状况表"/>
      <sheetName val="detailitems_15"/>
      <sheetName val="报告披露_A股已执行新金融工具准则但尚未执行新收入及新租赁准则"/>
      <sheetName val="报告披露_企业会计制度"/>
      <sheetName val="dm"/>
      <sheetName val="应收帐款"/>
      <sheetName val="QQ"/>
      <sheetName val="96BP"/>
      <sheetName val="15、采购订单"/>
      <sheetName val="No_4-3_現金同等物明細"/>
      <sheetName val="CA_consolidated"/>
      <sheetName val="Control Panel"/>
      <sheetName val="NOC"/>
      <sheetName val="E101"/>
      <sheetName val="ARP_U201"/>
      <sheetName val="g101"/>
      <sheetName val="ARP-U201"/>
      <sheetName val="시산표"/>
      <sheetName val="OLDMAP"/>
      <sheetName val="资金流向日报表"/>
      <sheetName val="_dropdownlistitems_"/>
      <sheetName val="Rate"/>
      <sheetName val="Consol worksheet-Final"/>
      <sheetName val="导引表"/>
      <sheetName val="_002。6新"/>
      <sheetName val="Update check"/>
      <sheetName val="TRANS_ASSM"/>
      <sheetName val="h1h2 model"/>
      <sheetName val="M Schedules"/>
      <sheetName val="TT template"/>
      <sheetName val="科目体系"/>
      <sheetName val="만기"/>
      <sheetName val="‘‡B"/>
      <sheetName val="C_110发函回函地址核查"/>
      <sheetName val="Mach &amp; equip"/>
      <sheetName val="A3_影视技术"/>
      <sheetName val="Sheet1 (11)"/>
      <sheetName val="G"/>
      <sheetName val="G3"/>
      <sheetName val="首页"/>
      <sheetName val="A3 &amp; U 09-01"/>
      <sheetName val="A3_conso"/>
      <sheetName val="To tied 2001 opening RE"/>
      <sheetName val="LBO"/>
      <sheetName val="Main"/>
      <sheetName val="M-14"/>
      <sheetName val="M-92"/>
      <sheetName val="M-19"/>
      <sheetName val="M-49"/>
      <sheetName val="M-12"/>
      <sheetName val="M-30"/>
      <sheetName val="调整分录"/>
      <sheetName val="Yr_1997"/>
      <sheetName val="総合B"/>
      <sheetName val="Gross Margin"/>
      <sheetName val="2002年预提费用"/>
      <sheetName val="TSA"/>
      <sheetName val="A401"/>
      <sheetName val="Sales Model Yr"/>
      <sheetName val="HL"/>
      <sheetName val="收入成本"/>
      <sheetName val="CA_new"/>
      <sheetName val="loan database"/>
      <sheetName val="3存放同业 (定期)"/>
      <sheetName val="4-1拆放同业"/>
      <sheetName val="4-2同业拆入"/>
      <sheetName val="6 买入返售票据（按协议）"/>
      <sheetName val="3存放同业 (活期)"/>
      <sheetName val="6 买入返售票据（按票）"/>
      <sheetName val="完"/>
      <sheetName val="Trading"/>
      <sheetName val="订单"/>
      <sheetName val="CRA"/>
      <sheetName val="资产负债表"/>
      <sheetName val="Beg- End balance"/>
      <sheetName val="Q4Purchases"/>
      <sheetName val="VARIABLES"/>
      <sheetName val="Info. Request"/>
      <sheetName val="C101"/>
      <sheetName val="RMB"/>
      <sheetName val="Base Info"/>
      <sheetName val="accode"/>
      <sheetName val="WTB"/>
      <sheetName val="K701"/>
      <sheetName val="Sintesi"/>
      <sheetName val="YS02-02"/>
      <sheetName val="101200"/>
      <sheetName val="400吨现存量"/>
      <sheetName val="_600吨现存量"/>
      <sheetName val="TOOLS"/>
      <sheetName val="Jan"/>
      <sheetName val="All Cash Dil"/>
      <sheetName val="Dimensions"/>
      <sheetName val="Veh Info"/>
      <sheetName val="PopCache_Sheet1"/>
      <sheetName val="医院进销存"/>
      <sheetName val="一周期10片价格"/>
      <sheetName val="一周期6片价格"/>
      <sheetName val="2003年代表医院指标-一周期"/>
      <sheetName val="一周期IND价格"/>
      <sheetName val="二厂一季度单位成本"/>
      <sheetName val="차입종구분"/>
      <sheetName val="Sum2000"/>
      <sheetName val="S"/>
      <sheetName val="338 Apparel"/>
      <sheetName val="Table"/>
      <sheetName val="U100-GP"/>
      <sheetName val="BS"/>
      <sheetName val="PL"/>
      <sheetName val="D-PL"/>
      <sheetName val="六纺"/>
      <sheetName val="Namelist"/>
      <sheetName val="XL4Poppy"/>
      <sheetName val="主料"/>
      <sheetName val="_4库产成品"/>
      <sheetName val="辅料"/>
      <sheetName val="工具"/>
      <sheetName val="内外包"/>
      <sheetName val="02"/>
      <sheetName val="其他应收款-合并值"/>
      <sheetName val="科目表"/>
      <sheetName val="Lease Data - LC"/>
      <sheetName val="未分配盈餘明細表-17頁"/>
      <sheetName val="Exchange Rates"/>
      <sheetName val="Chart of Acct"/>
      <sheetName val="G.1R-Shou COP Gf"/>
      <sheetName val="M_5A"/>
      <sheetName val="M_5C"/>
      <sheetName val="____"/>
      <sheetName val="工时统计"/>
      <sheetName val="租赁收入明细"/>
      <sheetName val="List - Components"/>
      <sheetName val="List - Equipment"/>
      <sheetName val="合并抵消分录"/>
      <sheetName val="汇总"/>
      <sheetName val="Account"/>
      <sheetName val="sz2"/>
      <sheetName val="销售费用科目余额表"/>
      <sheetName val="Checklist"/>
      <sheetName val="&amp;Portfolio Changes"/>
      <sheetName val="Cumulative Performance"/>
      <sheetName val="Recent Actions"/>
      <sheetName val="Investment Guidelines"/>
      <sheetName val="Performance Summary"/>
      <sheetName val="Investment Review"/>
      <sheetName val="Portfolio Performance"/>
      <sheetName val="&amp;Portfolio vs. Benchmark"/>
      <sheetName val="&amp;Portfolio Summary TE Long Int"/>
      <sheetName val="&amp;Portfolio Summary TE Short"/>
      <sheetName val="&amp;Portfolio Summary Tax Short"/>
      <sheetName val="Portfolio Comparison"/>
      <sheetName val="JE755-1"/>
      <sheetName val="Marshal"/>
      <sheetName val="Permanent info"/>
      <sheetName val="Income Statement"/>
      <sheetName val="Altman Z"/>
      <sheetName val="DCF_3资产负债分析调整表"/>
      <sheetName val="Holidays"/>
      <sheetName val="Swap Calculator"/>
      <sheetName val=" U140-SalesTOT"/>
      <sheetName val="Custom"/>
      <sheetName val="Premium Dec 03"/>
      <sheetName val="µ|²vªí"/>
      <sheetName val="Yield Curves"/>
      <sheetName val="Poland £"/>
      <sheetName val="Bielsko Biała"/>
      <sheetName val="Wałbrzych"/>
      <sheetName val="Detail_Loan_Move__&amp;_Listing"/>
      <sheetName val="29-1_贴现融资-回购式"/>
      <sheetName val="总公司2002_12_31"/>
      <sheetName val="Final_sample_listing"/>
      <sheetName val="Net_REVENUE"/>
      <sheetName val="(i)_Fixed_assets-PBC"/>
      <sheetName val="COSTOMAT_XLS"/>
      <sheetName val="Detail_-_CSM_CY04_monthly"/>
      <sheetName val="Sal_&amp;_Wage_Info"/>
      <sheetName val="2007_12折旧差异"/>
      <sheetName val="Air_Conditional"/>
      <sheetName val="Motor_Vehicle"/>
      <sheetName val="Client_Data"/>
      <sheetName val="T__B"/>
      <sheetName val="IRR_&amp;_NPV"/>
      <sheetName val="US_Bal_Sheet"/>
      <sheetName val="Mov_from_2001_to_2003"/>
      <sheetName val="Consol_worksheet-Final"/>
      <sheetName val="AR"/>
      <sheetName val="BR"/>
      <sheetName val="CA"/>
      <sheetName val="CO"/>
      <sheetName val="EIU"/>
      <sheetName val="Euro"/>
      <sheetName val="FI"/>
      <sheetName val="LEB"/>
      <sheetName val="MEX"/>
      <sheetName val="S&amp;P"/>
      <sheetName val="UK"/>
      <sheetName val="封面"/>
      <sheetName val="Input-Act"/>
      <sheetName val="Input-Act-Adj"/>
      <sheetName val="Input-Bud"/>
      <sheetName val="Input-PY"/>
      <sheetName val="P&amp;L(S1)"/>
      <sheetName val="Threshold Table"/>
      <sheetName val="SA Procedures (Depreciation)"/>
      <sheetName val="Cashbook"/>
      <sheetName val="DJ"/>
      <sheetName val="A430"/>
      <sheetName val="Reconciliation"/>
      <sheetName val="Trading Statement"/>
      <sheetName val="Setup"/>
      <sheetName val="AmeSum"/>
      <sheetName val="EMEASum"/>
      <sheetName val="HPCoSum"/>
      <sheetName val="OGSum"/>
      <sheetName val="APJSum"/>
      <sheetName val="Hidden Lists"/>
      <sheetName val="9100-PO"/>
      <sheetName val="JE"/>
      <sheetName val="DEFLEET APR-05"/>
      <sheetName val="Sheet4"/>
      <sheetName val="DEC Bank"/>
      <sheetName val="DEC GL"/>
      <sheetName val="Review pts"/>
      <sheetName val="OCT BANK"/>
      <sheetName val="Lockbox"/>
      <sheetName val="Tables"/>
      <sheetName val="BALANCE_SHEET"/>
      <sheetName val="TPQ INDEX"/>
      <sheetName val="2171_BK"/>
      <sheetName val="Overview"/>
      <sheetName val="F301存货各明细"/>
      <sheetName val="note(1)"/>
      <sheetName val="STATPARA"/>
      <sheetName val="Menu"/>
      <sheetName val="conCF"/>
      <sheetName val="conWP"/>
      <sheetName val="BOX SUM"/>
      <sheetName val="FIN GOOD"/>
      <sheetName val="ADJ Summary"/>
      <sheetName val="ROCHE"/>
      <sheetName val="Valuation"/>
      <sheetName val="资本公积取数"/>
      <sheetName val="A810-ASM"/>
      <sheetName val="_018"/>
      <sheetName val="分录取数说明"/>
      <sheetName val="YTD Summary"/>
      <sheetName val="华域本部"/>
      <sheetName val="本部-年初"/>
      <sheetName val="Raw materials"/>
      <sheetName val="97BGT6"/>
      <sheetName val="收入"/>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A3"/>
      <sheetName val="R-1"/>
      <sheetName val="DLDB10"/>
      <sheetName val="9-销售"/>
      <sheetName val="Accrual"/>
      <sheetName val="act_96"/>
      <sheetName val="附表3"/>
      <sheetName val="Target"/>
      <sheetName val="WACC"/>
      <sheetName val="DCF"/>
      <sheetName val="Combined"/>
      <sheetName val="PFOut2"/>
      <sheetName val="Prices"/>
      <sheetName val="Var"/>
      <sheetName val="U1120"/>
      <sheetName val="Part_Datum"/>
      <sheetName val="Graph 1"/>
      <sheetName val="IS Summary-96"/>
      <sheetName val="Heads"/>
      <sheetName val="VCC_11110-461"/>
      <sheetName val="Comp_equip"/>
      <sheetName val="1_1_Project_Data"/>
      <sheetName val="U434_Sample_pool2008"/>
      <sheetName val="1102_(2)"/>
      <sheetName val="Chart_of_Account"/>
      <sheetName val="Cash_Flow"/>
      <sheetName val="Returns_Analysis"/>
      <sheetName val="Antivol_D2"/>
      <sheetName val="ADJ_Sum(console)"/>
      <sheetName val="Invoice_detail"/>
      <sheetName val="HanCai_cost_DT"/>
      <sheetName val="HanE_cost_DT"/>
      <sheetName val="ASN_cost_DT"/>
      <sheetName val="ASN_FV_DT"/>
      <sheetName val="HanCai_FV_DT"/>
      <sheetName val="HanE_FV_DT"/>
      <sheetName val="A500-Audit_adjustment"/>
      <sheetName val="Staff_List"/>
      <sheetName val="P_&amp;_L_Account"/>
      <sheetName val="by_category"/>
      <sheetName val="Currency_Codes"/>
      <sheetName val="Variance_threshold"/>
      <sheetName val="3A_FA_Record"/>
      <sheetName val="9B_RUL_Range"/>
      <sheetName val="C_-_Cash_and_Bank"/>
      <sheetName val="#1_Basic"/>
      <sheetName val="FC_switches"/>
      <sheetName val="Comparative_Balance_Sheet"/>
      <sheetName val="Canal_IS"/>
      <sheetName val="CTRL"/>
      <sheetName val="Alloc"/>
      <sheetName val="现 金 流 量 表"/>
      <sheetName val="枚举字典"/>
      <sheetName val="FZ-1（合并）"/>
      <sheetName val="FZ-3往来"/>
      <sheetName val="#REF!"/>
      <sheetName val="08.8"/>
      <sheetName val="Comps"/>
      <sheetName val="Admin"/>
      <sheetName val="邻酮定乙酚发出测试"/>
      <sheetName val="表2&lt;销售出库单&gt;"/>
      <sheetName val="BSCF"/>
      <sheetName val="Credit Check"/>
      <sheetName val="Inputs"/>
      <sheetName val="AFA"/>
      <sheetName val="TB-Total"/>
      <sheetName val="P&amp;L (AR version)"/>
      <sheetName val="6a bank loan &amp; bond analysis"/>
      <sheetName val="Summary of Bank loan and bond"/>
      <sheetName val="BPC input"/>
      <sheetName val="capital structures"/>
      <sheetName val="cashflow statement"/>
      <sheetName val="cashflow statement spreadsheet"/>
      <sheetName val="checking Dep DT"/>
      <sheetName val="P&amp;L for company (AR version)"/>
      <sheetName val="2021 interim"/>
      <sheetName val="COS breakdown working"/>
      <sheetName val="Deferred tax"/>
      <sheetName val="1 highlights and ratio"/>
      <sheetName val="inter CA input"/>
      <sheetName val="Intercom int"/>
      <sheetName val="SUMMARY RMB"/>
      <sheetName val="2 PL shortform"/>
      <sheetName val="rmb fa wrkng"/>
      <sheetName val="statutory reserves"/>
      <sheetName val="SUMMARY before elim"/>
      <sheetName val="SUMMARY MoM"/>
      <sheetName val="L310-Adjustment for R&amp;D cost"/>
      <sheetName val="3. Other gains"/>
      <sheetName val="附表5-2"/>
      <sheetName val="MASTER_主数据"/>
      <sheetName val="COVER_报表封面"/>
      <sheetName val="MASTER_主数据_补"/>
      <sheetName val="PH Car"/>
      <sheetName val="科目余额表"/>
      <sheetName val="PBC - PHS"/>
      <sheetName val="Summary_"/>
      <sheetName val="adj10#-b"/>
      <sheetName val="科目余额表(原稿)"/>
      <sheetName val="Adjustment summary"/>
      <sheetName val="2004"/>
      <sheetName val="成本还原汇总表"/>
      <sheetName val="关联方"/>
      <sheetName val="G140"/>
      <sheetName val="基础信息"/>
      <sheetName val="剥离前"/>
      <sheetName val="公司清单"/>
      <sheetName val="Lease_AP_20082"/>
      <sheetName val="Lease_AP_20092"/>
      <sheetName val="Lease_AP_2009_ITALY2"/>
      <sheetName val="EDR_Feb-092"/>
      <sheetName val="Entry_1412_-_21022"/>
      <sheetName val="PO_upload_sheet2"/>
      <sheetName val="Italy_Lease_20092"/>
      <sheetName val="REFERENCE_FILE2"/>
      <sheetName val="AP_Recap1"/>
      <sheetName val="其他业务收支_杨1"/>
      <sheetName val="CIP&lt;1&gt;_杨1"/>
      <sheetName val="FA_Roll_to_GL_(p_2)1"/>
      <sheetName val="Lead_(p_1)1"/>
      <sheetName val="7_(2)1"/>
      <sheetName val="NOTE_291"/>
      <sheetName val="Vendor_Data1"/>
      <sheetName val="No_4-3_現金同等物明細1"/>
      <sheetName val="CA_consolidated1"/>
      <sheetName val="TB_Link"/>
      <sheetName val="TDC_COA_Sumry"/>
      <sheetName val="TDC_Item_Dets"/>
      <sheetName val="TDC_Item_Sumry"/>
      <sheetName val="TDC_Key_Qty_Sumry"/>
      <sheetName val="COA_Sumry_-_Std_Imp"/>
      <sheetName val="Contr_TDC_-_Std_Imp"/>
      <sheetName val="Item_Sumry_-_Std_Imp"/>
      <sheetName val="Unit_Costs_-_Std_Imp"/>
      <sheetName val="Unit_MH_-_Std_Imp"/>
      <sheetName val="Proj_TIC_-_Std_Imp"/>
      <sheetName val="Control_Panel"/>
      <sheetName val=" "/>
      <sheetName val="SA02-03"/>
      <sheetName val="V_Lead "/>
      <sheetName val="VA_Lead"/>
      <sheetName val="Office Improve"/>
      <sheetName val="审计程序 (2)"/>
      <sheetName val="审定表"/>
      <sheetName val="采购订单"/>
      <sheetName val="O200_递延所得税资产或负债"/>
      <sheetName val="O_210DTA可收回性"/>
      <sheetName val="O_300VAT"/>
      <sheetName val="O_400其他税种"/>
      <sheetName val="O_500 IIT"/>
      <sheetName val="O_Lead"/>
      <sheetName val="O_100CIT Reco"/>
      <sheetName val="O_120上年所得税汇算清缴"/>
      <sheetName val="Month 8"/>
      <sheetName val="F101"/>
      <sheetName val="Tickmarks"/>
      <sheetName val="管理费用 "/>
      <sheetName val="JAN405"/>
      <sheetName val="For report WL"/>
      <sheetName val="Wh &amp; Office Exp"/>
      <sheetName val="基础数据"/>
      <sheetName val="调16"/>
      <sheetName val="Total Financials"/>
      <sheetName val="Payments"/>
      <sheetName val="K(GDH)"/>
      <sheetName val="15"/>
      <sheetName val="2100"/>
      <sheetName val="BBW"/>
      <sheetName val="Confirmation"/>
      <sheetName val="Cashflow"/>
      <sheetName val="Sensitivity"/>
      <sheetName val="03ht"/>
      <sheetName val="核銷表"/>
      <sheetName val="Benefit Tracking"/>
      <sheetName val="Benefit Form"/>
      <sheetName val="Lessee Import new lease"/>
      <sheetName val="WACC Inputs"/>
      <sheetName val="设备部房屋"/>
      <sheetName val="DFA"/>
      <sheetName val="1999 BUDGET"/>
      <sheetName val="泳场明细"/>
      <sheetName val="payroll "/>
      <sheetName val="3.2"/>
      <sheetName val="ALL"/>
      <sheetName val="ARP"/>
      <sheetName val="二厂单位成本结构图"/>
      <sheetName val="Pcos"/>
      <sheetName val="Sales"/>
      <sheetName val="PAX &amp; SEATS %"/>
      <sheetName val="PLANBILANZ-BEWEGUNGSBILANZ"/>
      <sheetName val="A6620 Detail"/>
      <sheetName val="&lt;FF&gt; Tax Payable"/>
      <sheetName val="14"/>
      <sheetName val="FX_Assumptions"/>
      <sheetName val="分离后总调室"/>
      <sheetName val="气保"/>
      <sheetName val="IFRS#7-1 stock provision"/>
      <sheetName val="Apr07"/>
      <sheetName val="Machinery"/>
      <sheetName val="BookSchema"/>
      <sheetName val="2007 04 KE5Z detail"/>
      <sheetName val="건설가"/>
      <sheetName val="销售收入A4"/>
      <sheetName val="产量预算表Ａ4"/>
      <sheetName val="制造成本预算表A3"/>
      <sheetName val="物流费用预算表(A4)"/>
      <sheetName val="销售费用预算表(A4)"/>
      <sheetName val="管理费用预算表(A4)"/>
      <sheetName val="其它销售成本 A4"/>
      <sheetName val="销售成本A4"/>
      <sheetName val="销售量A4"/>
      <sheetName val="收入明细－按客户"/>
      <sheetName val="历年减少"/>
      <sheetName val="Understand the client"/>
      <sheetName val="Bokslutsprocessen"/>
      <sheetName val="Indata"/>
      <sheetName val="N200"/>
      <sheetName val="FY03"/>
      <sheetName val="22861"/>
      <sheetName val="PRC GAAP"/>
      <sheetName val="last op "/>
      <sheetName val="support"/>
      <sheetName val="McLean"/>
      <sheetName val="资产评估结果分类汇总表 (2)"/>
      <sheetName val="原报调整分录"/>
      <sheetName val="审计调整分录"/>
      <sheetName val="利润分析"/>
      <sheetName val="资产负债分析"/>
      <sheetName val="Lists"/>
      <sheetName val="U120"/>
      <sheetName val="其他业务利润"/>
      <sheetName val="其他材料收入重复"/>
      <sheetName val="其他材料收入账"/>
      <sheetName val="预收"/>
      <sheetName val="Profile"/>
      <sheetName val="表头信息"/>
      <sheetName val="PROD_CUST"/>
      <sheetName val="FSA"/>
      <sheetName val="C_100Breakdown"/>
      <sheetName val="C_110函证控制表"/>
      <sheetName val="dt"/>
      <sheetName val="M.P.S."/>
      <sheetName val="Breakdown 9.30"/>
      <sheetName val="95059D"/>
      <sheetName val="Chart of acct "/>
      <sheetName val="坏帐准备"/>
      <sheetName val="银行存款"/>
      <sheetName val="单体ADJ"/>
      <sheetName val="合并ADJ"/>
      <sheetName val="会计分录序时簿"/>
      <sheetName val="Leadsheet Template"/>
      <sheetName val="Input Sheet"/>
      <sheetName val="ADJ-单体汇总"/>
      <sheetName val="ADJ-合并汇总"/>
      <sheetName val="科目清单"/>
      <sheetName val="Romford Market"/>
      <sheetName val="Breadown-Nop"/>
      <sheetName val="chitimc"/>
      <sheetName val="试算BS"/>
      <sheetName val="试算PL"/>
      <sheetName val="AFEMAI"/>
      <sheetName val="KEY"/>
      <sheetName val="附表6"/>
      <sheetName val="企业表一"/>
      <sheetName val="M-5C"/>
      <sheetName val="M-5A"/>
      <sheetName val="BS_ReportingDate"/>
      <sheetName val="conBS"/>
      <sheetName val="conCE"/>
      <sheetName val="conIS"/>
      <sheetName val="母公司TB"/>
      <sheetName val="应收票据(关联方)"/>
      <sheetName val="Revaluation"/>
      <sheetName val="KSB1"/>
      <sheetName val="1-1"/>
      <sheetName val="Matrix"/>
      <sheetName val="Non-Statistical Sampling Master"/>
      <sheetName val="Two Step Revenue Testing Master"/>
      <sheetName val="PL底稿"/>
      <sheetName val="A500_adjustment"/>
      <sheetName val="F-Lead"/>
      <sheetName val="Base 基础"/>
      <sheetName val="各项收入"/>
      <sheetName val="Budget"/>
      <sheetName val="TAXSP07&amp;TAXSPXX-DTA计算"/>
      <sheetName val="首层砖墙"/>
      <sheetName val="sheet6"/>
      <sheetName val="Full Reconciliation 4011000"/>
      <sheetName val="U102-U104 Detail"/>
      <sheetName val="Raw Mtl Prep"/>
      <sheetName val="威娜"/>
      <sheetName val="DATA-P&amp;L98"/>
      <sheetName val="Erläuterungen"/>
      <sheetName val="Allgemein"/>
      <sheetName val="Ford_Verb"/>
      <sheetName val="SUIVI EFFECTIFS"/>
      <sheetName val="#¡REF"/>
      <sheetName val="EFFECT."/>
      <sheetName val="Tons"/>
      <sheetName val="tit"/>
      <sheetName val="数据"/>
      <sheetName val="动态图2"/>
      <sheetName val="GA expenses - HRML"/>
      <sheetName val="Deferred Dev Cost"/>
      <sheetName val="9月收入"/>
      <sheetName val="0406_Grade_data"/>
      <sheetName val="0412_Grade_data"/>
      <sheetName val="Sheet1 (2)"/>
      <sheetName val="综合"/>
      <sheetName val="Tableau d'adossement"/>
      <sheetName val="财务成本"/>
      <sheetName val="（27）实收资本"/>
      <sheetName val="arDB"/>
      <sheetName val="新准则TB"/>
      <sheetName val="试算平衡表"/>
      <sheetName val="XBase"/>
      <sheetName val="synthgraph DCF"/>
      <sheetName val="Register"/>
      <sheetName val="Ex Diff"/>
      <sheetName val="#511BkRec"/>
      <sheetName val="#511-SEPT97"/>
      <sheetName val="#511-OCT97"/>
      <sheetName val="#511-NOV97"/>
      <sheetName val="P1"/>
      <sheetName val="RB"/>
      <sheetName val="科目名称"/>
      <sheetName val="6641"/>
      <sheetName val="CRA-Detail"/>
      <sheetName val="盈余公积"/>
      <sheetName val="利润及利润分配试算平衡表"/>
      <sheetName val="资产负债试算平衡表"/>
      <sheetName val="Costs成本"/>
      <sheetName val="GLFY"/>
      <sheetName val="年初追溯"/>
      <sheetName val="2020.12.31"/>
      <sheetName val="科目名称库"/>
      <sheetName val="16、半成品明细"/>
      <sheetName val="Financial statement"/>
      <sheetName val="A5_灿星"/>
      <sheetName val="Detail_Loan_Move__&amp;_Listing1"/>
      <sheetName val="29-1_贴现融资-回购式1"/>
      <sheetName val="总公司2002_12_311"/>
      <sheetName val="Final_sample_listing1"/>
      <sheetName val="Net_REVENUE1"/>
      <sheetName val="(i)_Fixed_assets-PBC1"/>
      <sheetName val="COSTOMAT_XLS1"/>
      <sheetName val="Detail_-_CSM_CY04_monthly1"/>
      <sheetName val="Sal_&amp;_Wage_Info1"/>
      <sheetName val="2007_12折旧差异1"/>
      <sheetName val="Client_Data1"/>
      <sheetName val="Air_Conditional1"/>
      <sheetName val="Motor_Vehicle1"/>
      <sheetName val="T__B1"/>
      <sheetName val="IRR_&amp;_NPV1"/>
      <sheetName val="US_Bal_Sheet1"/>
      <sheetName val="Consol_worksheet-Final1"/>
      <sheetName val="Mov_from_2001_to_20031"/>
      <sheetName val="Sales_Model_Yr"/>
      <sheetName val="TT_template"/>
      <sheetName val="loan_database"/>
      <sheetName val="3存放同业_(定期)"/>
      <sheetName val="6_买入返售票据（按协议）"/>
      <sheetName val="3存放同业_(活期)"/>
      <sheetName val="6_买入返售票据（按票）"/>
      <sheetName val="Beg-_End_balance"/>
      <sheetName val="Info__Request"/>
      <sheetName val="Base_Info"/>
      <sheetName val="All_Cash_Dil"/>
      <sheetName val="Veh_Info"/>
      <sheetName val="338_Apparel"/>
      <sheetName val="Lease_Data_-_LC"/>
      <sheetName val="Exchange_Rates"/>
      <sheetName val="Chart_of_Acct"/>
      <sheetName val="G_1R-Shou_COP_Gf"/>
      <sheetName val="List_-_Components"/>
      <sheetName val="List_-_Equipment"/>
      <sheetName val="&amp;Portfolio_Changes"/>
      <sheetName val="Cumulative_Performance"/>
      <sheetName val="Recent_Actions"/>
      <sheetName val="Investment_Guidelines"/>
      <sheetName val="Performance_Summary"/>
      <sheetName val="Investment_Review"/>
      <sheetName val="Portfolio_Performance"/>
      <sheetName val="&amp;Portfolio_vs__Benchmark"/>
      <sheetName val="&amp;Portfolio_Summary_TE_Long_Int"/>
      <sheetName val="&amp;Portfolio_Summary_TE_Short"/>
      <sheetName val="&amp;Portfolio_Summary_Tax_Short"/>
      <sheetName val="Portfolio_Comparison"/>
      <sheetName val="Permanent_info"/>
      <sheetName val="Income_Statement"/>
      <sheetName val="Altman_Z"/>
      <sheetName val="M_Schedules"/>
      <sheetName val="Swap_Calculator"/>
      <sheetName val="_U140-SalesTOT"/>
      <sheetName val="Premium_Dec_03"/>
      <sheetName val="Yield_Curves"/>
      <sheetName val="Poland_£"/>
      <sheetName val="Bielsko_Biała"/>
      <sheetName val="Threshold_Table"/>
      <sheetName val="SA_Procedures_(Depreciation)"/>
      <sheetName val="Trading_Statement"/>
      <sheetName val="Hidden_Lists"/>
      <sheetName val="DEFLEET_APR-05"/>
      <sheetName val="DEC_Bank"/>
      <sheetName val="DEC_GL"/>
      <sheetName val="Review_pts"/>
      <sheetName val="OCT_BANK"/>
      <sheetName val="11-1"/>
      <sheetName val="培训中心"/>
      <sheetName val="Cost structure Alcatel"/>
      <sheetName val="Month"/>
      <sheetName val="事業計画"/>
      <sheetName val="Share"/>
      <sheetName val="综合概算"/>
      <sheetName val="Sweco DCP"/>
      <sheetName val="Ricardo Football Field"/>
      <sheetName val="Sweco AVP"/>
      <sheetName val="Sweco Business Plan"/>
      <sheetName val="Ricardo Business Plan"/>
      <sheetName val="Sweco Football Field"/>
      <sheetName val="Ricardo DCP"/>
      <sheetName val="Ricardo AVP"/>
      <sheetName val="code"/>
      <sheetName val="填表说明"/>
      <sheetName val="Sundries creditors"/>
      <sheetName val="Advance to staff"/>
      <sheetName val="TGS-TP"/>
      <sheetName val="humen DT"/>
      <sheetName val="Northring DT"/>
      <sheetName val="GWSR Cost DT"/>
      <sheetName val="shantou DT"/>
      <sheetName val="Qinglian Ex only DT"/>
      <sheetName val="Tianjin cost DT"/>
      <sheetName val="GNSR FV DT"/>
      <sheetName val="cangyu fv DT"/>
      <sheetName val="Tianjin - fv DT"/>
      <sheetName val="hanxiao FV"/>
      <sheetName val="changzhu FV DT"/>
      <sheetName val="GNSR cost DT"/>
      <sheetName val="WeiXu FV DT"/>
      <sheetName val="changzhu cost DT"/>
      <sheetName val="cangyu cost DT"/>
      <sheetName val="hanxiao cost DT"/>
      <sheetName val="weixu cost DT"/>
      <sheetName val="SYN cost DT"/>
      <sheetName val="SYN FV DT"/>
      <sheetName val="分产品销售收入、成本分析表"/>
      <sheetName val="P&amp;L Report-S"/>
      <sheetName val="P&amp;L Report-M"/>
      <sheetName val="12.APaging附表"/>
      <sheetName val="Cust List"/>
      <sheetName val="内部销售"/>
      <sheetName val="200510内部往来"/>
      <sheetName val="Finsum-NAS"/>
      <sheetName val="NAS-BS"/>
      <sheetName val="Finance Cost Center"/>
      <sheetName val="Site"/>
      <sheetName val="Vendor"/>
      <sheetName val="未开票-索引"/>
      <sheetName val="Phase2movementDEC"/>
      <sheetName val="Phase1f_a_DEC"/>
      <sheetName val="Phase2f_a_DEC_2_"/>
      <sheetName val="Group1"/>
      <sheetName val="电子库龄"/>
      <sheetName val="OI-Fcst"/>
      <sheetName val="bank"/>
      <sheetName val="Production"/>
      <sheetName val="Daily net avail"/>
      <sheetName val="5折旧预测ok"/>
      <sheetName val="Capital leases"/>
      <sheetName val="各门店2016年1-12月费用"/>
      <sheetName val="各门店17.5费用明细"/>
      <sheetName val="各门店16年收入利润"/>
      <sheetName val="各门店17.5收入利润"/>
      <sheetName val="2017.6门店费用"/>
      <sheetName val="16年客流会员"/>
      <sheetName val="店名索引&gt;&gt;&gt;&gt;"/>
      <sheetName val="2017.6门店开业时间汇总"/>
      <sheetName val="4.门店信息汇总Output(运营版本）"/>
      <sheetName val="2017.6门店收入利润"/>
      <sheetName val="本期报表"/>
      <sheetName val="选择键"/>
      <sheetName val="Financ. Overview"/>
      <sheetName val="Toolbox"/>
      <sheetName val="P11"/>
      <sheetName val="Trial Bal."/>
      <sheetName val="Q.CF-E01"/>
      <sheetName val="Sch.9"/>
      <sheetName val="DETAIL"/>
      <sheetName val="重置价计算表"/>
      <sheetName val="公司名稱"/>
      <sheetName val="物件明細表"/>
      <sheetName val="底稿0000"/>
      <sheetName val="Vis Exp"/>
      <sheetName val="chart_acc"/>
      <sheetName val="综合成本分析01.01-0205"/>
      <sheetName val="Sum"/>
      <sheetName val="科目余额"/>
      <sheetName val="FY01 Actuals"/>
      <sheetName val="PRC 15"/>
      <sheetName val="BYco_2k"/>
      <sheetName val="UFPrn20220118134524"/>
      <sheetName val="Gross_Margin"/>
      <sheetName val="ITEM"/>
      <sheetName val="Sch PR-2"/>
      <sheetName val="Sch PR-3"/>
      <sheetName val="底稿2001年"/>
      <sheetName val="Revenue"/>
      <sheetName val="Sheet16"/>
      <sheetName val="Incometl"/>
      <sheetName val="Nvar"/>
      <sheetName val="IS-客户直接转换"/>
      <sheetName val="3rd Qtr"/>
      <sheetName val="5th Qtr"/>
      <sheetName val="6th Qtr"/>
      <sheetName val="7th Qtr"/>
      <sheetName val="Exit Forecast"/>
      <sheetName val="2nd Qtr"/>
      <sheetName val="Rounded Input"/>
      <sheetName val="Lookups"/>
      <sheetName val="short term loan"/>
      <sheetName val="N__其他应收款"/>
      <sheetName val="N__应收账款"/>
      <sheetName val="N__营业收入及营业成本"/>
      <sheetName val="AJEs"/>
      <sheetName val="F_OH"/>
      <sheetName val="J&amp;Q"/>
      <sheetName val="10160"/>
      <sheetName val="CILO"/>
      <sheetName val="调整说明"/>
      <sheetName val="ocean voyage"/>
      <sheetName val="NS02"/>
      <sheetName val="CONC_FEES02"/>
      <sheetName val="DEPREC_02"/>
      <sheetName val="LPD02"/>
      <sheetName val="sapactivexlhiddensheet"/>
      <sheetName val="VM02"/>
      <sheetName val="06.11.24SAP"/>
      <sheetName val="待摊费用明细表"/>
      <sheetName val="6月"/>
      <sheetName val="PROCESS"/>
      <sheetName val="综合概算书2"/>
      <sheetName val="合同科目引用表"/>
      <sheetName val="dropdownList6"/>
      <sheetName val="POV"/>
      <sheetName val="02. Italy Rents 2009 - Feb09"/>
      <sheetName val="SalesMYP"/>
      <sheetName val="Centralisatie"/>
      <sheetName val="Drop Down"/>
      <sheetName val="UFPrn20021113090847"/>
      <sheetName val="Assumptions"/>
      <sheetName val="T2S8M"/>
      <sheetName val="EHQ"/>
      <sheetName val="流动资金估算表"/>
      <sheetName val="Budget99"/>
      <sheetName val="Actuals98"/>
      <sheetName val="Actuals99"/>
      <sheetName val="MAH"/>
      <sheetName val="E-Client Information"/>
      <sheetName val="预付款项本年明细表"/>
      <sheetName val="CON MR2K AL ck"/>
      <sheetName val="1. Scoping"/>
      <sheetName val="2. Expectation"/>
      <sheetName val="3. Variance threshold"/>
      <sheetName val="DataLookups"/>
      <sheetName val="C-Summary"/>
      <sheetName val="I-Summary"/>
      <sheetName val="INPUT rates"/>
      <sheetName val="COMPANY"/>
      <sheetName val="N719(NC)"/>
      <sheetName val="ADRESSES"/>
      <sheetName val="Finished Goods"/>
      <sheetName val="归类"/>
      <sheetName val="A08"/>
      <sheetName val="B20"/>
      <sheetName val="D02"/>
      <sheetName val="D7B"/>
      <sheetName val="M29"/>
      <sheetName val="报表科目明细"/>
      <sheetName val="I101"/>
      <sheetName val="1. Project Hypothesis"/>
      <sheetName val="5. Capacity and Investment"/>
      <sheetName val="finance inputs and calculations"/>
      <sheetName val="PDP (GP-IRR-Cash Flow)"/>
      <sheetName val="4. WORKPLAN"/>
      <sheetName val="12. BOM_Customer"/>
      <sheetName val="13. LTA Calculation (optional)"/>
      <sheetName val="10. Cover page"/>
      <sheetName val="Revision follow up"/>
      <sheetName val="2. Forecast"/>
      <sheetName val="6. Tooling_(for Customer)"/>
      <sheetName val="应收票据(关联方)(5)"/>
      <sheetName val="SNR"/>
      <sheetName val="______¡¤___¡À¨ª"/>
      <sheetName val="其他应付款"/>
      <sheetName val="Global Data"/>
      <sheetName val="6.比較資產負債表"/>
      <sheetName val="稅籍代碼檢查表"/>
      <sheetName val="0-2.資料聯"/>
      <sheetName val="基本稅額計算"/>
      <sheetName val="0-1.基本資料"/>
      <sheetName val="EFTvsTAXmapping"/>
      <sheetName val="4.損益表"/>
      <sheetName val="9.各類給付扣繳表"/>
      <sheetName val="c_data"/>
      <sheetName val="co_code"/>
      <sheetName val="statement 1998"/>
      <sheetName val="K31X"/>
      <sheetName val="XVIa(i) - average price (2)"/>
      <sheetName val="管理费用"/>
      <sheetName val="Global"/>
      <sheetName val="Occupancy 2004"/>
      <sheetName val="BKD-财务部"/>
      <sheetName val="A501_AADJ#14-对价调整"/>
      <sheetName val="公司"/>
      <sheetName val="-PLEASE NOTE-"/>
      <sheetName val="Form1-1"/>
      <sheetName val="DataFrBuildBlock"/>
      <sheetName val="Static-Data"/>
      <sheetName val="Filtered_IML"/>
      <sheetName val="固定资产清单"/>
      <sheetName val="CPP1"/>
      <sheetName val="CPP10"/>
      <sheetName val="CPP19"/>
      <sheetName val="Group"/>
      <sheetName val="PLALL"/>
      <sheetName val="总体预算表"/>
      <sheetName val="환율"/>
      <sheetName val="内部关联清单"/>
      <sheetName val="03合并附注"/>
      <sheetName val="SALES95"/>
      <sheetName val="PM-TE_2011"/>
      <sheetName val="Introduction说明"/>
      <sheetName val="1 Lillysummary"/>
      <sheetName val="dxnsjtempsheet"/>
      <sheetName val="Custom1"/>
      <sheetName val="TB-WP"/>
      <sheetName val="合并抵销或调整分录（1）"/>
      <sheetName val="JUly97"/>
      <sheetName val="1108应付帐款明细表"/>
      <sheetName val="1102应付帐款明细表"/>
      <sheetName val="1101应付帐款明细表"/>
      <sheetName val="1107应付帐款明细表"/>
      <sheetName val="1106应付帐款明细表"/>
      <sheetName val="1103应付帐款明细表"/>
      <sheetName val="1105应付帐款明细表"/>
      <sheetName val="1110应付帐款明细表"/>
      <sheetName val="后续pre-IPO及IPO融资计划"/>
      <sheetName val="假设受让老股股东以增资方式进入-估值测算"/>
      <sheetName val="NOPAT_VDF"/>
      <sheetName val="Invested capital_VDF"/>
      <sheetName val="DCF_VDF"/>
      <sheetName val="WACC_VDF"/>
      <sheetName val="Summary Page_VDF"/>
      <sheetName val="PV of Op Leases_VDF"/>
      <sheetName val="Income Statement_VDF"/>
      <sheetName val="1月"/>
      <sheetName val="TIG Loan Interest Calculation"/>
      <sheetName val="04收发存汇总表"/>
      <sheetName val="INVENTORY"/>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dongia (2)"/>
      <sheetName val="主营业务收入mx"/>
      <sheetName val="分录"/>
      <sheetName val="应收账款Mx"/>
      <sheetName val="应收账款"/>
      <sheetName val="主菜单"/>
      <sheetName val="FIRE Parameters"/>
      <sheetName val="COSTOxOPERAI"/>
      <sheetName val="Company Info"/>
      <sheetName val="PTC"/>
      <sheetName val="COA"/>
      <sheetName val="报告披露_FIE未执行新金融工具准则、新收入准则和新租赁准则"/>
      <sheetName val="报表披露_企业会计制度"/>
      <sheetName val="Recov"/>
      <sheetName val="Ex Rates"/>
      <sheetName val="JAC11.30"/>
      <sheetName val="Contratos"/>
      <sheetName val="A.2.b"/>
      <sheetName val="价格策略"/>
      <sheetName val="Surgical(2010)"/>
      <sheetName val="others gl"/>
      <sheetName val="CF"/>
      <sheetName val="preBS"/>
      <sheetName val="preCF"/>
      <sheetName val="preIS"/>
      <sheetName val="preCE"/>
      <sheetName val=" Trade Receivable(2)"/>
      <sheetName val="SoDRelReceivables Payables"/>
      <sheetName val="SoDRelCash Revenue"/>
      <sheetName val="SoDRelSales Cost of Sales"/>
      <sheetName val=" MATERIALS AND SUPPLIES"/>
      <sheetName val="Work Performed"/>
      <sheetName val=" IncStatementMultiAccts"/>
      <sheetName val="Changes in vendor master file"/>
      <sheetName val=" Sales, sales allowances, o(1)"/>
      <sheetName val="FG-Bat"/>
      <sheetName val="D4RP"/>
      <sheetName val="基本"/>
      <sheetName val="墙面"/>
      <sheetName val="Manual Price Book Detail"/>
      <sheetName val="Vendavo 12-17-07"/>
      <sheetName val="U110"/>
      <sheetName val="U1.6"/>
      <sheetName val="467733"/>
      <sheetName val="SCH 1B, 1B-1 &amp; 1B-2"/>
      <sheetName val="Entry_1412_-_2_x0001_021"/>
      <sheetName val="封面 Cover"/>
      <sheetName val="或有事项"/>
      <sheetName val="租赁承诺"/>
      <sheetName val="CMA Calculations- Figure 5440.1"/>
      <sheetName val="fedcapct2006"/>
      <sheetName val="E_Lead"/>
      <sheetName val="ACTINV"/>
      <sheetName val="0101主料"/>
      <sheetName val="0102中草药"/>
      <sheetName val="0104燃料"/>
      <sheetName val="0106备品备件"/>
      <sheetName val="0109辅料"/>
      <sheetName val="0110化剂"/>
      <sheetName val="0112气体"/>
      <sheetName val="0206标签"/>
      <sheetName val="0207纸箱纸盒"/>
      <sheetName val="0208瓶类"/>
      <sheetName val="0302办公用品"/>
      <sheetName val="0303工具"/>
      <sheetName val="0304玻璃仪器"/>
      <sheetName val="0399其他材料"/>
      <sheetName val="05自制半成品"/>
      <sheetName val="1xxxxxxx-6xxxxxxx"/>
      <sheetName val="재료(확정,11월19일)"/>
      <sheetName val="控制清单"/>
      <sheetName val="U1 P&amp;L"/>
      <sheetName val="KPI"/>
      <sheetName val="Basic data"/>
      <sheetName val="ITENM"/>
      <sheetName val="QAD-面套库存"/>
      <sheetName val="Disclosure Summary"/>
      <sheetName val="ExRate"/>
      <sheetName val="Manu"/>
      <sheetName val="Comp. Transaction"/>
      <sheetName val="Assum"/>
      <sheetName val="存货"/>
      <sheetName val="固定"/>
      <sheetName val="在建"/>
      <sheetName val="期间"/>
      <sheetName val="List Equip"/>
      <sheetName val="LabCost"/>
      <sheetName val="MatCost"/>
      <sheetName val="Concrete"/>
      <sheetName val="Process C (1-166)"/>
      <sheetName val="BulkPall_Var"/>
      <sheetName val="FS_0331"/>
      <sheetName val="科目余额表（2017年1-9月）"/>
      <sheetName val="N1_AT"/>
      <sheetName val="C2_WKSP"/>
      <sheetName val="A1_INP"/>
      <sheetName val="A2_TINPM"/>
      <sheetName val="A3_TINPP"/>
      <sheetName val="HP"/>
      <sheetName val="FA1"/>
      <sheetName val="SCHE-F"/>
      <sheetName val="P&amp;L-Sch"/>
      <sheetName val="EBITDA Cause of Change"/>
      <sheetName val="Margin Cause of Change by Cat"/>
      <sheetName val="索引表"/>
      <sheetName val="Amortization Schedules"/>
      <sheetName val="电子"/>
      <sheetName val="2_假设"/>
      <sheetName val="报表项目"/>
      <sheetName val="_010_10118"/>
      <sheetName val="P&amp;LALL"/>
      <sheetName val="1015"/>
      <sheetName val="2005 Sales breakdown"/>
      <sheetName val="余额表2"/>
      <sheetName val="Table 0703"/>
      <sheetName val=" FA retest"/>
      <sheetName val="Info"/>
      <sheetName val="K3"/>
      <sheetName val="披露表（上市）"/>
      <sheetName val="Mar Begining Balance"/>
      <sheetName val="Invested Capital"/>
      <sheetName val="CKS-KHH"/>
      <sheetName val="Document cover page"/>
      <sheetName val="单位名录"/>
      <sheetName val="审计程序（旧）"/>
      <sheetName val="OR"/>
      <sheetName val="附注"/>
      <sheetName val="ACC.NAME"/>
      <sheetName val="6126-30"/>
      <sheetName val="param"/>
      <sheetName val="Traduction"/>
      <sheetName val="TB_2021"/>
      <sheetName val="TB_2020"/>
      <sheetName val="TB_2019"/>
      <sheetName val="TB_2023.6.30"/>
      <sheetName val="TB_2022"/>
      <sheetName val="审定报表汇总"/>
      <sheetName val="U900"/>
      <sheetName val="Library Procedures"/>
      <sheetName val="F"/>
      <sheetName val="数据字典"/>
      <sheetName val="热力系统"/>
      <sheetName val="输入上年调整分录"/>
      <sheetName val="FZ-1"/>
      <sheetName val="FZ-2"/>
      <sheetName val="UFPrn20070303114642"/>
      <sheetName val="U200"/>
      <sheetName val="自制半成品"/>
      <sheetName val="Dec.-TB summary "/>
      <sheetName val="纳税调整明细表2009"/>
      <sheetName val="Struktur"/>
      <sheetName val="消耗品"/>
      <sheetName val="消耗品2"/>
      <sheetName val="assets"/>
      <sheetName val="By Expense"/>
      <sheetName val="By Function"/>
      <sheetName val="合同资产20230630"/>
      <sheetName val="E1_503_前瞻因子_20230630"/>
      <sheetName val="销售6.13"/>
      <sheetName val="E1020"/>
      <sheetName val="A16C"/>
      <sheetName val="NA"/>
      <sheetName val="$QUAL2002"/>
      <sheetName val="应付帐款明细表"/>
      <sheetName val="U400"/>
      <sheetName val="2001"/>
      <sheetName val="A14_g132"/>
      <sheetName val="A14_g134"/>
      <sheetName val="明细分类账"/>
      <sheetName val="COAT&amp;WRAP-QIOT-#3"/>
      <sheetName val="PNT-QUOT-#3"/>
      <sheetName val="MTO REV.2(ARMOR)"/>
      <sheetName val="Breadown-Tham khao"/>
      <sheetName val="tygia"/>
      <sheetName val="FG Inventory"/>
      <sheetName val="0.FY23 Annual Plan @20221212"/>
      <sheetName val="Lease_AP_20083"/>
      <sheetName val="Lease_AP_20093"/>
      <sheetName val="Lease_AP_2009_ITALY3"/>
      <sheetName val="EDR_Feb-093"/>
      <sheetName val="Entry_1412_-_21023"/>
      <sheetName val="PO_upload_sheet3"/>
      <sheetName val="Italy_Lease_20093"/>
      <sheetName val="REFERENCE_FILE3"/>
      <sheetName val="AP_Recap2"/>
      <sheetName val="Vendor_Data2"/>
      <sheetName val="7_(2)2"/>
      <sheetName val="Net_REVENUE2"/>
      <sheetName val="Client_Data2"/>
      <sheetName val="Detail_Loan_Move__&amp;_Listing2"/>
      <sheetName val="29-1_贴现融资-回购式2"/>
      <sheetName val="总公司2002_12_312"/>
      <sheetName val="Final_sample_listing2"/>
      <sheetName val="(i)_Fixed_assets-PBC2"/>
      <sheetName val="COSTOMAT_XLS2"/>
      <sheetName val="Detail_-_CSM_CY04_monthly2"/>
      <sheetName val="Sal_&amp;_Wage_Info2"/>
      <sheetName val="2007_12折旧差异2"/>
      <sheetName val="Air_Conditional2"/>
      <sheetName val="Motor_Vehicle2"/>
      <sheetName val="T__B2"/>
      <sheetName val="Sales_Model_Yr1"/>
      <sheetName val="IRR_&amp;_NPV2"/>
      <sheetName val="US_Bal_Sheet2"/>
      <sheetName val="Consol_worksheet-Final2"/>
      <sheetName val="Mov_from_2001_to_20032"/>
      <sheetName val="loan_database1"/>
      <sheetName val="3存放同业_(定期)1"/>
      <sheetName val="6_买入返售票据（按协议）1"/>
      <sheetName val="3存放同业_(活期)1"/>
      <sheetName val="6_买入返售票据（按票）1"/>
      <sheetName val="338_Apparel1"/>
      <sheetName val="All_Cash_Dil1"/>
      <sheetName val="Invoice_detail1"/>
      <sheetName val="Beg-_End_balance1"/>
      <sheetName val="Info__Request1"/>
      <sheetName val="C_-_Cash_and_Bank1"/>
      <sheetName val="Comp_equip1"/>
      <sheetName val="TT_template1"/>
      <sheetName val="by_category1"/>
      <sheetName val="Returns_Analysis1"/>
      <sheetName val="A500-Audit_adjustment1"/>
      <sheetName val="Staff_List1"/>
      <sheetName val="P_&amp;_L_Account1"/>
      <sheetName val="Base_Info1"/>
      <sheetName val="Veh_Info1"/>
      <sheetName val="Lease_Data_-_LC1"/>
      <sheetName val="Swap_Calculator1"/>
      <sheetName val="_U140-SalesTOT1"/>
      <sheetName val="Exchange_Rates1"/>
      <sheetName val="Chart_of_Acct1"/>
      <sheetName val="G_1R-Shou_COP_Gf1"/>
      <sheetName val="List_-_Components1"/>
      <sheetName val="List_-_Equipment1"/>
      <sheetName val="&amp;Portfolio_Changes1"/>
      <sheetName val="Cumulative_Performance1"/>
      <sheetName val="Recent_Actions1"/>
      <sheetName val="Investment_Guidelines1"/>
      <sheetName val="Performance_Summary1"/>
      <sheetName val="Investment_Review1"/>
      <sheetName val="Portfolio_Performance1"/>
      <sheetName val="&amp;Portfolio_vs__Benchmark1"/>
      <sheetName val="&amp;Portfolio_Summary_TE_Long_Int1"/>
      <sheetName val="&amp;Portfolio_Summary_TE_Short1"/>
      <sheetName val="&amp;Portfolio_Summary_Tax_Short1"/>
      <sheetName val="Portfolio_Comparison1"/>
      <sheetName val="TB_Link1"/>
      <sheetName val="Permanent_info1"/>
      <sheetName val="Income_Statement1"/>
      <sheetName val="Balance_Sheet1"/>
      <sheetName val="Altman_Z1"/>
      <sheetName val="M_Schedules1"/>
      <sheetName val="Premium_Dec_031"/>
      <sheetName val="Comparative_Balance_Sheet1"/>
      <sheetName val="Yield_Curves1"/>
      <sheetName val="VCC_11110-4611"/>
      <sheetName val="Poland_£1"/>
      <sheetName val="Bielsko_Biała1"/>
      <sheetName val="Threshold_Table1"/>
      <sheetName val="SA_Procedures_(Depreciation)1"/>
      <sheetName val="Cash_Flow1"/>
      <sheetName val="Trading_Statement1"/>
      <sheetName val="Hidden_Lists1"/>
      <sheetName val="DEFLEET_APR-051"/>
      <sheetName val="DEC_Bank1"/>
      <sheetName val="DEC_GL1"/>
      <sheetName val="Review_pts1"/>
      <sheetName val="OCT_BANK1"/>
      <sheetName val="ADJ_Summary"/>
      <sheetName val="GA_expenses_-_HRML"/>
      <sheetName val="Deferred_Dev_Cost"/>
      <sheetName val="Sheet1_(2)"/>
      <sheetName val="Tableau_d'adossement"/>
      <sheetName val="U102-U104_Detail"/>
      <sheetName val="Full_Reconciliation_4011000"/>
      <sheetName val="2020_12_31"/>
      <sheetName val="Cost_structure_Alcatel"/>
      <sheetName val="Raw_Mtl_Prep"/>
      <sheetName val="synthgraph_DCF"/>
      <sheetName val="Sundries_creditors"/>
      <sheetName val="Advance_to_staff"/>
      <sheetName val="Cust_List"/>
      <sheetName val="SUIVI_EFFECTIFS"/>
      <sheetName val="EFFECT_"/>
      <sheetName val="Financial_statement"/>
      <sheetName val="Ex_Diff"/>
      <sheetName val="P&amp;L_Report-S"/>
      <sheetName val="P&amp;L_Report-M"/>
      <sheetName val="综合成本分析01_01-0205"/>
      <sheetName val="FY01_Actuals"/>
      <sheetName val="Raw_materials"/>
      <sheetName val="A6620_Detail"/>
      <sheetName val="Sweco_DCP"/>
      <sheetName val="Ricardo_Football_Field"/>
      <sheetName val="Sweco_AVP"/>
      <sheetName val="Sweco_Business_Plan"/>
      <sheetName val="Ricardo_Business_Plan"/>
      <sheetName val="Sweco_Football_Field"/>
      <sheetName val="Ricardo_DCP"/>
      <sheetName val="Ricardo_AVP"/>
      <sheetName val="3__Other_gains"/>
      <sheetName val="23"/>
      <sheetName val="目标成本"/>
      <sheetName val="_______"/>
      <sheetName val="核算项目余额表"/>
      <sheetName val="MasterList"/>
      <sheetName val="试算平衡表13"/>
      <sheetName val="营业外9"/>
      <sheetName val="（1）固定资产情况底稿"/>
      <sheetName val="EmphasisList"/>
      <sheetName val="Upload"/>
      <sheetName val="SBUList"/>
      <sheetName val="长期待摊费用审定表"/>
      <sheetName val="利润"/>
      <sheetName val="资产"/>
      <sheetName val="TB2000"/>
      <sheetName val="TB2001"/>
      <sheetName val="毛利率分析表"/>
      <sheetName val="利润及利润分配表"/>
      <sheetName val="ACTABLE"/>
      <sheetName val="COMMON"/>
      <sheetName val="01ADDL.F.A."/>
      <sheetName val="WEEKLYVLS"/>
      <sheetName val="Act &amp; Est13"/>
      <sheetName val="SDE SF AK"/>
      <sheetName val="cost variance vs MYF"/>
      <sheetName val="cmg SF exp"/>
      <sheetName val="ACTUAL2001"/>
      <sheetName val="PRODUCT COSTING FOSHAN(Local)"/>
      <sheetName val=" YEFcst2001"/>
      <sheetName val="6 Aug"/>
      <sheetName val="MM"/>
      <sheetName val="cmg SF"/>
      <sheetName val="5nr"/>
      <sheetName val="cmg VHP CH"/>
      <sheetName val="_003.3固定资产"/>
      <sheetName val="Black list"/>
      <sheetName val="Forecast"/>
      <sheetName val="合同台帐"/>
      <sheetName val="主要规划指标"/>
      <sheetName val="III-1-10"/>
      <sheetName val="III-1-9"/>
      <sheetName val="III-1-1"/>
      <sheetName val="J301"/>
      <sheetName val="J200"/>
      <sheetName val="单位名称"/>
      <sheetName val="CE-1"/>
      <sheetName val="業種マスター"/>
      <sheetName val="detailitems_11"/>
      <sheetName val="detailitems_111"/>
      <sheetName val="detailitems_112"/>
      <sheetName val="detailitems_113"/>
      <sheetName val="detailitems_114"/>
      <sheetName val="detailitems_117"/>
      <sheetName val="detailitems_118"/>
      <sheetName val="detailitems_13"/>
      <sheetName val="detailitems_150"/>
      <sheetName val="detailitems_152"/>
      <sheetName val="detailitems_158"/>
      <sheetName val="detailitems_159"/>
      <sheetName val="detailitems_160"/>
      <sheetName val="detailitems_161"/>
      <sheetName val="detailitems_162"/>
      <sheetName val="detailitems_163"/>
      <sheetName val="detailitems_166"/>
      <sheetName val="detailitems_182"/>
      <sheetName val="detailitems_183"/>
      <sheetName val="detailitems_184"/>
      <sheetName val="detailitems_185"/>
      <sheetName val="detailitems_186"/>
      <sheetName val="detailitems_187"/>
      <sheetName val="detailitems_188"/>
      <sheetName val="detailitems_189"/>
      <sheetName val="detailitems_192"/>
      <sheetName val="detailitems_193"/>
      <sheetName val="detailitems_194"/>
      <sheetName val="detailitems_195"/>
      <sheetName val="detailitems_196"/>
      <sheetName val="detailitems_197"/>
      <sheetName val="detailitems_198"/>
      <sheetName val="detailitems_199"/>
      <sheetName val="detailitems_2"/>
      <sheetName val="detailitems_23"/>
      <sheetName val="detailitems_26"/>
      <sheetName val="detailitems_300"/>
      <sheetName val="detailitems_301"/>
      <sheetName val="detailitems_302"/>
      <sheetName val="detailitems_303"/>
      <sheetName val="detailitems_304"/>
      <sheetName val="detailitems_305"/>
      <sheetName val="detailitems_306"/>
      <sheetName val="detailitems_307"/>
      <sheetName val="detailitems_308"/>
      <sheetName val="detailitems_309"/>
      <sheetName val="detailitems_310"/>
      <sheetName val="detailitems_311"/>
      <sheetName val="detailitems_312"/>
      <sheetName val="detailitems_313"/>
      <sheetName val="detailitems_317"/>
      <sheetName val="detailitems_318"/>
      <sheetName val="detailitems_319"/>
      <sheetName val="detailitems_320"/>
      <sheetName val="detailitems_321"/>
      <sheetName val="detailitems_322"/>
      <sheetName val="detailitems_323"/>
      <sheetName val="detailitems_324"/>
      <sheetName val="detailitems_325"/>
      <sheetName val="detailitems_327"/>
      <sheetName val="detailitems_41"/>
      <sheetName val="detailitems_44"/>
      <sheetName val="detailitems_47"/>
      <sheetName val="detailitems_51"/>
      <sheetName val="detailitems_52"/>
      <sheetName val="detailitems_53"/>
      <sheetName val="detailitems_54"/>
      <sheetName val="detailitems_58"/>
      <sheetName val="detailitems_59"/>
      <sheetName val="detailitems_61"/>
      <sheetName val="detailitems_62"/>
      <sheetName val="detailitems_63"/>
      <sheetName val="detailitems_64"/>
      <sheetName val="detailitems_66"/>
      <sheetName val="detailitems_67"/>
      <sheetName val="detailitems_68"/>
      <sheetName val="detailitems_70"/>
      <sheetName val="detailitems_71"/>
      <sheetName val="detailitems_72"/>
      <sheetName val="detailitems_73"/>
      <sheetName val="detailitems_74"/>
      <sheetName val="detailitems_8"/>
      <sheetName val="detailitems_80"/>
      <sheetName val="detailitems_81"/>
      <sheetName val="detailitems_82"/>
      <sheetName val="detailitems_84"/>
      <sheetName val="detailitems_9"/>
      <sheetName val="detailitems_95"/>
      <sheetName val="detailitems_99"/>
      <sheetName val="product"/>
      <sheetName val="SAP 01-12-31"/>
      <sheetName val="OutSum"/>
      <sheetName val="List Sheet"/>
      <sheetName val="schedule"/>
      <sheetName val="Freight Issues"/>
      <sheetName val="Service Parts Rejects (RPPM)"/>
      <sheetName val="Technical"/>
      <sheetName val="合成単価作成・-BLDG"/>
      <sheetName val="CTS"/>
      <sheetName val="COS"/>
      <sheetName val="BalanceSheet"/>
      <sheetName val="FY 2004"/>
      <sheetName val="Calc &amp; Export"/>
      <sheetName val="Carryover 2004"/>
      <sheetName val="Corpalloc"/>
      <sheetName val="Report"/>
      <sheetName val="AOP Exec Summary"/>
      <sheetName val="W.REG"/>
      <sheetName val="上海静安店"/>
      <sheetName val="持有至到期投资"/>
      <sheetName val="递延所得税资产和递延所得税负债"/>
      <sheetName val="短期借款"/>
      <sheetName val="股本"/>
      <sheetName val="固定资产"/>
      <sheetName val="可供出售金融资产"/>
      <sheetName val="母公司(投资收益)"/>
      <sheetName val="母公司(长期股权投资)"/>
      <sheetName val="其他事项说明"/>
      <sheetName val="其他综合收益"/>
      <sheetName val="生产性生物资产"/>
      <sheetName val="投资收益"/>
      <sheetName val="应付债券"/>
      <sheetName val="应付职工薪酬"/>
      <sheetName val="应收票据"/>
      <sheetName val="营业收入及营业成本"/>
      <sheetName val="预付款项"/>
      <sheetName val="在建工程"/>
      <sheetName val="长期股权投资"/>
      <sheetName val="长期应付款"/>
      <sheetName val="长期应收款"/>
      <sheetName val="INPUT WH"/>
      <sheetName val="Exh B-5"/>
      <sheetName val="Exh B-2"/>
      <sheetName val="Exh B-6"/>
      <sheetName val="Exh B-8"/>
      <sheetName val="Exh B-4"/>
      <sheetName val="Exh B-3"/>
      <sheetName val="Exh B-7"/>
      <sheetName val="Exh B-1"/>
      <sheetName val="LBOSHELL"/>
      <sheetName val="Change Log"/>
      <sheetName val="Ass"/>
      <sheetName val="Depr"/>
      <sheetName val="PCP"/>
      <sheetName val="IS"/>
      <sheetName val="Presentation"/>
      <sheetName val="Cost &amp; Expenses"/>
      <sheetName val="Value"/>
      <sheetName val="Man"/>
      <sheetName val="Working Cap"/>
      <sheetName val="Invest"/>
      <sheetName val="Coding"/>
      <sheetName val="Other expenses"/>
      <sheetName val="USPCL"/>
      <sheetName val="TB96"/>
      <sheetName val="TB97"/>
      <sheetName val="AFS-PL"/>
      <sheetName val="4-货币资金-现金"/>
      <sheetName val="adj."/>
      <sheetName val="K110"/>
      <sheetName val="O111"/>
      <sheetName val="FY02"/>
      <sheetName val="报表标准名称"/>
      <sheetName val="1.計数実績"/>
      <sheetName val="公司基本资料"/>
      <sheetName val="参数设定"/>
      <sheetName val="Quantity"/>
      <sheetName val="营业成本Dy"/>
      <sheetName val="Repayment Summary"/>
      <sheetName val="日産ｺﾓﾝR"/>
      <sheetName val="Economic evaluation - FY98 base"/>
      <sheetName val="往来账龄-RPT"/>
      <sheetName val="CIP"/>
      <sheetName val="内销收人"/>
      <sheetName val="Tailored procedures"/>
      <sheetName val="2月"/>
      <sheetName val="CA Sheet"/>
      <sheetName val="cg"/>
      <sheetName val="Lookup tabels"/>
      <sheetName val="数字视频并帐"/>
      <sheetName val="121105"/>
      <sheetName val="列表"/>
      <sheetName val="analyse"/>
      <sheetName val="抽凭"/>
      <sheetName val="其他资产"/>
      <sheetName val="其他附注"/>
      <sheetName val="PROOF"/>
      <sheetName val="196-4"/>
      <sheetName val="其他业务收支_杨2"/>
      <sheetName val="CIP&lt;1&gt;_杨2"/>
      <sheetName val="FA_Roll_to_GL_(p_2)2"/>
      <sheetName val="Lead_(p_1)2"/>
      <sheetName val="NOTE_292"/>
      <sheetName val="No_4-3_現金同等物明細2"/>
      <sheetName val="CA_consolidated2"/>
      <sheetName val="1_1_Project_Data1"/>
      <sheetName val="U434_Sample_pool20081"/>
      <sheetName val="1102_(2)1"/>
      <sheetName val="Chart_of_Account1"/>
      <sheetName val="Antivol_D21"/>
      <sheetName val="ADJ_Sum(console)1"/>
      <sheetName val="HanCai_cost_DT1"/>
      <sheetName val="HanE_cost_DT1"/>
      <sheetName val="ASN_cost_DT1"/>
      <sheetName val="ASN_FV_DT1"/>
      <sheetName val="HanCai_FV_DT1"/>
      <sheetName val="HanE_FV_DT1"/>
      <sheetName val="Currency_Codes1"/>
      <sheetName val="Variance_threshold1"/>
      <sheetName val="3A_FA_Record1"/>
      <sheetName val="9B_RUL_Range1"/>
      <sheetName val="#1_Basic1"/>
      <sheetName val="FC_switches1"/>
      <sheetName val="TDC_COA_Sumry1"/>
      <sheetName val="TDC_Item_Dets1"/>
      <sheetName val="TDC_Item_Sumry1"/>
      <sheetName val="TDC_Key_Qty_Sumry1"/>
      <sheetName val="COA_Sumry_-_Std_Imp1"/>
      <sheetName val="Contr_TDC_-_Std_Imp1"/>
      <sheetName val="Item_Sumry_-_Std_Imp1"/>
      <sheetName val="Unit_Costs_-_Std_Imp1"/>
      <sheetName val="Unit_MH_-_Std_Imp1"/>
      <sheetName val="Proj_TIC_-_Std_Imp1"/>
      <sheetName val="Control_Panel1"/>
      <sheetName val="Update_check"/>
      <sheetName val="h1h2_model"/>
      <sheetName val="A3_&amp;_U_09-01"/>
      <sheetName val="Sheet1_(11)"/>
      <sheetName val="08_8"/>
      <sheetName val="Mach_&amp;_equip"/>
      <sheetName val="To_tied_2001_opening_RE"/>
      <sheetName val="BOX_SUM"/>
      <sheetName val="FIN_GOOD"/>
      <sheetName val="1999_BUDGET"/>
      <sheetName val="Gross_Margin1"/>
      <sheetName val="TPQ_INDEX"/>
      <sheetName val="YTD_Summary"/>
      <sheetName val="Graph_1"/>
      <sheetName val="IS_Summary-96"/>
      <sheetName val="Month_8"/>
      <sheetName val="O_500_IIT"/>
      <sheetName val="O_100CIT_Reco"/>
      <sheetName val="L310-Adjustment_for_R&amp;D_cost"/>
      <sheetName val="PH_Car"/>
      <sheetName val="PBC_-_PHS"/>
      <sheetName val="Adjustment_summary"/>
      <sheetName val="现_金_流_量_表"/>
      <sheetName val="Credit_Check"/>
      <sheetName val="P&amp;L_(AR_version)"/>
      <sheetName val="6a_bank_loan_&amp;_bond_analysis"/>
      <sheetName val="Summary_of_Bank_loan_and_bond"/>
      <sheetName val="BPC_input"/>
      <sheetName val="capital_structures"/>
      <sheetName val="cashflow_statement"/>
      <sheetName val="cashflow_statement_spreadsheet"/>
      <sheetName val="checking_Dep_DT"/>
      <sheetName val="P&amp;L_for_company_(AR_version)"/>
      <sheetName val="2021_interim"/>
      <sheetName val="COS_breakdown_working"/>
      <sheetName val="Deferred_tax"/>
      <sheetName val="1_highlights_and_ratio"/>
      <sheetName val="inter_CA_input"/>
      <sheetName val="Intercom_int"/>
      <sheetName val="SUMMARY_RMB"/>
      <sheetName val="2_PL_shortform"/>
      <sheetName val="rmb_fa_wrkng"/>
      <sheetName val="statutory_reserves"/>
      <sheetName val="SUMMARY_before_elim"/>
      <sheetName val="SUMMARY_MoM"/>
      <sheetName val="Understand_the_client"/>
      <sheetName val="Total_Financials"/>
      <sheetName val="_"/>
      <sheetName val="Office_Improve"/>
      <sheetName val="V_Lead_"/>
      <sheetName val="管理费用_"/>
      <sheetName val="PRC_GAAP"/>
      <sheetName val="last_op_"/>
      <sheetName val="资产评估结果分类汇总表_(2)"/>
      <sheetName val="Wh_&amp;_Office_Exp"/>
      <sheetName val="审计程序_(2)"/>
      <sheetName val="For_report_WL"/>
      <sheetName val="Lessee_Import_new_lease"/>
      <sheetName val="Benefit_Tracking"/>
      <sheetName val="Benefit_Form"/>
      <sheetName val="payroll_"/>
      <sheetName val="3_2"/>
      <sheetName val="WACC_Inputs"/>
      <sheetName val="PAX_&amp;_SEATS_%"/>
      <sheetName val="M_P_S_"/>
      <sheetName val="Breakdown_9_30"/>
      <sheetName val="Chart_of_acct_"/>
      <sheetName val="Leadsheet_Template"/>
      <sheetName val="Input_Sheet"/>
      <sheetName val="Romford_Market"/>
      <sheetName val="2007_04_KE5Z_detail"/>
      <sheetName val="其它销售成本_A4"/>
      <sheetName val="IFRS#7-1_stock_provision"/>
      <sheetName val="Non-Statistical_Sampling_Master"/>
      <sheetName val="Two_Step_Revenue_Testing_Master"/>
      <sheetName val="Base_基础"/>
      <sheetName val="humen_DT"/>
      <sheetName val="Northring_DT"/>
      <sheetName val="GWSR_Cost_DT"/>
      <sheetName val="shantou_DT"/>
      <sheetName val="Qinglian_Ex_only_DT"/>
      <sheetName val="Tianjin_cost_DT"/>
      <sheetName val="GNSR_FV_DT"/>
      <sheetName val="cangyu_fv_DT"/>
      <sheetName val="Tianjin_-_fv_DT"/>
      <sheetName val="hanxiao_FV"/>
      <sheetName val="changzhu_FV_DT"/>
      <sheetName val="GNSR_cost_DT"/>
      <sheetName val="WeiXu_FV_DT"/>
      <sheetName val="changzhu_cost_DT"/>
      <sheetName val="cangyu_cost_DT"/>
      <sheetName val="hanxiao_cost_DT"/>
      <sheetName val="weixu_cost_DT"/>
      <sheetName val="SYN_cost_DT"/>
      <sheetName val="SYN_FV_DT"/>
      <sheetName val="12_APaging附表"/>
      <sheetName val="Daily_net_avail"/>
      <sheetName val="Capital_leases"/>
      <sheetName val="各门店17_5费用明细"/>
      <sheetName val="各门店17_5收入利润"/>
      <sheetName val="2017_6门店费用"/>
      <sheetName val="2017_6门店开业时间汇总"/>
      <sheetName val="4_门店信息汇总Output(运营版本）"/>
      <sheetName val="2017_6门店收入利润"/>
      <sheetName val="Vis_Exp"/>
      <sheetName val="PRC_15"/>
      <sheetName val="Sch_PR-2"/>
      <sheetName val="Sch_PR-3"/>
      <sheetName val="3rd_Qtr"/>
      <sheetName val="5th_Qtr"/>
      <sheetName val="6th_Qtr"/>
      <sheetName val="7th_Qtr"/>
      <sheetName val="Exit_Forecast"/>
      <sheetName val="2nd_Qtr"/>
      <sheetName val="Rounded_Input"/>
      <sheetName val="short_term_loan"/>
      <sheetName val="ocean_voyage"/>
      <sheetName val="06_11_24SAP"/>
      <sheetName val="&lt;FF&gt;_Tax_Payable"/>
      <sheetName val="Finance_Cost_Center"/>
      <sheetName val="Financ__Overview"/>
      <sheetName val="E-Client_Information"/>
      <sheetName val="Trial_Bal_"/>
      <sheetName val="6_比較資產負債表"/>
      <sheetName val="0-2_資料聯"/>
      <sheetName val="0-1_基本資料"/>
      <sheetName val="4_損益表"/>
      <sheetName val="9_各類給付扣繳表"/>
      <sheetName val="Q_CF-E01"/>
      <sheetName val="Sch_9"/>
      <sheetName val="statement_1998"/>
      <sheetName val="XVIa(i)_-_average_price_(2)"/>
      <sheetName val="Occupancy_2004"/>
      <sheetName val="-PLEASE_NOTE-"/>
      <sheetName val="02__Italy_Rents_2009_-_Feb09"/>
      <sheetName val="Drop_Down"/>
      <sheetName val="CON_MR2K_AL_ck"/>
      <sheetName val="1__Scoping"/>
      <sheetName val="2__Expectation"/>
      <sheetName val="3__Variance_threshold"/>
      <sheetName val="INPUT_rates"/>
      <sheetName val="Finished_Goods"/>
      <sheetName val="1__Project_Hypothesis"/>
      <sheetName val="5__Capacity_and_Investment"/>
      <sheetName val="finance_inputs_and_calculations"/>
      <sheetName val="PDP_(GP-IRR-Cash_Flow)"/>
      <sheetName val="4__WORKPLAN"/>
      <sheetName val="12__BOM_Customer"/>
      <sheetName val="13__LTA Calculation_(optional)"/>
      <sheetName val="10__Cover_page"/>
      <sheetName val="Revision_follow_up"/>
      <sheetName val="2__Forecast"/>
      <sheetName val="6__Tooling_(for_Customer)"/>
      <sheetName val="Global_Data"/>
      <sheetName val="1_Lillysummary"/>
      <sheetName val="truc tiep"/>
      <sheetName val="국문FS(제조원가 반영전)"/>
      <sheetName val="ARP_U501"/>
      <sheetName val="CRE"/>
      <sheetName val="Salesfor2001"/>
      <sheetName val="FA list"/>
      <sheetName val="BEER-PRO"/>
      <sheetName val="model"/>
      <sheetName val="Summery"/>
      <sheetName val="gcl-BS"/>
      <sheetName val="gcl-PL"/>
      <sheetName val="Print"/>
      <sheetName val="Services Proposal - Track II"/>
      <sheetName val="CH Qs Form"/>
      <sheetName val="corvar"/>
      <sheetName val="for disclosure"/>
      <sheetName val="中山低值"/>
      <sheetName val="贷方"/>
      <sheetName val="detailitems_1"/>
      <sheetName val="detailitems_10"/>
      <sheetName val="detailitems_100"/>
      <sheetName val="detailitems_101"/>
      <sheetName val="detailitems_102"/>
      <sheetName val="detailitems_115"/>
      <sheetName val="detailitems_116"/>
      <sheetName val="detailitems_119"/>
      <sheetName val="detailitems_12"/>
      <sheetName val="detailitems_120"/>
      <sheetName val="detailitems_121"/>
      <sheetName val="detailitems_122"/>
      <sheetName val="detailitems_123"/>
      <sheetName val="detailitems_124"/>
      <sheetName val="detailitems_125"/>
      <sheetName val="detailitems_126"/>
      <sheetName val="detailitems_127"/>
      <sheetName val="detailitems_14"/>
      <sheetName val="detailitems_151"/>
      <sheetName val="detailitems_153"/>
      <sheetName val="detailitems_154"/>
      <sheetName val="detailitems_155"/>
      <sheetName val="detailitems_156"/>
      <sheetName val="detailitems_157"/>
      <sheetName val="detailitems_16"/>
      <sheetName val="detailitems_164"/>
      <sheetName val="detailitems_165"/>
      <sheetName val="detailitems_167"/>
      <sheetName val="detailitems_168"/>
      <sheetName val="detailitems_169"/>
      <sheetName val="detailitems_17"/>
      <sheetName val="detailitems_170"/>
      <sheetName val="detailitems_171"/>
      <sheetName val="detailitems_172"/>
      <sheetName val="detailitems_173"/>
      <sheetName val="detailitems_174"/>
      <sheetName val="detailitems_175"/>
      <sheetName val="detailitems_176"/>
      <sheetName val="detailitems_177"/>
      <sheetName val="detailitems_178"/>
      <sheetName val="detailitems_179"/>
      <sheetName val="detailitems_18"/>
      <sheetName val="detailitems_180"/>
      <sheetName val="detailitems_181"/>
      <sheetName val="detailitems_19"/>
      <sheetName val="detailitems_190"/>
      <sheetName val="detailitems_191"/>
      <sheetName val="detailitems_20"/>
      <sheetName val="detailitems_21"/>
      <sheetName val="detailitems_22"/>
      <sheetName val="detailitems_24"/>
      <sheetName val="detailitems_27"/>
      <sheetName val="detailitems_3"/>
      <sheetName val="detailitems_314"/>
      <sheetName val="detailitems_315"/>
      <sheetName val="detailitems_35"/>
      <sheetName val="detailitems_36"/>
      <sheetName val="detailitems_37"/>
      <sheetName val="detailitems_38"/>
      <sheetName val="detailitems_39"/>
      <sheetName val="detailitems_4"/>
      <sheetName val="detailitems_400"/>
      <sheetName val="detailitems_42"/>
      <sheetName val="detailitems_43"/>
      <sheetName val="detailitems_45"/>
      <sheetName val="detailitems_46"/>
      <sheetName val="detailitems_48"/>
      <sheetName val="detailitems_49"/>
      <sheetName val="detailitems_5"/>
      <sheetName val="detailitems_50"/>
      <sheetName val="detailitems_56"/>
      <sheetName val="detailitems_6"/>
      <sheetName val="detailitems_60"/>
      <sheetName val="detailitems_65"/>
      <sheetName val="detailitems_69"/>
      <sheetName val="detailitems_7"/>
      <sheetName val="detailitems_75"/>
      <sheetName val="detailitems_76"/>
      <sheetName val="detailitems_77"/>
      <sheetName val="detailitems_78"/>
      <sheetName val="detailitems_79"/>
      <sheetName val="detailitems_83"/>
      <sheetName val="detailitems_85"/>
      <sheetName val="detailitems_86"/>
      <sheetName val="detailitems_87"/>
      <sheetName val="detailitems_88"/>
      <sheetName val="detailitems_89"/>
      <sheetName val="detailitems_90"/>
      <sheetName val="detailitems_91"/>
      <sheetName val="detailitems_92"/>
      <sheetName val="detailitems_93"/>
      <sheetName val="detailitems_94"/>
      <sheetName val="detailitems_96"/>
      <sheetName val="detailitems_97"/>
      <sheetName val="detailitems_98"/>
      <sheetName val="detailitems_999"/>
      <sheetName val="FS item Listing"/>
      <sheetName val="Tag analysis"/>
      <sheetName val="202 normal"/>
      <sheetName val="K311 A_List02"/>
      <sheetName val="FIXTURES IN LH PREMISES 0002"/>
      <sheetName val="INSS1"/>
      <sheetName val="Upload Apr 13"/>
      <sheetName val="Group_Cash flow"/>
      <sheetName val="存货汇总表10"/>
      <sheetName val="集計Detail①"/>
      <sheetName val="Sales Master SKU"/>
      <sheetName val="WAPiTi NZ"/>
      <sheetName val="7 - ARO Assumptions"/>
      <sheetName val="取引先別BL"/>
      <sheetName val="核对表"/>
      <sheetName val="17其他资产"/>
      <sheetName val="N201"/>
      <sheetName val="YTD-Entity"/>
      <sheetName val="17. Non consolidated stock"/>
      <sheetName val="General Data"/>
      <sheetName val="Liabilities"/>
      <sheetName val="P-L"/>
      <sheetName val="14. Fixed assets"/>
      <sheetName val="13. Intangible assets"/>
      <sheetName val="Börskurser"/>
      <sheetName val="603店"/>
      <sheetName val="14.04.03"/>
      <sheetName val="Checkbook"/>
      <sheetName val="Table calendaire"/>
      <sheetName val="Table paiements"/>
      <sheetName val="Table Fournisseurs"/>
      <sheetName val="STRAT PLAN WKSHT"/>
      <sheetName val="insurance"/>
      <sheetName val="PROATIVOS"/>
      <sheetName val="A3_Lead"/>
      <sheetName val="Tax rate1"/>
      <sheetName val="5 Analysis"/>
      <sheetName val="ARP-U311"/>
      <sheetName val="ARP-U321"/>
      <sheetName val="AGRO-DATA"/>
      <sheetName val="cathayforecasts"/>
      <sheetName val="FIAT"/>
      <sheetName val="By Monthly APR &amp; SPENDING(KCNY)"/>
      <sheetName val="cmg 68TF exp"/>
      <sheetName val="link killer"/>
      <sheetName val="存货差异分析表"/>
      <sheetName val="103105"/>
      <sheetName val="VA"/>
      <sheetName val="基本信息输入"/>
      <sheetName val="Useful Lives"/>
      <sheetName val="vol can rop"/>
      <sheetName val="VOL CAN CARAT"/>
      <sheetName val="PDMTONFFR"/>
      <sheetName val="PDMVALPLF"/>
      <sheetName val="PDMVALYOG"/>
      <sheetName val="PDMVALDES"/>
      <sheetName val="PDMVALFFR"/>
      <sheetName val="Template"/>
      <sheetName val="Vendas Tons"/>
      <sheetName val="C.Estr."/>
      <sheetName val="COSTAB97"/>
      <sheetName val="indice"/>
      <sheetName val="mixprod"/>
      <sheetName val="raf"/>
      <sheetName val="rce"/>
      <sheetName val="CAB"/>
      <sheetName val="abcd"/>
      <sheetName val="维护"/>
      <sheetName val="Prefinal-LT Prepaid "/>
      <sheetName val="建行R"/>
      <sheetName val="001Disclosure Summary"/>
      <sheetName val="FA movement"/>
      <sheetName val="SW-TEO"/>
      <sheetName val="辽宁三生库存商品总帐2005 3.1.3a"/>
      <sheetName val="LCGRAPH"/>
      <sheetName val="ce"/>
      <sheetName val="CECO"/>
      <sheetName val="合并附注"/>
      <sheetName val="2货站"/>
      <sheetName val="递延税款Dy"/>
      <sheetName val="资本公积Dy"/>
      <sheetName val="盈余公积Dy"/>
      <sheetName val="未分配利润Dy"/>
      <sheetName val="补贴收入Dy"/>
      <sheetName val="所得税Dy"/>
      <sheetName val="应收账款Dy"/>
      <sheetName val="坏账准备_应收账款Dy"/>
      <sheetName val="预收账款Dy"/>
      <sheetName val="应交税金Dy"/>
      <sheetName val="其他应交款Dy"/>
      <sheetName val="主营业务收入Dy"/>
      <sheetName val="坏账准备_应收账款Mx"/>
      <sheetName val="Corporate (Paste)"/>
      <sheetName val="SMD"/>
      <sheetName val="_102中草药"/>
      <sheetName val="_104燃料"/>
      <sheetName val="_106备品备件"/>
      <sheetName val="_108劳保"/>
      <sheetName val="_109辅料"/>
      <sheetName val="_110化剂"/>
      <sheetName val="_112气体"/>
      <sheetName val="_206标签"/>
      <sheetName val="_207纸箱纸盒"/>
      <sheetName val="_208瓶类"/>
      <sheetName val="_302办公用品"/>
      <sheetName val="_303工具"/>
      <sheetName val="_304玻璃仪器"/>
      <sheetName val="_399其他材料"/>
      <sheetName val="_4产成品"/>
      <sheetName val="_5自制半成品"/>
      <sheetName val="ACM0131(GT)"/>
      <sheetName val="System"/>
      <sheetName val="频度分析"/>
      <sheetName val="EntityList"/>
      <sheetName val="Libor"/>
      <sheetName val="99buddepr"/>
      <sheetName val="MV"/>
      <sheetName val="Freezers"/>
      <sheetName val="By Brand"/>
      <sheetName val="N"/>
      <sheetName val="CRI -CR(HK) unreal"/>
      <sheetName val="Engineers"/>
      <sheetName val="zfi044-ALL"/>
      <sheetName val="差1-2"/>
      <sheetName val="Chart of Accounts"/>
      <sheetName val="审计项目信息"/>
      <sheetName val="应收出口退税"/>
      <sheetName val="RECAP RETURNS"/>
      <sheetName val="钻井(调整)"/>
      <sheetName val="Option Summary"/>
      <sheetName val="Financial Statements"/>
      <sheetName val="BilanzDaten2001_2004_Upos"/>
      <sheetName val="incomestatement"/>
      <sheetName val="Workings"/>
      <sheetName val="维多利实收明细(05.1-4)"/>
      <sheetName val="Structure Sensitivity"/>
      <sheetName val="Old"/>
      <sheetName val="Operating Assumptions"/>
      <sheetName val="COMDEX"/>
      <sheetName val="KINGSTON"/>
      <sheetName val="SB NON CONSOLIDATED"/>
      <sheetName val="OTHER"/>
      <sheetName val="SBH"/>
      <sheetName val="SBH Non-BK"/>
      <sheetName val="SBNET"/>
      <sheetName val="SBPUB"/>
      <sheetName val="CONTENTS"/>
      <sheetName val="FORUMS"/>
      <sheetName val="SBC"/>
      <sheetName val="ZDAVIS"/>
      <sheetName val="F汇总"/>
      <sheetName val="AVP"/>
      <sheetName val="Output2"/>
      <sheetName val="Module6"/>
      <sheetName val="Output &amp; Financial Statements"/>
      <sheetName val="MainPrintCode"/>
      <sheetName val="FS Output 4"/>
      <sheetName val="FS Output 1"/>
      <sheetName val="FS Output 3"/>
      <sheetName val="FS Output2"/>
      <sheetName val="Deal Structure &amp; Control Page"/>
      <sheetName val="Historic Comps"/>
      <sheetName val="Synergies"/>
      <sheetName val="WEEKLYSTD"/>
      <sheetName val="Information"/>
      <sheetName val="Master_Table"/>
      <sheetName val="FRP"/>
      <sheetName val="AP"/>
      <sheetName val="TAX"/>
      <sheetName val="AU"/>
      <sheetName val="DK"/>
      <sheetName val="PA"/>
      <sheetName val="RU"/>
      <sheetName val="P&amp;L PP"/>
      <sheetName val="Flash-pp"/>
      <sheetName val="PY-pp"/>
      <sheetName val="MYF-pp"/>
      <sheetName val="PRC-Adjusted"/>
      <sheetName val="G201"/>
      <sheetName val="G301"/>
      <sheetName val="ARP-U101"/>
      <sheetName val="ARP-U301"/>
      <sheetName val="U401"/>
      <sheetName val="信息费用预算表(A4) "/>
      <sheetName val="研发费用预算明细表A3"/>
      <sheetName val="SIL"/>
      <sheetName val="CHART_E"/>
      <sheetName val="dep08"/>
      <sheetName val="正・営・契"/>
      <sheetName val="Bacis"/>
      <sheetName val="AOP FY 99"/>
      <sheetName val="生皮,盐"/>
      <sheetName val="Data Validation"/>
      <sheetName val="K-0 PPE Overview PSP_OSP"/>
      <sheetName val="Headcount"/>
      <sheetName val="Macro1"/>
      <sheetName val="储藏室"/>
      <sheetName val="A01"/>
      <sheetName val="原材料"/>
      <sheetName val="OP Assets"/>
      <sheetName val="固定资产增减表#0.00_ "/>
      <sheetName val="提示表"/>
      <sheetName val="Semi-An CF"/>
      <sheetName val="DSO"/>
      <sheetName val="FA"/>
      <sheetName val="ROI"/>
      <sheetName val="WC"/>
      <sheetName val="ave Capital"/>
      <sheetName val="ave WC"/>
      <sheetName val="balsht"/>
      <sheetName val="chartofaccts"/>
      <sheetName val="COGS"/>
      <sheetName val="CountryCode"/>
      <sheetName val="EBIT"/>
      <sheetName val="IncStmt w_Details"/>
      <sheetName val="Instructions"/>
      <sheetName val="date"/>
      <sheetName val="PASTETABLE"/>
      <sheetName val="S&amp;Aexp"/>
      <sheetName val="Fixed OH&amp;Vol"/>
      <sheetName val="Hist Prices"/>
      <sheetName val="VSPA"/>
      <sheetName val="标本-资产"/>
      <sheetName val=""/>
      <sheetName val="PM Budget"/>
      <sheetName val="A5"/>
      <sheetName val="Audited PL"/>
      <sheetName val="Les Cèdres"/>
      <sheetName val="Funds flow memo"/>
      <sheetName val="市场法案例"/>
      <sheetName val=" 弃"/>
      <sheetName val="EDISON-2"/>
      <sheetName val="资产品名库"/>
      <sheetName val="字典(不需输入)"/>
      <sheetName val="Andy"/>
      <sheetName val="应收票据Dy"/>
      <sheetName val="CONSSID12-96"/>
      <sheetName val="aging 1003"/>
      <sheetName val="aging 1103"/>
      <sheetName val="aging 1203"/>
      <sheetName val="aging 0803"/>
      <sheetName val="tot.invest"/>
      <sheetName val="tot.invest&amp;fund raising "/>
      <sheetName val="总成本费用"/>
      <sheetName val="外销涤布"/>
      <sheetName val="FA lead"/>
      <sheetName val="rental"/>
      <sheetName val="Main Menu"/>
      <sheetName val="具体产品毛利"/>
      <sheetName val="G101(OK)"/>
      <sheetName val="cov"/>
      <sheetName val="Segment"/>
      <sheetName val="Adiantamentos"/>
      <sheetName val="Sale summary"/>
      <sheetName val="장비명"/>
      <sheetName val="10월시간수당"/>
      <sheetName val="11월시간수당"/>
      <sheetName val="12월시간수당"/>
      <sheetName val="MOD 7 SIN"/>
      <sheetName val="SCB-arrangment fee"/>
      <sheetName val="Consolidation schedules"/>
      <sheetName val="S145曲阜"/>
      <sheetName val="Residential Properties 20181231"/>
      <sheetName val="S128恒基大庆"/>
      <sheetName val="S083诸暨越都预收"/>
      <sheetName val="S083诸暨越都"/>
      <sheetName val="S223淄博预收"/>
      <sheetName val="内部往来"/>
      <sheetName val="代码"/>
      <sheetName val="对应代码"/>
      <sheetName val="二期在职"/>
      <sheetName val="资金来源与运用表"/>
      <sheetName val="新科目余额"/>
      <sheetName val="BJ Expenses"/>
      <sheetName val="Sample Rev"/>
      <sheetName val="Sample IS"/>
      <sheetName val="Probability View"/>
      <sheetName val="FY04ExpDetail"/>
      <sheetName val="G301(01)"/>
      <sheetName val="Setting"/>
      <sheetName val="SkywindSettingSheet"/>
      <sheetName val="E1_100ARBreakdown"/>
      <sheetName val="E2_100应收票据Breakdown"/>
      <sheetName val="E1_100保理业务"/>
      <sheetName val="E1_100保理业务终止确认判断"/>
      <sheetName val="ECL_决策树"/>
      <sheetName val="E110_逾期金额per client"/>
      <sheetName val="E1_510_AR 账龄复核 FIFO（账龄）"/>
      <sheetName val="E1_510_AR 账龄复核（第三方逾期金额）"/>
      <sheetName val="E1_500_坏账准备"/>
      <sheetName val="E1_200_函证抽样"/>
      <sheetName val="E1_400_Cutoff细节测试"/>
      <sheetName val="E1_600应收其他调整"/>
      <sheetName val="E1_700贷项余额"/>
      <sheetName val="E113_客户信用期明细"/>
      <sheetName val="NSV"/>
      <sheetName val="VARIANCES"/>
      <sheetName val="IND."/>
      <sheetName val="Proforma"/>
      <sheetName val="Invoiced as at Nov-02"/>
      <sheetName val="部门"/>
      <sheetName val="DOCCTRL41"/>
      <sheetName val="Source Gr."/>
      <sheetName val="Timing"/>
      <sheetName val="COA "/>
      <sheetName val="BUD-DI"/>
      <sheetName val="Res.Autor.Motivo"/>
      <sheetName val="Res.Devolv.Motivo"/>
      <sheetName val="5 - ASSETS"/>
      <sheetName val="Exp type&amp;cost element mapping"/>
      <sheetName val="종기실공문"/>
      <sheetName val="12进销存"/>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专项应付款Dy"/>
      <sheetName val="财务费用Dy"/>
      <sheetName val="专项应付款Mx"/>
      <sheetName val="PRE0502"/>
      <sheetName val="HIN-BR Detail"/>
      <sheetName val="05PLAN VAR"/>
      <sheetName val="其他应收款Dy"/>
      <sheetName val="坏账准备_其他应收款Dy"/>
      <sheetName val="其他应付款Dy"/>
      <sheetName val="其他应收款Mx"/>
      <sheetName val="使用说明"/>
      <sheetName val="SZL"/>
      <sheetName val="安全服务"/>
      <sheetName val="中间价"/>
      <sheetName val="现调整"/>
      <sheetName val="附表2关联交易"/>
      <sheetName val="重要性水平"/>
      <sheetName val="关联方清单"/>
      <sheetName val="Index_Page"/>
      <sheetName val="ICP"/>
      <sheetName val="09实际"/>
      <sheetName val="5201.2004"/>
      <sheetName val="DataBase"/>
      <sheetName val="样品成本251"/>
      <sheetName val="哈尔滨万达索菲特大酒店"/>
      <sheetName val="应收账款k"/>
      <sheetName val="FA2"/>
      <sheetName val="J2"/>
      <sheetName val="Interco Sales"/>
      <sheetName val="Net Bookings"/>
      <sheetName val="Net Sales &amp; Cost of Sales"/>
      <sheetName val="CFC"/>
      <sheetName val="TPFC"/>
      <sheetName val="CJE_energy inv"/>
      <sheetName val="POL설치공정"/>
      <sheetName val="No.4-6_リース"/>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refreshError="1"/>
      <sheetData sheetId="702" refreshError="1"/>
      <sheetData sheetId="703" refreshError="1"/>
      <sheetData sheetId="704" refreshError="1"/>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sheetData sheetId="1408"/>
      <sheetData sheetId="1409"/>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opCache_Sheet1"/>
      <sheetName val="Sheet1"/>
      <sheetName val="关联交易-存款"/>
      <sheetName val="제조부문배부"/>
      <sheetName val="上报资产负债表"/>
      <sheetName val="上报损益表"/>
      <sheetName val="补充表"/>
      <sheetName val="大纲"/>
      <sheetName val="902"/>
      <sheetName val="EURMKTG"/>
      <sheetName val="定义-ready"/>
      <sheetName val="营业外支出08"/>
      <sheetName val="其他业务成本.111031"/>
      <sheetName val="营业外收入09"/>
      <sheetName val="营业外收入08"/>
      <sheetName val="其他业务成本09"/>
      <sheetName val="以前年度损益调整"/>
      <sheetName val="NTA"/>
      <sheetName val="Control"/>
      <sheetName val="TAB.Daten"/>
      <sheetName val="source"/>
      <sheetName val="JE - Depn Sept"/>
      <sheetName val="BS"/>
      <sheetName val="Net REVENUE"/>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CUSTOMER"/>
      <sheetName val="FACILITY"/>
      <sheetName val="SERVIVEH"/>
      <sheetName val="COMPUTER"/>
      <sheetName val="ADVSYST"/>
      <sheetName val="COUADMIN"/>
      <sheetName val="ADMINFLD"/>
      <sheetName val="ADVCIT&amp;D"/>
      <sheetName val="EURSALES"/>
      <sheetName val="ADMINREB"/>
      <sheetName val="Sheet4"/>
      <sheetName val="FA Roll to GL (p.2)"/>
      <sheetName val="Lead (p.1)"/>
      <sheetName val="XREF"/>
      <sheetName val="披露表(上市)"/>
      <sheetName val="Summary"/>
      <sheetName val="INVDAYS"/>
      <sheetName val="资产负债表及损益表"/>
      <sheetName val="财务费用"/>
      <sheetName val="制造费用"/>
      <sheetName val="目录"/>
      <sheetName val="重要内部交易"/>
      <sheetName val="威尚重要交易"/>
      <sheetName val="管理费用"/>
      <sheetName val="营业费用"/>
      <sheetName val="UPLDGA"/>
      <sheetName val="披露表(国资)"/>
      <sheetName val="P310"/>
      <sheetName val="G210"/>
      <sheetName val="Master"/>
      <sheetName val="schdl"/>
      <sheetName val="c7tb"/>
      <sheetName val="CX ELIM"/>
      <sheetName val="C5TB"/>
      <sheetName val="C3TB"/>
      <sheetName val="C6TB"/>
      <sheetName val="C8TB"/>
      <sheetName val="2007.12折旧差异"/>
      <sheetName val="科目明细"/>
      <sheetName val="Sales"/>
      <sheetName val="B"/>
      <sheetName val="员工工资"/>
      <sheetName val="Lease AP 2008"/>
      <sheetName val="综合成本分析01.01-0205"/>
      <sheetName val="CBCN"/>
      <sheetName val="c"/>
      <sheetName val="（ご参考）イールドカーブ 0.5年単位※コピー不可"/>
      <sheetName val="应收帐款明细表"/>
      <sheetName val="DEFLEET APR-05"/>
      <sheetName val="VARIABLES"/>
      <sheetName val="1"/>
      <sheetName val="BOX SUM"/>
      <sheetName val="FIN GOOD"/>
      <sheetName val="ZLR1"/>
      <sheetName val="COA"/>
      <sheetName val="ProdCompar"/>
      <sheetName val="DEC Bank"/>
      <sheetName val="DEC GL"/>
      <sheetName val="SAP vs Oracle1"/>
      <sheetName val="FDREPORT"/>
      <sheetName val="10"/>
      <sheetName val="P&amp;L"/>
      <sheetName val="#REF"/>
      <sheetName val="CLG115-3-1比較用"/>
      <sheetName val="#REF!"/>
      <sheetName val="制造费用分项明细表"/>
      <sheetName val="资产负债表"/>
      <sheetName val="Validation source"/>
      <sheetName val="brands"/>
      <sheetName val="基础数据"/>
      <sheetName val="成本科目数据"/>
      <sheetName val="HFC-GA-OR-000041 - reclass 1945"/>
      <sheetName val="Ã«ÀûÂÊ·ÖÎö±í"/>
      <sheetName val="Cash Flow"/>
      <sheetName val="INDEX"/>
      <sheetName val="Stock Chart"/>
      <sheetName val="P412-2001"/>
      <sheetName val="P413-2002"/>
      <sheetName val="tf04"/>
      <sheetName val="报告披露_非上市合并&amp;FIE"/>
      <sheetName val="Allgem. Angaben"/>
      <sheetName val="Parameters"/>
      <sheetName val="Chart of Acct"/>
      <sheetName val="Invoice detail"/>
      <sheetName val="detail"/>
      <sheetName val="W"/>
      <sheetName val="2001预提费用"/>
      <sheetName val="安全服务"/>
      <sheetName val="Controls"/>
      <sheetName val="DATA"/>
      <sheetName val="Sheet3"/>
      <sheetName val="RMB"/>
      <sheetName val="OP-930"/>
      <sheetName val="fee_tabel"/>
      <sheetName val="IDA Project"/>
      <sheetName val="inventory2002"/>
      <sheetName val="PPV2002"/>
      <sheetName val="NON-TP-ABB"/>
      <sheetName val="ACCODE"/>
      <sheetName val="T  B"/>
      <sheetName val="A"/>
      <sheetName val="CBUGL"/>
      <sheetName val="VCC 11110-461"/>
      <sheetName val="U120"/>
      <sheetName val="D"/>
      <sheetName val="sch10-rm2"/>
      <sheetName val="sch6-rm"/>
      <sheetName val="Lguide"/>
      <sheetName val="Dati"/>
      <sheetName val="Comp equip"/>
      <sheetName val="1.1 Project Data"/>
      <sheetName val="F1"/>
      <sheetName val="无形资产、长期待摊费用、开办费鉴证表"/>
      <sheetName val="应交税金明细表"/>
      <sheetName val="dxnsjtempsheet"/>
      <sheetName val="Mthly Data"/>
      <sheetName val="流资汇总"/>
      <sheetName val="NKCR_comm_scheme"/>
      <sheetName val="NKCR_appliedrates"/>
      <sheetName val="KCR_comm_scheme"/>
      <sheetName val="Settings"/>
      <sheetName val="ContractList"/>
      <sheetName val="Bank card list"/>
      <sheetName val="Raw Mtl Prep"/>
      <sheetName val="科目表"/>
      <sheetName val="损（蓝5）"/>
      <sheetName val="UNIT"/>
      <sheetName val="评估结论"/>
      <sheetName val="AGENT"/>
      <sheetName val="act_96"/>
      <sheetName val="A3"/>
      <sheetName val="Loan Movement "/>
      <sheetName val="_010_10118"/>
      <sheetName val="Valuation Summary"/>
      <sheetName val="Income Statement"/>
      <sheetName val="Revenue Output"/>
      <sheetName val="EBITDA"/>
      <sheetName val="Gross Profit"/>
      <sheetName val="K701"/>
      <sheetName val="A6620 Detail"/>
      <sheetName val="12月底个人往来余额表"/>
      <sheetName val="USCV3"/>
      <sheetName val="Mov from 2001 to 2003"/>
      <sheetName val="RE Mov't"/>
      <sheetName val="TSA"/>
      <sheetName val="录入界面"/>
      <sheetName val="Scenario"/>
      <sheetName val="synthgraph"/>
      <sheetName val="会计科目"/>
      <sheetName val="现金流量表（月报）"/>
      <sheetName val="CRA-Detail"/>
      <sheetName val="Key Assumptions"/>
      <sheetName val="Manual Adjustments"/>
      <sheetName val="Conversion Date"/>
      <sheetName val="Inventory"/>
      <sheetName val="费用科目"/>
      <sheetName val="固定资产增减表#0.00_ "/>
      <sheetName val="UFPrn20031111164207"/>
      <sheetName val="成本台帐"/>
      <sheetName val="Pick Lists"/>
      <sheetName val="Centralisatie"/>
      <sheetName val="layout"/>
      <sheetName val="Tombstone"/>
      <sheetName val="Cover sheet"/>
      <sheetName val="Valspar"/>
      <sheetName val="A3.试算表Financial statement"/>
      <sheetName val="K.固定资产&amp;投资性房地产"/>
      <sheetName val="P.其他应付款"/>
      <sheetName val="G.其他应收款"/>
      <sheetName val="油墨"/>
      <sheetName val="基本"/>
      <sheetName val="bs分析"/>
      <sheetName val="Input"/>
      <sheetName val="IRR &amp; NPV"/>
      <sheetName val="Hidden Lists"/>
      <sheetName val="退货"/>
      <sheetName val="F420SP_Breakdown"/>
      <sheetName val="Lists"/>
      <sheetName val="COST FINAL"/>
      <sheetName val="assumption"/>
      <sheetName val="SALE&amp;COST"/>
      <sheetName val="車会集約"/>
      <sheetName val="Sheet2"/>
      <sheetName val="AP-NR"/>
      <sheetName val="2007.12.31 暂估清单"/>
      <sheetName val="借款变动"/>
      <sheetName val="XL4Poppy"/>
      <sheetName val="other investment"/>
      <sheetName val="固定资产清单"/>
      <sheetName val="Input-Act"/>
      <sheetName val="Input-Act-Adj"/>
      <sheetName val="Input-Bud"/>
      <sheetName val="Input-PY"/>
      <sheetName val="eqpmad2"/>
      <sheetName val="Table"/>
      <sheetName val="rate"/>
      <sheetName val="Lead"/>
      <sheetName val="TB"/>
      <sheetName val="CF"/>
      <sheetName val="_001年其他业务利润"/>
      <sheetName val="_002年其他业务利润"/>
      <sheetName val="_003年其他业务利润"/>
      <sheetName val="_2U03营业费用"/>
      <sheetName val="2001年营业费用"/>
      <sheetName val="Group"/>
      <sheetName val="DFA"/>
      <sheetName val="All"/>
      <sheetName val="FA-LISTING"/>
      <sheetName val="U102"/>
      <sheetName val="sumdepn01"/>
      <sheetName val="C1"/>
      <sheetName val="PNL"/>
      <sheetName val="CA-Est"/>
      <sheetName val="PL-Summary"/>
      <sheetName val="Volumes"/>
      <sheetName val="51"/>
      <sheetName val="11-13"/>
      <sheetName val="30"/>
      <sheetName val="8-10"/>
      <sheetName val="16"/>
      <sheetName val="35-36"/>
      <sheetName val="28"/>
      <sheetName val="14-15"/>
      <sheetName val="32-33"/>
      <sheetName val="18"/>
      <sheetName val="26"/>
      <sheetName val="二厂单位成本结构图"/>
      <sheetName val="DCSC"/>
      <sheetName val="JPY_Rates"/>
      <sheetName val="HKD_Rates"/>
      <sheetName val="USD_Rates"/>
      <sheetName val="Final sample listing"/>
      <sheetName val="base"/>
      <sheetName val="AC_DATA"/>
      <sheetName val="E101"/>
      <sheetName val="G101"/>
      <sheetName val="G201"/>
      <sheetName val="G301"/>
      <sheetName val="I101"/>
      <sheetName val="ARP-U301"/>
      <sheetName val="U401"/>
      <sheetName val="ARP-U501"/>
      <sheetName val="Library"/>
      <sheetName val="BBW"/>
      <sheetName val="conSum"/>
      <sheetName val="N201"/>
      <sheetName val="明细表"/>
      <sheetName val="DATA INPUT"/>
      <sheetName val="original"/>
      <sheetName val="95PREM"/>
      <sheetName val="5.基础档案"/>
      <sheetName val="batch"/>
      <sheetName val="存货报表"/>
      <sheetName val="H101(OK)"/>
      <sheetName val="科目余额表-公司"/>
      <sheetName val="Global Data"/>
      <sheetName val="Graph 1"/>
      <sheetName val="SUMMARY OUTSTANDING"/>
      <sheetName val="CA_new"/>
      <sheetName val="注释过渡"/>
      <sheetName val="Beg- End balance"/>
      <sheetName val="Cashbook"/>
      <sheetName val="中山低值"/>
      <sheetName val="选择报表"/>
      <sheetName val="AFEMAI"/>
      <sheetName val="生皮,盐"/>
      <sheetName val="Überleitung_15"/>
      <sheetName val="PL-Accumulate"/>
      <sheetName val="PL-Current"/>
      <sheetName val="Repayment Summary"/>
      <sheetName val="Phase_II_steel_1000"/>
      <sheetName val="CCTL"/>
      <sheetName val="WIP"/>
      <sheetName val="培训选项"/>
      <sheetName val="details"/>
      <sheetName val="L310-Adjustment for R&amp;D cost"/>
      <sheetName val="PPE Mov't- HC "/>
      <sheetName val="1102 MIT"/>
      <sheetName val="综合"/>
      <sheetName val="3-1-1现金"/>
      <sheetName val="基础信息"/>
      <sheetName val="G140"/>
      <sheetName val="其他业务成本_111031"/>
      <sheetName val="TAB_Daten"/>
      <sheetName val="JE_-_Depn_Sept"/>
      <sheetName val="Net_REVENUE"/>
      <sheetName val="FA_Roll_to_GL_(p_2)"/>
      <sheetName val="Lead_(p_1)"/>
      <sheetName val="Lease_AP_2008"/>
      <sheetName val="CX_ELIM"/>
      <sheetName val="2007_12折旧差异"/>
      <sheetName val="综合成本分析01_01-0205"/>
      <sheetName val="parameter"/>
      <sheetName val="FX"/>
      <sheetName val="A500-Audit adjustment"/>
      <sheetName val="Config"/>
      <sheetName val="Sheet10"/>
      <sheetName val="Sheet19"/>
      <sheetName val="Sheet16"/>
      <sheetName val="Sheet6"/>
      <sheetName val="Sheet5"/>
      <sheetName val="Sheet11"/>
      <sheetName val="Sheet12"/>
      <sheetName val="抽凭"/>
      <sheetName val="by category"/>
      <sheetName val="中行汇率表"/>
      <sheetName val="订单418"/>
      <sheetName val="YS02-02"/>
      <sheetName val="C101"/>
      <sheetName val="ARP-U101"/>
      <sheetName val="JE"/>
      <sheetName val="附表10"/>
      <sheetName val="单位库"/>
      <sheetName val="现金清单"/>
      <sheetName val="附表32 - 无形资产明细表"/>
      <sheetName val="Validation"/>
      <sheetName val="合并信息数据表"/>
      <sheetName val="7 - ARO Assumptions"/>
      <sheetName val="K1 Tax computation"/>
      <sheetName val="Collateral"/>
      <sheetName val="06年全年回笼"/>
      <sheetName val="06年全年销售"/>
      <sheetName val="F101"/>
      <sheetName val="Edo Res"/>
      <sheetName val="A300"/>
      <sheetName val="FN8"/>
      <sheetName val="Tickmarks"/>
      <sheetName val="LinkData"/>
      <sheetName val="Bank Table"/>
      <sheetName val="Expenses"/>
      <sheetName val="STD. COST"/>
      <sheetName val="ARP"/>
      <sheetName val="Invested Capital"/>
      <sheetName val="BU"/>
      <sheetName val="总公司2002.12.31"/>
      <sheetName val="A14.Long Term Investment "/>
      <sheetName val="STATPARA"/>
      <sheetName val="Menu"/>
      <sheetName val="conWP"/>
      <sheetName val="conBS"/>
      <sheetName val="conCE"/>
      <sheetName val="conCF"/>
      <sheetName val="conIS"/>
      <sheetName val="母公司TB"/>
      <sheetName val="kczj0401"/>
      <sheetName val="Calculation step - AFPGD"/>
      <sheetName val="BJ"/>
      <sheetName val="gz"/>
      <sheetName val="sh"/>
      <sheetName val="12.APaging附表"/>
      <sheetName val="报表格式"/>
      <sheetName val="KEY"/>
      <sheetName val="E100"/>
      <sheetName val="N100"/>
      <sheetName val="U401(OK)"/>
      <sheetName val="索引"/>
      <sheetName val="开店"/>
      <sheetName val="FLdeleted"/>
      <sheetName val="长期股权投资Dy"/>
      <sheetName val="投资收益Dy"/>
      <sheetName val="存货_库存商品Dy"/>
      <sheetName val="应付工资Dy"/>
      <sheetName val="应付福利费Dy"/>
      <sheetName val="预提费用Dy"/>
      <sheetName val="主营业务成本Dy"/>
      <sheetName val="分录"/>
      <sheetName val="长期股权投资Mx"/>
      <sheetName val="存货_库存商品Mx"/>
      <sheetName val="应付工资Mx"/>
      <sheetName val="应付福利费Mx"/>
      <sheetName val="预提费用Mx"/>
      <sheetName val="主营业务成本Mx"/>
      <sheetName val="短期投资Dy"/>
      <sheetName val="应收账款Dy"/>
      <sheetName val="预收账款Dy"/>
      <sheetName val="主营业务收入Dy"/>
      <sheetName val="应收账款Mx"/>
      <sheetName val="企业表一"/>
      <sheetName val="M-5A"/>
      <sheetName val="Filtered_IML"/>
      <sheetName val="Chart of acct "/>
      <sheetName val="A3 &amp; U 09-01"/>
      <sheetName val="p2-1"/>
      <sheetName val="Disposition"/>
      <sheetName val="BJ Expenses"/>
      <sheetName val="Sample Rev"/>
      <sheetName val="Sample IS"/>
      <sheetName val="Probability View"/>
      <sheetName val="FY04ExpDetail"/>
      <sheetName val="Sales Seasonality by Month"/>
      <sheetName val="Cntry"/>
      <sheetName val="Tables"/>
      <sheetName val="1Ed"/>
      <sheetName val="2Ed"/>
      <sheetName val="G7310_扬州餐厨"/>
      <sheetName val="G7180_高安Redo"/>
      <sheetName val="3A FA Record"/>
      <sheetName val="9B RUL Range"/>
      <sheetName val="基础数据2"/>
      <sheetName val="通用设备"/>
      <sheetName val="土建表三乙"/>
      <sheetName val="B.0"/>
      <sheetName val="Balance"/>
      <sheetName val="BEV"/>
      <sheetName val="9100-PO"/>
      <sheetName val="BI RATE"/>
      <sheetName val="GDH"/>
      <sheetName val="Equity"/>
      <sheetName val="company operations"/>
      <sheetName val="hangzhou2"/>
      <sheetName val="IT scope"/>
      <sheetName val="Basic_Information"/>
      <sheetName val="FORM14_2"/>
      <sheetName val="0406_Grade_data"/>
      <sheetName val="0412_Grade_data"/>
      <sheetName val="Vendor Data"/>
      <sheetName val="JAC11.30"/>
      <sheetName val="采购订单"/>
      <sheetName val="BKD-财务部"/>
      <sheetName val="A501_AADJ#14-对价调整"/>
      <sheetName val="Sales for 2001"/>
      <sheetName val="P&amp;L(S1)"/>
      <sheetName val="Hist Prices"/>
      <sheetName val="Swap Curve Inputs"/>
      <sheetName val="1 Lillysummary"/>
      <sheetName val="2002P-BU"/>
      <sheetName val="底稿0000"/>
      <sheetName val="Validation_source"/>
      <sheetName val="SAP_vs_Oracle1"/>
      <sheetName val="DEFLEET_APR-05"/>
      <sheetName val="BOX_SUM"/>
      <sheetName val="FIN_GOOD"/>
      <sheetName val="DEC_Bank"/>
      <sheetName val="DEC_GL"/>
      <sheetName val="（ご参考）イールドカーブ_0_5年単位※コピー不可"/>
      <sheetName val="Allgem__Angaben"/>
      <sheetName val="调整分录"/>
      <sheetName val="U201"/>
      <sheetName val="ctrl"/>
      <sheetName val="Client Data"/>
      <sheetName val="E1"/>
      <sheetName val="Volumen AOP 2004"/>
      <sheetName val="客戶清單customer list"/>
      <sheetName val="U110"/>
      <sheetName val="Eingabe"/>
      <sheetName val="All Cash Dil"/>
      <sheetName val="Input A"/>
      <sheetName val="2_假设"/>
      <sheetName val="MC-BIL"/>
      <sheetName val="Cash_Flow"/>
      <sheetName val="Income"/>
      <sheetName val="调整分录表"/>
      <sheetName val="Covenants"/>
      <sheetName val="Addbacks - Slide 8"/>
      <sheetName val="Financial Statistics"/>
      <sheetName val="実績SK"/>
      <sheetName val="Chart of Account"/>
      <sheetName val="Checking"/>
      <sheetName val="CHIP_O"/>
      <sheetName val="FRT_O"/>
      <sheetName val="YIELD"/>
      <sheetName val="(i) Fixed assets-PBC"/>
      <sheetName val="WTB"/>
      <sheetName val="cover"/>
      <sheetName val="01TBlast"/>
      <sheetName val="R3抵消"/>
      <sheetName val="收入抵消"/>
      <sheetName val="Ex Diff"/>
      <sheetName val="Confirmation"/>
      <sheetName val="grofin"/>
      <sheetName val="Profit and loss"/>
      <sheetName val="Assumptions"/>
      <sheetName val="Register"/>
      <sheetName val="#511BkRec"/>
      <sheetName val="#511-SEPT97"/>
      <sheetName val="#511-OCT97"/>
      <sheetName val="#511-NOV97"/>
      <sheetName val="Margins"/>
      <sheetName val="M-5C"/>
      <sheetName val="US Disclosure"/>
      <sheetName val="I20.b Disclosure Lead"/>
      <sheetName val="I20 LEAD"/>
      <sheetName val="I20-1 FWD"/>
      <sheetName val="I20-2 CNYFWD"/>
      <sheetName val="I20-3 FXS"/>
      <sheetName val="I20-4 CNYS"/>
      <sheetName val="I20-5 IRS"/>
      <sheetName val="I20-7 TOD"/>
      <sheetName val="I20-7-1 TOD Breakdown"/>
      <sheetName val="I20-9 Comfirmation summary"/>
      <sheetName val="分产品销售收入、成本分析表"/>
      <sheetName val="Tests of control"/>
      <sheetName val="Translation"/>
      <sheetName val="20201231-客户报表核对"/>
      <sheetName val="J&amp;Q"/>
      <sheetName val="a       "/>
      <sheetName val="loan database"/>
      <sheetName val="BALANCE SHEET"/>
      <sheetName val="MUS"/>
      <sheetName val="zw"/>
      <sheetName val="2021_Sub_Equity movement"/>
      <sheetName val="A3_2021"/>
      <sheetName val="Budget"/>
      <sheetName val="Assum"/>
      <sheetName val="SAP原始"/>
      <sheetName val="CHART_E"/>
      <sheetName val="DEP"/>
      <sheetName val="AR"/>
      <sheetName val="Incometl"/>
      <sheetName val="Nvar"/>
      <sheetName val="Dep.HK"/>
      <sheetName val="CodeDescription"/>
      <sheetName val="客户往来余额表"/>
      <sheetName val="Assump Input"/>
      <sheetName val="FSA"/>
      <sheetName val="96BP"/>
      <sheetName val="Pur"/>
      <sheetName val="Setup"/>
      <sheetName val="年报财务资料追加报表一览表"/>
      <sheetName val="analysis"/>
      <sheetName val="auditor"/>
      <sheetName val="101"/>
      <sheetName val="销售6.13"/>
      <sheetName val="Daten"/>
      <sheetName val="11. PPE Roll"/>
      <sheetName val="M400长期借款"/>
      <sheetName val="ACTINV"/>
      <sheetName val="P &amp; L Account"/>
      <sheetName val="CAL-TB-MFG"/>
      <sheetName val="IS-客户直接转换"/>
      <sheetName val="Month"/>
      <sheetName val="其他应收款Dy"/>
      <sheetName val="坏账准备_其他应收款Dy"/>
      <sheetName val="其他应付款Dy"/>
      <sheetName val="其他应收款Mx"/>
      <sheetName val="Input Page"/>
      <sheetName val="EY USE ONLY"/>
      <sheetName val="存货明细2002"/>
      <sheetName val="Börskurser"/>
      <sheetName val="2008"/>
      <sheetName val="15"/>
      <sheetName val="D3"/>
      <sheetName val="11-1"/>
      <sheetName val="Part_Datum"/>
      <sheetName val="99 00 plan - base case"/>
      <sheetName val="Returns Backup"/>
      <sheetName val="Int Rates"/>
      <sheetName val="Salesfor2001"/>
      <sheetName val="CompanyValues"/>
      <sheetName val="InputDownload"/>
      <sheetName val="Update check"/>
      <sheetName val="Setting"/>
      <sheetName val="BlueCross table"/>
      <sheetName val="Invoice_detail"/>
      <sheetName val="Stock_Chart"/>
      <sheetName val="Final_sample_listing"/>
      <sheetName val="Hidden_Lists"/>
      <sheetName val="Mthly_Data"/>
      <sheetName val="DATA_INPUT"/>
      <sheetName val="vlook from"/>
      <sheetName val="201912"/>
      <sheetName val="6621"/>
      <sheetName val="PROCESS"/>
      <sheetName val="_102中草药"/>
      <sheetName val="_104燃料"/>
      <sheetName val="_106备品备件"/>
      <sheetName val="_108劳保"/>
      <sheetName val="_109辅料"/>
      <sheetName val="_110化剂"/>
      <sheetName val="_112气体"/>
      <sheetName val="_206标签"/>
      <sheetName val="_207纸箱纸盒"/>
      <sheetName val="_208瓶类"/>
      <sheetName val="_302办公用品"/>
      <sheetName val="_303工具"/>
      <sheetName val="_304玻璃仪器"/>
      <sheetName val="_399其他材料"/>
      <sheetName val="_4产成品"/>
      <sheetName val="_5自制半成品"/>
      <sheetName val="0101主料"/>
      <sheetName val="PCAP"/>
      <sheetName val="物料"/>
      <sheetName val="进销存"/>
      <sheetName val="9609추"/>
      <sheetName val="已背书未到期票据清单"/>
      <sheetName val="Drop List References"/>
      <sheetName val="COA "/>
      <sheetName val="样本池"/>
      <sheetName val="US Bal_Sheet"/>
      <sheetName val="Corporate PPT"/>
      <sheetName val="WTI Coporate Eliminations PPT"/>
      <sheetName val="OTA"/>
      <sheetName val="Trial balance"/>
      <sheetName val="其他业务成本_1110311"/>
      <sheetName val="TAB_Daten1"/>
      <sheetName val="JE_-_Depn_Sept1"/>
      <sheetName val="Net_REVENUE1"/>
      <sheetName val="FA_Roll_to_GL_(p_2)1"/>
      <sheetName val="Lead_(p_1)1"/>
      <sheetName val="Lease_AP_20081"/>
      <sheetName val="CX_ELIM1"/>
      <sheetName val="2007_12折旧差异1"/>
      <sheetName val="综合成本分析01_01-02051"/>
      <sheetName val="1102_MIT"/>
      <sheetName val="HFC-GA-OR-000041_-_reclass_1945"/>
      <sheetName val="T__B"/>
      <sheetName val="Chart_of_Acct"/>
      <sheetName val="A6620_Detail"/>
      <sheetName val="IDA_Project"/>
      <sheetName val="VCC_11110-461"/>
      <sheetName val="Pick_Lists"/>
      <sheetName val="Mov_from_2001_to_2003"/>
      <sheetName val="IRR_&amp;_NPV"/>
      <sheetName val="RE_Mov't"/>
      <sheetName val="Comp_equip"/>
      <sheetName val="1_1_Project_Data"/>
      <sheetName val="Key_Assumptions"/>
      <sheetName val="A500-Audit_adjustment"/>
      <sheetName val="Cover_sheet"/>
      <sheetName val="Valuation_Summary"/>
      <sheetName val="Income_Statement"/>
      <sheetName val="Revenue_Output"/>
      <sheetName val="Gross_Profit"/>
      <sheetName val="by_category"/>
      <sheetName val="固定资产增减表#0_00__"/>
      <sheetName val="COST_FINAL"/>
      <sheetName val="Bank_card_list"/>
      <sheetName val="5_基础档案"/>
      <sheetName val="Global_Data"/>
      <sheetName val="Graph_1"/>
      <sheetName val="SUMMARY_OUTSTANDING"/>
      <sheetName val="Beg-_End_balance"/>
      <sheetName val="Repayment_Summary"/>
      <sheetName val="L310-Adjustment_for_R&amp;D_cost"/>
      <sheetName val="PPE_Mov't-_HC_"/>
      <sheetName val="附表32_-_无形资产明细表"/>
      <sheetName val="7_-_ARO_Assumptions"/>
      <sheetName val="K1_Tax_computation"/>
      <sheetName val="Edo_Res"/>
      <sheetName val="Bank_Table"/>
      <sheetName val="STD__COST"/>
      <sheetName val="Invested_Capital"/>
      <sheetName val="Loan_Movement_"/>
      <sheetName val="Manual_Adjustments"/>
      <sheetName val="Conversion_Date"/>
      <sheetName val="总公司2002_12_31"/>
      <sheetName val="A14_Long_Term_Investment_"/>
      <sheetName val="Calculation_step_-_AFPGD"/>
      <sheetName val="Raw_Mtl_Prep"/>
      <sheetName val="A3_试算表Financial_statement"/>
      <sheetName val="K_固定资产&amp;投资性房地产"/>
      <sheetName val="P_其他应付款"/>
      <sheetName val="G_其他应收款"/>
      <sheetName val="other_investment"/>
      <sheetName val="12_APaging附表"/>
      <sheetName val="Chart_of_acct_"/>
      <sheetName val="A3_&amp;_U_09-01"/>
      <sheetName val="BJ_Expenses"/>
      <sheetName val="Sample_Rev"/>
      <sheetName val="Sample_IS"/>
      <sheetName val="Probability_View"/>
      <sheetName val="Sales_Seasonality_by_Month"/>
      <sheetName val="3A_FA_Record"/>
      <sheetName val="9B_RUL_Range"/>
      <sheetName val="B_0"/>
      <sheetName val="2007_12_31_暂估清单"/>
      <sheetName val="BI_RATE"/>
      <sheetName val="company_operations"/>
      <sheetName val="IT_scope"/>
      <sheetName val="Vendor_Data"/>
      <sheetName val="JAC11_30"/>
      <sheetName val="Sales_for_2001"/>
      <sheetName val="CA Comp"/>
      <sheetName val="Company Info"/>
      <sheetName val="K204"/>
      <sheetName val="Air Conditional"/>
      <sheetName val="Equipment"/>
      <sheetName val="Motor Vehicle"/>
      <sheetName val="Renovation"/>
      <sheetName val="机器设备"/>
      <sheetName val="制造成本预算表A3"/>
      <sheetName val="DLDB10"/>
      <sheetName val="物流费用预算表(A4)"/>
      <sheetName val="销售费用预算表(A4)"/>
      <sheetName val="管理费用预算表(A4)"/>
      <sheetName val="信息费用预算表(A4) "/>
      <sheetName val="研发费用预算明细表A3"/>
      <sheetName val="Projections"/>
      <sheetName val="Defn"/>
      <sheetName val="Database"/>
      <sheetName val="Detail Loan Move. &amp; Listing"/>
      <sheetName val="AP Recap"/>
      <sheetName val="Staff List"/>
      <sheetName val="LIST"/>
      <sheetName val="ICP其他应付款ICP OtherPayable"/>
      <sheetName val="TOOLS"/>
      <sheetName val="Ambares"/>
      <sheetName val="#¡REF"/>
      <sheetName val="Sheet"/>
      <sheetName val="support"/>
      <sheetName val="科目余额表"/>
      <sheetName val="科目余额表(原稿)"/>
      <sheetName val="Bank Debt"/>
      <sheetName val="GFA"/>
      <sheetName val="Netearnanal"/>
      <sheetName val="adj10#-b"/>
      <sheetName val="Summary_"/>
      <sheetName val="合并范围清单(股比）Sub0111"/>
      <sheetName val="MASTER_主数据"/>
      <sheetName val="COVER_报表封面"/>
      <sheetName val="MASTER_主数据_补"/>
      <sheetName val="主表-TB输入表-手填(地产专用)"/>
      <sheetName val="IFRS-TB自动对照-手填(地产专用)"/>
      <sheetName val="&lt;FF&gt; Tax Payable"/>
      <sheetName val="OutSum"/>
      <sheetName val="FS_0331"/>
      <sheetName val="设备部房屋"/>
      <sheetName val="Blank"/>
      <sheetName val="Total"/>
      <sheetName val="F &amp; S INV"/>
      <sheetName val="Corpalloc"/>
      <sheetName val="Calc &amp; Export"/>
      <sheetName val="AOP Exec Summary"/>
      <sheetName val="cathayforecasts"/>
      <sheetName val="Sample Layout (new)"/>
      <sheetName val="Lookup"/>
      <sheetName val="Valuation"/>
      <sheetName val="OE AC#41111"/>
      <sheetName val="应付款项"/>
      <sheetName val="Economic evaluation - FY98 base"/>
      <sheetName val="ARP-U401"/>
      <sheetName val="CP费用"/>
      <sheetName val="01ADDL.F.A."/>
      <sheetName val="Raw materials"/>
      <sheetName val="FEB"/>
      <sheetName val="P1"/>
      <sheetName val="ARP_U301"/>
      <sheetName val="U411"/>
      <sheetName val="tax-ss"/>
      <sheetName val="AP110"/>
      <sheetName val="B_10"/>
      <sheetName val="C_5"/>
      <sheetName val="C_6"/>
      <sheetName val="C_6a"/>
      <sheetName val="F_1l2"/>
      <sheetName val="F_21"/>
      <sheetName val="F_4"/>
      <sheetName val="F_9c"/>
      <sheetName val="F_8_FSA_"/>
      <sheetName val="L"/>
      <sheetName val="管理费用 "/>
      <sheetName val="新准则TB"/>
      <sheetName val="WACC Calculation"/>
      <sheetName val="商用机信息更新090611"/>
      <sheetName val="Info. Request"/>
      <sheetName val="C - Cash and Bank"/>
      <sheetName val="G301(01)"/>
      <sheetName val="热力系统"/>
      <sheetName val="chitiet"/>
      <sheetName val="Sheet9"/>
      <sheetName val="U300-上海启昇"/>
      <sheetName val="U210_租赁PIT-上海朗昇"/>
      <sheetName val="U210_租赁PIT-上海启昇"/>
      <sheetName val="D4RP"/>
      <sheetName val="进口设备FOB总价表"/>
      <sheetName val="ACCT 24050"/>
      <sheetName val="PROVISON"/>
      <sheetName val="15287贵阳市乌当区天网工程"/>
      <sheetName val="Intra Company "/>
      <sheetName val="填报说明"/>
      <sheetName val="分类"/>
      <sheetName val="Graph"/>
      <sheetName val="GER IFO vs Const"/>
      <sheetName val="Europe sales Graph"/>
      <sheetName val="EU Ind vs EU Cons"/>
      <sheetName val="收入明细－按客户"/>
      <sheetName val="2002-H300"/>
      <sheetName val="2001-H300"/>
      <sheetName val="重要性水平"/>
      <sheetName val="preBS"/>
      <sheetName val="preCF"/>
      <sheetName val="preIS"/>
      <sheetName val="preCE"/>
      <sheetName val="关联方"/>
      <sheetName val="邻酮定乙酚发出测试"/>
      <sheetName val="表2&lt;销售出库单&gt;"/>
      <sheetName val="C_301"/>
      <sheetName val="C_311"/>
      <sheetName val="C_318"/>
      <sheetName val="标本-资产"/>
      <sheetName val="Breakdown"/>
      <sheetName val="Code"/>
      <sheetName val="社内出货"/>
      <sheetName val="折旧表"/>
      <sheetName val="P12 TB SZ"/>
      <sheetName val="Account"/>
      <sheetName val="LT TB"/>
      <sheetName val="LTMD TB"/>
      <sheetName val="OC TB"/>
      <sheetName val="ZD TB"/>
      <sheetName val="LT_ADJ"/>
      <sheetName val="Note 1 - Recon Profit"/>
      <sheetName val="Cash Flow Statement"/>
      <sheetName val="C_100Breakdown"/>
      <sheetName val="Costs成本"/>
      <sheetName val="GLFY"/>
      <sheetName val="C_110函证控制表"/>
      <sheetName val="OCT BANK"/>
      <sheetName val="Lockbox"/>
      <sheetName val="代码"/>
      <sheetName val="Data Validation"/>
      <sheetName val="CIP"/>
      <sheetName val="FA movement"/>
      <sheetName val="company"/>
      <sheetName val="A430"/>
      <sheetName val="February"/>
      <sheetName val="January"/>
      <sheetName val="March"/>
      <sheetName val="Form Admin"/>
      <sheetName val="Proforma"/>
      <sheetName val="KeyAs"/>
      <sheetName val="Brachy"/>
      <sheetName val="Catheters"/>
      <sheetName val="DU"/>
      <sheetName val="MH"/>
      <sheetName val="OUS"/>
      <sheetName val="US"/>
      <sheetName val="WH"/>
      <sheetName val="07KM"/>
      <sheetName val="Inputsheet"/>
      <sheetName val="逾期"/>
      <sheetName val="三个月到一年"/>
      <sheetName val="一到三个月"/>
      <sheetName val="一到五年"/>
      <sheetName val="一个月以内"/>
      <sheetName val="cov"/>
      <sheetName val="Dimensions"/>
      <sheetName val="O adj"/>
      <sheetName val="0521"/>
      <sheetName val="BBcode_convert"/>
      <sheetName val="综合概算(2003)"/>
      <sheetName val="分配"/>
      <sheetName val="月份数据"/>
      <sheetName val="Ex-rate"/>
      <sheetName val="级次及股比（截至20111231）"/>
      <sheetName val="To tied 2001 opening RE"/>
      <sheetName val="CPost"/>
      <sheetName val="Journal"/>
      <sheetName val="销售"/>
      <sheetName val="成品科"/>
      <sheetName val="DEP12"/>
      <sheetName val="TOC"/>
      <sheetName val="PW"/>
      <sheetName val="Non-Statistical Sampling Master"/>
      <sheetName val="Two Step Revenue Testing Master"/>
      <sheetName val="Library Procedures"/>
      <sheetName val="Validation_source1"/>
      <sheetName val="SAP_vs_Oracle11"/>
      <sheetName val="DEFLEET_APR-051"/>
      <sheetName val="BOX_SUM1"/>
      <sheetName val="FIN_GOOD1"/>
      <sheetName val="DEC_Bank1"/>
      <sheetName val="DEC_GL1"/>
      <sheetName val="（ご参考）イールドカーブ_0_5年単位※コピー不可1"/>
      <sheetName val="Allgem__Angaben1"/>
      <sheetName val="Hist_Prices"/>
      <sheetName val="Swap_Curve_Inputs"/>
      <sheetName val="1_Lillysummary"/>
      <sheetName val="Client_Data"/>
      <sheetName val="Active"/>
      <sheetName val="Outbox"/>
      <sheetName val="Lists (Hide)"/>
      <sheetName val=" "/>
      <sheetName val="00PSC"/>
      <sheetName val="FTE's"/>
      <sheetName val="2100"/>
      <sheetName val="OTHERSUM"/>
      <sheetName val="2009 3KE5Z detail"/>
      <sheetName val="BKD"/>
      <sheetName val="Share Px"/>
      <sheetName val="Paramètres"/>
      <sheetName val="Admin"/>
      <sheetName val="C.货币资金"/>
      <sheetName val="C.抵押存款"/>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Original Stefan"/>
      <sheetName val="U3"/>
      <sheetName val="InvoiceList"/>
      <sheetName val="A5"/>
      <sheetName val="Audited PL"/>
      <sheetName val="UKLF Portfolio"/>
      <sheetName val="INDEXES"/>
      <sheetName val="N23-1-预付、其他应收等"/>
      <sheetName val="N27-1-短期借款"/>
      <sheetName val="N29-1-预收款及其他应付款项"/>
      <sheetName val="N5b1-其他收入和利得净值"/>
      <sheetName val="Invoice Template"/>
      <sheetName val="Veh Info"/>
      <sheetName val="Q4Purchases"/>
      <sheetName val="校验"/>
      <sheetName val="sch9-1-1"/>
      <sheetName val="2002年预提费用"/>
      <sheetName val="国内連結"/>
      <sheetName val="1.1银行函证CC"/>
      <sheetName val="ws9"/>
      <sheetName val="售后回租应付款"/>
      <sheetName val="产品销售收入与成本明细表"/>
      <sheetName val="zero (3)"/>
      <sheetName val="2weeeks All  Excess and Shortag"/>
      <sheetName val="c_data"/>
      <sheetName val="Exchange_Rate &amp; Costs"/>
      <sheetName val="ADJ Sum(console)"/>
      <sheetName val="Dec"/>
      <sheetName val="Mar_Det"/>
      <sheetName val="PTCN"/>
      <sheetName val="Anlagespiegel_F_Assets_Receiv"/>
      <sheetName val="Bilanz_B_S_Budget"/>
      <sheetName val="GuV_Income_Budget"/>
      <sheetName val="Feb 2016"/>
      <sheetName val="ROC"/>
      <sheetName val="PL summary"/>
      <sheetName val="CC"/>
      <sheetName val="NBCF"/>
      <sheetName val="披露表(标准)"/>
      <sheetName val="表0-汇总表"/>
      <sheetName val="WORKING"/>
      <sheetName val="Face of the report"/>
      <sheetName val="OrgList"/>
      <sheetName val="Balanza"/>
      <sheetName val="PL"/>
      <sheetName val="Nov,01"/>
      <sheetName val="Category"/>
      <sheetName val="Cover_CT"/>
      <sheetName val="Sheet1 (11)"/>
      <sheetName val="U1100"/>
      <sheetName val="U1120"/>
      <sheetName val="DB"/>
      <sheetName val="Bal Dolares"/>
      <sheetName val="C.现金"/>
      <sheetName val="D.交易性金融资产"/>
      <sheetName val="A3.试算表"/>
      <sheetName val="G.预付"/>
      <sheetName val="J.工程物资"/>
      <sheetName val="K.生物资产"/>
      <sheetName val="L.开发支出"/>
      <sheetName val="L.一年内到期长期资产"/>
      <sheetName val="L.长期应收"/>
      <sheetName val="L.HK单列无形"/>
      <sheetName val="M.衍生金融负债"/>
      <sheetName val="M.交易性金融负债"/>
      <sheetName val="M.带息借款-流动"/>
      <sheetName val="M.无息借款-流动"/>
      <sheetName val="M.其他金融负债"/>
      <sheetName val="N.应付贸易款及票据"/>
      <sheetName val="O.应交所得税"/>
      <sheetName val="P.预收"/>
      <sheetName val="Q.递延收益"/>
      <sheetName val="Q.带息借款-非流动"/>
      <sheetName val="Q.无息借款-非流动"/>
      <sheetName val="T.少数股东"/>
      <sheetName val="T.专项储备"/>
      <sheetName val="U.财务成本"/>
      <sheetName val="U.财务收入"/>
      <sheetName val="U.公允价值变动收益"/>
      <sheetName val="U.管理费用"/>
      <sheetName val="U.资产减值损失"/>
      <sheetName val="U.投资收益"/>
      <sheetName val="U.营业外"/>
      <sheetName val="U.其他费用"/>
      <sheetName val="U.其他收入"/>
      <sheetName val="U.其他业务"/>
      <sheetName val="Cust List"/>
      <sheetName val="charts"/>
      <sheetName val="µ|²vªí"/>
      <sheetName val="H101"/>
      <sheetName val="Links"/>
      <sheetName val="P&amp;L Consol"/>
      <sheetName val="ARP-G101"/>
      <sheetName val="E221"/>
      <sheetName val="ye"/>
      <sheetName val="H R"/>
      <sheetName val="1102 (2)"/>
      <sheetName val="Income Tax"/>
      <sheetName val="Movement under PRC&amp;TW"/>
      <sheetName val="BKD-2019"/>
      <sheetName val="raw"/>
      <sheetName val="合并附注"/>
      <sheetName val="2货站"/>
      <sheetName val="Cash &amp; Bank"/>
      <sheetName val="柱"/>
      <sheetName val="N1_AT"/>
      <sheetName val="C2_WKSP"/>
      <sheetName val="A1_INP"/>
      <sheetName val="A2_TINPM"/>
      <sheetName val="A3_TINPP"/>
      <sheetName val="FAB별"/>
      <sheetName val="truc tiep"/>
      <sheetName val="12(762mm)套管"/>
      <sheetName val="CONSOL"/>
      <sheetName val="六纺"/>
      <sheetName val="邮件发送资料"/>
      <sheetName val="Inputs"/>
      <sheetName val="Q.CF-E01"/>
      <sheetName val="2006DEP.sap data"/>
      <sheetName val="Phase2 movementDEC"/>
      <sheetName val="Phase1f.a.DEC"/>
      <sheetName val="Phase2 f.a.DEC (2)"/>
      <sheetName val="BS2"/>
      <sheetName val="B30"/>
      <sheetName val="SET_UP"/>
      <sheetName val="IS Summary-96"/>
      <sheetName val="Business Unit"/>
      <sheetName val="Corp"/>
      <sheetName val="BOC Classic"/>
      <sheetName val="Sign Off Form"/>
      <sheetName val="Breakdown on Retail Loan Grade"/>
      <sheetName val="hiddenSheet1"/>
      <sheetName val="2003 scrapped"/>
      <sheetName val="Accounts receivables"/>
      <sheetName val="AP-RPT "/>
      <sheetName val="MasterList"/>
      <sheetName val="封面"/>
      <sheetName val="Input Sheet"/>
      <sheetName val="P&amp;L PP"/>
      <sheetName val="Flash-pp"/>
      <sheetName val="PY-pp"/>
      <sheetName val="MYF-pp"/>
      <sheetName val="Asset9809CAK"/>
      <sheetName val="Asset98-CAK"/>
      <sheetName val="SBUList"/>
      <sheetName val="Rev Sen"/>
      <sheetName val="Case"/>
      <sheetName val="MetaData"/>
      <sheetName val="BARS"/>
      <sheetName val="212101"/>
      <sheetName val="办事处经费"/>
      <sheetName val="办事处市场部经费"/>
      <sheetName val="营销人员借款"/>
      <sheetName val="离职营销人员借款"/>
      <sheetName val="公司备用金"/>
      <sheetName val="律师"/>
      <sheetName val="长投明细"/>
      <sheetName val="多辅助核算汇总by 客户"/>
      <sheetName val="数据模板1"/>
      <sheetName val="表格清单"/>
      <sheetName val="前提1-综合"/>
      <sheetName val="K(GDH)"/>
      <sheetName val="03合并附注"/>
      <sheetName val="制费-分月"/>
      <sheetName val="AJEs &amp; RJEs"/>
      <sheetName val="Vauxhall Opel 30004"/>
      <sheetName val="HKBUD"/>
      <sheetName val="管理费用表"/>
      <sheetName val="PBC - PHS"/>
      <sheetName val="output"/>
      <sheetName val="cost"/>
      <sheetName val="NAV Output"/>
      <sheetName val="明细分类账"/>
      <sheetName val="所有凭证"/>
      <sheetName val="参数"/>
      <sheetName val="ID"/>
      <sheetName val="Financial Exp明细分类账"/>
      <sheetName val="FA Addition"/>
      <sheetName val="M Schedules"/>
      <sheetName val="销管费用明细"/>
      <sheetName val="胡匀匀"/>
      <sheetName val="P11"/>
      <sheetName val="AVIM"/>
      <sheetName val="September-IVC"/>
      <sheetName val="Octomber-IVC"/>
      <sheetName val="August-IVC"/>
      <sheetName val="July-IVC"/>
      <sheetName val="学历"/>
      <sheetName val="GP Analysis"/>
      <sheetName val="GZ_MOP"/>
      <sheetName val="表二甲机务F型"/>
      <sheetName val="总部帐2"/>
      <sheetName val="May"/>
      <sheetName val="5050 Bank HKD"/>
      <sheetName val="Mth"/>
      <sheetName val="Variance by Mth"/>
      <sheetName val="LBO"/>
      <sheetName val="ASP from Barb"/>
      <sheetName val="OMFG Cost"/>
      <sheetName val="PAL&amp;DPAL AP610"/>
      <sheetName val="母公司应交税金明细表（含泵送）"/>
      <sheetName val="IncidentsEAP"/>
      <sheetName val="IBA&amp;HP"/>
      <sheetName val="Inc&amp;Exp"/>
      <sheetName val="平衡测试"/>
      <sheetName val="Sheet2 (3)"/>
      <sheetName val="gares 02 BON FICHIER "/>
      <sheetName val="Oct Starts Plan"/>
      <sheetName val="Invest "/>
      <sheetName val="2. PPR REVENUE APR10"/>
      <sheetName val="PLALL"/>
      <sheetName val="IR_Deckblatt"/>
      <sheetName val="FP"/>
      <sheetName val="COS1"/>
      <sheetName val="COS2"/>
      <sheetName val="COS3"/>
      <sheetName val="COS4"/>
      <sheetName val="PL1"/>
      <sheetName val="PL2"/>
      <sheetName val="PL3"/>
      <sheetName val="PL4"/>
      <sheetName val="GM Trend"/>
      <sheetName val="GM% Trend"/>
      <sheetName val="Linearity"/>
      <sheetName val="Linearity Chart"/>
      <sheetName val="NP Trend"/>
      <sheetName val="Recon"/>
      <sheetName val="Rev Trend"/>
      <sheetName val="Rev-GM Detail 1"/>
      <sheetName val="Rev-GM Detail 2"/>
      <sheetName val="Rev Mix Trend"/>
      <sheetName val="SUMMARY (EXPD)"/>
      <sheetName val="SUMMARY (%)"/>
      <sheetName val="QTD TO GO"/>
      <sheetName val="1月"/>
      <sheetName val="15、采购订单"/>
      <sheetName val="表21 净利润调节表"/>
      <sheetName val="purchase-subsi"/>
      <sheetName val="sales1-subsi."/>
      <sheetName val="sales2-subsi."/>
      <sheetName val="sales3-subsi"/>
      <sheetName val="H_Lead"/>
      <sheetName val="K311 A_List02"/>
      <sheetName val="Share Prices"/>
      <sheetName val="Deposit"/>
      <sheetName val="(QB0) Global Properties"/>
      <sheetName val="(QB1) Quick Budget"/>
      <sheetName val="(QB3) StaffAllocation"/>
      <sheetName val="Form B5"/>
      <sheetName val="(B1)WorkAcquis"/>
      <sheetName val="A300 (to del)"/>
      <sheetName val="EX-TGS"/>
      <sheetName val="U 510"/>
      <sheetName val="0"/>
      <sheetName val="核銷表"/>
      <sheetName val="14"/>
      <sheetName val="oifi01"/>
      <sheetName val="Product Costs"/>
      <sheetName val="N719(NC)"/>
      <sheetName val="敏感性"/>
      <sheetName val="选择键"/>
      <sheetName val="Coversheet-Quarterly_Report"/>
      <sheetName val="statement 1998"/>
      <sheetName val="Dealer Stock"/>
      <sheetName val="FY Corrections"/>
      <sheetName val="Importer Stock"/>
      <sheetName val="Production"/>
      <sheetName val="Start up restrictions"/>
      <sheetName val="Used Cars Importer"/>
      <sheetName val="exchange rates"/>
      <sheetName val="Marco"/>
      <sheetName val="Ownership"/>
      <sheetName val="NeoPrice® Pricing Analysis"/>
      <sheetName val="Break-Even Analysis"/>
      <sheetName val="Working Assumptions"/>
      <sheetName val="Currency Codes"/>
      <sheetName val="1. Scoping"/>
      <sheetName val="2. Expectation"/>
      <sheetName val="3. Variance threshold"/>
      <sheetName val="A3_影视技术"/>
      <sheetName val="INPUT ICO balances"/>
      <sheetName val="INPUT ICO balances currency"/>
      <sheetName val="Exch"/>
      <sheetName val="DCF_3资产负债分析调整表"/>
      <sheetName val="其他货币资金.dbf"/>
      <sheetName val="银行存款.dbf"/>
      <sheetName val="N63_在其他主体中的权益-子（孙）公司"/>
      <sheetName val="N67_重要联营企业的主要财务信息"/>
      <sheetName val="N72_关联方往来（应收）"/>
      <sheetName val="Matrix P&amp;L - Retail Normal"/>
      <sheetName val="chart"/>
      <sheetName val="Vol Dan Fev"/>
      <sheetName val="NewB Sheet"/>
      <sheetName val="note(1)"/>
      <sheetName val="hk"/>
      <sheetName val="财务费用多栏明细账"/>
      <sheetName val="管理费用多栏明细账"/>
      <sheetName val="营业费用多栏明细账"/>
      <sheetName val="AR-BS"/>
      <sheetName val="ExelStor Dec 2002"/>
      <sheetName val="2171_FYbk"/>
      <sheetName val="2171-BK"/>
      <sheetName val="O1"/>
      <sheetName val="M1"/>
      <sheetName val="H1"/>
      <sheetName val="Contribution"/>
      <sheetName val="assets list"/>
      <sheetName val="公司清单"/>
      <sheetName val="数字视频并帐"/>
      <sheetName val="338 Apparel"/>
      <sheetName val="DATA_RANGES_3"/>
      <sheetName val="Financ. Overview"/>
      <sheetName val="Toolbox"/>
      <sheetName val="AP"/>
      <sheetName val="REVALUATION-Jul-02"/>
      <sheetName val="04-B11"/>
      <sheetName val="CRITERIA1"/>
      <sheetName val="Personnaliser votre facture"/>
      <sheetName val="Aging Datasheet"/>
      <sheetName val="ECCS_1 DataSheet"/>
      <sheetName val="KPI Datasheet"/>
      <sheetName val="核对表"/>
      <sheetName val="管理费用-技术部"/>
      <sheetName val="管理费用-管理部"/>
      <sheetName val="Suppliers"/>
      <sheetName val="General"/>
      <sheetName val="BREssPack"/>
      <sheetName val="库存商品余额表.dbf"/>
      <sheetName val="FS"/>
      <sheetName val="gl"/>
      <sheetName val="Adm"/>
      <sheetName val="sell"/>
      <sheetName val="Fin"/>
      <sheetName val=" U140-SalesTOT"/>
      <sheetName val="专项应付款Dy"/>
      <sheetName val="财务费用Dy"/>
      <sheetName val="专项应付款Mx"/>
      <sheetName val="집계표(OPTION)"/>
      <sheetName val="M"/>
      <sheetName val="FX Evo"/>
      <sheetName val="16、半成品明细"/>
      <sheetName val="FIXASSET"/>
      <sheetName val="sum"/>
      <sheetName val="ARP-U201"/>
      <sheetName val="‘‡B"/>
      <sheetName val="表三甲"/>
      <sheetName val="Accrual"/>
      <sheetName val="PRC 15"/>
      <sheetName val="model"/>
      <sheetName val="PSD-BICUTAN"/>
      <sheetName val="beer-indstry"/>
      <sheetName val="ProArcInfo"/>
      <sheetName val="Tax proj-Shenzhen"/>
      <sheetName val="DEF REV"/>
      <sheetName val="试算平衡表"/>
      <sheetName val="XBase"/>
      <sheetName val="银行存款余额验证表"/>
      <sheetName val="BalSheetBUD"/>
      <sheetName val="BE Environmental Group Ltd"/>
      <sheetName val="TEE"/>
      <sheetName val="R&amp;D P"/>
      <sheetName val="退休基本情况说明"/>
      <sheetName val="P504_3.Expected life"/>
      <sheetName val="16. Appendix - Intercompany Ref"/>
      <sheetName val="jg"/>
      <sheetName val="AUD_Rates"/>
      <sheetName val="会计科目对照表"/>
      <sheetName val="Grading Summary"/>
      <sheetName val="完"/>
      <sheetName val="29-1 贴现融资-回购式"/>
      <sheetName val="加压泵房"/>
      <sheetName val="BS - USGAAP"/>
      <sheetName val="Cntmrs-Recruit"/>
      <sheetName val="Romford Market"/>
      <sheetName val="Calcul"/>
      <sheetName val="ITS budget for FY05"/>
      <sheetName val="Full Assets List"/>
      <sheetName val="A3_conso"/>
      <sheetName val="資料庫"/>
      <sheetName val="ARP for BS"/>
      <sheetName val="C102"/>
      <sheetName val="ARP for P&amp;L"/>
      <sheetName val="2売掛金残高比較"/>
      <sheetName val="1売上債権期間分析"/>
      <sheetName val="adj."/>
      <sheetName val="DCF_VDF"/>
      <sheetName val="NOPAT_VDF"/>
      <sheetName val="Invested capital_VDF"/>
      <sheetName val="Summary Page_VDF"/>
      <sheetName val="2004"/>
      <sheetName val="POLYOLEFINS"/>
      <sheetName val="over"/>
      <sheetName val="加入者数集計"/>
      <sheetName val="fin data"/>
      <sheetName val="92,93"/>
      <sheetName val="94"/>
      <sheetName val="F_OH"/>
      <sheetName val="WACC Conclusion"/>
      <sheetName val="Terminal Value"/>
      <sheetName val="Exh B-5"/>
      <sheetName val="Exh B-2"/>
      <sheetName val="Exh B-6"/>
      <sheetName val="Exh B-8"/>
      <sheetName val="Exh B-4"/>
      <sheetName val="Exh B-3"/>
      <sheetName val="Exh B-7"/>
      <sheetName val="Exh B-1"/>
      <sheetName val="CapitalUsage"/>
      <sheetName val="Positions_PandL"/>
      <sheetName val="ACTvsFST"/>
      <sheetName val="D3-1"/>
      <sheetName val="ExchEntry"/>
      <sheetName val="PltRpt (A&amp;F)"/>
      <sheetName val="PltRpt (A&amp;FvsB)"/>
      <sheetName val="PltRpt (B&amp;AC)"/>
      <sheetName val="AcctChEntry"/>
      <sheetName val="Schedule B"/>
      <sheetName val="Print Controls"/>
      <sheetName val="被审计单位清单"/>
      <sheetName val="Financial documents"/>
      <sheetName val="Equity Development"/>
      <sheetName val="WACC and EV Inputs"/>
      <sheetName val="DATA GPC"/>
      <sheetName val="EBIT Reconciliation"/>
      <sheetName val="START"/>
      <sheetName val="DCF"/>
      <sheetName val="Ranking"/>
      <sheetName val="Depreciation and Tax Benefit"/>
      <sheetName val="INC STAT Hist Input"/>
      <sheetName val="PFI Inputs"/>
      <sheetName val="Reference"/>
      <sheetName val="Error Check"/>
      <sheetName val="NOL Tax Benefit"/>
      <sheetName val="Segment Information"/>
      <sheetName val="PFI Inc Stat Common Size"/>
      <sheetName val="PFI Inc Stat"/>
      <sheetName val="WACC"/>
      <sheetName val="Tax Amortization Benefit"/>
      <sheetName val="U300"/>
      <sheetName val="U310"/>
      <sheetName val="BR"/>
      <sheetName val="CA"/>
      <sheetName val="CO"/>
      <sheetName val="EIU"/>
      <sheetName val="Euro"/>
      <sheetName val="FI"/>
      <sheetName val="LEB"/>
      <sheetName val="MEX"/>
      <sheetName val="S&amp;P"/>
      <sheetName val="UK"/>
      <sheetName val="存货汇总表10"/>
      <sheetName val="1-3"/>
      <sheetName val="Iron Curtain Method"/>
      <sheetName val="co_code"/>
      <sheetName val="代码表"/>
      <sheetName val="Par"/>
      <sheetName val="ARCELIK项目收入成本"/>
      <sheetName val="ee&amp;offsort"/>
      <sheetName val="New Cancelled Breakout"/>
      <sheetName val="OfficerList"/>
      <sheetName val="VestTemp&amp;Typeclean"/>
      <sheetName val="0000"/>
      <sheetName val="14.04.03"/>
      <sheetName val="AmeSum"/>
      <sheetName val="EMEASum"/>
      <sheetName val="HPCoSum"/>
      <sheetName val="OGSum"/>
      <sheetName val="APJSum"/>
      <sheetName val="ADRESSES"/>
      <sheetName val="Rented Equipment"/>
      <sheetName val="TB Link"/>
      <sheetName val="SCTB"/>
      <sheetName val="基础条件"/>
      <sheetName val="P1398"/>
      <sheetName val="P1397"/>
      <sheetName val="1-11"/>
      <sheetName val="SFS(BUDGET)"/>
      <sheetName val="CONTENTS"/>
      <sheetName val="OTHER(FLASH)"/>
      <sheetName val="B-4_2"/>
      <sheetName val="nj-Mixed"/>
      <sheetName val="sz-Mixed"/>
      <sheetName val=" FY2000"/>
      <sheetName val="2002(7)"/>
      <sheetName val="收入_按产品类别（旧版已作废）_"/>
      <sheetName val="销售收入A4"/>
      <sheetName val="A1000"/>
      <sheetName val="14480000"/>
      <sheetName val="工料机"/>
      <sheetName val="100172"/>
      <sheetName val="目錄"/>
      <sheetName val="附件四  第三方后台收集信息表"/>
      <sheetName val="Invoice_detail1"/>
      <sheetName val="Stock_Chart1"/>
      <sheetName val="Final_sample_listing1"/>
      <sheetName val="Hidden_Lists1"/>
      <sheetName val="Mthly_Data1"/>
      <sheetName val="DATA_INPUT1"/>
      <sheetName val="Global_Data1"/>
      <sheetName val="5_基础档案1"/>
      <sheetName val="T__B1"/>
      <sheetName val="Chart_of_Acct1"/>
      <sheetName val="7_-_ARO_Assumptions1"/>
      <sheetName val="Graph_11"/>
      <sheetName val="A6620_Detail1"/>
      <sheetName val="SUMMARY_OUTSTANDING1"/>
      <sheetName val="固定资产增减表#0_00__1"/>
      <sheetName val="IRR_&amp;_NPV1"/>
      <sheetName val="Beg-_End_balance1"/>
      <sheetName val="附表32_-_无形资产明细表1"/>
      <sheetName val="K1_Tax_computation1"/>
      <sheetName val="C_货币资金"/>
      <sheetName val="C_抵押存款"/>
      <sheetName val="D_可供出售投资-流动"/>
      <sheetName val="D_衍生金融资产"/>
      <sheetName val="D_持有至到期投资-流动"/>
      <sheetName val="D_短期投资"/>
      <sheetName val="D_单列金融资产"/>
      <sheetName val="A5_dim&amp;adj_sum"/>
      <sheetName val="E_应收账款"/>
      <sheetName val="E_应收贸易款及票据"/>
      <sheetName val="E_应收票据"/>
      <sheetName val="F_存货"/>
      <sheetName val="F_房地产"/>
      <sheetName val="G_预付账款&amp;其他应收款&amp;待摊费用"/>
      <sheetName val="G_应收股利"/>
      <sheetName val="G_待售资产"/>
      <sheetName val="G_HK其他应收"/>
      <sheetName val="G_应收利息"/>
      <sheetName val="G_其他流动资产"/>
      <sheetName val="H_可供出售投资-非流动"/>
      <sheetName val="H_HK长投"/>
      <sheetName val="H_商誉"/>
      <sheetName val="H_持有至到期投资-非流动"/>
      <sheetName val="H_投资性房地产"/>
      <sheetName val="H_PRC长投"/>
      <sheetName val="I_应收关联方"/>
      <sheetName val="I_应付关联方"/>
      <sheetName val="J_在建工程"/>
      <sheetName val="K_固定资产"/>
      <sheetName val="K_固定资产清理"/>
      <sheetName val="L_一年内到期的长期债权投资"/>
      <sheetName val="L_无形"/>
      <sheetName val="L_长期待摊"/>
      <sheetName val="L_其他长期资产"/>
      <sheetName val="M_短借"/>
      <sheetName val="N_应付账款"/>
      <sheetName val="N_应付票据"/>
      <sheetName val="P_预收账款&amp;其他应付款&amp;应付职工薪酬&amp;预提费用&amp;其他应交款"/>
      <sheetName val="U_其他业务收支&amp;营业外收支&amp;补贴收入&amp;利息收入"/>
      <sheetName val="U_所得税"/>
      <sheetName val="O_递延税资产"/>
      <sheetName val="O_递延税负债"/>
      <sheetName val="O_应交税费"/>
      <sheetName val="U_税金及附加"/>
      <sheetName val="P_应付股利"/>
      <sheetName val="P_HK其他应付"/>
      <sheetName val="P_应付利息"/>
      <sheetName val="P_其他流动负债"/>
      <sheetName val="P_应付职工薪酬"/>
      <sheetName val="P_预计负债"/>
      <sheetName val="Q_应付债券"/>
      <sheetName val="Q_可转债"/>
      <sheetName val="Q_政府补助"/>
      <sheetName val="Q_一年内到期负债"/>
      <sheetName val="Q_应付融资租赁款"/>
      <sheetName val="Q_长借"/>
      <sheetName val="Q_长期应付"/>
      <sheetName val="Q_其他长期负债"/>
      <sheetName val="Q_专项应付"/>
      <sheetName val="T_股本"/>
      <sheetName val="T_资本公积"/>
      <sheetName val="T_折算差额"/>
      <sheetName val="T_未分配利润"/>
      <sheetName val="T_盈余公积"/>
      <sheetName val="U_主营业务"/>
      <sheetName val="U_财务费用"/>
      <sheetName val="U_投资收益&amp;公允价值变动收益"/>
      <sheetName val="U_管理费用&amp;资产减值损失"/>
      <sheetName val="U_成本倒轧表&amp;制造费用"/>
      <sheetName val="U_销售费用"/>
      <sheetName val="U_分占下属损益"/>
      <sheetName val="Volumen_AOP_2004"/>
      <sheetName val="客戶清單customer_list"/>
      <sheetName val="All_Cash_Dil"/>
      <sheetName val="Input_A"/>
      <sheetName val="STD__COST1"/>
      <sheetName val="Bank_Table1"/>
      <sheetName val="Invested_Capital1"/>
      <sheetName val="Addbacks_-_Slide_8"/>
      <sheetName val="Financial_Statistics"/>
      <sheetName val="US_Disclosure"/>
      <sheetName val="I20_b_Disclosure_Lead"/>
      <sheetName val="I20_LEAD"/>
      <sheetName val="I20-1_FWD"/>
      <sheetName val="I20-2_CNYFWD"/>
      <sheetName val="I20-3_FXS"/>
      <sheetName val="I20-4_CNYS"/>
      <sheetName val="I20-5_IRS"/>
      <sheetName val="I20-7_TOD"/>
      <sheetName val="I20-7-1_TOD_Breakdown"/>
      <sheetName val="I20-9_Comfirmation_summary"/>
      <sheetName val="Tests_of_control"/>
      <sheetName val="a_______"/>
      <sheetName val="loan_database"/>
      <sheetName val="BALANCE_SHEET"/>
      <sheetName val="Original_Stefan"/>
      <sheetName val="Audited_PL"/>
      <sheetName val="(i)_Fixed_assets-PBC"/>
      <sheetName val="Ex_Diff"/>
      <sheetName val="Profit_and_loss"/>
      <sheetName val="UKLF_Portfolio"/>
      <sheetName val="Invoice_Template"/>
      <sheetName val="Veh_Info"/>
      <sheetName val="1_1银行函证CC"/>
      <sheetName val="Chart_of_Account"/>
      <sheetName val="zero_(3)"/>
      <sheetName val="2weeeks_All__Excess_and_Shortag"/>
      <sheetName val="Exchange_Rate_&amp;_Costs"/>
      <sheetName val="ADJ_Sum(console)"/>
      <sheetName val="Feb_2016"/>
      <sheetName val="PL_summary"/>
      <sheetName val="BlueCross_table"/>
      <sheetName val="Face_of_the_report"/>
      <sheetName val="Sheet1_(11)"/>
      <sheetName val="Bal_Dolares"/>
      <sheetName val="C_现金"/>
      <sheetName val="D_交易性金融资产"/>
      <sheetName val="A3_试算表"/>
      <sheetName val="G_预付"/>
      <sheetName val="J_工程物资"/>
      <sheetName val="K_生物资产"/>
      <sheetName val="L_开发支出"/>
      <sheetName val="L_一年内到期长期资产"/>
      <sheetName val="L_长期应收"/>
      <sheetName val="L_HK单列无形"/>
      <sheetName val="M_衍生金融负债"/>
      <sheetName val="M_交易性金融负债"/>
      <sheetName val="M_带息借款-流动"/>
      <sheetName val="M_无息借款-流动"/>
      <sheetName val="M_其他金融负债"/>
      <sheetName val="N_应付贸易款及票据"/>
      <sheetName val="O_应交所得税"/>
      <sheetName val="P_预收"/>
      <sheetName val="Q_递延收益"/>
      <sheetName val="Q_带息借款-非流动"/>
      <sheetName val="Q_无息借款-非流动"/>
      <sheetName val="T_少数股东"/>
      <sheetName val="T_专项储备"/>
      <sheetName val="U_财务成本"/>
      <sheetName val="U_财务收入"/>
      <sheetName val="U_公允价值变动收益"/>
      <sheetName val="U_管理费用"/>
      <sheetName val="U_资产减值损失"/>
      <sheetName val="U_投资收益"/>
      <sheetName val="U_营业外"/>
      <sheetName val="U_其他费用"/>
      <sheetName val="U_其他收入"/>
      <sheetName val="U_其他业务"/>
      <sheetName val="Cust_List"/>
      <sheetName val="P&amp;L_Consol"/>
      <sheetName val="H_R"/>
      <sheetName val="1102_(2)"/>
      <sheetName val="Income_Tax"/>
      <sheetName val="Movement_under_PRC&amp;TW"/>
      <sheetName val="Returns_Backup"/>
      <sheetName val="Int_Rates"/>
      <sheetName val="Cash_&amp;_Bank"/>
      <sheetName val="truc_tiep"/>
      <sheetName val="Q_CF-E01"/>
      <sheetName val="2006DEP_sap_data"/>
      <sheetName val="Phase2_movementDEC"/>
      <sheetName val="Phase1f_a_DEC"/>
      <sheetName val="Phase2_f_a_DEC_(2)"/>
      <sheetName val="C_-_Cash_and_Bank"/>
      <sheetName val="IS_Summary-96"/>
      <sheetName val="Business_Unit"/>
      <sheetName val="BOC_Classic"/>
      <sheetName val="Sign_Off_Form"/>
      <sheetName val="Breakdown_on_Retail_Loan_Grade"/>
      <sheetName val="2003_scrapped"/>
      <sheetName val="Accounts_receivables"/>
      <sheetName val="AP-RPT_"/>
      <sheetName val="Input_Sheet"/>
      <sheetName val="P&amp;L_PP"/>
      <sheetName val="Rev_Sen"/>
      <sheetName val="多辅助核算汇总by_客户"/>
      <sheetName val="Non-Statistical_Sampling_Master"/>
      <sheetName val="Two_Step_Revenue_Testing_Master"/>
      <sheetName val="信息费用预算表(A4)_"/>
      <sheetName val="Cash_Flow1"/>
      <sheetName val="AJEs_&amp;_RJEs"/>
      <sheetName val="Vauxhall_Opel_30004"/>
      <sheetName val="PBC_-_PHS"/>
      <sheetName val="NAV_Output"/>
      <sheetName val="Financial_Exp明细分类账"/>
      <sheetName val="FA_Addition"/>
      <sheetName val="Staff_List"/>
      <sheetName val="M_Schedules"/>
      <sheetName val="Info__Request"/>
      <sheetName val="Trial_Balance"/>
      <sheetName val="GP_Analysis"/>
      <sheetName val="Drop_List_References"/>
      <sheetName val="5050_Bank_HKD"/>
      <sheetName val="Variance_by_Mth"/>
      <sheetName val="ASP_from_Barb"/>
      <sheetName val="OMFG_Cost"/>
      <sheetName val="PAL&amp;DPAL_AP610"/>
      <sheetName val="Sheet2_(3)"/>
      <sheetName val="gares_02_BON_FICHIER_"/>
      <sheetName val="Oct_Starts_Plan"/>
      <sheetName val="Invest_"/>
      <sheetName val="2__PPR_REVENUE_APR10"/>
      <sheetName val="GM_Trend"/>
      <sheetName val="GM%_Trend"/>
      <sheetName val="Linearity_Chart"/>
      <sheetName val="NP_Trend"/>
      <sheetName val="Rev_Trend"/>
      <sheetName val="Rev-GM_Detail_1"/>
      <sheetName val="Rev-GM_Detail_2"/>
      <sheetName val="Rev_Mix_Trend"/>
      <sheetName val="SUMMARY_(EXPD)"/>
      <sheetName val="SUMMARY_(%)"/>
      <sheetName val="QTD_TO_GO"/>
      <sheetName val="2008收发存"/>
      <sheetName val="Review pts"/>
      <sheetName val="Key_Inputs"/>
      <sheetName val="1.2_CoCo_Financials_Meta"/>
      <sheetName val="1_ShortName_Calculation_Meta"/>
      <sheetName val="四川住贸"/>
      <sheetName val="杭州山松"/>
      <sheetName val="吉林小松"/>
      <sheetName val="武汉小松"/>
      <sheetName val="西安安松"/>
      <sheetName val="data elements"/>
      <sheetName val="利息7月-8月"/>
      <sheetName val="Cost Rev(Lot16)"/>
      <sheetName val="Sales_Prefinal"/>
      <sheetName val="AP_Prefinal"/>
      <sheetName val="应付明细"/>
      <sheetName val="Open"/>
      <sheetName val="crıter"/>
      <sheetName val="REF CBU"/>
      <sheetName val="INIT"/>
      <sheetName val="E15"/>
      <sheetName val="Upload Apr 13"/>
      <sheetName val="MET_H_KK"/>
      <sheetName val="UFPrn20201203092258"/>
      <sheetName val="CY sales report"/>
      <sheetName val="预付账款明细表"/>
      <sheetName val="总"/>
      <sheetName val="Investment Property"/>
      <sheetName val="&lt;原报&gt;资产负债表"/>
      <sheetName val="报表目录"/>
      <sheetName val="报表层次重要性水平"/>
      <sheetName val="所有者权益(股东权益)变动表(未审)"/>
      <sheetName val="#511-DEC97"/>
      <sheetName val="外销涤布"/>
      <sheetName val="FY03"/>
      <sheetName val="B1-1001"/>
      <sheetName val="PTC"/>
      <sheetName val="费用重分类"/>
      <sheetName val="Equity Index"/>
      <sheetName val="M_5A"/>
      <sheetName val="M_5C"/>
      <sheetName val="____"/>
      <sheetName val="预付账款Dy"/>
      <sheetName val="金利グラ"/>
      <sheetName val="租赁收入(80105)Breakdown"/>
      <sheetName val="抽样测试"/>
      <sheetName val="G402."/>
      <sheetName val="原材料"/>
      <sheetName val="PPE (HKGAAP) 2002"/>
      <sheetName val="Threshold Table"/>
      <sheetName val="Malli"/>
      <sheetName val="Mobile"/>
      <sheetName val="Abbreviations"/>
      <sheetName val="E0 Design Interface chart"/>
      <sheetName val="9609Aß"/>
      <sheetName val="PKG"/>
      <sheetName val="Confirmation Letter"/>
      <sheetName val="月"/>
      <sheetName val="LQE1"/>
      <sheetName val="LQE2"/>
      <sheetName val="LQE3"/>
      <sheetName val="PM"/>
      <sheetName val="GoTo"/>
      <sheetName val="Product_Costs"/>
      <sheetName val="Share_Prices"/>
      <sheetName val="Detail_Loan_Move__&amp;_Listing"/>
      <sheetName val="E2 AR listing(not used)"/>
      <sheetName val="DETBIL"/>
      <sheetName val="產成品收發明細表"/>
      <sheetName val="CHN03 5e"/>
      <sheetName val="CHN01 5e"/>
      <sheetName val="销售费用截止"/>
      <sheetName val="管理费用截止"/>
      <sheetName val="成品入库05"/>
      <sheetName val="EY data"/>
      <sheetName val="调整"/>
      <sheetName val="Chart of accounts"/>
      <sheetName val="B-6 investment"/>
      <sheetName val="1月明细汇总"/>
      <sheetName val="汇总"/>
      <sheetName val="U.所得税2016"/>
      <sheetName val="O.递延税资产2016"/>
      <sheetName val="O.递延税负债2016"/>
      <sheetName val="K311_A_List02"/>
      <sheetName val="AP_Recap"/>
      <sheetName val="BE_Environmental_Group_Ltd"/>
      <sheetName val="Aging_Datasheet"/>
      <sheetName val="ECCS_1_DataSheet"/>
      <sheetName val="KPI_Datasheet"/>
      <sheetName val="R&amp;D_P"/>
      <sheetName val="P504_3_Expected_life"/>
      <sheetName val="16__Appendix_-_Intercompany_Ref"/>
      <sheetName val="Grading_Summary"/>
      <sheetName val="Financ__Overview"/>
      <sheetName val="29-1_贴现融资-回购式"/>
      <sheetName val="资债比较原"/>
      <sheetName val="T0调整表"/>
      <sheetName val="成形机"/>
      <sheetName val="Mktcap Price"/>
      <sheetName val="Questions"/>
      <sheetName val="漢科合併"/>
      <sheetName val="销售订单（每月系统导出）"/>
      <sheetName val="03年1季度"/>
      <sheetName val="Mach &amp; equip"/>
      <sheetName val="Freezers"/>
      <sheetName val="Building"/>
      <sheetName val="trib"/>
      <sheetName val="INPUT WH"/>
      <sheetName val="Input Open Orders"/>
      <sheetName val="AA#11"/>
      <sheetName val="R-1"/>
      <sheetName val="COSTOMAT.XLS"/>
      <sheetName val="Base Info"/>
      <sheetName val="主菜单"/>
      <sheetName val="BQ"/>
      <sheetName val="400吨现存量"/>
      <sheetName val="_600吨现存量"/>
      <sheetName val="OR"/>
      <sheetName val="U200"/>
      <sheetName val="审定表"/>
      <sheetName val="Assets"/>
      <sheetName val="DataEntry"/>
      <sheetName val="PAY REGISTER~Input Values"/>
      <sheetName val="Exh.2.1A"/>
      <sheetName val="Exh.2.1B"/>
      <sheetName val="001Disclosure Summary"/>
      <sheetName val="往来账龄-RPT"/>
      <sheetName val="V_Lead "/>
      <sheetName val="银行列表"/>
      <sheetName val="应收账款"/>
      <sheetName val="______¡¤___¡À¨ª"/>
      <sheetName val="statement of account BT"/>
      <sheetName val="165_ok"/>
      <sheetName val="Module2"/>
      <sheetName val="1 LeadSchedule"/>
      <sheetName val="3 Analysis"/>
      <sheetName val="E1020"/>
      <sheetName val="各店铺收入费用差异分析"/>
      <sheetName val="5 Analysis"/>
      <sheetName val="GeneralInfo"/>
      <sheetName val="Credit Card"/>
      <sheetName val="1(分品种)"/>
      <sheetName val="Data List"/>
      <sheetName val="Irregular Income"/>
      <sheetName val="FE-1770.P1"/>
      <sheetName val="prod"/>
      <sheetName val="cg"/>
      <sheetName val="System"/>
      <sheetName val="Sum_of_Brand"/>
      <sheetName val="Sum_of_Model"/>
      <sheetName val="Sum_of_Manufacturer"/>
      <sheetName val="產成品收發明細表5"/>
      <sheetName val="A3-100"/>
      <sheetName val="Monthly"/>
      <sheetName val="LAbor estimate"/>
      <sheetName val="SAGbehov"/>
      <sheetName val="Hist_BS"/>
      <sheetName val="vp detail"/>
      <sheetName val="reconc cnd"/>
      <sheetName val="固定资产总清单"/>
      <sheetName val="调整说明"/>
      <sheetName val="现 金 流 量 表"/>
      <sheetName val="BS_ReportingDate"/>
      <sheetName val="Cap Ex actual &amp; forecasted"/>
      <sheetName val="G201os"/>
      <sheetName val="CPP1"/>
      <sheetName val="CPP10"/>
      <sheetName val="CPP19"/>
      <sheetName val="DAILY"/>
      <sheetName val="gia vt,nc,may"/>
      <sheetName val="Benefit Tracking"/>
      <sheetName val="Benefit Form"/>
      <sheetName val="lookups"/>
      <sheetName val="Scoping"/>
      <sheetName val="Currency"/>
      <sheetName val="Non-Statistical Sampling"/>
      <sheetName val="AR Drop Downs"/>
      <sheetName val="DropDown"/>
      <sheetName val="Untitled"/>
      <sheetName val="VW_EUR1"/>
      <sheetName val="KE5Z detail"/>
      <sheetName val="cogs-Rx"/>
      <sheetName val="Beregninger"/>
      <sheetName val="_010_10100"/>
      <sheetName val="_010_10102"/>
      <sheetName val="Marshal"/>
      <sheetName val="Invoices_table"/>
      <sheetName val="Audit Results"/>
      <sheetName val="Audit Results Upper Stratum"/>
      <sheetName val="Planning"/>
      <sheetName val="Population Characteristics"/>
      <sheetName val="FOIL"/>
      <sheetName val="Forecast Comparison Data"/>
      <sheetName val="Understand the client"/>
      <sheetName val="Bokslutsprocessen"/>
      <sheetName val="Indata"/>
      <sheetName val="CRA"/>
      <sheetName val="Budget2000OB"/>
      <sheetName val="ProdPlan"/>
      <sheetName val="Table COA P&amp;L"/>
      <sheetName val="Marketing product ranges"/>
      <sheetName val="Value Chain definitions"/>
      <sheetName val="Marketing vehicle definitions"/>
      <sheetName val="Interco Sales"/>
      <sheetName val="Net Bookings"/>
      <sheetName val="Net Sales &amp; Cost of Sales"/>
      <sheetName val="Front"/>
      <sheetName val="Quantity"/>
      <sheetName val="95059D"/>
      <sheetName val="Global"/>
      <sheetName val="BKD-所得税"/>
      <sheetName val="BKD-应交税费"/>
      <sheetName val="所得税费用for Feport"/>
      <sheetName val="可抵扣亏损统计表-from 所得税汇算清缴报告"/>
      <sheetName val="N101"/>
      <sheetName val="Sensitivities"/>
      <sheetName val="Sundries creditors"/>
      <sheetName val="Advance to staff"/>
      <sheetName val="DEPOSIT-PPYMT"/>
      <sheetName val="中小学生"/>
      <sheetName val="科目列表"/>
      <sheetName val="科目列表其中项"/>
      <sheetName val="币种其中项"/>
      <sheetName val="自定义一列表"/>
      <sheetName val="自定义二列表"/>
      <sheetName val="其中项及原币调整"/>
      <sheetName val="基础表"/>
      <sheetName val="1、日记账调整分录"/>
      <sheetName val="财务费用明细表"/>
      <sheetName val="长期待摊费用明细表"/>
      <sheetName val="iRepository"/>
      <sheetName val="Permit"/>
      <sheetName val="__"/>
      <sheetName val="5税收优惠明细表"/>
      <sheetName val="K1-2明细表"/>
      <sheetName val="P120"/>
      <sheetName val="__98"/>
      <sheetName val="01 T"/>
      <sheetName val="03 "/>
      <sheetName val="zfi044-ALL"/>
      <sheetName val="GIU"/>
      <sheetName val="Comparative Balance Sheet"/>
      <sheetName val="Checkbook"/>
      <sheetName val="本年收入合计"/>
      <sheetName val="cycztb"/>
      <sheetName val="单体ADJ"/>
      <sheetName val="合并ADJ"/>
      <sheetName val="ADJ-单体汇总"/>
      <sheetName val="ADJ-合并汇总"/>
      <sheetName val="科目清单"/>
      <sheetName val="所并"/>
      <sheetName val="Office Improve"/>
      <sheetName val="Introduction说明"/>
      <sheetName val="BSCF"/>
      <sheetName val="Credit Check"/>
      <sheetName val="清单12.31"/>
      <sheetName val="递延税款Dy"/>
      <sheetName val="资本公积Dy"/>
      <sheetName val="盈余公积Dy"/>
      <sheetName val="未分配利润Dy"/>
      <sheetName val="补贴收入Dy"/>
      <sheetName val="所得税Dy"/>
      <sheetName val="坏账准备_应收账款Dy"/>
      <sheetName val="应交税金Dy"/>
      <sheetName val="其他应交款Dy"/>
      <sheetName val="坏账准备_应收账款Mx"/>
      <sheetName val="RECONCILIATION"/>
      <sheetName val="报表科目明细"/>
      <sheetName val="AA"/>
      <sheetName val="5.07 vs 4.07 je"/>
      <sheetName val="Hotel"/>
      <sheetName val="壓摸穿燈"/>
      <sheetName val="Customize Your Loan Manager"/>
      <sheetName val="Reserves"/>
      <sheetName val="P101"/>
      <sheetName val="产成品"/>
      <sheetName val="合同件"/>
      <sheetName val="BMP______xls_99__"/>
      <sheetName val="Sheet8"/>
      <sheetName val="Macro1"/>
      <sheetName val="ADJ"/>
      <sheetName val="LBOSHELL"/>
      <sheetName val="10月20日估值"/>
      <sheetName val="同业借款"/>
      <sheetName val="FTK"/>
      <sheetName val="F2100-半成品"/>
      <sheetName val="F2000-委托加工物资"/>
      <sheetName val="F1000芯片"/>
      <sheetName val="F1100芯片测试费 "/>
      <sheetName val="PRC GAAP"/>
      <sheetName val="APCODE"/>
      <sheetName val="FF-3"/>
      <sheetName val="Accrued Expenses Detail"/>
      <sheetName val="VII-Redemption Nov"/>
      <sheetName val="AP_Accrued"/>
      <sheetName val="说明"/>
      <sheetName val="收入"/>
      <sheetName val="账龄分析表"/>
      <sheetName val="sys"/>
      <sheetName val="辅助表"/>
      <sheetName val="P800-Vouching"/>
      <sheetName val="O - Doubtful Debts"/>
      <sheetName val="A800"/>
      <sheetName val="员工信息"/>
      <sheetName val="8.25 动态图表-图片自动更新"/>
      <sheetName val="8.28 动态图表-定义名称动态图表"/>
      <sheetName val="8.30 动态图表-单选控件变动图表"/>
      <sheetName val="8.31 动态图表-组合框控件变动图表"/>
      <sheetName val="8.32 动态图表-多选控件变动图表"/>
      <sheetName val="8.33 动态图表-滚动条控件变动图表"/>
      <sheetName val="8.34 动态图表-双控件组合变动图表(1)"/>
      <sheetName val="8.34 动态图表-双控件组合变动图表(2)"/>
      <sheetName val="8.29 动态图表-自动更新"/>
      <sheetName val="2021_Sub_Equity_movement"/>
      <sheetName val="Assump_Input"/>
      <sheetName val="Dep_HK"/>
      <sheetName val="销售6_13"/>
      <sheetName val="11__PPE_Roll"/>
      <sheetName val="P_&amp;_L_Account"/>
      <sheetName val="Air_Conditional"/>
      <sheetName val="Motor_Vehicle"/>
      <sheetName val="99_00_plan_-_base_case"/>
      <sheetName val="Input_Page"/>
      <sheetName val="EY_USE_ONLY"/>
      <sheetName val="&lt;FF&gt;_Tax_Payable"/>
      <sheetName val="OCT_BANK"/>
      <sheetName val="A401"/>
      <sheetName val="Main"/>
      <sheetName val="JAN"/>
      <sheetName val="Macros"/>
      <sheetName val="Namelist"/>
      <sheetName val="C_110函证控制表_1"/>
      <sheetName val="others gl"/>
      <sheetName val="SAD"/>
      <sheetName val="_002。6新"/>
      <sheetName val="Parameters (Hide)"/>
      <sheetName val="WACC and TIC Inputs"/>
      <sheetName val="Projection"/>
      <sheetName val="R540ACFI"/>
      <sheetName val="IC"/>
      <sheetName val="Price"/>
      <sheetName val="NTL-R&amp;PM Cover in weeks"/>
      <sheetName val="Sum2000"/>
      <sheetName val="Basic Data"/>
      <sheetName val="Pivat_CNENS"/>
      <sheetName val="CF附注"/>
      <sheetName val="bgbvgyprocorig"/>
      <sheetName val="Custs #2"/>
      <sheetName val="Interest #9"/>
      <sheetName val="Bilanz"/>
      <sheetName val="GuV(LM)"/>
      <sheetName val="GuV(LM) (kurz)"/>
      <sheetName val="Plan (kurze)"/>
      <sheetName val="Plan"/>
      <sheetName val="QAD-面套库存"/>
      <sheetName val="  listing  "/>
      <sheetName val="K-0 PPE Overview PSP_OSP"/>
      <sheetName val="Orders"/>
      <sheetName val="Estimated AP 9.03"/>
      <sheetName val="营业成本Dy"/>
      <sheetName val="100152"/>
      <sheetName val="Introduction"/>
      <sheetName val="Timing"/>
      <sheetName val="WW"/>
      <sheetName val="供应商交易额Summary"/>
      <sheetName val="覆盖率测算"/>
      <sheetName val="代理收入"/>
      <sheetName val="0.1客户交易额Summary"/>
      <sheetName val="联运商汇总"/>
      <sheetName val="长期待摊费用审定表"/>
      <sheetName val="短期借款审定表"/>
      <sheetName val="利润"/>
      <sheetName val="资产"/>
      <sheetName val="DataLookups"/>
      <sheetName val="GLASS"/>
      <sheetName val="WWEst"/>
      <sheetName val="lam-moi"/>
      <sheetName val="细节测试审计抽样"/>
      <sheetName val="dm"/>
      <sheetName val="短期投资股票投资.dbf"/>
      <sheetName val="短期投资国债投资.dbf"/>
      <sheetName val="股票投资收益.dbf"/>
      <sheetName val="其他货币海通.dbf"/>
      <sheetName val="其他货币零领路.dbf"/>
      <sheetName val="投资收益债券.dbf"/>
      <sheetName val="附表6"/>
      <sheetName val="作業シート"/>
      <sheetName val="Transl"/>
      <sheetName val="C4-"/>
      <sheetName val="LTM"/>
      <sheetName val="CREDIT STATS"/>
      <sheetName val="K110"/>
      <sheetName val="O111"/>
      <sheetName val="Family"/>
      <sheetName val="(Sch C) Reconciliation"/>
      <sheetName val="样品成本251"/>
      <sheetName val="To Generate"/>
      <sheetName val="detailitems_183"/>
      <sheetName val="ITEM"/>
      <sheetName val="PriceList"/>
      <sheetName val="Sch11"/>
      <sheetName val="Breadown-Nop"/>
      <sheetName val="Item Info."/>
      <sheetName val="PENY"/>
      <sheetName val="存货"/>
      <sheetName val="固定"/>
      <sheetName val="在建"/>
      <sheetName val="期间"/>
      <sheetName val="填表说明"/>
      <sheetName val="企业应提供资料"/>
      <sheetName val="合并"/>
      <sheetName val="内部往来调节表6"/>
      <sheetName val="销售成本明细表19之一"/>
      <sheetName val="ﾄﾖﾀUNIT"/>
      <sheetName val="ws-holiday"/>
      <sheetName val="数量金额总账"/>
      <sheetName val="K140"/>
      <sheetName val="4-货币资金-现金"/>
      <sheetName val="JAN405"/>
      <sheetName val="Additions Interface"/>
      <sheetName val="Plothers"/>
      <sheetName val="CY BS"/>
      <sheetName val="Payroll Recs"/>
      <sheetName val="6月"/>
      <sheetName val="sysparm"/>
      <sheetName val="23"/>
      <sheetName val="22"/>
      <sheetName val="9"/>
      <sheetName val="20"/>
      <sheetName val="32"/>
      <sheetName val="21"/>
      <sheetName val="17"/>
      <sheetName val="31"/>
      <sheetName val="19"/>
      <sheetName val="BAL0901"/>
      <sheetName val="FEVEREIRO"/>
      <sheetName val="director"/>
      <sheetName val="process "/>
      <sheetName val="June"/>
      <sheetName val="0403"/>
      <sheetName val="CREDIT"/>
      <sheetName val="Actuals98"/>
      <sheetName val="Actuals99"/>
      <sheetName val="INSTRUCTIONS"/>
      <sheetName val="S"/>
      <sheetName val="Base Q"/>
      <sheetName val="Funct Area Q"/>
      <sheetName val="1.岚图空间北京合生汇店"/>
      <sheetName val="60.岚图空间上海长宁龙之梦店"/>
      <sheetName val="70.岚图汽车上海交付服务中心"/>
      <sheetName val="83.岚图空间佛山王府井紫薇港店"/>
      <sheetName val="LR_100使用权资产"/>
      <sheetName val="LR_100租赁负债"/>
      <sheetName val="1.計数実績"/>
      <sheetName val="E1.1.2 - RECEBIMENTOS"/>
      <sheetName val="UFPrn20021113090847"/>
      <sheetName val="GSH"/>
      <sheetName val="提示表"/>
      <sheetName val="GSH (2)"/>
      <sheetName val="Schedule 1.0. HYP"/>
      <sheetName val="超过一年未发料"/>
      <sheetName val="材料库存20141231"/>
      <sheetName val="POWER ASSUMPTIONS"/>
      <sheetName val="schedule"/>
      <sheetName val="CFS"/>
      <sheetName val="Directions"/>
      <sheetName val="Base Budget"/>
      <sheetName val="BaseCA"/>
      <sheetName val="BaseCli"/>
      <sheetName val="E3_100(合同资产)_集团内"/>
      <sheetName val="CE"/>
      <sheetName val="Pnl-10"/>
      <sheetName val="70"/>
      <sheetName val="B-10"/>
      <sheetName val="BB-1"/>
      <sheetName val="C-5"/>
      <sheetName val="C-6"/>
      <sheetName val="C-6a"/>
      <sheetName val="F-1l2"/>
      <sheetName val="F-21"/>
      <sheetName val="F-4"/>
      <sheetName val="F-9c"/>
      <sheetName val="FF"/>
      <sheetName val="FF-2"/>
      <sheetName val="F-8(FSA)"/>
      <sheetName val="M MM"/>
      <sheetName val="30a"/>
      <sheetName val="30-Note"/>
      <sheetName val="U-2"/>
      <sheetName val="Sal &amp; Wage Info"/>
      <sheetName val="SC HKD CA"/>
      <sheetName val="利润分析"/>
      <sheetName val="资产负债分析"/>
      <sheetName val="散热器"/>
      <sheetName val="txfyb"/>
      <sheetName val="lrjsb"/>
      <sheetName val="zjfyb"/>
      <sheetName val="jcsjb"/>
      <sheetName val="zjsyb"/>
      <sheetName val="cbfyb"/>
      <sheetName val="ldzjb"/>
      <sheetName val="Comp"/>
      <sheetName val="Post"/>
      <sheetName val="Financial Assets and Liability"/>
      <sheetName val="GRN Main"/>
      <sheetName val="ARP_U101"/>
      <sheetName val="ARP_U501"/>
      <sheetName val="DISP"/>
      <sheetName val="RPT"/>
      <sheetName val="Consulting"/>
      <sheetName val="Property"/>
      <sheetName val="Transport"/>
      <sheetName val="Water"/>
      <sheetName val="盛联余"/>
      <sheetName val="J411"/>
      <sheetName val="J412"/>
      <sheetName val="UFPrn20081114105806"/>
      <sheetName val="A14_g132"/>
      <sheetName val="A14_g134"/>
      <sheetName val="嘉华仓库"/>
      <sheetName val="SHIP"/>
      <sheetName val="TB2000"/>
      <sheetName val="TB2001"/>
      <sheetName val="INI"/>
      <sheetName val="AV"/>
      <sheetName val="LS"/>
      <sheetName val="TR"/>
      <sheetName val="F"/>
      <sheetName val="IVT"/>
      <sheetName val="C 8 D"/>
      <sheetName val="Provisions"/>
      <sheetName val="Treasury_BANKEN_Matrix"/>
      <sheetName val="EHQ"/>
      <sheetName val="FED DEPR"/>
      <sheetName val="K5-1"/>
      <sheetName val="Value 1"/>
      <sheetName val="汇总底稿"/>
      <sheetName val="Com list"/>
      <sheetName val="列表"/>
      <sheetName val="FINANCEIRA"/>
      <sheetName val="医院进销存"/>
      <sheetName val="一周期10片价格"/>
      <sheetName val="一周期6片价格"/>
      <sheetName val="2003年代表医院指标-一周期"/>
      <sheetName val="一周期IND价格"/>
      <sheetName val="6641"/>
      <sheetName val="HC-45"/>
      <sheetName val="28521502"/>
      <sheetName val="03.7"/>
      <sheetName val="Historical IS"/>
      <sheetName val="CON MR2K AL ck"/>
      <sheetName val="BOM for Nexum IV"/>
      <sheetName val="SAP Upload Template"/>
      <sheetName val="Sales Summary"/>
      <sheetName val="P&amp;L Detail"/>
      <sheetName val="P&amp;L "/>
      <sheetName val="Global Variables"/>
      <sheetName val="RZ"/>
      <sheetName val="众宏"/>
      <sheetName val="余姚众力"/>
      <sheetName val="PTY"/>
      <sheetName val="HB"/>
      <sheetName val="HF"/>
      <sheetName val="HBZH"/>
      <sheetName val="ZHSH"/>
      <sheetName val="Days"/>
      <sheetName val="SignificantAcctsTemplate"/>
      <sheetName val="Configure"/>
      <sheetName val=" 弃"/>
      <sheetName val="JY"/>
      <sheetName val="consol A300"/>
      <sheetName val="consol adj1_子公司合并抵消"/>
      <sheetName val="DHB PSGL"/>
      <sheetName val="PCCODE"/>
      <sheetName val="费用"/>
      <sheetName val="input data"/>
      <sheetName val="DropDowns"/>
      <sheetName val="Month 8"/>
      <sheetName val="CFC"/>
      <sheetName val="TPFC"/>
      <sheetName val="prod."/>
      <sheetName val="Defaults"/>
      <sheetName val="short term loan"/>
      <sheetName val="预收账龄"/>
      <sheetName val="A810-ASM"/>
      <sheetName val="TTU"/>
      <sheetName val="SAP Data"/>
      <sheetName val="Index Data"/>
      <sheetName val="ILU share price data"/>
      <sheetName val="Bemax data"/>
      <sheetName val="Name"/>
      <sheetName val="10K4"/>
      <sheetName val="合并TB"/>
      <sheetName val="PBC2010_RM"/>
      <sheetName val="GTM"/>
      <sheetName val="K100"/>
      <sheetName val="LJ-Y07"/>
      <sheetName val="FEIT Breakdown"/>
      <sheetName val="HongKong"/>
      <sheetName val="Fundamentals"/>
      <sheetName val="BetaCalcs"/>
      <sheetName val="RateIfFullFY2001"/>
      <sheetName val="MSIGet_Flags"/>
      <sheetName val="市場"/>
      <sheetName val="U1"/>
      <sheetName val="BalancesCalc"/>
      <sheetName val="BalEntAccComp"/>
      <sheetName val="BenchmarkPercentage"/>
      <sheetName val="Benchmarks"/>
      <sheetName val="Backend"/>
      <sheetName val="Components"/>
      <sheetName val="FilteredBenchmark"/>
      <sheetName val="ToolTipControl"/>
      <sheetName val="历年减少"/>
      <sheetName val="ListVariables"/>
      <sheetName val="030 Ex &amp; Gl"/>
      <sheetName val="动态图表-定义名称"/>
      <sheetName val="Table of Contents"/>
      <sheetName val="3rd"/>
      <sheetName val="67205110_NAVECO_MONTH_DATE"/>
      <sheetName val="EntityList"/>
      <sheetName val="EmphasisList"/>
      <sheetName val="FinAsmp"/>
      <sheetName val="GenAsmp"/>
      <sheetName val="CpEx"/>
      <sheetName val="I-Summary"/>
      <sheetName val="97BGT6"/>
      <sheetName val="部门"/>
      <sheetName val="LIST!"/>
      <sheetName val="G100"/>
      <sheetName val="負荷計算"/>
      <sheetName val="Macro"/>
      <sheetName val="PRC_ 080630-Parent-Mgt"/>
      <sheetName val="面积指标表"/>
      <sheetName val="Cash"/>
      <sheetName val="fedcapct2006"/>
      <sheetName val="Drop-Down Lists"/>
      <sheetName val="I"/>
      <sheetName val="II"/>
      <sheetName val="AE"/>
      <sheetName val="6.比較資產負債表"/>
      <sheetName val="稅籍代碼檢查表"/>
      <sheetName val="0-2.資料聯"/>
      <sheetName val="基本稅額計算"/>
      <sheetName val="0-1.基本資料"/>
      <sheetName val="EFTvsTAXmapping"/>
      <sheetName val="4.損益表"/>
      <sheetName val="9.各類給付扣繳表"/>
      <sheetName val="Income Statement Input"/>
      <sheetName val="TSNO-DC"/>
      <sheetName val="表头信息"/>
      <sheetName val="基本情况表"/>
      <sheetName val="实体清单"/>
      <sheetName val="集团内公司"/>
      <sheetName val="对照表"/>
      <sheetName val="Debtor Turnover Period"/>
      <sheetName val="CX_ELIM2"/>
      <sheetName val="2007_12折旧差异2"/>
      <sheetName val="FA_Roll_to_GL_(p_2)2"/>
      <sheetName val="Lead_(p_1)2"/>
      <sheetName val="Lease_AP_20082"/>
      <sheetName val="Invoice_detail2"/>
      <sheetName val="Net_REVENUE2"/>
      <sheetName val="Stock_Chart2"/>
      <sheetName val="Final_sample_listing2"/>
      <sheetName val="Hidden_Lists2"/>
      <sheetName val="Mthly_Data2"/>
      <sheetName val="DATA_INPUT2"/>
      <sheetName val="Global_Data2"/>
      <sheetName val="DEC_Bank2"/>
      <sheetName val="5_基础档案2"/>
      <sheetName val="其他业务成本_1110312"/>
      <sheetName val="TAB_Daten2"/>
      <sheetName val="JE_-_Depn_Sept2"/>
      <sheetName val="T__B2"/>
      <sheetName val="Chart_of_Acct2"/>
      <sheetName val="7_-_ARO_Assumptions2"/>
      <sheetName val="Graph_12"/>
      <sheetName val="A6620_Detail2"/>
      <sheetName val="SUMMARY_OUTSTANDING2"/>
      <sheetName val="固定资产增减表#0_00__2"/>
      <sheetName val="IRR_&amp;_NPV2"/>
      <sheetName val="Beg-_End_balance2"/>
      <sheetName val="附表32_-_无形资产明细表2"/>
      <sheetName val="K1_Tax_computation2"/>
      <sheetName val="Repayment_Summary1"/>
      <sheetName val="Comp_equip1"/>
      <sheetName val="1_1_Project_Data1"/>
      <sheetName val="C_货币资金1"/>
      <sheetName val="C_抵押存款1"/>
      <sheetName val="D_可供出售投资-流动1"/>
      <sheetName val="D_衍生金融资产1"/>
      <sheetName val="D_持有至到期投资-流动1"/>
      <sheetName val="D_短期投资1"/>
      <sheetName val="D_单列金融资产1"/>
      <sheetName val="A5_dim&amp;adj_sum1"/>
      <sheetName val="E_应收账款1"/>
      <sheetName val="E_应收贸易款及票据1"/>
      <sheetName val="E_应收票据1"/>
      <sheetName val="F_存货1"/>
      <sheetName val="F_房地产1"/>
      <sheetName val="G_预付账款&amp;其他应收款&amp;待摊费用1"/>
      <sheetName val="G_应收股利1"/>
      <sheetName val="G_待售资产1"/>
      <sheetName val="G_HK其他应收1"/>
      <sheetName val="G_应收利息1"/>
      <sheetName val="G_其他流动资产1"/>
      <sheetName val="H_可供出售投资-非流动1"/>
      <sheetName val="H_HK长投1"/>
      <sheetName val="H_商誉1"/>
      <sheetName val="H_持有至到期投资-非流动1"/>
      <sheetName val="H_投资性房地产1"/>
      <sheetName val="H_PRC长投1"/>
      <sheetName val="I_应收关联方1"/>
      <sheetName val="I_应付关联方1"/>
      <sheetName val="J_在建工程1"/>
      <sheetName val="K_固定资产1"/>
      <sheetName val="K_固定资产清理1"/>
      <sheetName val="L_一年内到期的长期债权投资1"/>
      <sheetName val="L_无形1"/>
      <sheetName val="L_长期待摊1"/>
      <sheetName val="L_其他长期资产1"/>
      <sheetName val="M_短借1"/>
      <sheetName val="N_应付账款1"/>
      <sheetName val="N_应付票据1"/>
      <sheetName val="P_预收账款&amp;其他应付款&amp;应付职工薪酬&amp;预提费用&amp;其他应交款1"/>
      <sheetName val="U_其他业务收支&amp;营业外收支&amp;补贴收入&amp;利息收入1"/>
      <sheetName val="U_所得税1"/>
      <sheetName val="O_递延税资产1"/>
      <sheetName val="O_递延税负债1"/>
      <sheetName val="O_应交税费1"/>
      <sheetName val="U_税金及附加1"/>
      <sheetName val="P_应付股利1"/>
      <sheetName val="P_HK其他应付1"/>
      <sheetName val="P_应付利息1"/>
      <sheetName val="P_其他应付款1"/>
      <sheetName val="P_其他流动负债1"/>
      <sheetName val="P_应付职工薪酬1"/>
      <sheetName val="P_预计负债1"/>
      <sheetName val="Q_应付债券1"/>
      <sheetName val="Q_可转债1"/>
      <sheetName val="Q_政府补助1"/>
      <sheetName val="Q_一年内到期负债1"/>
      <sheetName val="Q_应付融资租赁款1"/>
      <sheetName val="Q_长借1"/>
      <sheetName val="Q_长期应付1"/>
      <sheetName val="Q_其他长期负债1"/>
      <sheetName val="Q_专项应付1"/>
      <sheetName val="T_股本1"/>
      <sheetName val="T_资本公积1"/>
      <sheetName val="T_折算差额1"/>
      <sheetName val="T_未分配利润1"/>
      <sheetName val="T_盈余公积1"/>
      <sheetName val="U_主营业务1"/>
      <sheetName val="U_财务费用1"/>
      <sheetName val="U_投资收益&amp;公允价值变动收益1"/>
      <sheetName val="U_管理费用&amp;资产减值损失1"/>
      <sheetName val="U_成本倒轧表&amp;制造费用1"/>
      <sheetName val="U_销售费用1"/>
      <sheetName val="U_分占下属损益1"/>
      <sheetName val="Key_Assumptions1"/>
      <sheetName val="A3_&amp;_U_09-011"/>
      <sheetName val="Volumen_AOP_20041"/>
      <sheetName val="客戶清單customer_list1"/>
      <sheetName val="All_Cash_Dil1"/>
      <sheetName val="Input_A1"/>
      <sheetName val="STD__COST2"/>
      <sheetName val="Bank_Table2"/>
      <sheetName val="Invested_Capital2"/>
      <sheetName val="Addbacks_-_Slide_81"/>
      <sheetName val="Financial_Statistics1"/>
      <sheetName val="US_Disclosure1"/>
      <sheetName val="I20_b_Disclosure_Lead1"/>
      <sheetName val="I20_LEAD1"/>
      <sheetName val="I20-1_FWD1"/>
      <sheetName val="I20-2_CNYFWD1"/>
      <sheetName val="I20-3_FXS1"/>
      <sheetName val="I20-4_CNYS1"/>
      <sheetName val="I20-5_IRS1"/>
      <sheetName val="I20-7_TOD1"/>
      <sheetName val="I20-7-1_TOD_Breakdown1"/>
      <sheetName val="I20-9_Comfirmation_summary1"/>
      <sheetName val="Tests_of_control1"/>
      <sheetName val="a_______1"/>
      <sheetName val="loan_database1"/>
      <sheetName val="BALANCE_SHEET1"/>
      <sheetName val="Vendor_Data1"/>
      <sheetName val="Original_Stefan1"/>
      <sheetName val="Edo_Res1"/>
      <sheetName val="L310-Adjustment_for_R&amp;D_cost1"/>
      <sheetName val="PPE_Mov't-_HC_1"/>
      <sheetName val="Sales_for_20011"/>
      <sheetName val="Audited_PL1"/>
      <sheetName val="(i)_Fixed_assets-PBC1"/>
      <sheetName val="Ex_Diff1"/>
      <sheetName val="Profit_and_loss1"/>
      <sheetName val="UKLF_Portfolio1"/>
      <sheetName val="Invoice_Template1"/>
      <sheetName val="Veh_Info1"/>
      <sheetName val="1_1银行函证CC1"/>
      <sheetName val="Chart_of_Account1"/>
      <sheetName val="zero_(3)1"/>
      <sheetName val="2weeeks_All__Excess_and_Shorta1"/>
      <sheetName val="Exchange_Rate_&amp;_Costs1"/>
      <sheetName val="ADJ_Sum(console)1"/>
      <sheetName val="Feb_20161"/>
      <sheetName val="PL_summary1"/>
      <sheetName val="BJ_Expenses1"/>
      <sheetName val="Sample_Rev1"/>
      <sheetName val="Sample_IS1"/>
      <sheetName val="Probability_View1"/>
      <sheetName val="BlueCross_table1"/>
      <sheetName val="Bank_card_list1"/>
      <sheetName val="Face_of_the_report1"/>
      <sheetName val="Sheet1_(11)1"/>
      <sheetName val="COST_FINAL1"/>
      <sheetName val="Bal_Dolares1"/>
      <sheetName val="C_现金1"/>
      <sheetName val="D_交易性金融资产1"/>
      <sheetName val="A3_试算表1"/>
      <sheetName val="G_预付1"/>
      <sheetName val="G_其他应收款1"/>
      <sheetName val="J_工程物资1"/>
      <sheetName val="K_生物资产1"/>
      <sheetName val="L_开发支出1"/>
      <sheetName val="L_一年内到期长期资产1"/>
      <sheetName val="L_长期应收1"/>
      <sheetName val="L_HK单列无形1"/>
      <sheetName val="M_衍生金融负债1"/>
      <sheetName val="M_交易性金融负债1"/>
      <sheetName val="M_带息借款-流动1"/>
      <sheetName val="M_无息借款-流动1"/>
      <sheetName val="M_其他金融负债1"/>
      <sheetName val="N_应付贸易款及票据1"/>
      <sheetName val="O_应交所得税1"/>
      <sheetName val="P_预收1"/>
      <sheetName val="Q_递延收益1"/>
      <sheetName val="Q_带息借款-非流动1"/>
      <sheetName val="Q_无息借款-非流动1"/>
      <sheetName val="T_少数股东1"/>
      <sheetName val="T_专项储备1"/>
      <sheetName val="U_财务成本1"/>
      <sheetName val="U_财务收入1"/>
      <sheetName val="U_公允价值变动收益1"/>
      <sheetName val="U_管理费用1"/>
      <sheetName val="U_资产减值损失1"/>
      <sheetName val="U_投资收益1"/>
      <sheetName val="U_营业外1"/>
      <sheetName val="U_其他费用1"/>
      <sheetName val="U_其他收入1"/>
      <sheetName val="U_其他业务1"/>
      <sheetName val="Cust_List1"/>
      <sheetName val="P&amp;L_Consol1"/>
      <sheetName val="H_R1"/>
      <sheetName val="1102_(2)1"/>
      <sheetName val="Income_Tax1"/>
      <sheetName val="Movement_under_PRC&amp;TW1"/>
      <sheetName val="Returns_Backup1"/>
      <sheetName val="Int_Rates1"/>
      <sheetName val="Cash_&amp;_Bank1"/>
      <sheetName val="truc_tiep1"/>
      <sheetName val="by_category1"/>
      <sheetName val="Q_CF-E011"/>
      <sheetName val="A14_Long_Term_Investment_1"/>
      <sheetName val="2006DEP_sap_data1"/>
      <sheetName val="Phase2_movementDEC1"/>
      <sheetName val="Phase1f_a_DEC1"/>
      <sheetName val="Phase2_f_a_DEC_(2)1"/>
      <sheetName val="C_-_Cash_and_Bank1"/>
      <sheetName val="Swap_Curve_Inputs1"/>
      <sheetName val="IS_Summary-961"/>
      <sheetName val="Business_Unit1"/>
      <sheetName val="BOC_Classic1"/>
      <sheetName val="Sign_Off_Form1"/>
      <sheetName val="Breakdown_on_Retail_Loan_Grade1"/>
      <sheetName val="2003_scrapped1"/>
      <sheetName val="Accounts_receivables1"/>
      <sheetName val="AP-RPT_1"/>
      <sheetName val="Input_Sheet1"/>
      <sheetName val="P&amp;L_PP1"/>
      <sheetName val="Rev_Sen1"/>
      <sheetName val="多辅助核算汇总by_客户1"/>
      <sheetName val="Non-Statistical_Sampling_Maste1"/>
      <sheetName val="Two_Step_Revenue_Testing_Maste1"/>
      <sheetName val="信息费用预算表(A4)_1"/>
      <sheetName val="综合成本分析01_01-02052"/>
      <sheetName val="Cash_Flow2"/>
      <sheetName val="A3_试算表Financial_statement1"/>
      <sheetName val="K_固定资产&amp;投资性房地产1"/>
      <sheetName val="AJEs_&amp;_RJEs1"/>
      <sheetName val="Vauxhall_Opel_300041"/>
      <sheetName val="PBC_-_PHS1"/>
      <sheetName val="NAV_Output1"/>
      <sheetName val="Financial_Exp明细分类账1"/>
      <sheetName val="FA_Addition1"/>
      <sheetName val="VCC_11110-4611"/>
      <sheetName val="Staff_List1"/>
      <sheetName val="M_Schedules1"/>
      <sheetName val="Info__Request1"/>
      <sheetName val="Trial_Balance1"/>
      <sheetName val="GP_Analysis1"/>
      <sheetName val="RE_Mov't1"/>
      <sheetName val="Drop_List_References1"/>
      <sheetName val="Client_Data1"/>
      <sheetName val="5050_Bank_HKD1"/>
      <sheetName val="Variance_by_Mth1"/>
      <sheetName val="ASP_from_Barb1"/>
      <sheetName val="OMFG_Cost1"/>
      <sheetName val="PAL&amp;DPAL_AP6101"/>
      <sheetName val="HFC-GA-OR-000041_-_reclass_1941"/>
      <sheetName val="IDA_Project1"/>
      <sheetName val="Sheet2_(3)1"/>
      <sheetName val="gares_02_BON_FICHIER_1"/>
      <sheetName val="Oct_Starts_Plan1"/>
      <sheetName val="Invest_1"/>
      <sheetName val="2__PPR_REVENUE_APR101"/>
      <sheetName val="GM_Trend1"/>
      <sheetName val="GM%_Trend1"/>
      <sheetName val="Linearity_Chart1"/>
      <sheetName val="NP_Trend1"/>
      <sheetName val="Rev_Trend1"/>
      <sheetName val="Rev-GM_Detail_11"/>
      <sheetName val="Rev-GM_Detail_21"/>
      <sheetName val="Rev_Mix_Trend1"/>
      <sheetName val="SUMMARY_(EXPD)1"/>
      <sheetName val="SUMMARY_(%)1"/>
      <sheetName val="QTD_TO_GO1"/>
      <sheetName val="JAC11_301"/>
      <sheetName val="BS_-_USGAAP"/>
      <sheetName val="Romford_Market"/>
      <sheetName val="ITS_budget_for_FY05"/>
      <sheetName val="Full_Assets_List"/>
      <sheetName val="ARP_for_BS"/>
      <sheetName val="ARP_for_P&amp;L"/>
      <sheetName val="adj_"/>
      <sheetName val="Invested_capital_VDF"/>
      <sheetName val="Summary_Page_VDF"/>
      <sheetName val="fin_data"/>
      <sheetName val="Data_Validation"/>
      <sheetName val="WACC_Conclusion"/>
      <sheetName val="Terminal_Value"/>
      <sheetName val="Exh_B-5"/>
      <sheetName val="Exh_B-2"/>
      <sheetName val="Exh_B-6"/>
      <sheetName val="Exh_B-8"/>
      <sheetName val="Exh_B-4"/>
      <sheetName val="Exh_B-3"/>
      <sheetName val="Exh_B-7"/>
      <sheetName val="Exh_B-1"/>
      <sheetName val="PltRpt_(A&amp;F)"/>
      <sheetName val="PltRpt_(A&amp;FvsB)"/>
      <sheetName val="PltRpt_(B&amp;AC)"/>
      <sheetName val="Schedule_B"/>
      <sheetName val="Print_Controls"/>
      <sheetName val="Financial_documents"/>
      <sheetName val="COA_"/>
      <sheetName val="Equity_Development"/>
      <sheetName val="WACC_and_EV_Inputs"/>
      <sheetName val="DATA_GPC"/>
      <sheetName val="EBIT_Reconciliation"/>
      <sheetName val="Depreciation_and_Tax_Benefit"/>
      <sheetName val="INC_STAT_Hist_Input"/>
      <sheetName val="PFI_Inputs"/>
      <sheetName val="Error_Check"/>
      <sheetName val="NOL_Tax_Benefit"/>
      <sheetName val="Segment_Information"/>
      <sheetName val="PFI_Inc_Stat_Common_Size"/>
      <sheetName val="PFI_Inc_Stat"/>
      <sheetName val="Tax_Amortization_Benefit"/>
      <sheetName val="(QB0)_Global_Properties"/>
      <sheetName val="(QB1)_Quick_Budget"/>
      <sheetName val="(QB3)_StaffAllocation"/>
      <sheetName val="Form_B5"/>
      <sheetName val="Raw_materials"/>
      <sheetName val="A300_(to_del)"/>
      <sheetName val="Iron_Curtain_Method"/>
      <sheetName val="New_Cancelled_Breakout"/>
      <sheetName val="14_04_03"/>
      <sheetName val="Rented_Equipment"/>
      <sheetName val="TB_Link"/>
      <sheetName val="_FY2000"/>
      <sheetName val="附件四__第三方后台收集信息表"/>
      <sheetName val="Review_pts"/>
      <sheetName val="表21_净利润调节表"/>
      <sheetName val="U_510"/>
      <sheetName val="Upload_Apr_13"/>
      <sheetName val="data_elements"/>
      <sheetName val="1_2_CoCo_Financials_Meta"/>
      <sheetName val="原报调整分录"/>
      <sheetName val="Reckitt"/>
      <sheetName val="H4000-04披露表(上市)"/>
      <sheetName val="H4000-02审定表"/>
      <sheetName val="THCT"/>
      <sheetName val="THDZ0,4"/>
      <sheetName val="TH DZ35"/>
      <sheetName val="THTram"/>
      <sheetName val="Breadown-Tham khao"/>
      <sheetName val="tygia"/>
      <sheetName val="Prepaid expenses-Wendy"/>
      <sheetName val="WEEKLYVLS"/>
      <sheetName val="ACTABLE"/>
      <sheetName val="COMMON"/>
      <sheetName val="MIS1"/>
      <sheetName val="SILICATE"/>
      <sheetName val="PCJE"/>
      <sheetName val="JAG"/>
      <sheetName val="MINC"/>
      <sheetName val="TOTLATAM"/>
      <sheetName val="U1.6"/>
      <sheetName val="VIDE1"/>
      <sheetName val="VIDE2"/>
      <sheetName val="40-2701"/>
      <sheetName val="1.11 长期应收款"/>
      <sheetName val="1.12 长期股权投资"/>
      <sheetName val="zhongshan "/>
      <sheetName val="AU"/>
      <sheetName val="DK"/>
      <sheetName val="PA"/>
      <sheetName val="RU"/>
      <sheetName val="Consolidated"/>
      <sheetName val="FA Breakdown"/>
      <sheetName val="Purchase"/>
      <sheetName val="Workings"/>
      <sheetName val="Codes"/>
      <sheetName val="零部件"/>
      <sheetName val="A3_杭州启明"/>
      <sheetName val="Validation_source2"/>
      <sheetName val="SAP_vs_Oracle12"/>
      <sheetName val="DEFLEET_APR-052"/>
      <sheetName val="BOX_SUM2"/>
      <sheetName val="FIN_GOOD2"/>
      <sheetName val="DEC_GL2"/>
      <sheetName val="（ご参考）イールドカーブ_0_5年単位※コピー不可2"/>
      <sheetName val="Allgem__Angaben2"/>
      <sheetName val="1102_MIT1"/>
      <sheetName val="Pick_Lists1"/>
      <sheetName val="Mov_from_2001_to_20031"/>
      <sheetName val="A500-Audit_adjustment1"/>
      <sheetName val="Cover_sheet1"/>
      <sheetName val="Valuation_Summary1"/>
      <sheetName val="Income_Statement1"/>
      <sheetName val="Revenue_Output1"/>
      <sheetName val="Gross_Profit1"/>
      <sheetName val="Loan_Movement_1"/>
      <sheetName val="Manual_Adjustments1"/>
      <sheetName val="Conversion_Date1"/>
      <sheetName val="总公司2002_12_311"/>
      <sheetName val="Calculation_step_-_AFPGD1"/>
      <sheetName val="Raw_Mtl_Prep1"/>
      <sheetName val="other_investment1"/>
      <sheetName val="12_APaging附表1"/>
      <sheetName val="Chart_of_acct_1"/>
      <sheetName val="Sales_Seasonality_by_Month1"/>
      <sheetName val="3A_FA_Record1"/>
      <sheetName val="9B_RUL_Range1"/>
      <sheetName val="B_01"/>
      <sheetName val="2007_12_31_暂估清单1"/>
      <sheetName val="BI_RATE1"/>
      <sheetName val="company_operations1"/>
      <sheetName val="IT_scope1"/>
      <sheetName val="Hist_Prices1"/>
      <sheetName val="1_Lillysummary1"/>
      <sheetName val="ICP其他应付款ICP_OtherPayable"/>
      <sheetName val="Update_check"/>
      <sheetName val="Detail_Loan_Move__&amp;_Listing1"/>
      <sheetName val="vlook_from"/>
      <sheetName val="AP_Recap1"/>
      <sheetName val="OE_AC#41111"/>
      <sheetName val="Economic_evaluation_-_FY98_base"/>
      <sheetName val="01ADDL_F_A_"/>
      <sheetName val="管理费用_"/>
      <sheetName val="Corporate_PPT"/>
      <sheetName val="WTI_Coporate_Eliminations_PPT"/>
      <sheetName val="CA_Comp"/>
      <sheetName val="Company_Info"/>
      <sheetName val="GER_IFO_vs_Const"/>
      <sheetName val="Europe_sales_Graph"/>
      <sheetName val="EU_Ind_vs_EU_Cons"/>
      <sheetName val="ACCT_24050"/>
      <sheetName val="_"/>
      <sheetName val="FA_movement"/>
      <sheetName val="US_Bal_Sheet"/>
      <sheetName val="F_&amp;_S_INV"/>
      <sheetName val="WACC_Calculation"/>
      <sheetName val="To_tied_2001_opening_RE"/>
      <sheetName val="O_adj"/>
      <sheetName val="Bank_Debt"/>
      <sheetName val="Form_Admin"/>
      <sheetName val="P12_TB_SZ"/>
      <sheetName val="Intra_Company_"/>
      <sheetName val="NewB_Sheet"/>
      <sheetName val="Library_Procedures"/>
      <sheetName val="K311_A_List021"/>
      <sheetName val="ExelStor_Dec_2002"/>
      <sheetName val="Share_Px"/>
      <sheetName val="assets_list"/>
      <sheetName val="LT_TB"/>
      <sheetName val="LTMD_TB"/>
      <sheetName val="OC_TB"/>
      <sheetName val="ZD_TB"/>
      <sheetName val="Note_1_-_Recon_Profit"/>
      <sheetName val="Cash_Flow_Statement"/>
      <sheetName val="Share_Prices1"/>
      <sheetName val="Product_Costs1"/>
      <sheetName val="sales1-subsi_"/>
      <sheetName val="sales2-subsi_"/>
      <sheetName val="Calc_&amp;_Export"/>
      <sheetName val="AOP_Exec_Summary"/>
      <sheetName val="statement_1998"/>
      <sheetName val="2009_3KE5Z_detail"/>
      <sheetName val="NeoPrice®_Pricing_Analysis"/>
      <sheetName val="Break-Even_Analysis"/>
      <sheetName val="Working_Assumptions"/>
      <sheetName val="Currency_Codes"/>
      <sheetName val="1__Scoping"/>
      <sheetName val="2__Expectation"/>
      <sheetName val="3__Variance_threshold"/>
      <sheetName val="338_Apparel"/>
      <sheetName val="Dealer_Stock"/>
      <sheetName val="FY_Corrections"/>
      <sheetName val="Importer_Stock"/>
      <sheetName val="Start_up_restrictions"/>
      <sheetName val="Used_Cars_Importer"/>
      <sheetName val="exchange_rates"/>
      <sheetName val="Financ__Overview1"/>
      <sheetName val="其他货币资金_dbf"/>
      <sheetName val="银行存款_dbf"/>
      <sheetName val="Matrix_P&amp;L_-_Retail_Normal"/>
      <sheetName val="Sample_Layout_(new)"/>
      <sheetName val="Personnaliser_votre_facture"/>
      <sheetName val="Aging_Datasheet1"/>
      <sheetName val="ECCS_1_DataSheet1"/>
      <sheetName val="KPI_Datasheet1"/>
      <sheetName val="Vol_Dan_Fev"/>
      <sheetName val="库存商品余额表_dbf"/>
      <sheetName val="_U140-SalesTOT"/>
      <sheetName val="FX_Evo"/>
      <sheetName val="PRC_15"/>
      <sheetName val="Tax_proj-Shenzhen"/>
      <sheetName val="DEF_REV"/>
      <sheetName val="BE_Environmental_Group_Ltd1"/>
      <sheetName val="R&amp;D_P1"/>
      <sheetName val="P504_3_Expected_life1"/>
      <sheetName val="16__Appendix_-_Intercompany_Re1"/>
      <sheetName val="Grading_Summary1"/>
      <sheetName val="29-1_贴现融资-回购式1"/>
      <sheetName val="Cost_Rev(Lot16)"/>
      <sheetName val="REF_CBU"/>
      <sheetName val="CY_sales_report"/>
      <sheetName val="Investment_Property"/>
      <sheetName val="Equity_Index"/>
      <sheetName val="G402_"/>
      <sheetName val="PPE_(HKGAAP)_2002"/>
      <sheetName val="Threshold_Table"/>
      <sheetName val="E0_Design_Interface_chart"/>
      <sheetName val="Confirmation_Letter"/>
      <sheetName val="E2_AR_listing(not_used)"/>
      <sheetName val="CHN03_5e"/>
      <sheetName val="CHN01_5e"/>
      <sheetName val="EY_data"/>
      <sheetName val="Chart_of_accounts"/>
      <sheetName val="B-6_investment"/>
      <sheetName val="U_所得税2016"/>
      <sheetName val="O_递延税资产2016"/>
      <sheetName val="O_递延税负债2016"/>
      <sheetName val="Mktcap_Price"/>
      <sheetName val="Mach_&amp;_equip"/>
      <sheetName val="INPUT_WH"/>
      <sheetName val="Input_Open_Orders"/>
      <sheetName val="COSTOMAT_XLS"/>
      <sheetName val="Base_Info"/>
      <sheetName val="PAY_REGISTER~Input_Values"/>
      <sheetName val="Exh_2_1A"/>
      <sheetName val="Exh_2_1B"/>
      <sheetName val="001Disclosure_Summary"/>
      <sheetName val="V_Lead_"/>
      <sheetName val="statement_of_account_BT"/>
      <sheetName val="1_LeadSchedule"/>
      <sheetName val="3_Analysis"/>
      <sheetName val="5_Analysis"/>
      <sheetName val="Credit_Card"/>
      <sheetName val="Data_List"/>
      <sheetName val="Irregular_Income"/>
      <sheetName val="FE-1770_P1"/>
      <sheetName val="LAbor_estimate"/>
      <sheetName val="vp_detail"/>
      <sheetName val="reconc_cnd"/>
      <sheetName val="现_金_流_量_表"/>
      <sheetName val="Cap_Ex_actual_&amp;_forecasted"/>
      <sheetName val="gia_vt,nc,may"/>
      <sheetName val="Benefit_Tracking"/>
      <sheetName val="Benefit_Form"/>
      <sheetName val="Non-Statistical_Sampling"/>
      <sheetName val="AR_Drop_Downs"/>
      <sheetName val="KE5Z_detail"/>
      <sheetName val="Audit_Results"/>
      <sheetName val="Audit_Results_Upper_Stratum"/>
      <sheetName val="Population_Characteristics"/>
      <sheetName val="Forecast_Comparison_Data"/>
      <sheetName val="Understand_the_client"/>
      <sheetName val="Table_COA_P&amp;L"/>
      <sheetName val="Marketing_product_ranges"/>
      <sheetName val="Value_Chain_definitions"/>
      <sheetName val="Marketing_vehicle_definitions"/>
      <sheetName val="Interco_Sales"/>
      <sheetName val="Net_Bookings"/>
      <sheetName val="Net_Sales_&amp;_Cost_of_Sales"/>
      <sheetName val="所得税费用for_Feport"/>
      <sheetName val="可抵扣亏损统计表-from_所得税汇算清缴报告"/>
      <sheetName val="Sundries_creditors"/>
      <sheetName val="Advance_to_staff"/>
      <sheetName val="Comparative_Balance_Sheet"/>
      <sheetName val="Office_Improve"/>
      <sheetName val="Credit_Check"/>
      <sheetName val="01_T"/>
      <sheetName val="03_"/>
      <sheetName val="清单12_31"/>
      <sheetName val="INPUT_ICO_balances"/>
      <sheetName val="INPUT_ICO_balances_currency"/>
      <sheetName val="5_07_vs_4_07_je"/>
      <sheetName val="Customize_Your_Loan_Manager"/>
      <sheetName val="Blacklight"/>
      <sheetName val="BlacklightHardware"/>
      <sheetName val="R450_HW"/>
      <sheetName val="Flash - M"/>
      <sheetName val="Referential"/>
      <sheetName val="U130"/>
      <sheetName val="TB0804"/>
      <sheetName val="corvar"/>
      <sheetName val="rental"/>
      <sheetName val="Loan Amortization Schedule"/>
      <sheetName val="dklx"/>
      <sheetName val="ContributionExhibition"/>
      <sheetName val="Add Sub totals "/>
      <sheetName val="dept number"/>
      <sheetName val="Baxter"/>
      <sheetName val="Twigg"/>
      <sheetName val="Nature &amp; Type Lists"/>
      <sheetName val="Instruction Sheet"/>
      <sheetName val="AS400 PA TB"/>
      <sheetName val="AS400 TB"/>
      <sheetName val="E1 TB"/>
      <sheetName val="E1 WDS TB"/>
      <sheetName val="Full yr summary"/>
      <sheetName val="数据源"/>
      <sheetName val="VSPA"/>
      <sheetName val="aging 1003"/>
      <sheetName val="aging 1103"/>
      <sheetName val="aging 1203"/>
      <sheetName val="aging 0803"/>
      <sheetName val="N3000"/>
      <sheetName val="1.0"/>
      <sheetName val="Pro"/>
      <sheetName val="E2.1-PCLD 06-2006"/>
      <sheetName val="HR-10"/>
      <sheetName val="ohne ownuse"/>
      <sheetName val="tot.invest"/>
      <sheetName val="tot.invest&amp;fund raising "/>
      <sheetName val="总成本费用"/>
      <sheetName val="A300 and U"/>
      <sheetName val="A500"/>
      <sheetName val="A510 - SAD"/>
      <sheetName val="C - Cash"/>
      <sheetName val="E - AR"/>
      <sheetName val="F - Stock"/>
      <sheetName val="K - FA"/>
      <sheetName val="O - Tax pay"/>
      <sheetName val="P - Other pay"/>
      <sheetName val="U200 - Selling expenses"/>
      <sheetName val="利润表验证表"/>
      <sheetName val="资产负债表验证表"/>
      <sheetName val="Pivot"/>
      <sheetName val="Q1-3"/>
      <sheetName val="Financial Summary"/>
      <sheetName val="Results from Nov 98"/>
      <sheetName val="GH1 2"/>
      <sheetName val="SG&amp;A"/>
      <sheetName val="cosol cash flow"/>
      <sheetName val="通玻"/>
      <sheetName val="Prefinal-LT Prepaid "/>
      <sheetName val="中行R"/>
      <sheetName val="Peer1"/>
      <sheetName val="Peer10"/>
      <sheetName val="Peer11"/>
      <sheetName val="Peer12"/>
      <sheetName val="Peer13"/>
      <sheetName val="Peer14"/>
      <sheetName val="Peer15"/>
      <sheetName val="Peer16"/>
      <sheetName val="Peer17"/>
      <sheetName val="Peer18"/>
      <sheetName val="Peer19"/>
      <sheetName val="Peer2"/>
      <sheetName val="Peer20"/>
      <sheetName val="Peer3"/>
      <sheetName val="Peer4"/>
      <sheetName val="Peer5"/>
      <sheetName val="Peer6"/>
      <sheetName val="Peer7"/>
      <sheetName val="Peer8"/>
      <sheetName val="Peer9"/>
      <sheetName val="rentab."/>
      <sheetName val="Index_Page"/>
      <sheetName val="CASINO2"/>
      <sheetName val="AirConditional"/>
      <sheetName val="MotorVehicle"/>
      <sheetName val="E-Client Information"/>
      <sheetName val="0102中草药"/>
      <sheetName val="0104燃料"/>
      <sheetName val="0106备品备件"/>
      <sheetName val="0109辅料"/>
      <sheetName val="0110化剂"/>
      <sheetName val="0112气体"/>
      <sheetName val="0206标签"/>
      <sheetName val="0207纸箱纸盒"/>
      <sheetName val="0208瓶类"/>
      <sheetName val="0302办公用品"/>
      <sheetName val="0303工具"/>
      <sheetName val="0304玻璃仪器"/>
      <sheetName val="0399其他材料"/>
      <sheetName val="05自制半成品"/>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Headcount"/>
      <sheetName val="Page 1"/>
      <sheetName val="Interpool"/>
      <sheetName val="Car models"/>
      <sheetName val="Partner Statement check"/>
      <sheetName val="NSV"/>
      <sheetName val="VARIANCES"/>
      <sheetName val="托售"/>
      <sheetName val="detail total"/>
      <sheetName val="预算构成"/>
      <sheetName val="A.R 01"/>
      <sheetName val="assembly_r12 detail"/>
      <sheetName val="Cellular"/>
      <sheetName val="GLR"/>
      <sheetName val="NER"/>
      <sheetName val="SWBW&amp;PBW"/>
      <sheetName val="FIAT"/>
      <sheetName val="应付"/>
      <sheetName val="#RIF"/>
      <sheetName val="ECON"/>
      <sheetName val="CF_1"/>
      <sheetName val="Note11_1"/>
      <sheetName val="P1 Disclosure"/>
      <sheetName val="Bas"/>
      <sheetName val="BJ呼和浩特鼓楼"/>
      <sheetName val="Rental Exp Adj"/>
      <sheetName val="P天津哈尔滨"/>
      <sheetName val="Q上海逸仙"/>
      <sheetName val="R江阴司马街"/>
      <sheetName val="T南京草场门"/>
      <sheetName val="U济南槐荫"/>
      <sheetName val="V上海南桥"/>
      <sheetName val="W武汉紫阳"/>
      <sheetName val="Y镇江丹徒"/>
      <sheetName val="AA哈尔滨铁道街"/>
      <sheetName val="AC成都人民公园"/>
      <sheetName val="AD杭州城东"/>
      <sheetName val="AJ呼和浩特光华街"/>
      <sheetName val="AM泰州青年"/>
      <sheetName val="AO北京西部"/>
      <sheetName val="AP山东莱芜"/>
      <sheetName val="AQ长沙韶山"/>
      <sheetName val="AX乌鲁木齐青松楼"/>
      <sheetName val="BO乌鲁木齐火车站"/>
      <sheetName val="AL山东德州"/>
      <sheetName val="BK呼和浩特文化宫"/>
      <sheetName val="BE延吉解放路"/>
      <sheetName val="BD江苏淮安"/>
      <sheetName val="BC吉林海关"/>
      <sheetName val="BM包头"/>
      <sheetName val="BB大丰"/>
      <sheetName val="沙面南街"/>
      <sheetName val="00 FG breakdown"/>
      <sheetName val="01 FG breakdown"/>
      <sheetName val="99 FG breakdown"/>
      <sheetName val="DSR TOTAL"/>
      <sheetName val="Daily Register"/>
      <sheetName val="LOV"/>
      <sheetName val="2022年明细"/>
      <sheetName val="Adiantamentos"/>
      <sheetName val="Table calendaire"/>
      <sheetName val="Table paiements"/>
      <sheetName val="Table Fournisseurs"/>
      <sheetName val="Other  FI"/>
      <sheetName val="rates"/>
      <sheetName val="DEP NAO IDENTIF"/>
      <sheetName val="Mod 34(a)"/>
      <sheetName val="Hidden"/>
      <sheetName val="Gross Receipts"/>
      <sheetName val="累计销售"/>
      <sheetName val="Guidance"/>
      <sheetName val="A760"/>
      <sheetName val="Bal Sheet"/>
      <sheetName val="Dropdown list"/>
      <sheetName val="摊销表"/>
      <sheetName val="PROOF"/>
      <sheetName val="1月养老"/>
      <sheetName val="1月医保"/>
      <sheetName val="1月住房"/>
      <sheetName val="2月医保"/>
      <sheetName val="主营业务成本"/>
      <sheetName val="销售费用汇总"/>
      <sheetName val="2010 上半年利润表"/>
      <sheetName val="QY"/>
      <sheetName val="客户余额-RMB"/>
      <sheetName val="客户明细-RMB"/>
      <sheetName val="LATE1"/>
      <sheetName val="FF-6"/>
      <sheetName val="BTS"/>
      <sheetName val="资金来源与运用表"/>
      <sheetName val="1999 Plan Summary"/>
      <sheetName val="1-9月"/>
      <sheetName val="E100--AR--Major"/>
      <sheetName val="E101AR--Others"/>
      <sheetName val="Dic"/>
      <sheetName val="项目"/>
      <sheetName val="Aging-ARSum"/>
      <sheetName val=" BRANCHES VS REEL"/>
      <sheetName val="Segment"/>
      <sheetName val="GP1 bridge"/>
      <sheetName val="GP1% bridge FY16-20"/>
      <sheetName val="GP1% bridge FY14-16"/>
      <sheetName val="直运直汇客户名称"/>
      <sheetName val="CAN DOI - KET QUA"/>
      <sheetName val="热力"/>
      <sheetName val="AR2-F21"/>
      <sheetName val="AR1-F20"/>
      <sheetName val="Export_Work_File"/>
      <sheetName val="Parametri"/>
      <sheetName val="委托加工材料"/>
      <sheetName val="Start Here"/>
      <sheetName val="Data Forecast"/>
      <sheetName val="余额表"/>
      <sheetName val="ING per MIS"/>
      <sheetName val="Taxes"/>
      <sheetName val="C_Lead"/>
      <sheetName val="C_100 Breakdown"/>
      <sheetName val="Stock Analysis"/>
      <sheetName val="信息费用预算表(A4)"/>
      <sheetName val="Sch 13"/>
      <sheetName val="贷方"/>
      <sheetName val="UGP_Breakdown"/>
      <sheetName val="SAAS_by业务_BKD"/>
      <sheetName val="SAAS_by客户_BKD"/>
      <sheetName val="OSP_T云收入真实性"/>
      <sheetName val="精准营销_BKD"/>
      <sheetName val="Classificação"/>
      <sheetName val="ResIns"/>
      <sheetName val="差异调整97"/>
      <sheetName val="差异调整95"/>
      <sheetName val="差异调整96"/>
      <sheetName val="海盐加工装置"/>
      <sheetName val="Select month"/>
      <sheetName val="企业提供表"/>
      <sheetName val="国产件1"/>
      <sheetName val="报废备件"/>
      <sheetName val="KD批次、封存件"/>
      <sheetName val="SalesMYP"/>
      <sheetName val="INPUT rates"/>
      <sheetName val="Breadown"/>
      <sheetName val="Price Updates"/>
      <sheetName val="cost表"/>
      <sheetName val="销售费用截止测试"/>
      <sheetName val="equities"/>
      <sheetName val="G313"/>
      <sheetName val="H4000-05-01披露表(上市)"/>
      <sheetName val="应收账款明细-ss"/>
      <sheetName val="Consolidated AC"/>
      <sheetName val="TTL"/>
      <sheetName val="利润及利润分配表"/>
      <sheetName val="RAW - Billing Data"/>
      <sheetName val="RAW - Commercial"/>
      <sheetName val="RAW - Infonet-NP"/>
      <sheetName val="All Discounts"/>
      <sheetName val="Calculation"/>
      <sheetName val="COSTOxOPERAI"/>
      <sheetName val="运煤预算"/>
      <sheetName val="GB2001FOB"/>
      <sheetName val="Mapping"/>
      <sheetName val="会计分录"/>
      <sheetName val="基本信息输入"/>
      <sheetName val="分录汇总表"/>
      <sheetName val="9900"/>
      <sheetName val="2005"/>
      <sheetName val="Transaction Summary"/>
      <sheetName val="CModel"/>
      <sheetName val="GEN Inputs"/>
      <sheetName val="Can doi so ps"/>
      <sheetName val="Asmptns"/>
      <sheetName val="Sale Total"/>
      <sheetName val="7a_Other Inc Exp"/>
      <sheetName val="Financial Statements"/>
      <sheetName val="AFA_O.A.B"/>
      <sheetName val="17应付票据明细表"/>
      <sheetName val="Depr.Exp. Testing (5)"/>
      <sheetName val="1 Eckdaten in LW"/>
      <sheetName val="FXrates"/>
      <sheetName val="IFRS#7-1 stock provision"/>
      <sheetName val="引用区域"/>
      <sheetName val="J301"/>
      <sheetName val="J200"/>
      <sheetName val="S-Hotel"/>
      <sheetName val="III-1-10"/>
      <sheetName val="III-1-9"/>
      <sheetName val="III-1-1"/>
      <sheetName val="计提准备金明细"/>
      <sheetName val="6126-10"/>
      <sheetName val="product"/>
      <sheetName val="6215-1 调整分录汇总"/>
      <sheetName val="U900"/>
      <sheetName val="基本資料"/>
      <sheetName val="Master_Table"/>
      <sheetName val="FRP"/>
      <sheetName val="TAX"/>
      <sheetName val="Total Fixed Cost (Detailed)"/>
      <sheetName val="Non-operating Items (Detailed)"/>
      <sheetName val="Sum by Month-5th ver"/>
      <sheetName val="Variable Costs by Cost Ctr"/>
      <sheetName val="Other expenses"/>
      <sheetName val="1月_物流出库"/>
      <sheetName val="detailitems_119"/>
      <sheetName val="F26-各类借款变动表-关联方"/>
      <sheetName val="内销收人"/>
      <sheetName val="营业费用测试"/>
      <sheetName val="TCL_A"/>
      <sheetName val="kejian"/>
      <sheetName val="Bird"/>
      <sheetName val="BYD"/>
      <sheetName val="底稿"/>
      <sheetName val="Movem. in fixed assets - Depr."/>
      <sheetName val="12.13.ＢＳ"/>
      <sheetName val="表2-损益表"/>
      <sheetName val="滚动预测"/>
      <sheetName val="科目分类"/>
      <sheetName val="借款还本付息估算表"/>
      <sheetName val="生产成本和费用表"/>
      <sheetName val="评价基础数据表一"/>
      <sheetName val="评价基础数据表二"/>
      <sheetName val="固定资产投资估算计算表"/>
      <sheetName val="固定资产投资估算表"/>
      <sheetName val="投资计划与资金筹措表"/>
      <sheetName val="销售收入与销售税金及附加计算表"/>
      <sheetName val="销售收入与销售税金及附加明细表"/>
      <sheetName val="SaveData"/>
      <sheetName val="损益表"/>
      <sheetName val="财务现金流量表(全部投资)"/>
      <sheetName val="财务现金流量表(自有资金)"/>
      <sheetName val="IncomeStmt"/>
      <sheetName val="BalSheet"/>
      <sheetName val="for ey reviewer 销售费用"/>
      <sheetName val="for ey reviewer 制造费用"/>
      <sheetName val="Nissan YTD"/>
      <sheetName val="NOVO"/>
      <sheetName val="Change Log"/>
      <sheetName val="Ass"/>
      <sheetName val="Depr"/>
      <sheetName val="PCP"/>
      <sheetName val="IS"/>
      <sheetName val="Presentation"/>
      <sheetName val="Cost &amp; Expenses"/>
      <sheetName val="Value"/>
      <sheetName val="Man"/>
      <sheetName val="Working Cap"/>
      <sheetName val="Invest"/>
      <sheetName val="Input老口径"/>
      <sheetName val="Reporting"/>
      <sheetName val="Other Calc"/>
      <sheetName val="HC Pools"/>
      <sheetName val="应收帐款 AR "/>
      <sheetName val="3. Other gains"/>
      <sheetName val="总部余额（未结转损益）"/>
      <sheetName val="Breakdown RMB"/>
      <sheetName val="Prices"/>
      <sheetName val="F-Lead"/>
      <sheetName val="196-4"/>
      <sheetName val="BANVAL"/>
      <sheetName val="Liquidity Risk"/>
      <sheetName val="499"/>
      <sheetName val="税费明细"/>
      <sheetName val="Categories of Tax Positions"/>
      <sheetName val="管理"/>
      <sheetName val="SalaryData"/>
      <sheetName val="shtLookup"/>
      <sheetName val="科目余额表（2017年1-9月）"/>
      <sheetName val="table data"/>
      <sheetName val="U510"/>
      <sheetName val="ActiveRM"/>
      <sheetName val="付款进度表"/>
      <sheetName val="   合同台账  "/>
      <sheetName val="  ACTadj  "/>
      <sheetName val="Key Stats"/>
      <sheetName val="Consolidated Budget Worksheet"/>
      <sheetName val="利"/>
      <sheetName val="资"/>
      <sheetName val="Q1 -08"/>
      <sheetName val="EV"/>
      <sheetName val="prebdg97"/>
      <sheetName val="premi96"/>
      <sheetName val="闭店"/>
      <sheetName val="K1 Mapa"/>
      <sheetName val="CECO"/>
      <sheetName val="5 - ASSETS"/>
      <sheetName val="EFFECT."/>
      <sheetName val="C3WD AR and Cash and Clearing"/>
      <sheetName val="C3WB Revenue and AR"/>
      <sheetName val="C3W Summary"/>
      <sheetName val="Reconciliation report"/>
      <sheetName val="1. LR Decision Trees"/>
      <sheetName val="2. Management Inquiries"/>
      <sheetName val="6. LR Required Procedures"/>
      <sheetName val="C3WD AR and Cash"/>
      <sheetName val="PCM"/>
      <sheetName val="X Rates"/>
      <sheetName val="TP-ABB"/>
      <sheetName val="DRIVERS"/>
      <sheetName val="PopCache"/>
      <sheetName val="CO-Master"/>
      <sheetName val="BS Assets"/>
      <sheetName val="Load Sheet"/>
      <sheetName val="Disclosure Summary"/>
      <sheetName val="DATA-P&amp;L98"/>
      <sheetName val="PV Stock Price"/>
      <sheetName val="DCF Output"/>
      <sheetName val="FCF"/>
      <sheetName val="产品SAP"/>
      <sheetName val="E 1.2.1 - RECEBIMENTOS ABR"/>
      <sheetName val="PTPL95"/>
      <sheetName val="CuHDG"/>
      <sheetName val="PRE0502"/>
      <sheetName val="原材料Dy"/>
      <sheetName val="应交税费Dy"/>
      <sheetName val="fluxo de caixa"/>
      <sheetName val="RF-G7"/>
      <sheetName val="BS Liability"/>
      <sheetName val="SoD By Account Class"/>
      <sheetName val="Dados BLP"/>
      <sheetName val="Financials pres"/>
      <sheetName val="HIN-BR Detail"/>
      <sheetName val="INVENTORY-25"/>
      <sheetName val="COGS-23"/>
      <sheetName val="PARAMETRES"/>
      <sheetName val="频度分析"/>
      <sheetName val="毛利率分析表"/>
      <sheetName val="NAV PER SHR"/>
      <sheetName val="TRADES"/>
      <sheetName val="MKTPR"/>
      <sheetName val="E_Lead"/>
      <sheetName val="Fin Summary"/>
      <sheetName val="A300_主表"/>
      <sheetName val="2023年调整汇总AJE&amp;RJE"/>
      <sheetName val="租赁合同直线法调整"/>
      <sheetName val="For report-合并"/>
      <sheetName val="墨西哥中兴"/>
      <sheetName val="马来西亚"/>
      <sheetName val="巴西中兴"/>
      <sheetName val="泰国控股"/>
      <sheetName val="塔吉克斯坦"/>
      <sheetName val="俄罗斯中兴"/>
      <sheetName val="Limits"/>
      <sheetName val="MCode"/>
      <sheetName val="MType"/>
      <sheetName val="2001"/>
      <sheetName val="币种"/>
      <sheetName val="数据基础表2"/>
      <sheetName val="储藏室"/>
      <sheetName val="10月发生（手工）"/>
      <sheetName val="Cash Flow - CY Workings"/>
      <sheetName val="2 cot"/>
      <sheetName val="自用牌价"/>
      <sheetName val="LB411"/>
      <sheetName val="04原材料"/>
      <sheetName val="sz2"/>
      <sheetName val="RR700-2"/>
      <sheetName val="RR720"/>
      <sheetName val="RR7"/>
      <sheetName val="RR700_RR800"/>
      <sheetName val="RR730"/>
      <sheetName val="Consolidation"/>
      <sheetName val="환산SHEET"/>
      <sheetName val="Bacis"/>
      <sheetName val="Yields"/>
      <sheetName val="FX Inputs"/>
      <sheetName val="SA Procedures"/>
      <sheetName val="G5-1"/>
      <sheetName val="G5-2"/>
      <sheetName val="BHA"/>
      <sheetName val="土建"/>
      <sheetName val="材料"/>
      <sheetName val="钻井(调整)"/>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sheetData sheetId="596"/>
      <sheetData sheetId="597"/>
      <sheetData sheetId="598"/>
      <sheetData sheetId="599"/>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sheetData sheetId="1783"/>
      <sheetData sheetId="1784"/>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Lead (p.1)"/>
      <sheetName val="Links"/>
      <sheetName val="FA Roll to GL (p.2)"/>
      <sheetName val="FA Additions (p.3)"/>
      <sheetName val="FA Disposals (p.4)"/>
      <sheetName val="Capital Leases (p.5)"/>
      <sheetName val=" Depreciation Expense (p.6)"/>
      <sheetName val="FA roll to report p.7"/>
      <sheetName val="XREF"/>
      <sheetName val="Tickmarks"/>
      <sheetName val="Depr.Exp. Testing (5)"/>
      <sheetName val="Sheet1"/>
      <sheetName val="汇总"/>
      <sheetName val="C-OSP-03-01"/>
      <sheetName val="ProdCompar"/>
      <sheetName val="data"/>
      <sheetName val="Pro Forma"/>
      <sheetName val="Openfile"/>
      <sheetName val="Produzione"/>
      <sheetName val="Airport - Downtown"/>
      <sheetName val="Reservations"/>
      <sheetName val="F1"/>
      <sheetName val="ADRESSES"/>
      <sheetName val="VARIABLES"/>
      <sheetName val="销售"/>
      <sheetName val="成品科"/>
      <sheetName val="move"/>
      <sheetName val="5月份呆料分析"/>
      <sheetName val="Input"/>
      <sheetName val="面积指标"/>
      <sheetName val="Chart of Acct"/>
      <sheetName val="审计调整"/>
      <sheetName val="UFPrn20050110083250"/>
      <sheetName val="2. PPR REVENUE APR10"/>
      <sheetName val="100172"/>
      <sheetName val="资产负债表"/>
      <sheetName val="披露表(上市)"/>
      <sheetName val="披露表(国资)"/>
      <sheetName val="2001预提费用"/>
      <sheetName val="Vendor Data"/>
      <sheetName val="sumdepn01"/>
      <sheetName val="others gl"/>
      <sheetName val="Non-Statistical Sampling Master"/>
      <sheetName val="Two Step Revenue Testing Master"/>
      <sheetName val="Global Data"/>
      <sheetName val="B"/>
      <sheetName val="Base"/>
      <sheetName val="original"/>
      <sheetName val="上报资产负债表"/>
      <sheetName val="上报损益表"/>
      <sheetName val="补充表"/>
      <sheetName val="‘‡B"/>
      <sheetName val="Staff List"/>
      <sheetName val="#REF"/>
      <sheetName val="폐토수익화 "/>
      <sheetName val="销售收入A4"/>
      <sheetName val="产量预算表Ａ4"/>
      <sheetName val="制造成本预算表A3"/>
      <sheetName val="物流费用预算表(A4)"/>
      <sheetName val="销售费用预算表(A4)"/>
      <sheetName val="管理费用预算表(A4)"/>
      <sheetName val="其它销售成本 A4"/>
      <sheetName val="销售成本A4"/>
      <sheetName val="销售量A4"/>
      <sheetName val="信息费用预算表(A4) "/>
      <sheetName val="研发费用预算明细表A3"/>
      <sheetName val="Verhandlungsmandat"/>
      <sheetName val="RBCY"/>
      <sheetName val="PTCN"/>
      <sheetName val="master"/>
      <sheetName val="F100"/>
      <sheetName val="F110"/>
      <sheetName val="关联交易-存款"/>
      <sheetName val="TB"/>
      <sheetName val="´æ»õÊÕ·¢»ã×Ü±í"/>
      <sheetName val="EURMKTG"/>
      <sheetName val="A"/>
      <sheetName val="VAS TB"/>
      <sheetName val="Check-Rate"/>
      <sheetName val="LinkData"/>
      <sheetName val="เครื่องมือ"/>
      <sheetName val="ยานพาหนะ"/>
      <sheetName val="อาคาร"/>
      <sheetName val="6621"/>
      <sheetName val="7 - ARO Assumptions"/>
      <sheetName val="accode"/>
      <sheetName val="03-B4"/>
      <sheetName val="03-B10"/>
      <sheetName val="04-B5"/>
      <sheetName val="04-B11"/>
      <sheetName val="热力"/>
      <sheetName val="CON CT SINO AGRO"/>
      <sheetName val="P1_Lead"/>
      <sheetName val="detail"/>
      <sheetName val="Sheet2"/>
      <sheetName val="E1020"/>
      <sheetName val="gl"/>
      <sheetName val="A3单体_20191231"/>
      <sheetName val="C3WB Sales and Receivables"/>
      <sheetName val="5.基础档案"/>
      <sheetName val="Lease AP 2008"/>
      <sheetName val="Sheet3"/>
      <sheetName val="Trial Balance"/>
      <sheetName val="details"/>
      <sheetName val="Profile"/>
      <sheetName val="Credit Card"/>
      <sheetName val="ARP-U501"/>
      <sheetName val="营业外收入09"/>
      <sheetName val="营业外收入08"/>
      <sheetName val="G2"/>
      <sheetName val="P500-预提费用明细表"/>
      <sheetName val="E100"/>
      <sheetName val="N100"/>
      <sheetName val="Ã«ÀûÂÊ·ÖÎö±í"/>
      <sheetName val="Summary"/>
      <sheetName val="(i) Fixed assets-PBC"/>
      <sheetName val="A3"/>
      <sheetName val="中行汇率表"/>
      <sheetName val="MasterList"/>
      <sheetName val="JRZ"/>
      <sheetName val="Lookup"/>
      <sheetName val="Expenses with Comparisons"/>
      <sheetName val="WP"/>
      <sheetName val="选择报表"/>
      <sheetName val="Price Provision 清单"/>
      <sheetName val="预提明细"/>
      <sheetName val="企业表一"/>
      <sheetName val="M-5C"/>
      <sheetName val="M-5A"/>
      <sheetName val="Other expenses"/>
      <sheetName val="生產部"/>
      <sheetName val="C0-Lead"/>
      <sheetName val="SCH 2 - Highlights_2"/>
      <sheetName val="99年度原単位"/>
      <sheetName val="DEP12"/>
      <sheetName val="核銷表"/>
      <sheetName val="DATA SHEET-DO NOT DELETE"/>
      <sheetName val="首先输入"/>
      <sheetName val="Invoices received and payment"/>
      <sheetName val="Doors-TBH(Internship)"/>
      <sheetName val="INCOME"/>
      <sheetName val=" Kostenstruktur Fab."/>
      <sheetName val="CapitalUsage"/>
      <sheetName val="Positions_PandL"/>
      <sheetName val="assumption1"/>
      <sheetName val="科目体系"/>
      <sheetName val="租赁收入(80105)Breakdown"/>
      <sheetName val="抽样测试"/>
      <sheetName val="Sign Off Form"/>
      <sheetName val="08序时账"/>
      <sheetName val="09收入"/>
      <sheetName val="09应收"/>
      <sheetName val="08应收"/>
      <sheetName val="07预收"/>
      <sheetName val="GZ-Sum"/>
      <sheetName val="SUD-Iron Curtain Method"/>
      <sheetName val="存货和固定资产暂估明细"/>
      <sheetName val="list"/>
      <sheetName val="09"/>
      <sheetName val="07"/>
      <sheetName val="U1120"/>
      <sheetName val="DAILY"/>
      <sheetName val="Quantity"/>
      <sheetName val="VALUATION"/>
      <sheetName val="Translation"/>
      <sheetName val="RMB"/>
      <sheetName val="FY02"/>
      <sheetName val="后续pre-IPO及IPO融资计划"/>
      <sheetName val="假设受让老股股东以增资方式进入-估值测算"/>
      <sheetName val="A.R 01"/>
      <sheetName val="Invidual Company_E.Asia MCO"/>
      <sheetName val="报告披露_A股已执行新金融工具准则但尚未执行新收入及新租赁准则"/>
      <sheetName val="报告披露_企业会计制度"/>
      <sheetName val="披露表_非上市合并未执行"/>
      <sheetName val="披露表_企业会计制度"/>
      <sheetName val="报告披露_FIE未执行新金融工具准则、新收入准则和新租赁准则"/>
      <sheetName val="报表披露_企业会计制度"/>
      <sheetName val="dm"/>
      <sheetName val="清单"/>
      <sheetName val="Net REVENUE"/>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CUSTOMER"/>
      <sheetName val="FACILITY"/>
      <sheetName val="SERVIVEH"/>
      <sheetName val="COMPUTER"/>
      <sheetName val="ADVSYST"/>
      <sheetName val="COUADMIN"/>
      <sheetName val="ADMINFLD"/>
      <sheetName val="ADVCIT&amp;D"/>
      <sheetName val="EURSALES"/>
      <sheetName val="ADMINREB"/>
      <sheetName val="UFPrn20021113090847"/>
      <sheetName val="Source"/>
      <sheetName val="Financial Statistics"/>
      <sheetName val="tf04"/>
      <sheetName val="CY sales report"/>
      <sheetName val="ARP-P101"/>
      <sheetName val="F2100-半成品"/>
      <sheetName val="F2000-委托加工物资"/>
      <sheetName val="F1000芯片"/>
      <sheetName val="F1100芯片测试费 "/>
      <sheetName val="管理"/>
      <sheetName val="盛联余"/>
      <sheetName val="常用项目"/>
      <sheetName val="Sheet1 (11)"/>
      <sheetName val="F40-Goodsin transit"/>
      <sheetName val="1.11 长期应收款"/>
      <sheetName val="1.12 长期股权投资"/>
      <sheetName val="Namen"/>
      <sheetName val="TABLES"/>
      <sheetName val="Repayment Summary"/>
      <sheetName val="Worksheet in 5610 Property &amp; Eq"/>
      <sheetName val="INDEX"/>
      <sheetName val="科目说明表-资产、负债、权益类COA"/>
      <sheetName val="待摊费用"/>
      <sheetName val="E100--AR--Major"/>
      <sheetName val="E101AR--Others"/>
      <sheetName val="CRA-Detail"/>
      <sheetName val="K110"/>
      <sheetName val="G210"/>
      <sheetName val="O111"/>
      <sheetName val="沈阳三生库存商品总帐2005"/>
      <sheetName val="沈阳三生商品总帐2006"/>
      <sheetName val="Lead"/>
      <sheetName val="10月帐务"/>
      <sheetName val="FY12发机预估"/>
      <sheetName val="FY13-17发机台量"/>
      <sheetName val="填写说明"/>
      <sheetName val="调整结果明细表"/>
      <sheetName val="BJ05-经开"/>
      <sheetName val="BJ04-中科创投"/>
      <sheetName val="洪泰成都"/>
      <sheetName val="洪泰成都独角兽"/>
      <sheetName val="信息定义"/>
      <sheetName val="510103"/>
      <sheetName val="Tax proj-Shenzhen"/>
      <sheetName val="Labor"/>
      <sheetName val="INVDAYS"/>
      <sheetName val="Office Improve"/>
      <sheetName val="Graph"/>
      <sheetName val="Sales"/>
      <sheetName val="100152"/>
      <sheetName val="应交税金明细"/>
      <sheetName val="内仓免税进口"/>
      <sheetName val="SC HKD CA"/>
      <sheetName val="Data List"/>
      <sheetName val="应收帐款 AR "/>
      <sheetName val="AGENT"/>
      <sheetName val="A14_g132"/>
      <sheetName val="A14_g134"/>
      <sheetName val="土建表三乙"/>
      <sheetName val="K420"/>
      <sheetName val="TopAct_Actives"/>
      <sheetName val="IMPORT"/>
      <sheetName val="bal1"/>
      <sheetName val="12月底个人往来余额表"/>
      <sheetName val="BT 03"/>
      <sheetName val="BT 02"/>
      <sheetName val="BT 01"/>
      <sheetName val="A3-CLA"/>
      <sheetName val="96000407"/>
      <sheetName val="truc tiep"/>
      <sheetName val="科目明细"/>
      <sheetName val="CC SAP"/>
      <sheetName val="Within"/>
      <sheetName val="accounting"/>
      <sheetName val="#REF!"/>
      <sheetName val="N23-1-预付、其他应收等"/>
      <sheetName val="_001年其他业务利润"/>
      <sheetName val="_002年其他业务利润"/>
      <sheetName val="_003年其他业务利润"/>
      <sheetName val="_2U03营业费用"/>
      <sheetName val="2001年营业费用"/>
      <sheetName val="OUT EDP 04"/>
      <sheetName val="10"/>
      <sheetName val="余额表(RT)"/>
      <sheetName val="中山低值"/>
      <sheetName val=" g300"/>
      <sheetName val="t_b"/>
      <sheetName val="下拉菜单表"/>
      <sheetName val="AR"/>
      <sheetName val="U1.6"/>
      <sheetName val="OutSum"/>
      <sheetName val="F101"/>
      <sheetName val="AOP 07 INPUT - local currency"/>
      <sheetName val="T  B"/>
      <sheetName val="固定资产清单"/>
      <sheetName val="U130"/>
      <sheetName val="U110"/>
      <sheetName val="U120"/>
      <sheetName val="CHART_E"/>
      <sheetName val="样品成本251"/>
      <sheetName val="其他流动资产"/>
      <sheetName val="其他业务收入成本"/>
      <sheetName val="Mov from 2001 to 2003"/>
      <sheetName val="FY17 Revenue Tracker Data"/>
      <sheetName val="关联库"/>
      <sheetName val="CBUGL"/>
      <sheetName val="IRR &amp; NPV"/>
      <sheetName val="11-1"/>
      <sheetName val="9月TB"/>
      <sheetName val="Table"/>
      <sheetName val=" "/>
      <sheetName val="Parameters"/>
      <sheetName val="生产成本"/>
      <sheetName val="Model"/>
      <sheetName val="xbase"/>
      <sheetName val="现金流量表"/>
      <sheetName val="Ass"/>
      <sheetName val="Collateral"/>
      <sheetName val="dxnsjtempsheet"/>
      <sheetName val="F100-2018"/>
      <sheetName val="Premisses"/>
      <sheetName val="流资汇总"/>
      <sheetName val="现金流量表（月报）"/>
      <sheetName val="Client Data"/>
      <sheetName val="Chart of acct "/>
      <sheetName val="6641"/>
      <sheetName val="K-0 PPE Overview PSP_OSP"/>
      <sheetName val="A6620 Detail"/>
      <sheetName val="PARAM"/>
      <sheetName val="IS-客户直接转换"/>
      <sheetName val="Uexp_Lead"/>
      <sheetName val="CJE"/>
      <sheetName val="Consol worksheet-Final"/>
      <sheetName val="Journal"/>
      <sheetName val="Filtered_IML"/>
      <sheetName val="ContractList"/>
      <sheetName val="Month"/>
      <sheetName val="DCF"/>
      <sheetName val="Marketing product ranges"/>
      <sheetName val="Value Chain definitions"/>
      <sheetName val="Marketing vehicle definitions"/>
      <sheetName val="19-直方和正态图1"/>
      <sheetName val="SAP Trend-Revenue"/>
      <sheetName val="Income Statement"/>
      <sheetName val="Balance Sheet"/>
      <sheetName val="Altman Z"/>
      <sheetName val="A3单体_20181231"/>
      <sheetName val="Library procedures"/>
      <sheetName val="以前年度损益调整"/>
      <sheetName val="Control"/>
      <sheetName val="Assumptions"/>
      <sheetName val="损（蓝5）"/>
      <sheetName val="H101(OK)"/>
      <sheetName val="U401(OK)"/>
      <sheetName val="资金状况表"/>
      <sheetName val="预提"/>
      <sheetName val="AREAINDEX"/>
      <sheetName val="Cashflow "/>
      <sheetName val="长期待摊费用"/>
      <sheetName val="借款"/>
      <sheetName val="无形资产"/>
      <sheetName val="Floating leg"/>
      <sheetName val="Fixed Leg Curve"/>
      <sheetName val="Floating Leg Curve"/>
      <sheetName val="Swap summary"/>
      <sheetName val="ARP"/>
      <sheetName val="O5-1 Notes"/>
      <sheetName val="PACK"/>
      <sheetName val="10.10.2003"/>
      <sheetName val="Q1 "/>
      <sheetName val="资产减值损失-final"/>
      <sheetName val="细节测试审计抽样"/>
      <sheetName val="成本项目"/>
      <sheetName val="BS"/>
      <sheetName val="通用数据"/>
      <sheetName val="2-1"/>
      <sheetName val="2-5"/>
      <sheetName val="4-1"/>
      <sheetName val="4-6"/>
      <sheetName val="BKD-钻井深圳"/>
      <sheetName val="BKD-钻井湛江"/>
      <sheetName val="SH FA 检查"/>
      <sheetName val="1 - Lead"/>
      <sheetName val="2 - Lapsing"/>
      <sheetName val="3- Depreciation"/>
      <sheetName val="4 - Additions"/>
      <sheetName val="5 -Capital Lease"/>
      <sheetName val="6 - FA Verification"/>
      <sheetName val="Sched "/>
      <sheetName val="Beg. Balance Sched"/>
      <sheetName val="Assets with no cost"/>
      <sheetName val="Beg__Balance_Sched"/>
      <sheetName val="1_-_Lead"/>
      <sheetName val="2_-_Lapsing"/>
      <sheetName val="3-_Depreciation"/>
      <sheetName val="4_-_Additions"/>
      <sheetName val="5_-Capital_Lease"/>
      <sheetName val="6_-_FA_Verification"/>
      <sheetName val="Sched_"/>
      <sheetName val="Beg__Balance_Sched1"/>
      <sheetName val="Assets_with_no_cost"/>
      <sheetName val="Lead_(p_1)"/>
      <sheetName val="FA_Roll_to_GL_(p_2)"/>
      <sheetName val="FA_Additions_(p_3)"/>
      <sheetName val="FA_Disposals_(p_4)"/>
      <sheetName val="Capital_Leases_(p_5)"/>
      <sheetName val="_Depreciation_Expense_(p_6)"/>
      <sheetName val="FA_roll_to_report_p_7"/>
      <sheetName val="1_-_Lead1"/>
      <sheetName val="2_-_Lapsing1"/>
      <sheetName val="3-_Depreciation1"/>
      <sheetName val="4_-_Additions1"/>
      <sheetName val="5_-Capital_Lease1"/>
      <sheetName val="6_-_FA_Verification1"/>
      <sheetName val="Sched_1"/>
      <sheetName val="Beg__Balance_Sched2"/>
      <sheetName val="Assets_with_no_cost1"/>
      <sheetName val="Lead_(p_1)1"/>
      <sheetName val="FA_Roll_to_GL_(p_2)1"/>
      <sheetName val="FA_Additions_(p_3)1"/>
      <sheetName val="FA_Disposals_(p_4)1"/>
      <sheetName val="Capital_Leases_(p_5)1"/>
      <sheetName val="_Depreciation_Expense_(p_6)1"/>
      <sheetName val="FA_roll_to_report_p_71"/>
      <sheetName val="1_-_Lead2"/>
      <sheetName val="2_-_Lapsing2"/>
      <sheetName val="3-_Depreciation2"/>
      <sheetName val="4_-_Additions2"/>
      <sheetName val="5_-Capital_Lease2"/>
      <sheetName val="6_-_FA_Verification2"/>
      <sheetName val="Sched_2"/>
      <sheetName val="Beg__Balance_Sched3"/>
      <sheetName val="Assets_with_no_cost2"/>
      <sheetName val="Lead_(p_1)2"/>
      <sheetName val="FA_Roll_to_GL_(p_2)2"/>
      <sheetName val="FA_Additions_(p_3)2"/>
      <sheetName val="FA_Disposals_(p_4)2"/>
      <sheetName val="Capital_Leases_(p_5)2"/>
      <sheetName val="_Depreciation_Expense_(p_6)2"/>
      <sheetName val="FA_roll_to_report_p_72"/>
      <sheetName val="A&amp;P"/>
      <sheetName val="Insurance"/>
      <sheetName val="IT Costs"/>
      <sheetName val="Legal and Prof"/>
      <sheetName val="Relationship Analysis(2)"/>
      <sheetName val="PopCache_Sheet1"/>
      <sheetName val="ENG_Cons"/>
      <sheetName val="NAO"/>
      <sheetName val="PAO_Cons"/>
      <sheetName val="WHQ_Cons"/>
      <sheetName val="incomplete - 5411B"/>
      <sheetName val="低值易耗摊销明晰"/>
      <sheetName val="钻井(调整)"/>
      <sheetName val="Basic data"/>
      <sheetName val="AP018"/>
      <sheetName val="AP019"/>
      <sheetName val="AP020"/>
      <sheetName val="AP021"/>
      <sheetName val="AP022"/>
      <sheetName val="AP023"/>
      <sheetName val="AP026"/>
      <sheetName val="AP001_JiFeng"/>
      <sheetName val="AP010_KeXunBaoZhuang"/>
      <sheetName val="AP011_YiLi"/>
      <sheetName val="AP012_"/>
      <sheetName val="AP013_HuaLian"/>
      <sheetName val="AP015_Jinchang"/>
      <sheetName val="AP016"/>
      <sheetName val="AP017"/>
      <sheetName val="AP002_SanJi"/>
      <sheetName val="AP027"/>
      <sheetName val="AP003_QiDianMo"/>
      <sheetName val="AP004_FengZheng"/>
      <sheetName val="AP005_HanBuo"/>
      <sheetName val="AP006_SiYin"/>
      <sheetName val="AP007_DeLiTai"/>
      <sheetName val="AP008_ZhongYa"/>
      <sheetName val="AP009_YiDa"/>
      <sheetName val="AP9990"/>
      <sheetName val="AP9999"/>
      <sheetName val="進銷存"/>
      <sheetName val="Related companies"/>
      <sheetName val="中旅集團屬下和中投屬下公司明細表"/>
      <sheetName val="4_货币资金_现金"/>
      <sheetName val="内销收人"/>
      <sheetName val="cover"/>
      <sheetName val="WTB"/>
      <sheetName val="Key"/>
      <sheetName val="01TBlast"/>
      <sheetName val="R3抵消"/>
      <sheetName val="收入抵消"/>
      <sheetName val="drivers"/>
      <sheetName val="Rates"/>
      <sheetName val="2007-09折旧"/>
      <sheetName val="应付票据1NotesPayable1"/>
      <sheetName val="ICP主营业务成本ICP_CoreExpense"/>
      <sheetName val="ICP其他业务成本ICP_OtherExpense"/>
      <sheetName val="ICP主营业务收入ICP CoreRevenue"/>
      <sheetName val="ICP递延收益ICP DeferredIncome"/>
      <sheetName val="ICP股利分配ICP DevidendDeclared"/>
      <sheetName val="ICP费用ICP Expense"/>
      <sheetName val="固定资产FixedAssets"/>
      <sheetName val="ICP现金流量表ICP_CF"/>
      <sheetName val="ICP长期借款ICPLongtermBorrowings"/>
      <sheetName val="ICP其他应付款ICP OtherPayable"/>
      <sheetName val="ICP其他应收款ICP_OtherReceivables"/>
      <sheetName val="ICP投资收益ICP InvestmentIncome"/>
      <sheetName val="ICP应付利息ICP InterestPayable"/>
      <sheetName val="ICP应收利息ICP_InterestReceivable"/>
      <sheetName val="ICP长期应付款ICP LongtermPayable"/>
      <sheetName val="ICP长期应收款ICPLongtermReceivables"/>
      <sheetName val="短期借款ShorttermLoans"/>
      <sheetName val="ICP其他流动资产ICP_OtherCurrentAssets"/>
      <sheetName val="ICP其他流动负债ICP OtherCurrentLiab"/>
      <sheetName val="ICP其他非流动资产ICPOtherNoncurAsets"/>
      <sheetName val="ICP其他非流动负债ICPOtherNoncurrLiab"/>
      <sheetName val="ICP其他业务收入ICP OtherRevenue"/>
      <sheetName val="ICP预付款项ICP_Prepayment"/>
      <sheetName val="ICP短期借款ICP ShorttermLoans"/>
      <sheetName val="试算BS"/>
      <sheetName val="试算PL"/>
      <sheetName val="F_Summary"/>
      <sheetName val="JE Upload"/>
      <sheetName val="2002年预提费用"/>
      <sheetName val="ARP-U301"/>
      <sheetName val="U411"/>
      <sheetName val="Guidance"/>
      <sheetName val="二厂一季度单位成本"/>
      <sheetName val="Guidance-English"/>
      <sheetName val="分离后总调室"/>
      <sheetName val="气保"/>
      <sheetName val="联合"/>
      <sheetName val="C101"/>
      <sheetName val="BJ Expenses"/>
      <sheetName val="Sample Rev"/>
      <sheetName val="Sample IS"/>
      <sheetName val="Probability View"/>
      <sheetName val="FY04ExpDetail"/>
      <sheetName val="2月回款"/>
      <sheetName val="2月销售"/>
      <sheetName val="FF-6"/>
      <sheetName val="BZJ"/>
      <sheetName val="Constants"/>
      <sheetName val="schdl"/>
      <sheetName val="完"/>
      <sheetName val="H R"/>
      <sheetName val="Final sample listing"/>
      <sheetName val="选择项"/>
      <sheetName val="FA台账2012"/>
      <sheetName val="Q4Purchases"/>
      <sheetName val="Mov‘2008"/>
      <sheetName val="Mov‘2007"/>
      <sheetName val="Mov‘2005"/>
      <sheetName val="Mov‘2006"/>
      <sheetName val="Sheet1 (3)"/>
      <sheetName val="31夹层类-1-3"/>
      <sheetName val="enums"/>
      <sheetName val="YS02-02"/>
      <sheetName val="I-Summary"/>
      <sheetName val="eqpmad2"/>
      <sheetName val="Consultants local currency"/>
      <sheetName val="BOX SUM"/>
      <sheetName val="FIN GOOD"/>
      <sheetName val="索引"/>
      <sheetName val="封面"/>
      <sheetName val="数据模板1"/>
      <sheetName val="CRITERIA1"/>
      <sheetName val="Key Assumptions"/>
      <sheetName val="D"/>
      <sheetName val="Comp equip"/>
      <sheetName val="Lguide"/>
      <sheetName val="TSA"/>
      <sheetName val="目录"/>
      <sheetName val="Admin"/>
      <sheetName val="C.货币资金"/>
      <sheetName val="C.抵押存款"/>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sch10-rm2"/>
      <sheetName val="sch6-rm"/>
      <sheetName val="1.1 Project Data"/>
      <sheetName val="Dati"/>
      <sheetName val="2005租赁汇总bj"/>
      <sheetName val="Baitak PS schedule"/>
      <sheetName val="detailitems_40"/>
      <sheetName val="Understand the client"/>
      <sheetName val="Bokslutsprocessen"/>
      <sheetName val="Indata"/>
      <sheetName val="CRA"/>
      <sheetName val="科目表"/>
      <sheetName val="电子"/>
      <sheetName val="TIG Loan Interest Calculation"/>
      <sheetName val="Proforma BS"/>
      <sheetName val="Notes"/>
      <sheetName val="J&amp;Q"/>
      <sheetName val="유통망계획"/>
      <sheetName val="협조전"/>
      <sheetName val="전체현황"/>
      <sheetName val="dep08"/>
      <sheetName val="总公司2002.12.31"/>
      <sheetName val="GDB-SZB"/>
      <sheetName val="参数表"/>
      <sheetName val="产品销售毛利表"/>
      <sheetName val="1资产负债表"/>
      <sheetName val="Walkthrough "/>
      <sheetName val="1102 (2)"/>
      <sheetName val="STATPARA"/>
      <sheetName val="Whse Code"/>
      <sheetName val="FSM"/>
      <sheetName val="validation"/>
      <sheetName val="ws9"/>
      <sheetName val="ZLR1"/>
      <sheetName val="财务费用明细表"/>
      <sheetName val="长期待摊费用明细表"/>
      <sheetName val="6.3.1关联交易"/>
      <sheetName val="ICTSI"/>
      <sheetName val="For Dis."/>
      <sheetName val="Yuhui"/>
      <sheetName val="成本动态台帐"/>
      <sheetName val="codeValue"/>
      <sheetName val="CCTL"/>
      <sheetName val="I1"/>
      <sheetName val="K701"/>
      <sheetName val="Depr_Exp__Testing_(5)"/>
      <sheetName val="Pro_Forma"/>
      <sheetName val="Airport_-_Downtown"/>
      <sheetName val="Vendor_Data"/>
      <sheetName val="others_gl"/>
      <sheetName val="Non-Statistical_Sampling_Master"/>
      <sheetName val="Two_Step_Revenue_Testing_Master"/>
      <sheetName val="Global_Data"/>
      <sheetName val="Staff_List"/>
      <sheetName val="폐토수익화_"/>
      <sheetName val="其它销售成本_A4"/>
      <sheetName val="信息费用预算表(A4)_"/>
      <sheetName val="Sign_Off_Form"/>
      <sheetName val="Chart_of_Acct"/>
      <sheetName val="Trial_Balance"/>
      <sheetName val="2__PPR_REVENUE_APR10"/>
      <sheetName val="VAS_TB"/>
      <sheetName val="C3WB_Sales_and_Receivables"/>
      <sheetName val="5_基础档案"/>
      <sheetName val="Lease_AP_2008"/>
      <sheetName val="Credit_Card"/>
      <sheetName val="CON_CT_SINO_AGRO"/>
      <sheetName val="7_-_ARO_Assumptions"/>
      <sheetName val="(i)_Fixed_assets-PBC"/>
      <sheetName val="Expenses_with_Comparisons"/>
      <sheetName val="Price_Provision_清单"/>
      <sheetName val="Other_expenses"/>
      <sheetName val="SCH_2_-_Highlights_2"/>
      <sheetName val="DATA_SHEET-DO_NOT_DELETE"/>
      <sheetName val="Invoices_received_and_payment"/>
      <sheetName val="_Kostenstruktur_Fab_"/>
      <sheetName val="SUD-Iron_Curtain_Method"/>
      <sheetName val="1_11_长期应收款"/>
      <sheetName val="1_12_长期股权投资"/>
      <sheetName val="F40-Goodsin_transit"/>
      <sheetName val="Repayment_Summary"/>
      <sheetName val="Worksheet_in_5610_Property_&amp;_Eq"/>
      <sheetName val="Tax_proj-Shenzhen"/>
      <sheetName val="Office_Improve"/>
      <sheetName val="SC_HKD_CA"/>
      <sheetName val="Data_List"/>
      <sheetName val="应收帐款_AR_"/>
      <sheetName val="BT_03"/>
      <sheetName val="BT_02"/>
      <sheetName val="BT_01"/>
      <sheetName val="truc_tiep"/>
      <sheetName val="CC_SAP"/>
      <sheetName val="营业税金所得税Breakdown"/>
      <sheetName val="员工工资"/>
      <sheetName val="PLAC"/>
      <sheetName val="YTD-Entity"/>
      <sheetName val="HQ C"/>
      <sheetName val="conBS"/>
      <sheetName val="conCE"/>
      <sheetName val="conCF"/>
      <sheetName val="conWP"/>
      <sheetName val="conIS"/>
      <sheetName val="Menu"/>
      <sheetName val="母公司TB"/>
      <sheetName val="1月"/>
      <sheetName val="2009movement"/>
      <sheetName val="商会大厦-总表-楼层顺序"/>
      <sheetName val="房屋类"/>
      <sheetName val="Projects structure"/>
      <sheetName val="Breakdown"/>
      <sheetName val="TOP10"/>
      <sheetName val="Date Source"/>
      <sheetName val="报告披露"/>
      <sheetName val="ACTINV"/>
      <sheetName val="AGRO PRC DATABASE"/>
      <sheetName val="L1-1-1拆放同业合理性测试"/>
      <sheetName val="TS-Zero"/>
      <sheetName val="Terms Summary"/>
      <sheetName val="会计科目"/>
      <sheetName val="SAR"/>
      <sheetName val="G2TempSheet"/>
      <sheetName val="H1.3"/>
      <sheetName val="3.2.100.4.1    3"/>
      <sheetName val="3.2.100.4.3 aging Equip  "/>
      <sheetName val="3.2.100.4.1    1"/>
      <sheetName val="MORE"/>
      <sheetName val="DFI Statement_Jan"/>
      <sheetName val="Riepilogo linee-direz BUD"/>
      <sheetName val="2月收入成本明细表"/>
      <sheetName val="A300-合并"/>
      <sheetName val="设备部房屋"/>
      <sheetName val="进口设备FOB总价表"/>
      <sheetName val="15287贵阳市乌当区天网工程"/>
      <sheetName val="U401-租赁合同"/>
      <sheetName val="Entry Sheet"/>
      <sheetName val="核对表"/>
      <sheetName val="所有者权益变动表"/>
      <sheetName val="固定资产"/>
      <sheetName val="Sale summary"/>
      <sheetName val="Offering Structure"/>
      <sheetName val="1.概述"/>
      <sheetName val="Jumei"/>
      <sheetName val="数据引用"/>
      <sheetName val="IBC Project Overview2012918"/>
      <sheetName val="P310"/>
      <sheetName val="Consol"/>
      <sheetName val="应付明细"/>
      <sheetName val="FS_0331"/>
      <sheetName val="c"/>
      <sheetName val="Bloomberg"/>
      <sheetName val="Datastream_IBES"/>
      <sheetName val="DB_Estimates"/>
      <sheetName val="analysis"/>
      <sheetName val="E110"/>
      <sheetName val="A3 &amp; U 09-01"/>
      <sheetName val="E101"/>
      <sheetName val="g101"/>
      <sheetName val="ARP-U201"/>
      <sheetName val="SignificantAcctsTemplate"/>
      <sheetName val="Configure"/>
      <sheetName val="H_Lead"/>
      <sheetName val="Custom"/>
      <sheetName val="ICP"/>
      <sheetName val="嘉华仓库"/>
      <sheetName val="Interest #9"/>
      <sheetName val="Bank_sum#10"/>
      <sheetName val="Custs #2"/>
      <sheetName val="C1"/>
      <sheetName val="销管费用明细"/>
      <sheetName val="Data sheet"/>
      <sheetName val="sintesi per referenza"/>
      <sheetName val="BKD-财务部"/>
      <sheetName val="A501_AADJ#14-对价调整"/>
      <sheetName val="1999 Plan Summary"/>
      <sheetName val="To tied 2001 opening RE"/>
      <sheetName val="集团财务报表"/>
      <sheetName val="A430"/>
      <sheetName val="&lt;FF&gt; Tax Payable"/>
      <sheetName val="A_R_01"/>
      <sheetName val="Invidual_Company_E_Asia_MCO"/>
      <sheetName val="Net_REVENUE"/>
      <sheetName val="Financial_Statistics"/>
      <sheetName val="CY_sales_report"/>
      <sheetName val="F1100芯片测试费_"/>
      <sheetName val="OUT_EDP_04"/>
      <sheetName val="_g300"/>
      <sheetName val="U1_6"/>
      <sheetName val="AOP_07_INPUT_-_local_currency"/>
      <sheetName val="T__B"/>
      <sheetName val="FY17_Revenue_Tracker_Data"/>
      <sheetName val="Mov_from_2001_to_2003"/>
      <sheetName val="IRR_&amp;_NPV"/>
      <sheetName val="Sheet1_(11)"/>
      <sheetName val="_"/>
      <sheetName val="Client_Data"/>
      <sheetName val="Chart_of_acct_"/>
      <sheetName val="K-0_PPE_Overview_PSP_OSP"/>
      <sheetName val="A6620_Detail"/>
      <sheetName val="Consol_worksheet-Final"/>
      <sheetName val="Marketing_product_ranges"/>
      <sheetName val="Value_Chain_definitions"/>
      <sheetName val="Marketing_vehicle_definitions"/>
      <sheetName val="SAP_Trend-Revenue"/>
      <sheetName val="现 金 流 量 表"/>
      <sheetName val="00年损益（分月）"/>
      <sheetName val="by category"/>
      <sheetName val="Range Values"/>
      <sheetName val="EY data"/>
      <sheetName val="G1_100Breakdown"/>
      <sheetName val="AFS"/>
      <sheetName val="G1_130双边挂账Check"/>
      <sheetName val="SRM"/>
      <sheetName val="其他应收款Dy"/>
      <sheetName val="17应付票据明细表"/>
      <sheetName val="Bal 1997-1998"/>
      <sheetName val="F-5"/>
      <sheetName val="1売上債権期間分析"/>
      <sheetName val="2売掛金残高比較"/>
      <sheetName val="ARP-U401"/>
      <sheetName val="totalg&amp;a"/>
      <sheetName val="工具"/>
      <sheetName val="BS1"/>
      <sheetName val="成本计算-6"/>
      <sheetName val="信息费用预算表(A4)"/>
      <sheetName val="XVIa(i) - average price (2)"/>
      <sheetName val="PL"/>
      <sheetName val="US WACC"/>
      <sheetName val="BS-past"/>
      <sheetName val="Business Unit"/>
      <sheetName val="AR Ageing - 1130"/>
      <sheetName val="应收账款明细表"/>
      <sheetName val="Coach Chassis (inventory)"/>
      <sheetName val="VAT Payable01"/>
      <sheetName val="VAT Payable 02"/>
      <sheetName val="VAT Payable 03"/>
      <sheetName val="销售收入统计按科目"/>
      <sheetName val="Pro Forma (2)"/>
      <sheetName val="nSAP GLSU Template"/>
      <sheetName val="Reversal Reason - Reversal Date"/>
      <sheetName val="Base_Results"/>
      <sheetName val="Sum sum Dep"/>
      <sheetName val="Parameter"/>
      <sheetName val="N719(NC)"/>
      <sheetName val="CUSTOMER (DETAIL)"/>
      <sheetName val="G201"/>
      <sheetName val="G301"/>
      <sheetName val="I101"/>
      <sheetName val="ARP-U101"/>
      <sheetName val="U401"/>
      <sheetName val="A2爱威思特"/>
      <sheetName val="sal"/>
      <sheetName val="冲A11预提房租"/>
      <sheetName val="订单418"/>
      <sheetName val="2004年"/>
      <sheetName val="ARP_U501"/>
      <sheetName val="Item master"/>
      <sheetName val="D4RP"/>
      <sheetName val="PopCache"/>
      <sheetName val="W"/>
      <sheetName val="Romford Market"/>
      <sheetName val="P800-Vouching"/>
      <sheetName val="U113(1)-details 2005"/>
      <sheetName val="asset list"/>
      <sheetName val="月别计"/>
      <sheetName val="课别计"/>
      <sheetName val="要員"/>
      <sheetName val="M.P.S."/>
      <sheetName val="U130-1按月"/>
      <sheetName val="XL4Poppy"/>
      <sheetName val="9.银行持有之局部付款"/>
      <sheetName val="PARAMETRES"/>
      <sheetName val="FIXASSET"/>
      <sheetName val="G1_Lead"/>
      <sheetName val="SH-3rd party"/>
      <sheetName val="12.APaging附表"/>
      <sheetName val="WWCA科目表"/>
      <sheetName val="FA"/>
      <sheetName val="prices"/>
      <sheetName val="K1500"/>
      <sheetName val="其他业务利润明细表"/>
      <sheetName val="投资收益明细表"/>
      <sheetName val="未交税金明细表"/>
      <sheetName val="GeneralInfo"/>
      <sheetName val="prod"/>
      <sheetName val="REP04B 301202"/>
      <sheetName val="backlog"/>
      <sheetName val="存货明细2002"/>
      <sheetName val="P412-2001"/>
      <sheetName val="P413-2002"/>
      <sheetName val="FX"/>
      <sheetName val="MASTER_主数据_补"/>
      <sheetName val="汇总底稿"/>
      <sheetName val="SP"/>
      <sheetName val="出库"/>
      <sheetName val="入库"/>
      <sheetName val="G.1R-Shou COP Gf"/>
      <sheetName val="UFPrn20080612114440"/>
      <sheetName val="序时账"/>
      <sheetName val="余额表"/>
      <sheetName val="本期报表"/>
      <sheetName val="上期报表"/>
      <sheetName val="G"/>
      <sheetName val="G3"/>
      <sheetName val="首页"/>
      <sheetName val="表头信息"/>
      <sheetName val="调整原因汇总表"/>
      <sheetName val="收入2"/>
      <sheetName val="报告披露_非上市合并&amp;FIE"/>
      <sheetName val="FLdeleted"/>
      <sheetName val="长期股权投资Dy"/>
      <sheetName val="投资收益Dy"/>
      <sheetName val="存货_库存商品Dy"/>
      <sheetName val="应付工资Dy"/>
      <sheetName val="应付福利费Dy"/>
      <sheetName val="预提费用Dy"/>
      <sheetName val="主营业务成本Dy"/>
      <sheetName val="分录"/>
      <sheetName val="长期股权投资Mx"/>
      <sheetName val="存货_库存商品Mx"/>
      <sheetName val="应付工资Mx"/>
      <sheetName val="应付福利费Mx"/>
      <sheetName val="预提费用Mx"/>
      <sheetName val="主营业务成本Mx"/>
      <sheetName val="短期投资Dy"/>
      <sheetName val="闭店"/>
      <sheetName val="应收账款"/>
      <sheetName val="坏账准备_其他应收款Dy"/>
      <sheetName val="其他应付款Dy"/>
      <sheetName val="其他应收款Mx"/>
      <sheetName val="DCF_3资产负债分析调整表"/>
      <sheetName val="合并清单"/>
      <sheetName val="应收账款Dy"/>
      <sheetName val="预收账款Dy"/>
      <sheetName val="主营业务收入Dy"/>
      <sheetName val="应收账款Mx"/>
      <sheetName val="营业外收入Dy"/>
      <sheetName val="专项应付款Dy"/>
      <sheetName val="财务费用Dy"/>
      <sheetName val="专项应付款Mx"/>
      <sheetName val="TB_HBII"/>
      <sheetName val="BR"/>
      <sheetName val="CA"/>
      <sheetName val="CO"/>
      <sheetName val="EIU"/>
      <sheetName val="Euro"/>
      <sheetName val="FI"/>
      <sheetName val="LEB"/>
      <sheetName val="MEX"/>
      <sheetName val="S&amp;P"/>
      <sheetName val="UK"/>
      <sheetName val="Lists"/>
      <sheetName val="AU"/>
      <sheetName val="DK"/>
      <sheetName val="PA"/>
      <sheetName val="RU"/>
      <sheetName val="P&amp;L(S1)"/>
      <sheetName val="M Schedules"/>
      <sheetName val="진행 DATA (2)"/>
      <sheetName val="Calc &amp; Export"/>
      <sheetName val="Carryover 2004"/>
      <sheetName val="Corpalloc"/>
      <sheetName val="Report"/>
      <sheetName val="AOP Exec Summary"/>
      <sheetName val="1 Lillysummary"/>
      <sheetName val="Detail Loan Move. &amp; Listing"/>
      <sheetName val="계DATA"/>
      <sheetName val="실DATA "/>
      <sheetName val="resume"/>
      <sheetName val="생산전망"/>
      <sheetName val="Reference"/>
      <sheetName val="2000"/>
      <sheetName val="附表6"/>
      <sheetName val="已背书未到期票据清单"/>
      <sheetName val="Drop List References"/>
      <sheetName val="FDREPORT"/>
      <sheetName val="Regionen"/>
      <sheetName val="20211231网点收入"/>
      <sheetName val="Vol"/>
      <sheetName val="Beta DATA SHEET"/>
      <sheetName val="Worksheet_in_5610_Property____2"/>
      <sheetName val="大纲"/>
      <sheetName val="实际与预算对比"/>
      <sheetName val="AGRO-DATA"/>
      <sheetName val="科目代码-匹配用"/>
      <sheetName val="NewB Sheet"/>
      <sheetName val="报表格式"/>
      <sheetName val="Par"/>
      <sheetName val="Coffeemate"/>
      <sheetName val="0402"/>
      <sheetName val="A401"/>
      <sheetName val="表三"/>
      <sheetName val="银行代码"/>
      <sheetName val="Asset9809CAK"/>
      <sheetName val="input data"/>
      <sheetName val="Jan"/>
      <sheetName val="Sal &amp; Wage Info"/>
      <sheetName val="P&amp;L PP"/>
      <sheetName val="Flash-pp"/>
      <sheetName val="PY-pp"/>
      <sheetName val="MYF-pp"/>
      <sheetName val="WEIGHT"/>
      <sheetName val="Asset98-CAK"/>
      <sheetName val="S"/>
      <sheetName val="Disposition"/>
      <sheetName val="基础信息"/>
      <sheetName val="_010_10118"/>
      <sheetName val="COSTI"/>
      <sheetName val="明细"/>
      <sheetName val="分公司07年余额明细"/>
      <sheetName val="2-ReadResv"/>
      <sheetName val="POWER ASSUMPTIONS"/>
      <sheetName val="B5302 Random population"/>
      <sheetName val="NBCF"/>
      <sheetName val="C_100Breakdown"/>
      <sheetName val="C_110函证控制表"/>
      <sheetName val="C_Lead"/>
      <sheetName val="參數"/>
      <sheetName val="Slide 1"/>
      <sheetName val="Slide 2"/>
      <sheetName val="slide 3"/>
      <sheetName val="4-货币资金-现金"/>
      <sheetName val="制费-分月"/>
      <sheetName val="G402."/>
      <sheetName val="COTIZACIONES"/>
      <sheetName val="ACTData"/>
      <sheetName val="CommData"/>
      <sheetName val="Budget"/>
      <sheetName val="N201"/>
      <sheetName val="差异率"/>
      <sheetName val="OBData"/>
      <sheetName val="Setup"/>
      <sheetName val="管理费用表"/>
      <sheetName val="FIRE Parameters"/>
      <sheetName val="2002-H300"/>
      <sheetName val="2001-H300"/>
      <sheetName val="Movement"/>
      <sheetName val="Account"/>
      <sheetName val="11111111"/>
      <sheetName val="Consignment_Analysis"/>
      <sheetName val="敏感性"/>
      <sheetName val="GP Analysis"/>
      <sheetName val="费用重分类"/>
      <sheetName val="Checking"/>
      <sheetName val="dklx"/>
      <sheetName val="18.BGEI Mgt (SH)-BJ Br"/>
      <sheetName val="U120_借项余额测试"/>
      <sheetName val="U130_成本倒轧表"/>
      <sheetName val="U_TOD成本"/>
      <sheetName val="UGP_Lead"/>
      <sheetName val="UGP_Breakdown"/>
      <sheetName val="U100_收入合同审阅"/>
      <sheetName val="U_TOD收入&amp;成本"/>
      <sheetName val="U110_收入分析按产品类别"/>
      <sheetName val="U110_收入明细分析"/>
      <sheetName val="FS"/>
      <sheetName val="PNL"/>
      <sheetName val="FAB별"/>
      <sheetName val="FAST TRACK"/>
      <sheetName val="車会集約"/>
      <sheetName val="数据录入"/>
      <sheetName val="K401"/>
      <sheetName val="其他应付款科目余额2005.12.31"/>
      <sheetName val="P08A自制半成品收发存"/>
      <sheetName val="consol bal sheet"/>
      <sheetName val="F34-1"/>
      <sheetName val="B11-1"/>
      <sheetName val="12月"/>
      <sheetName val="B01-1"/>
      <sheetName val="应付款项"/>
      <sheetName val="AP1998KX(estimated)"/>
      <sheetName val="JAL "/>
      <sheetName val="P2"/>
      <sheetName val="P2_100"/>
      <sheetName val="F601-pool"/>
      <sheetName val="2004"/>
      <sheetName val="ADJ Sum(console)"/>
      <sheetName val="Bank"/>
      <sheetName val="A3_conso"/>
      <sheetName val="3. Other gains"/>
      <sheetName val="原报调整分录"/>
      <sheetName val="审计调整分录"/>
      <sheetName val="科目余额表(原稿)"/>
      <sheetName val="科目余额表"/>
      <sheetName val="PBC - PHS"/>
      <sheetName val="参数"/>
      <sheetName val="Invested Capital"/>
      <sheetName val="公司清单"/>
      <sheetName val="产品地区"/>
      <sheetName val="0194"/>
      <sheetName val="其他业务成本.111031"/>
      <sheetName val="数外余额"/>
      <sheetName val="累计1"/>
      <sheetName val="应收账龄BS.01"/>
      <sheetName val="被审单位科目余额表"/>
      <sheetName val="IFRS 9规定"/>
      <sheetName val="hidden"/>
      <sheetName val="附表2"/>
      <sheetName val="hiddenSheet1"/>
      <sheetName val="附表3"/>
      <sheetName val="6月回款"/>
      <sheetName val="3月回款"/>
      <sheetName val="7月销售"/>
      <sheetName val="4月回款"/>
      <sheetName val="5月回款"/>
      <sheetName val="PRC 15"/>
      <sheetName val="会计科目对照表"/>
      <sheetName val="上海2012年1-11月科目余额表"/>
      <sheetName val="退休基本情况说明"/>
      <sheetName val="P504_3.Expected life"/>
      <sheetName val="40"/>
      <sheetName val=".xls)rep1011173124(1)"/>
      <sheetName val="不良排名"/>
      <sheetName val="PRC 13"/>
      <sheetName val="0406_Grade_data"/>
      <sheetName val="0412_Grade_data"/>
      <sheetName val="Main"/>
      <sheetName val="Australia"/>
      <sheetName val="Working"/>
      <sheetName val="Tax Rates"/>
      <sheetName val="Accuracy Check"/>
      <sheetName val="Namelist"/>
      <sheetName val="E1"/>
      <sheetName val="N"/>
      <sheetName val="UNIT COST REC"/>
      <sheetName val="D3"/>
      <sheetName val="Capital leases"/>
      <sheetName val="suivi cash flow par affaire"/>
      <sheetName val="support"/>
      <sheetName val="compare to jan07"/>
      <sheetName val="Ex Diff"/>
      <sheetName val="graph1"/>
      <sheetName val=" Due from (Sep)"/>
      <sheetName val="Due to 1005"/>
      <sheetName val="#511BkRec"/>
      <sheetName val="#511-DEC97"/>
      <sheetName val="153541"/>
      <sheetName val="Volume"/>
      <sheetName val="FF-21(a)"/>
      <sheetName val="H101"/>
      <sheetName val="FSA"/>
      <sheetName val="G301(01)"/>
      <sheetName val="02"/>
      <sheetName val="Input-Act"/>
      <sheetName val="Input-Act-Adj"/>
      <sheetName val="Input-Bud"/>
      <sheetName val="Input-PY"/>
      <sheetName val="P&amp;L Report-S"/>
      <sheetName val="P&amp;L Report-M"/>
      <sheetName val="1.1销售参数"/>
      <sheetName val="Table calendaire"/>
      <sheetName val="Table paiements"/>
      <sheetName val="Table Fournisseurs"/>
      <sheetName val="0000"/>
      <sheetName val="Summary Data"/>
      <sheetName val="ARCELIK项目收入成本"/>
      <sheetName val="8.2.1-单项计提明细"/>
      <sheetName val="12-合并资产负债表"/>
      <sheetName val="ee&amp;offsort"/>
      <sheetName val="New Cancelled Breakout"/>
      <sheetName val="OfficerList"/>
      <sheetName val="VestTemp&amp;Typeclean"/>
      <sheetName val="Vauxhall Opel 30004"/>
      <sheetName val="Comet Q202 Flash"/>
      <sheetName val="蚓激酶成品30万单位-板装"/>
      <sheetName val="SCB-HK"/>
      <sheetName val="实收资本"/>
      <sheetName val="盈余公积"/>
      <sheetName val="17 AR ECL &lt;对上5,439m&gt;"/>
      <sheetName val="5.2 Multipler"/>
      <sheetName val="计秖参璸"/>
      <sheetName val="玻Θ珇虫Θセ璸衡猭(5)"/>
      <sheetName val="Permit"/>
      <sheetName val="#511-SEPT97"/>
      <sheetName val="#511-OCT97"/>
      <sheetName val="#511-NOV97"/>
      <sheetName val="表三甲"/>
      <sheetName val="계획"/>
      <sheetName val="胡匀匀"/>
      <sheetName val="15、采购订单"/>
      <sheetName val="5a"/>
      <sheetName val="6a"/>
      <sheetName val="4cI"/>
      <sheetName val="G&amp;A"/>
      <sheetName val="IG non trade"/>
      <sheetName val="Ex_Rate"/>
      <sheetName val="VISION MRP"/>
      <sheetName val="MEXICO"/>
      <sheetName val="IS"/>
      <sheetName val="差异调整97"/>
      <sheetName val="差异调整95"/>
      <sheetName val="差异调整96"/>
      <sheetName val="PL1506"/>
      <sheetName val="by BU1506"/>
      <sheetName val="exp1506"/>
      <sheetName val="BS1506"/>
      <sheetName val="TASSI2"/>
      <sheetName val="Tav.22 Rischio di Credito"/>
      <sheetName val="Sum2000"/>
      <sheetName val="Comparison"/>
      <sheetName val="Inventory Change(FG)"/>
      <sheetName val="C2WB Primary and Secondary"/>
      <sheetName val="EV"/>
      <sheetName val="11月回款"/>
      <sheetName val="11月销售"/>
      <sheetName val="Macro1"/>
      <sheetName val="期別全体表"/>
      <sheetName val="Sponsor as Beneficiary (Burl)"/>
      <sheetName val="0.科目余额表"/>
      <sheetName val="orignal"/>
      <sheetName val="Toolbox"/>
      <sheetName val="U1 P&amp;L"/>
      <sheetName val="96BP"/>
      <sheetName val="Financial highligts"/>
      <sheetName val="科目列表"/>
      <sheetName val="付款进度表"/>
      <sheetName val="   合同台账  "/>
      <sheetName val="现调整"/>
      <sheetName val="附表2关联交易"/>
      <sheetName val="重要性水平"/>
      <sheetName val="关联方清单"/>
      <sheetName val="P &amp; L Account"/>
      <sheetName val="关联方"/>
      <sheetName val="CF"/>
      <sheetName val="preBS"/>
      <sheetName val="preCF"/>
      <sheetName val="preIS"/>
      <sheetName val="preCE"/>
      <sheetName val="收入明细－按客户"/>
      <sheetName val="M3-COS"/>
      <sheetName val="M4-Adm"/>
      <sheetName val="BB01"/>
      <sheetName val="科目名称表"/>
      <sheetName val="基本情况表"/>
      <sheetName val="实体清单"/>
      <sheetName val="集团内公司"/>
      <sheetName val="项目信息"/>
      <sheetName val="B3Ex-Rate"/>
      <sheetName val="基本信息输入"/>
      <sheetName val="固定资产折旧表"/>
      <sheetName val="2011Cash"/>
      <sheetName val="报表11"/>
      <sheetName val="SW-TEO"/>
      <sheetName val="收入"/>
      <sheetName val="IR1598"/>
      <sheetName val="明细分类账"/>
      <sheetName val="所有凭证"/>
      <sheetName val="adj10#-b"/>
      <sheetName val="Scoping"/>
      <sheetName val="sensitivity"/>
      <sheetName val="P&amp;L"/>
      <sheetName val="NAV Output"/>
      <sheetName val="output"/>
      <sheetName val="Changed"/>
      <sheetName val="MWA RR"/>
      <sheetName val="cost"/>
      <sheetName val="RGDP"/>
      <sheetName val="company operations"/>
      <sheetName val="hangzhou2"/>
      <sheetName val="Results"/>
      <sheetName val="ROE"/>
      <sheetName val="PH Car"/>
      <sheetName val="财务成本"/>
      <sheetName val="O5-1_Notes"/>
      <sheetName val="10_10_2003"/>
      <sheetName val="Q1_"/>
      <sheetName val="Cashflow_"/>
      <sheetName val="Floating_leg"/>
      <sheetName val="Fixed_Leg_Curve"/>
      <sheetName val="Floating_Leg_Curve"/>
      <sheetName val="Swap_summary"/>
      <sheetName val="detailitems_162"/>
      <sheetName val="Calcs"/>
      <sheetName val="AirConditional"/>
      <sheetName val="Equipment"/>
      <sheetName val="MotorVehicle"/>
      <sheetName val="Renovation"/>
      <sheetName val="Salesfor2001"/>
      <sheetName val="AP Recap"/>
      <sheetName val="Steuerung"/>
      <sheetName val="Merge"/>
      <sheetName val="OPEX-IST"/>
      <sheetName val="AJE"/>
      <sheetName val="RJE"/>
      <sheetName val="母公司财务报表"/>
      <sheetName val="EJE"/>
      <sheetName val="N1_100APBreakdown"/>
      <sheetName val="表2&lt;销售出库单&gt;"/>
      <sheetName val="邻酮定乙酚发出测试"/>
      <sheetName val="外地"/>
      <sheetName val="坯布"/>
      <sheetName val="材料"/>
      <sheetName val="外销"/>
      <sheetName val="P12 TB SZ"/>
      <sheetName val="表格清单"/>
      <sheetName val="其他货币资金.dbf"/>
      <sheetName val="银行存款.dbf"/>
      <sheetName val="N_Lead"/>
      <sheetName val="银行列表"/>
      <sheetName val="C2W Summary"/>
      <sheetName val="Trade Payable &amp;Vendor Dashboard"/>
      <sheetName val="Interest Method"/>
      <sheetName val=" UA. Revenue"/>
      <sheetName val="Gross Margin"/>
      <sheetName val="Cut-off Weekly"/>
      <sheetName val="Cut-off Daily"/>
      <sheetName val="HR-10"/>
      <sheetName val="C2WB ICO and Cash"/>
      <sheetName val="C2WB G&amp;A Prepaid &amp; Accrue and G"/>
      <sheetName val="C3W Summary"/>
      <sheetName val="C3WB Revenue and Debtors"/>
      <sheetName val="C3WD Debtors and Cash"/>
      <sheetName val="ap"/>
      <sheetName val="其他应付款.dbf"/>
      <sheetName val="AP movement"/>
      <sheetName val="P101"/>
      <sheetName val="2002-07"/>
      <sheetName val="for retest"/>
      <sheetName val="New FC Pivot Table"/>
      <sheetName val="CHART"/>
      <sheetName val="February"/>
      <sheetName val="January"/>
      <sheetName val="batch"/>
      <sheetName val="data_val"/>
      <sheetName val="O201_VAT销项测算"/>
      <sheetName val="Cust List"/>
      <sheetName val="客戶清單customer list"/>
      <sheetName val="N101"/>
      <sheetName val="nada"/>
      <sheetName val="0"/>
      <sheetName val="Interim"/>
      <sheetName val="A4_报表-202206"/>
      <sheetName val="A4_公司架构_20220630"/>
      <sheetName val="其他应收款"/>
      <sheetName val="Interim --&gt; Top"/>
      <sheetName val="财务费用&lt;U200&gt;"/>
      <sheetName val="Major Account"/>
      <sheetName val="应付账款Dy"/>
      <sheetName val="股本Dy"/>
      <sheetName val="资本公积Dy"/>
      <sheetName val="盈余公积Dy"/>
      <sheetName val="F10~22圆形柱及零星非通用"/>
      <sheetName val="XLR_NoRangeSheet"/>
      <sheetName val="99.12"/>
      <sheetName val="Receiver"/>
      <sheetName val="SENA"/>
      <sheetName val="Specifications"/>
      <sheetName val="val"/>
      <sheetName val="HTM市值变动"/>
      <sheetName val="VACCINE"/>
      <sheetName val="Ambares"/>
      <sheetName val="Lead_(p_1)3"/>
      <sheetName val="FA_Roll_to_GL_(p_2)3"/>
      <sheetName val="FA_Additions_(p_3)3"/>
      <sheetName val="FA_Disposals_(p_4)3"/>
      <sheetName val="Capital_Leases_(p_5)3"/>
      <sheetName val="_Depreciation_Expense_(p_6)3"/>
      <sheetName val="FA_roll_to_report_p_73"/>
      <sheetName val="Depr_Exp__Testing_(5)1"/>
      <sheetName val="Pro_Forma1"/>
      <sheetName val="Airport_-_Downtown1"/>
      <sheetName val="Staff_List1"/>
      <sheetName val="폐토수익화_1"/>
      <sheetName val="其它销售成本_A41"/>
      <sheetName val="信息费用预算表(A4)_1"/>
      <sheetName val="Sign_Off_Form1"/>
      <sheetName val="Chart_of_Acct1"/>
      <sheetName val="Vendor_Data1"/>
      <sheetName val="others_gl1"/>
      <sheetName val="Non-Statistical_Sampling_Maste1"/>
      <sheetName val="Two_Step_Revenue_Testing_Maste1"/>
      <sheetName val="Global_Data1"/>
      <sheetName val="Trial_Balance1"/>
      <sheetName val="2__PPR_REVENUE_APR101"/>
      <sheetName val="VAS_TB1"/>
      <sheetName val="C3WB_Sales_and_Receivables1"/>
      <sheetName val="5_基础档案1"/>
      <sheetName val="Lease_AP_20081"/>
      <sheetName val="Credit_Card1"/>
      <sheetName val="CON_CT_SINO_AGRO1"/>
      <sheetName val="7_-_ARO_Assumptions1"/>
      <sheetName val="(i)_Fixed_assets-PBC1"/>
      <sheetName val="Expenses_with_Comparisons1"/>
      <sheetName val="Price_Provision_清单1"/>
      <sheetName val="Other_expenses1"/>
      <sheetName val="SCH_2_-_Highlights_21"/>
      <sheetName val="DATA_SHEET-DO_NOT_DELETE1"/>
      <sheetName val="Invoices_received_and_payment1"/>
      <sheetName val="_Kostenstruktur_Fab_1"/>
      <sheetName val="SUD-Iron_Curtain_Method1"/>
      <sheetName val="1_11_长期应收款1"/>
      <sheetName val="1_12_长期股权投资1"/>
      <sheetName val="F40-Goodsin_transit1"/>
      <sheetName val="Repayment_Summary1"/>
      <sheetName val="Worksheet_in_5610_Property_&amp;_E1"/>
      <sheetName val="Tax_proj-Shenzhen1"/>
      <sheetName val="Office_Improve1"/>
      <sheetName val="SC_HKD_CA1"/>
      <sheetName val="Data_List1"/>
      <sheetName val="应收帐款_AR_1"/>
      <sheetName val="BT_031"/>
      <sheetName val="BT_021"/>
      <sheetName val="BT_011"/>
      <sheetName val="truc_tiep1"/>
      <sheetName val="CC_SAP1"/>
      <sheetName val="_g3001"/>
      <sheetName val="Marketing_product_ranges1"/>
      <sheetName val="Value_Chain_definitions1"/>
      <sheetName val="Marketing_vehicle_definitions1"/>
      <sheetName val="SAP_Trend-Revenue1"/>
      <sheetName val="A_R_011"/>
      <sheetName val="Invidual_Company_E_Asia_MCO1"/>
      <sheetName val="Net_REVENUE1"/>
      <sheetName val="Financial_Statistics1"/>
      <sheetName val="CY_sales_report1"/>
      <sheetName val="F1100芯片测试费_1"/>
      <sheetName val="OUT_EDP_041"/>
      <sheetName val="U1_61"/>
      <sheetName val="AOP_07_INPUT_-_local_currency1"/>
      <sheetName val="T__B1"/>
      <sheetName val="FY17_Revenue_Tracker_Data1"/>
      <sheetName val="Mov_from_2001_to_20031"/>
      <sheetName val="IRR_&amp;_NPV1"/>
      <sheetName val="Sheet1_(11)1"/>
      <sheetName val="_1"/>
      <sheetName val="Client_Data1"/>
      <sheetName val="Chart_of_acct_1"/>
      <sheetName val="K-0_PPE_Overview_PSP_OSP1"/>
      <sheetName val="A6620_Detail1"/>
      <sheetName val="Consol_worksheet-Final1"/>
      <sheetName val="For_Dis_"/>
      <sheetName val="Income_Statement"/>
      <sheetName val="Balance_Sheet"/>
      <sheetName val="Altman_Z"/>
      <sheetName val="Library_procedures"/>
      <sheetName val="Key_Assumptions"/>
      <sheetName val="Comp_equip"/>
      <sheetName val="C_货币资金"/>
      <sheetName val="C_抵押存款"/>
      <sheetName val="D_可供出售投资-流动"/>
      <sheetName val="D_衍生金融资产"/>
      <sheetName val="D_持有至到期投资-流动"/>
      <sheetName val="D_短期投资"/>
      <sheetName val="D_单列金融资产"/>
      <sheetName val="A5_dim&amp;adj_sum"/>
      <sheetName val="E_应收账款"/>
      <sheetName val="E_应收贸易款及票据"/>
      <sheetName val="E_应收票据"/>
      <sheetName val="F_存货"/>
      <sheetName val="F_房地产"/>
      <sheetName val="G_预付账款&amp;其他应收款&amp;待摊费用"/>
      <sheetName val="G_应收股利"/>
      <sheetName val="G_待售资产"/>
      <sheetName val="G_HK其他应收"/>
      <sheetName val="G_应收利息"/>
      <sheetName val="G_其他流动资产"/>
      <sheetName val="H_可供出售投资-非流动"/>
      <sheetName val="H_HK长投"/>
      <sheetName val="H_商誉"/>
      <sheetName val="H_持有至到期投资-非流动"/>
      <sheetName val="H_投资性房地产"/>
      <sheetName val="H_PRC长投"/>
      <sheetName val="I_应收关联方"/>
      <sheetName val="I_应付关联方"/>
      <sheetName val="J_在建工程"/>
      <sheetName val="K_固定资产"/>
      <sheetName val="K_固定资产清理"/>
      <sheetName val="L_一年内到期的长期债权投资"/>
      <sheetName val="L_无形"/>
      <sheetName val="L_长期待摊"/>
      <sheetName val="L_其他长期资产"/>
      <sheetName val="M_短借"/>
      <sheetName val="N_应付账款"/>
      <sheetName val="N_应付票据"/>
      <sheetName val="P_预收账款&amp;其他应付款&amp;应付职工薪酬&amp;预提费用&amp;其他应交款"/>
      <sheetName val="U_其他业务收支&amp;营业外收支&amp;补贴收入&amp;利息收入"/>
      <sheetName val="U_所得税"/>
      <sheetName val="O_递延税资产"/>
      <sheetName val="O_递延税负债"/>
      <sheetName val="O_应交税费"/>
      <sheetName val="U_税金及附加"/>
      <sheetName val="P_应付股利"/>
      <sheetName val="P_HK其他应付"/>
      <sheetName val="P_应付利息"/>
      <sheetName val="P_其他应付款"/>
      <sheetName val="P_其他流动负债"/>
      <sheetName val="P_应付职工薪酬"/>
      <sheetName val="P_预计负债"/>
      <sheetName val="Q_应付债券"/>
      <sheetName val="Q_可转债"/>
      <sheetName val="Q_政府补助"/>
      <sheetName val="Q_一年内到期负债"/>
      <sheetName val="Q_应付融资租赁款"/>
      <sheetName val="Q_长借"/>
      <sheetName val="Q_长期应付"/>
      <sheetName val="Q_其他长期负债"/>
      <sheetName val="Q_专项应付"/>
      <sheetName val="T_股本"/>
      <sheetName val="T_资本公积"/>
      <sheetName val="T_折算差额"/>
      <sheetName val="T_未分配利润"/>
      <sheetName val="T_盈余公积"/>
      <sheetName val="U_主营业务"/>
      <sheetName val="U_财务费用"/>
      <sheetName val="U_投资收益&amp;公允价值变动收益"/>
      <sheetName val="U_管理费用&amp;资产减值损失"/>
      <sheetName val="U_成本倒轧表&amp;制造费用"/>
      <sheetName val="U_销售费用"/>
      <sheetName val="U_分占下属损益"/>
      <sheetName val="1_1_Project_Data"/>
      <sheetName val="H1_3"/>
      <sheetName val="BJ_Expenses"/>
      <sheetName val="Sample_Rev"/>
      <sheetName val="Sample_IS"/>
      <sheetName val="Probability_View"/>
      <sheetName val="Consultants_local_currency"/>
      <sheetName val="BOX_SUM"/>
      <sheetName val="FIN_GOOD"/>
      <sheetName val="Date_Source"/>
      <sheetName val="SH_FA_检查"/>
      <sheetName val="ICP主营业务收入ICP_CoreRevenue"/>
      <sheetName val="ICP递延收益ICP_DeferredIncome"/>
      <sheetName val="ICP股利分配ICP_DevidendDeclared"/>
      <sheetName val="ICP费用ICP_Expense"/>
      <sheetName val="ICP其他应付款ICP_OtherPayable"/>
      <sheetName val="ICP投资收益ICP_InvestmentIncome"/>
      <sheetName val="ICP应付利息ICP_InterestPayable"/>
      <sheetName val="ICP长期应付款ICP_LongtermPayable"/>
      <sheetName val="ICP其他流动负债ICP_OtherCurrentLiab"/>
      <sheetName val="ICP其他业务收入ICP_OtherRevenue"/>
      <sheetName val="ICP短期借款ICP_ShorttermLoans"/>
      <sheetName val="JE_Upload"/>
      <sheetName val="Basic_data"/>
      <sheetName val="Related_companies"/>
      <sheetName val="incomplete_-_5411B"/>
      <sheetName val="Terms_Summary"/>
      <sheetName val="Offering_Structure"/>
      <sheetName val="Sale_summary"/>
      <sheetName val="6_3_1关联交易"/>
      <sheetName val="3_2_100_4_1____3"/>
      <sheetName val="3_2_100_4_3_aging_Equip__"/>
      <sheetName val="3_2_100_4_1____1"/>
      <sheetName val="Sum_sum_Dep"/>
      <sheetName val="CUSTOMER_(DETAIL)"/>
      <sheetName val="1_-_Lead3"/>
      <sheetName val="2_-_Lapsing3"/>
      <sheetName val="3-_Depreciation3"/>
      <sheetName val="4_-_Additions3"/>
      <sheetName val="5_-Capital_Lease3"/>
      <sheetName val="6_-_FA_Verification3"/>
      <sheetName val="Sched_3"/>
      <sheetName val="Beg__Balance_Sched4"/>
      <sheetName val="Assets_with_no_cost3"/>
      <sheetName val="IT_Costs"/>
      <sheetName val="Legal_and_Prof"/>
      <sheetName val="Relationship_Analysis(2)"/>
      <sheetName val="Sheet1_(3)"/>
      <sheetName val="Walkthrough_"/>
      <sheetName val="XVIa(i)_-_average_price_(2)"/>
      <sheetName val="US_WACC"/>
      <sheetName val="H_R"/>
      <sheetName val="Final_sample_listing"/>
      <sheetName val="Business_Unit"/>
      <sheetName val="AR_Ageing_-_1130"/>
      <sheetName val="Coach_Chassis_(inventory)"/>
      <sheetName val="VAT_Payable01"/>
      <sheetName val="VAT_Payable_02"/>
      <sheetName val="VAT_Payable_03"/>
      <sheetName val="1102_(2)"/>
      <sheetName val="HQ_C"/>
      <sheetName val="Entry_Sheet"/>
      <sheetName val="U113(1)-details_2005"/>
      <sheetName val="asset_list"/>
      <sheetName val="Baitak_PS_schedule"/>
      <sheetName val="AGRO_PRC_DATABASE"/>
      <sheetName val="A3_&amp;_U_09-01"/>
      <sheetName val="Romford_Market"/>
      <sheetName val="总公司2002_12_31"/>
      <sheetName val="Understand_the_client"/>
      <sheetName val="TIG_Loan_Interest_Calculation"/>
      <sheetName val="Proforma_BS"/>
      <sheetName val="Whse_Code"/>
      <sheetName val="Pro_Forma_(2)"/>
      <sheetName val="M_P_S_"/>
      <sheetName val="Data_sheet"/>
      <sheetName val="sintesi_per_referenza"/>
      <sheetName val="1_概述"/>
      <sheetName val="IBC_Project_Overview2012918"/>
      <sheetName val="Projects_structure"/>
      <sheetName val="DFI_Statement_Jan"/>
      <sheetName val="Riepilogo_linee-direz_BUD"/>
      <sheetName val="现_金_流_量_表"/>
      <sheetName val="by_category"/>
      <sheetName val="Range_Values"/>
      <sheetName val="EY_data"/>
      <sheetName val="Bal_1997-1998"/>
      <sheetName val="nSAP_GLSU_Template"/>
      <sheetName val="Reversal_Reason_-_Reversal_Date"/>
      <sheetName val="&lt;FF&gt;_Tax_Payable"/>
      <sheetName val="1999_Plan_Summary"/>
      <sheetName val="To_tied_2001_opening_RE"/>
      <sheetName val="Interest_#9"/>
      <sheetName val="Custs_#2"/>
      <sheetName val="Item_master"/>
      <sheetName val="9_银行持有之局部付款"/>
      <sheetName val="SH-3rd_party"/>
      <sheetName val="12_APaging附表"/>
      <sheetName val="REP04B_301202"/>
      <sheetName val="NewB_Sheet"/>
      <sheetName val="Drop_List_References"/>
      <sheetName val="G_1R-Shou_COP_Gf"/>
      <sheetName val="M_Schedules"/>
      <sheetName val="진행_DATA_(2)"/>
      <sheetName val="Calc_&amp;_Export"/>
      <sheetName val="Carryover_2004"/>
      <sheetName val="AOP_Exec_Summary"/>
      <sheetName val="1_Lillysummary"/>
      <sheetName val="Detail_Loan_Move__&amp;_Listing"/>
      <sheetName val="실DATA_"/>
      <sheetName val="Beta_DATA_SHEET"/>
      <sheetName val="input_data"/>
      <sheetName val="Sal_&amp;_Wage_Info"/>
      <sheetName val="P&amp;L_PP"/>
      <sheetName val="POWER_ASSUMPTIONS"/>
      <sheetName val="B5302_Random_population"/>
      <sheetName val="Slide_1"/>
      <sheetName val="Slide_2"/>
      <sheetName val="slide_3"/>
      <sheetName val="G402_"/>
      <sheetName val="FIRE_Parameters"/>
      <sheetName val="GP_Analysis"/>
      <sheetName val="18_BGEI_Mgt_(SH)-BJ_Br"/>
      <sheetName val="FAST_TRACK"/>
      <sheetName val="JAL_"/>
      <sheetName val="其他应付款科目余额2005_12_31"/>
      <sheetName val="consol_bal_sheet"/>
      <sheetName val="3__Other_gains"/>
      <sheetName val="PBC_-_PHS"/>
      <sheetName val="Invested_Capital"/>
      <sheetName val="ADJ_Sum(console)"/>
      <sheetName val="其他业务成本_111031"/>
      <sheetName val="应收账龄BS_01"/>
      <sheetName val="IFRS_9规定"/>
      <sheetName val="PRC_15"/>
      <sheetName val="P504_3_Expected_life"/>
      <sheetName val="_xls)rep1011173124(1)"/>
      <sheetName val="PRC_13"/>
      <sheetName val="UNIT_COST_REC"/>
      <sheetName val="Capital_leases"/>
      <sheetName val="suivi_cash_flow_par_affaire"/>
      <sheetName val="compare_to_jan07"/>
      <sheetName val="Ex_Diff"/>
      <sheetName val="_Due_from_(Sep)"/>
      <sheetName val="Due_to_1005"/>
      <sheetName val="Tax_Rates"/>
      <sheetName val="Accuracy_Check"/>
      <sheetName val="P&amp;L_Report-S"/>
      <sheetName val="P&amp;L_Report-M"/>
      <sheetName val="1_1销售参数"/>
      <sheetName val="Table_calendaire"/>
      <sheetName val="Table_paiements"/>
      <sheetName val="Table_Fournisseurs"/>
      <sheetName val="Summary_Data"/>
      <sheetName val="8_2_1-单项计提明细"/>
      <sheetName val="New_Cancelled_Breakout"/>
      <sheetName val="Vauxhall_Opel_30004"/>
      <sheetName val="Comet_Q202_Flash"/>
      <sheetName val="17_AR_ECL_&lt;对上5,439m&gt;"/>
      <sheetName val="5_2_Multipler"/>
      <sheetName val="合并抵消分录"/>
      <sheetName val="前提1-综合"/>
      <sheetName val="UFPrn20081124111814"/>
      <sheetName val="Volatility "/>
      <sheetName val="17. Non consolidated stock"/>
      <sheetName val="General Data"/>
      <sheetName val="Assets"/>
      <sheetName val="Liabilities"/>
      <sheetName val="P-L"/>
      <sheetName val="14. Fixed assets"/>
      <sheetName val="13. Intangible assets"/>
      <sheetName val="PCAP"/>
      <sheetName val="Q2_Lead"/>
      <sheetName val="Q2_100Breakdown"/>
      <sheetName val="Report Schedule"/>
      <sheetName val="-GZ"/>
      <sheetName val="-SZ"/>
      <sheetName val="-WZ"/>
      <sheetName val="OTA"/>
      <sheetName val="FMT"/>
      <sheetName val="CDFMA"/>
      <sheetName val="NJFMA"/>
      <sheetName val="WHFMA"/>
      <sheetName val="-SH"/>
      <sheetName val="-BJ"/>
      <sheetName val="UFPrn20180528111055"/>
      <sheetName val="UFPrn20220118134524"/>
      <sheetName val="Chart of Account"/>
      <sheetName val="C - Cash and Bank"/>
      <sheetName val="A300"/>
      <sheetName val="cogs-Rx"/>
      <sheetName val="利息7月-8月"/>
      <sheetName val="9 analysis of finance costs"/>
      <sheetName val="6a bank loan &amp; bond analysis"/>
      <sheetName val="capital structures"/>
      <sheetName val="checking Dep DT"/>
      <sheetName val="7 operating by nature"/>
      <sheetName val="1 highlights and ratio"/>
      <sheetName val="2020 final"/>
      <sheetName val="3 net profit by jv"/>
      <sheetName val="analysis of net profit "/>
      <sheetName val="2 PL shortform"/>
      <sheetName val="5 turnover by non-contrlled jv"/>
      <sheetName val="turnver &amp; pl by non-cont jv"/>
      <sheetName val="4,6 turnover by controlled jv"/>
      <sheetName val="F_Lead"/>
      <sheetName val="Sheet9"/>
      <sheetName val="系统数据"/>
      <sheetName val="INV Sep"/>
      <sheetName val="账面外销"/>
      <sheetName val="Work Centers"/>
      <sheetName val="PI"/>
      <sheetName val="PW1"/>
      <sheetName val="Parametri"/>
      <sheetName val="营业费用"/>
      <sheetName val="TB Link"/>
      <sheetName val="SCTB"/>
      <sheetName val="Sum"/>
      <sheetName val="07-6068"/>
      <sheetName val="40-2701"/>
      <sheetName val="主营业务税金及附加Dy"/>
      <sheetName val="订单"/>
      <sheetName val="TPQ INDEX"/>
      <sheetName val="N102"/>
      <sheetName val="TB96"/>
      <sheetName val="TB97"/>
      <sheetName val="科目设置"/>
      <sheetName val="凭证"/>
      <sheetName val="Detail Summary"/>
      <sheetName val="二期销售日报表20110331"/>
      <sheetName val="二厂单位成本结构图"/>
      <sheetName val="ctTBA"/>
      <sheetName val="市場"/>
      <sheetName val="EX-TGS"/>
      <sheetName val="Volumen AOP 2004"/>
      <sheetName val="Conso-PL(A4.3)"/>
      <sheetName val="Input_Eingabewerte"/>
      <sheetName val="Ausdruck"/>
      <sheetName val="機器"/>
      <sheetName val="SHFMA"/>
      <sheetName val="Part_Datum"/>
      <sheetName val="利润表"/>
      <sheetName val="假设"/>
      <sheetName val="gares 02 BON FICHIER "/>
      <sheetName val="before"/>
      <sheetName val="ANNUAL.OLD"/>
      <sheetName val="Video"/>
      <sheetName val="ANNUAL"/>
      <sheetName val="Content"/>
      <sheetName val="QVC"/>
      <sheetName val="Telephony"/>
      <sheetName val="六纺"/>
      <sheetName val="往来函证(基本资料) "/>
      <sheetName val="试算平衡表"/>
      <sheetName val="ZKA2_lista"/>
      <sheetName val="管理费用-CM"/>
      <sheetName val="管理费用-SH"/>
      <sheetName val="研发费用-CM"/>
      <sheetName val="TBM"/>
      <sheetName val="2003-H300"/>
      <sheetName val="Reprice Lookup"/>
      <sheetName val="Termination Dates clean"/>
      <sheetName val="E-Client Information"/>
      <sheetName val="Current Account"/>
      <sheetName val="冲压加工13ACCD BB BH用模具 11-A-028"/>
      <sheetName val="Sales for 2001"/>
      <sheetName val="V1-OSP-05"/>
      <sheetName val="威娜"/>
      <sheetName val="Historical prices(M)"/>
      <sheetName val="Historical prices(W)"/>
      <sheetName val="输入数据和汇总"/>
      <sheetName val="Confirmation"/>
      <sheetName val="CA_new"/>
      <sheetName val="预付账款"/>
      <sheetName val="Investment Property"/>
      <sheetName val="sheet"/>
      <sheetName val="121105"/>
      <sheetName val="2005 BS Preliminary"/>
      <sheetName val="审计项目信息"/>
      <sheetName val="510102明细"/>
      <sheetName val="510101明细"/>
      <sheetName val="51010102明细"/>
      <sheetName val="51010103明细"/>
      <sheetName val="510103明细"/>
      <sheetName val="510104明细"/>
      <sheetName val="512101明细"/>
      <sheetName val="512102明细"/>
      <sheetName val="512103明细"/>
      <sheetName val="512106明细"/>
      <sheetName val="510101"/>
      <sheetName val="510102"/>
      <sheetName val="510104"/>
      <sheetName val="512101"/>
      <sheetName val="512102"/>
      <sheetName val="512103"/>
      <sheetName val="512105"/>
      <sheetName val="512106"/>
      <sheetName val="UFPrn20060102184135"/>
      <sheetName val="UFPrn20060102184147"/>
      <sheetName val="2011-11-14执行表 (资源表）"/>
      <sheetName val="区域提供台量及价格"/>
      <sheetName val="三分厂04年1-12月销售价 "/>
      <sheetName val="05年1月销售价"/>
      <sheetName val="04年12月销售价"/>
      <sheetName val="基础资料（B）"/>
      <sheetName val="CJA 2006"/>
      <sheetName val="7.5 FY08 TCOE执行计划完成情况回顾"/>
      <sheetName val="敏感参数"/>
      <sheetName val="CREDIT STATS"/>
      <sheetName val="PLRMB"/>
      <sheetName val="CA Comp"/>
      <sheetName val="Company Info"/>
      <sheetName val="C_100 Breakdown"/>
      <sheetName val="应收票据(关联方)(5)"/>
      <sheetName val="import duties"/>
      <sheetName val="pd"/>
      <sheetName val="1104a"/>
      <sheetName val="1110b"/>
      <sheetName val="1112c"/>
      <sheetName val="其他应付款"/>
      <sheetName val="其它应收款"/>
      <sheetName val="应付账款"/>
      <sheetName val="预付货款"/>
      <sheetName val="表头"/>
      <sheetName val="PER SALES ORG"/>
      <sheetName val="other lia"/>
      <sheetName val="prepayment"/>
      <sheetName val="related co"/>
      <sheetName val="adm"/>
      <sheetName val="sel"/>
      <sheetName val="工时统计"/>
      <sheetName val="披露表(标准)"/>
      <sheetName val="sell"/>
      <sheetName val="fin"/>
      <sheetName val="1.3 应收票据、应收款项融资"/>
      <sheetName val="1.2 交易性金融资产、衍生金融资产"/>
      <sheetName val="1.10 长期应收款"/>
      <sheetName val="1.9 其他流动资产"/>
      <sheetName val="1.12 其他权益工具投资"/>
      <sheetName val="1.11 长期股权投资"/>
      <sheetName val="1.15 固定资产"/>
      <sheetName val="1.16 在建工程"/>
      <sheetName val="1.18 无形资产"/>
      <sheetName val="1.19 商誉"/>
      <sheetName val="1.21 其他非流动资产"/>
      <sheetName val="1.6 其他应收款(含应收资金集中管理款)"/>
      <sheetName val="1.7 存货"/>
      <sheetName val="1.5 预付账款"/>
      <sheetName val="2004核对表"/>
      <sheetName val="基本参数"/>
      <sheetName val="ye"/>
      <sheetName val="Categories of Tax Positions"/>
      <sheetName val="PSR Names"/>
      <sheetName val="A812-1_法审报告PM TE设定"/>
      <sheetName val="Deal CF"/>
      <sheetName val="A810-ASM"/>
      <sheetName val="Formal Name"/>
      <sheetName val="2007.12折旧差异"/>
      <sheetName val="Depr"/>
      <sheetName val="Deduction ok"/>
      <sheetName val="Addition1 ok"/>
      <sheetName val="Addition2 ok"/>
      <sheetName val="K311 A_List02"/>
      <sheetName val="07-7月"/>
      <sheetName val="Values"/>
      <sheetName val="Orders"/>
      <sheetName val="Malli"/>
      <sheetName val="Salaried main"/>
      <sheetName val="B1"/>
      <sheetName val="Questions"/>
      <sheetName val="IA2"/>
      <sheetName val="R2"/>
      <sheetName val="中山市新泰兴粉末冶金有限公司-其他应付款替代测试表 "/>
      <sheetName val="CIP"/>
      <sheetName val="Setting"/>
      <sheetName val="2_假设"/>
      <sheetName val="ADJ"/>
      <sheetName val="Sales taxes"/>
      <sheetName val="Blad1"/>
      <sheetName val="03合并附注"/>
      <sheetName val="MFG Capital"/>
      <sheetName val="表二甲机务F型"/>
      <sheetName val="Sales by customer "/>
      <sheetName val="UFPrn20070308145706"/>
      <sheetName val="U710"/>
      <sheetName val="F911"/>
      <sheetName val="CIP details"/>
      <sheetName val="Ex-Rate"/>
      <sheetName val="Module2"/>
      <sheetName val="Marshal"/>
      <sheetName val="Combined1"/>
      <sheetName val="Permanent info"/>
      <sheetName val="BI RATE"/>
      <sheetName val="OTHER PREPAID EXPENSE"/>
      <sheetName val="1. Data Entry Sales, Carline"/>
      <sheetName val="FA movement"/>
      <sheetName val="STDCOST"/>
      <sheetName val="V_Lead "/>
      <sheetName val="Bacis"/>
      <sheetName val="2001"/>
      <sheetName val="往来账龄-RPT"/>
      <sheetName val="손익계산서"/>
      <sheetName val="INF"/>
      <sheetName val="2003"/>
      <sheetName val="Dimensions"/>
      <sheetName val="Net Assets"/>
      <sheetName val="5400-재고자산Lead"/>
      <sheetName val="11累计完工表(内部)"/>
      <sheetName val="Inventory"/>
      <sheetName val="comparison march to feb"/>
      <sheetName val="总表"/>
      <sheetName val="Lessee Import new lease"/>
      <sheetName val="F130&quot;"/>
      <sheetName val="枚举字典"/>
      <sheetName val="东软发展1"/>
      <sheetName val="东软发展2"/>
      <sheetName val="大发3"/>
      <sheetName val="Scatter"/>
      <sheetName val="1997 IPO"/>
      <sheetName val="Customize Your Purchase Order"/>
      <sheetName val="Nov,01"/>
      <sheetName val="Category"/>
      <sheetName val="J3122_403天井"/>
      <sheetName val="J3123_518硐"/>
      <sheetName val="J3124_520硐"/>
      <sheetName val="J3125_1号堆场"/>
      <sheetName val="J3126_2号堆场"/>
      <sheetName val="J3127_3号堆场"/>
      <sheetName val="J3128_4号堆场"/>
      <sheetName val="J3131_技改粉矿仓"/>
      <sheetName val="J3129_517至520轨道"/>
      <sheetName val="VarianceFY00vsBP"/>
      <sheetName val="KRP"/>
      <sheetName val="SysNavigation"/>
      <sheetName val="BlsPrvOpv"/>
      <sheetName val="E3_100(合同资产)_集团内"/>
      <sheetName val="DataLookups"/>
      <sheetName val="IS Summary-96"/>
      <sheetName val="固定资产12月"/>
      <sheetName val="工程部备件库9月份消耗"/>
      <sheetName val="工程部辅料库9月份消耗"/>
      <sheetName val="IG_non_trade"/>
      <sheetName val="VISION_MRP"/>
      <sheetName val="by_BU1506"/>
      <sheetName val="Tav_22_Rischio_di_Credito"/>
      <sheetName val="Inventory_Change(FG)"/>
      <sheetName val="Sponsor_as_Beneficiary_(Burl)"/>
      <sheetName val="C2WB_Primary_and_Secondary"/>
      <sheetName val="0_科目余额表"/>
      <sheetName val="U1_P&amp;L"/>
      <sheetName val="Financial_highligts"/>
      <sheetName val="___合同台账__"/>
      <sheetName val="P_&amp;_L_Account"/>
      <sheetName val="G201os"/>
      <sheetName val="statement 1998"/>
      <sheetName val="壓摸穿燈"/>
      <sheetName val="Sheet8"/>
      <sheetName val="878"/>
      <sheetName val="2100"/>
      <sheetName val="key parameter1st"/>
      <sheetName val="Group"/>
      <sheetName val="합계잔액시산표"/>
      <sheetName val="Backward Calculation"/>
      <sheetName val="Payroll-Interim"/>
      <sheetName val="081231"/>
      <sheetName val="04收发存汇总表"/>
      <sheetName val="Type"/>
      <sheetName val="INPUT WH"/>
      <sheetName val="营外收支"/>
      <sheetName val="母公司应交税金明细表（含泵送）"/>
      <sheetName val="BS2"/>
      <sheetName val="BS3"/>
      <sheetName val="BS4"/>
      <sheetName val="BS5"/>
      <sheetName val="BS6"/>
      <sheetName val="BS7"/>
      <sheetName val="IC0"/>
      <sheetName val="PL2"/>
      <sheetName val="PL3"/>
      <sheetName val="PL5"/>
      <sheetName val="TB1"/>
      <sheetName val="TB2"/>
      <sheetName val="F_Model-KWSC"/>
      <sheetName val="Assumptions for OPEX"/>
      <sheetName val="item"/>
      <sheetName val="A6-2"/>
      <sheetName val="A6-1"/>
      <sheetName val="INPUT rates"/>
      <sheetName val="销售订单（每月系统导出）"/>
      <sheetName val="截止10.31"/>
      <sheetName val="2月OP PAY"/>
      <sheetName val="A3_conso_集团"/>
      <sheetName val="Page1"/>
      <sheetName val="BTR"/>
      <sheetName val="BGR"/>
      <sheetName val="BKS"/>
      <sheetName val="Breakdown-SH"/>
      <sheetName val="Product sales"/>
      <sheetName val="wsData"/>
      <sheetName val="土地摊销"/>
      <sheetName val="Control panel"/>
      <sheetName val="2. Brk - PT"/>
      <sheetName val="LZ Component FG"/>
      <sheetName val="2171_FYbk"/>
      <sheetName val="2171-BK"/>
      <sheetName val="inventory2002"/>
      <sheetName val="PPV2002"/>
      <sheetName val="Movement-DPCA"/>
      <sheetName val="MUS Calculations- Figure 5410.1"/>
      <sheetName val="Link-PRC"/>
      <sheetName val="Link-Misal"/>
      <sheetName val="Assumption"/>
      <sheetName val="Taxes"/>
      <sheetName val="Matrix-Level 3-Gastonia"/>
      <sheetName val="PRC-BS-SZ"/>
      <sheetName val="cov"/>
      <sheetName val="安装指标库1"/>
      <sheetName val="辽宁三生库存商品总帐2005 3.1.3a"/>
      <sheetName val="812户日记帐"/>
      <sheetName val="817户日记帐"/>
      <sheetName val="PCBC_Sec_Acct"/>
      <sheetName val="Int_history"/>
      <sheetName val="Lead -1"/>
      <sheetName val="TEE"/>
      <sheetName val="科目余额"/>
      <sheetName val="OR"/>
      <sheetName val="1"/>
      <sheetName val="SF OR2"/>
      <sheetName val="Select month"/>
      <sheetName val="LBSA-BS(2nd)"/>
      <sheetName val="LBSA-PL(2nd)"/>
      <sheetName val="VISION 1"/>
      <sheetName val="应收款信用分析(汇总)"/>
      <sheetName val="ARP-U311"/>
      <sheetName val="ARP-U321"/>
      <sheetName val="Accrual"/>
      <sheetName val="WIP"/>
      <sheetName val="Lead sheet"/>
      <sheetName val="K2-03-100"/>
      <sheetName val="Schedules"/>
      <sheetName val="B1-4001"/>
      <sheetName val="Journal Entries - EJE(09930)"/>
      <sheetName val="MSIGet_Flags"/>
      <sheetName val="O adj"/>
      <sheetName val="3.3.3额外增加审计范围的考虑"/>
      <sheetName val="COMPANY"/>
      <sheetName val="临时借款"/>
      <sheetName val="DFA"/>
      <sheetName val="Balance"/>
      <sheetName val="Cash_Flow"/>
      <sheetName val="HB"/>
      <sheetName val="Plano Contas"/>
      <sheetName val="资产负债表及利润表"/>
      <sheetName val="销售费用明细表"/>
      <sheetName val="制造费用明细表"/>
      <sheetName val="o"/>
      <sheetName val="M1.1 Cash at Bank"/>
      <sheetName val="M1.4 Vouch bank rec."/>
      <sheetName val="Sheet4"/>
      <sheetName val="Process cost"/>
      <sheetName val="oil收发存"/>
      <sheetName val="Financial Assets and Liability"/>
      <sheetName val="Workload"/>
      <sheetName val="应收地区分析"/>
      <sheetName val="2020年研发费用折旧明细账"/>
      <sheetName val="Segment"/>
      <sheetName val="list of LC"/>
      <sheetName val="应付账款 (2)"/>
      <sheetName val="UFPrn20040104084034"/>
      <sheetName val="L3"/>
      <sheetName val="L2-9"/>
      <sheetName val="L2-8"/>
      <sheetName val="L2-10"/>
      <sheetName val="K3100"/>
      <sheetName val="2000F"/>
      <sheetName val="adj#5-b-2筛选底稿"/>
      <sheetName val="Sheet1 "/>
      <sheetName val="hkgapadj"/>
      <sheetName val="retained movt"/>
      <sheetName val="inv in GWSR"/>
      <sheetName val="表0-汇总表"/>
      <sheetName val="收入_按产品类别（旧版已作废）_"/>
      <sheetName val="µ|²vªí"/>
      <sheetName val="12月到货 "/>
      <sheetName val="销售6.13"/>
      <sheetName val="7-9月补发王志华工资"/>
      <sheetName val="P1"/>
      <sheetName val="CASH"/>
      <sheetName val="Cash Lead Schedule"/>
      <sheetName val="GEAUDIT"/>
      <sheetName val="Collateral Monitoring"/>
      <sheetName val="单位名称"/>
      <sheetName val="cg"/>
      <sheetName val="WORDs"/>
      <sheetName val="Consolidation Rates"/>
      <sheetName val="E302"/>
      <sheetName val="坏账核销"/>
      <sheetName val="Paramètres"/>
      <sheetName val="综合"/>
      <sheetName val="3-1-1现金"/>
      <sheetName val="ACTUALCD - FCST Download"/>
      <sheetName val="BasicInfo_IT"/>
      <sheetName val="N63_在其他主体中的权益-子（孙）公司"/>
      <sheetName val="N67_重要联营企业的主要财务信息"/>
      <sheetName val="N72_关联方往来（应收）"/>
      <sheetName val="辅表-原始利润表"/>
      <sheetName val="辅表-原始资产负债表"/>
      <sheetName val="Technical"/>
      <sheetName val="VIDE1"/>
      <sheetName val="VIDE2"/>
      <sheetName val="Promo"/>
      <sheetName val="Investment_Income$ NEW"/>
      <sheetName val="Data Validation"/>
      <sheetName val="Exchange rates"/>
      <sheetName val="Tax"/>
      <sheetName val="Executive Summary"/>
      <sheetName val="Table of Contents"/>
      <sheetName val="Net Sales"/>
      <sheetName val="列表"/>
      <sheetName val="Closing of Accounts"/>
      <sheetName val="cm3g"/>
      <sheetName val="PV6 3.5L LX5 GMX170"/>
      <sheetName val="DI-ESTI"/>
      <sheetName val="明细表"/>
      <sheetName val="已审CF"/>
      <sheetName val="Yr_1997"/>
      <sheetName val="94B"/>
      <sheetName val="Recon."/>
      <sheetName val="K3"/>
      <sheetName val="徊,戈の硑禣ノ"/>
      <sheetName val="附注列表"/>
      <sheetName val="税费明细"/>
      <sheetName val="(QB0) Global Properties"/>
      <sheetName val="1-11"/>
      <sheetName val="SFS(BUDGET)"/>
      <sheetName val="CONTENTS"/>
      <sheetName val="OTHER(FLASH)"/>
      <sheetName val="B-4_2"/>
      <sheetName val="14"/>
      <sheetName val="Macro"/>
      <sheetName val="7a_Other Inc Exp"/>
      <sheetName val="直接材料"/>
      <sheetName val="Fixed Assets"/>
      <sheetName val="应收票据Dy"/>
      <sheetName val="priv"/>
      <sheetName val="Debtors Aging List"/>
      <sheetName val="PG Valor Residual"/>
      <sheetName val="assembly_r12 detail"/>
      <sheetName val="Personnaliser votre facture"/>
      <sheetName val="F2-1 unvouvcher PPV "/>
      <sheetName val="Assum"/>
      <sheetName val="Directions"/>
      <sheetName val="Rented Equipment"/>
      <sheetName val="COA"/>
      <sheetName val="usermap1-9"/>
      <sheetName val="Detail Test"/>
      <sheetName val="CodeDescription"/>
      <sheetName val="长期应付款Dy"/>
      <sheetName val="应交税金Dy"/>
      <sheetName val="附表32 - 无形资产明细表"/>
      <sheetName val="值列表"/>
      <sheetName val="00 FG breakdown"/>
      <sheetName val="01 FG breakdown"/>
      <sheetName val="99 FG breakdown"/>
      <sheetName val="HEAD"/>
      <sheetName val="输液器"/>
      <sheetName val="Group1"/>
      <sheetName val="Disclosure 1-12"/>
      <sheetName val="分部-Dec"/>
      <sheetName val="周承惠（嘉隆利）"/>
      <sheetName val="PL2013"/>
      <sheetName val="Conso adj"/>
      <sheetName val="BS2013"/>
      <sheetName val="FRS 107"/>
      <sheetName val="損益表-年度比較"/>
      <sheetName val="資產負債表-年度比較"/>
      <sheetName val="Ratings"/>
      <sheetName val="STD"/>
      <sheetName val="UFPrn20070303114642"/>
      <sheetName val="Inv breakdown-PRCGAAP for ref"/>
      <sheetName val="เครื่องตกแต่ง"/>
      <sheetName val="Cash Flow"/>
      <sheetName val="报表项目"/>
      <sheetName val="短期借款余额表"/>
      <sheetName val="Tracking"/>
      <sheetName val="2008"/>
      <sheetName val="FX Rate Table"/>
      <sheetName val="Bal Sheet"/>
      <sheetName val="O101"/>
      <sheetName val="管理费用"/>
      <sheetName val="内部往来"/>
      <sheetName val="PROCESS"/>
      <sheetName val="Bank Adjustment"/>
      <sheetName val="福利费1"/>
      <sheetName val="Input Area"/>
      <sheetName val="30.06.03"/>
      <sheetName val="Veh Info"/>
      <sheetName val="Estimated AP 9.03"/>
      <sheetName val="Timing"/>
      <sheetName val="表紙"/>
      <sheetName val="zfi044-ALL"/>
      <sheetName val="標准成本"/>
      <sheetName val="Payroll"/>
      <sheetName val="Dropdown"/>
      <sheetName val="dieu kien"/>
      <sheetName val="Internal Data"/>
      <sheetName val="Data Summary"/>
      <sheetName val="PLDTL911"/>
      <sheetName val="Stock Chart"/>
      <sheetName val="FORMAT 1 - GENERAL FORMAT"/>
      <sheetName val="Selection"/>
      <sheetName val="三江对萧山2010"/>
      <sheetName val="运煤预算"/>
      <sheetName val="A400"/>
      <sheetName val="U"/>
      <sheetName val="直接法"/>
      <sheetName val="专项资金构成"/>
      <sheetName val="应收票据(关联方)"/>
      <sheetName val="ex. rate"/>
      <sheetName val="Other IA and Goodwill"/>
      <sheetName val="Credit debit analysis"/>
      <sheetName val="Coding"/>
      <sheetName val="包材领用工作底稿"/>
      <sheetName val="原料领用工作底稿"/>
      <sheetName val="June"/>
      <sheetName val="ADJ-单体汇总"/>
      <sheetName val="ADJ-合并汇总"/>
      <sheetName val="科目清单"/>
      <sheetName val="所并"/>
      <sheetName val="Thuc thanh"/>
      <sheetName val="login"/>
      <sheetName val="Communication Eco dev"/>
      <sheetName val="Communication Eco frf"/>
      <sheetName val="k100-transferred out"/>
      <sheetName val="USD Swap Rates"/>
      <sheetName val="存货（替换）"/>
      <sheetName val="2015固定资产清单"/>
      <sheetName val="3.2.400.4.TOD01.0010"/>
      <sheetName val="E430"/>
      <sheetName val="PMTE"/>
      <sheetName val="C-Summary"/>
      <sheetName val="h1h2 model"/>
      <sheetName val="PriceList"/>
      <sheetName val="wyniki"/>
      <sheetName val="wynikiRCV"/>
      <sheetName val="M_5A"/>
      <sheetName val="M_5C"/>
      <sheetName val="____"/>
      <sheetName val="财政供养人员增幅"/>
      <sheetName val="调12"/>
      <sheetName val="应付股利_原"/>
      <sheetName val="VII-Redemption Nov"/>
      <sheetName val="Forecast"/>
      <sheetName val="主要财务指标表"/>
      <sheetName val="ref"/>
      <sheetName val="#¡REF"/>
      <sheetName val="VCC 11110-461"/>
      <sheetName val="弘文list"/>
      <sheetName val="A3_杭州启明"/>
      <sheetName val="Checkbook"/>
      <sheetName val="预收帐款"/>
      <sheetName val="C.现金"/>
      <sheetName val="D.交易性金融资产"/>
      <sheetName val="A3.试算表"/>
      <sheetName val="G.预付"/>
      <sheetName val="G.其他应收款"/>
      <sheetName val="J.工程物资"/>
      <sheetName val="K.生物资产"/>
      <sheetName val="L.开发支出"/>
      <sheetName val="L.一年内到期长期资产"/>
      <sheetName val="L.长期应收"/>
      <sheetName val="L.HK单列无形"/>
      <sheetName val="M.衍生金融负债"/>
      <sheetName val="M.交易性金融负债"/>
      <sheetName val="M.带息借款-流动"/>
      <sheetName val="M.无息借款-流动"/>
      <sheetName val="M.其他金融负债"/>
      <sheetName val="N.应付贸易款及票据"/>
      <sheetName val="O.应交所得税"/>
      <sheetName val="P.预收"/>
      <sheetName val="Q.递延收益"/>
      <sheetName val="Q.带息借款-非流动"/>
      <sheetName val="Q.无息借款-非流动"/>
      <sheetName val="T.少数股东"/>
      <sheetName val="T.专项储备"/>
      <sheetName val="U.财务成本"/>
      <sheetName val="U.财务收入"/>
      <sheetName val="U.公允价值变动收益"/>
      <sheetName val="U.管理费用"/>
      <sheetName val="U.资产减值损失"/>
      <sheetName val="U.投资收益"/>
      <sheetName val="U.营业外"/>
      <sheetName val="U.其他费用"/>
      <sheetName val="U.其他收入"/>
      <sheetName val="U.其他业务"/>
      <sheetName val="劳务成本（新动）"/>
      <sheetName val="待摊费用审定表"/>
      <sheetName val="货币资金审定表"/>
      <sheetName val="销售成本审定表"/>
      <sheetName val="销售费用审定表"/>
      <sheetName val="应付帐款"/>
      <sheetName val="T1_100Breakdown实收资本"/>
      <sheetName val="G102"/>
      <sheetName val="财务费用"/>
      <sheetName val="Download"/>
      <sheetName val="递延税款Dy"/>
      <sheetName val="未分配利润Dy"/>
      <sheetName val="补贴收入Dy"/>
      <sheetName val="所得税Dy"/>
      <sheetName val="坏账准备_应收账款Dy"/>
      <sheetName val="其他应交款Dy"/>
      <sheetName val="坏账准备_应收账款Mx"/>
      <sheetName val="库存商品余额表.dbf"/>
      <sheetName val="Carver Merger Model"/>
      <sheetName val="Comps"/>
      <sheetName val="sd"/>
      <sheetName val=" U140-SalesTOT"/>
      <sheetName val="SAD Conclusion"/>
      <sheetName val="INTER-CO"/>
      <sheetName val="递延所得税资产审定表"/>
      <sheetName val=".1 Lead"/>
      <sheetName val=".2 FA Rollforward"/>
      <sheetName val=".3 Additions"/>
      <sheetName val=".4 IPE Testing"/>
      <sheetName val="K100"/>
      <sheetName val="2011.3应付职工薪酬明细账"/>
      <sheetName val="设置"/>
      <sheetName val="Suppliers"/>
      <sheetName val="BOMA"/>
      <sheetName val="BOMA-G&amp;A"/>
      <sheetName val="BOMA-Inventory"/>
      <sheetName val="Supplier"/>
      <sheetName val="TAB CA"/>
      <sheetName val="Antivol D2"/>
      <sheetName val="VA"/>
      <sheetName val="03年待摊费用"/>
      <sheetName val="Fundamentals"/>
      <sheetName val="BetaCalcs"/>
      <sheetName val="Rate"/>
      <sheetName val="Non-Statistical Sampling"/>
      <sheetName val="AR Drop Downs"/>
      <sheetName val="MGT ACCT"/>
      <sheetName val="Total Stock Summary"/>
      <sheetName val="WIP Valuation"/>
      <sheetName val="Consumption"/>
      <sheetName val="CC1"/>
      <sheetName val="SA02-03"/>
      <sheetName val="A20a"/>
      <sheetName val="______¡¤___¡À¨ª"/>
      <sheetName val="Base Info"/>
      <sheetName val="条件输入页"/>
      <sheetName val="清单定稿"/>
      <sheetName val="EXCH97 (1101)"/>
      <sheetName val="28100-1-1EJE 调整汇总"/>
      <sheetName val="IV - Assumptions"/>
      <sheetName val="程序的适用范围"/>
      <sheetName val="U1-OSP-01"/>
      <sheetName val="FDV B45"/>
      <sheetName val="报表科目明细"/>
      <sheetName val="Cellular"/>
      <sheetName val="GLR"/>
      <sheetName val="NER"/>
      <sheetName val="SWBW&amp;PBW"/>
      <sheetName val="Approved Renov Payment Schedule"/>
      <sheetName val="Senior Notes"/>
      <sheetName val="Table b4 Redemp"/>
      <sheetName val="EIR b4 Redemp"/>
      <sheetName val="DEF REV"/>
      <sheetName val="明细项目字段"/>
      <sheetName val="报表项目对照"/>
      <sheetName val="泳场明细"/>
      <sheetName val="R.F"/>
      <sheetName val="CD FMA"/>
      <sheetName val="FMC"/>
      <sheetName val="auditor"/>
      <sheetName val="N100-evie"/>
      <sheetName val="Feb 1-26"/>
      <sheetName val="2.1. Claimed Not Ack as debts"/>
      <sheetName val="2.2. Unitech Contingent"/>
      <sheetName val="7. Pauling Joint Venture"/>
      <sheetName val="31. EPS"/>
      <sheetName val="13. Finance Lease"/>
      <sheetName val="18. Earnings"/>
      <sheetName val="8. Non Provision"/>
      <sheetName val="Claims&amp;Dispute"/>
      <sheetName val="Logistic"/>
      <sheetName val="JAC11.30"/>
      <sheetName val="Flow"/>
      <sheetName val="JE - Depn Sept"/>
      <sheetName val="fedcapct2006"/>
      <sheetName val="RefH"/>
      <sheetName val="O_310捐赠明细"/>
      <sheetName val="O_300VAT"/>
      <sheetName val="accudepr1"/>
      <sheetName val="PROFIT &amp; LOSS PLANNING"/>
      <sheetName val="Investment Planning"/>
      <sheetName val="Breakdown of Expenses "/>
      <sheetName val="合并底稿-自营"/>
      <sheetName val="E221"/>
      <sheetName val="MetricsRef"/>
      <sheetName val="Oct Starts Plan"/>
      <sheetName val="Raw materials"/>
      <sheetName val="Hidden Lists"/>
      <sheetName val="Lead Sheets"/>
      <sheetName val="NOPAT_VDF"/>
      <sheetName val="Invested capital_VDF"/>
      <sheetName val="DCF_VDF"/>
      <sheetName val="Summary Page_VDF"/>
      <sheetName val="WACC_VDF"/>
      <sheetName val="PV of Op Leases_VDF"/>
      <sheetName val="Income Statement_VDF"/>
      <sheetName val="编辑部03"/>
      <sheetName val="Invoice detail"/>
      <sheetName val="2002年12月预"/>
      <sheetName val="丹阳绝缘"/>
      <sheetName val="东莞生益"/>
      <sheetName val="河北肃宁"/>
      <sheetName val="湖州锦龙"/>
      <sheetName val="浙华立达"/>
      <sheetName val="南京同德"/>
      <sheetName val="三和国际"/>
      <sheetName val="山东招远"/>
      <sheetName val="上海田村"/>
      <sheetName val="应付工资"/>
      <sheetName val="应付福利费"/>
      <sheetName val="短期借款"/>
      <sheetName val="长期借款"/>
      <sheetName val="TB04"/>
      <sheetName val="C3WB Revenue and Contas a receb"/>
      <sheetName val="C3WD Contas a recebe and Caixa "/>
      <sheetName val="Relationship Analysis(1)"/>
      <sheetName val="Bud (200-OO)"/>
      <sheetName val="Cash_fcst-currrent-inputs"/>
      <sheetName val="损益表（按单位)01"/>
      <sheetName val="35.1租赁明细"/>
      <sheetName val="source-1"/>
      <sheetName val="Bank card list"/>
      <sheetName val="DEFLEET APR-05"/>
      <sheetName val="주주명부&lt;끝&gt;"/>
      <sheetName val="START"/>
      <sheetName val="2005 Sales breakdown"/>
      <sheetName val="杭州华健"/>
      <sheetName val="Expenses"/>
      <sheetName val="5201.2004"/>
      <sheetName val="A310-Ledger Summary"/>
      <sheetName val="A320-ADJ_CLA"/>
      <sheetName val="Land and Building"/>
      <sheetName val="ASSETMST"/>
      <sheetName val="MAP"/>
      <sheetName val="Sheet7"/>
      <sheetName val="OTHERSUM"/>
      <sheetName val="wrk"/>
      <sheetName val="D3-1"/>
      <sheetName val="竜･高機械"/>
      <sheetName val="PL1"/>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Sch.1"/>
      <sheetName val="長投"/>
      <sheetName val="上月26-15"/>
      <sheetName val="绛RMB"/>
      <sheetName val="US Codes"/>
      <sheetName val="実績SK"/>
      <sheetName val="U1.2"/>
      <sheetName val="U1.5"/>
      <sheetName val="U1.1"/>
      <sheetName val="U1.3"/>
      <sheetName val="FLYLEAF PLANNING"/>
      <sheetName val="OrgList"/>
      <sheetName val="For BLS &amp; TX"/>
      <sheetName val="Q of E-worse"/>
      <sheetName val="PPE Mov't- HC "/>
      <sheetName val="Outsourcing Service-2018"/>
      <sheetName val="Outsourcing Service-2019"/>
      <sheetName val="研发费用by nature"/>
      <sheetName val="上海药明生物"/>
      <sheetName val="ROC"/>
      <sheetName val="Asset_Data"/>
      <sheetName val="H4000-04披露表(上市)"/>
      <sheetName val="H4000-02审定表"/>
      <sheetName val="JE10310X"/>
      <sheetName val="MUS"/>
      <sheetName val="H4000-05-01披露表(上市)"/>
      <sheetName val="DATE_Instructions"/>
      <sheetName val="表21 净利润调节表"/>
      <sheetName val="Economic evaluation - FY98 base"/>
      <sheetName val="Code"/>
      <sheetName val="Banner"/>
      <sheetName val="Relationship Analysis"/>
      <sheetName val="C2W Summary(1)"/>
      <sheetName val="3392 Grand Hyatt Denver TB"/>
      <sheetName val="LIST OF CLIENTS "/>
      <sheetName val="wko_as of 20 Mar-02"/>
      <sheetName val="O- Sumaria"/>
      <sheetName val="J1-1"/>
      <sheetName val="For Ref"/>
      <sheetName val="Costing of D"/>
      <sheetName val="Cost summary"/>
      <sheetName val="Costing of ABC"/>
      <sheetName val="Sundries creditors"/>
      <sheetName val="Advance to staff"/>
      <sheetName val="Hotel"/>
      <sheetName val="HK-GL-AR"/>
      <sheetName val="FS Output 4"/>
      <sheetName val="FS Output 1"/>
      <sheetName val="FS Output 3"/>
      <sheetName val="FS Output2"/>
      <sheetName val="Output &amp; Financial Statements"/>
      <sheetName val="AVP"/>
      <sheetName val="Deal Structure &amp; Control Page"/>
      <sheetName val="Historic Comps"/>
      <sheetName val="Synergies"/>
      <sheetName val="ABB(final)"/>
      <sheetName val="99 Affil Combined"/>
      <sheetName val="毛利率分析表"/>
      <sheetName val="A401_PL"/>
      <sheetName val="Check Mark"/>
      <sheetName val="Loading List"/>
      <sheetName val="MB51"/>
      <sheetName val="国际店"/>
      <sheetName val="石厦(华沙)"/>
      <sheetName val="福华店"/>
      <sheetName val="民治店"/>
      <sheetName val="国王店"/>
      <sheetName val="华之沙"/>
      <sheetName val="dongia (2)"/>
      <sheetName val="giathanh1"/>
      <sheetName val="THPDMoi  (2)"/>
      <sheetName val="gtrinh"/>
      <sheetName val="phuluc1"/>
      <sheetName val="lam-moi"/>
      <sheetName val="DONGIA"/>
      <sheetName val="thao-go"/>
      <sheetName val="DON GIA"/>
      <sheetName val="TONGKE-HT"/>
      <sheetName val="DG"/>
      <sheetName val="t-h HA THE"/>
      <sheetName val="CHITIET VL-NC-TT -1p"/>
      <sheetName val="TONG HOP VL-NC TT"/>
      <sheetName val="TNHCHINH"/>
      <sheetName val="TH XL"/>
      <sheetName val="TONGKE3p "/>
      <sheetName val="CHITIET VL-NC"/>
      <sheetName val="chitiet"/>
      <sheetName val="VC"/>
      <sheetName val="Tiepdia"/>
      <sheetName val="CHITIET VL-NC-TT-3p"/>
      <sheetName val="TDTKP"/>
      <sheetName val="TDTKP1"/>
      <sheetName val="KPVC-BD "/>
      <sheetName val="VCV-BE-TONG"/>
      <sheetName val="ALL"/>
      <sheetName val="ARP-G201"/>
      <sheetName val="ARP-P201"/>
      <sheetName val="Revenue"/>
      <sheetName val="6-GZ"/>
      <sheetName val="预付款-Supporting（含固定资产）"/>
      <sheetName val="财务费用明细"/>
      <sheetName val="6月账龄"/>
      <sheetName val="一级科目余额表"/>
      <sheetName val="二级科目余额表"/>
      <sheetName val="计提折旧清单"/>
      <sheetName val="减少固定资产清单"/>
      <sheetName val="固定资产增减"/>
      <sheetName val="1-6月收入"/>
      <sheetName val="6月应收账款明细"/>
      <sheetName val="Country Risk"/>
      <sheetName val="Cap Ex actual &amp; forecasted"/>
      <sheetName val="P100-其他应付款"/>
      <sheetName val="Capex"/>
      <sheetName val="P - 导引表"/>
      <sheetName val="P&amp;L Consol"/>
      <sheetName val="Reserves"/>
      <sheetName val="Store Lists"/>
      <sheetName val="国倍率表"/>
      <sheetName val="&lt;8110&gt;"/>
      <sheetName val="A4-2"/>
      <sheetName val="BPR"/>
      <sheetName val=" IncStatementMulti_Accts(1)"/>
      <sheetName val="C3WB Ingresos and CXC"/>
      <sheetName val="C3WD CXC and Efectivo"/>
      <sheetName val="Transaction tagging analysis"/>
      <sheetName val="tax summary-total"/>
      <sheetName val="DEP SHA-Moyu 2006Mar"/>
      <sheetName val="2008收发存"/>
      <sheetName val="IND."/>
      <sheetName val="WORDTAB"/>
      <sheetName val="Jan 2014"/>
      <sheetName val="Oct 2013"/>
      <sheetName val="Nov 2013"/>
      <sheetName val="Dec 2013"/>
      <sheetName val="Feb 2014"/>
      <sheetName val="Mar 2014"/>
      <sheetName val="Apr 2014"/>
      <sheetName val="Sep 2013"/>
      <sheetName val="DataConsol (BSP)"/>
      <sheetName val="04.9.30"/>
      <sheetName val="U102"/>
      <sheetName val="Headcount Reduction"/>
      <sheetName val="1370"/>
      <sheetName val="1380_3YR"/>
      <sheetName val="营业税针对性测试"/>
      <sheetName val="工單差异分攤"/>
      <sheetName val="通用设备折旧复核"/>
      <sheetName val="专用设备折旧复核"/>
      <sheetName val="运输设备折旧复核"/>
      <sheetName val="电子设备折旧复核"/>
      <sheetName val="其他设备折旧"/>
      <sheetName val="F212-监盘样本选择"/>
      <sheetName val="PCJE"/>
      <sheetName val="1月销售"/>
      <sheetName val="1月回款"/>
      <sheetName val="Validation source"/>
      <sheetName val="B21.1"/>
      <sheetName val="至爱板块_无小计"/>
      <sheetName val="1002_广州至爱智家"/>
      <sheetName val="输血器Breakdown"/>
      <sheetName val="Share capital"/>
      <sheetName val="Reserve"/>
      <sheetName val="煲"/>
      <sheetName val="Titel"/>
      <sheetName val="BD-breakdown"/>
      <sheetName val="瓶类"/>
      <sheetName val="办公用品"/>
      <sheetName val="备品备件"/>
      <sheetName val="标签"/>
      <sheetName val="玻璃仪器"/>
      <sheetName val="辅料"/>
      <sheetName val="化剂"/>
      <sheetName val="劳保"/>
      <sheetName val="其他材料"/>
      <sheetName val="燃料"/>
      <sheetName val="产成品"/>
      <sheetName val="纸箱纸盒"/>
      <sheetName val="中草药"/>
      <sheetName val="主料"/>
      <sheetName val="自制半成品"/>
      <sheetName val="CE"/>
      <sheetName val="18.J"/>
      <sheetName val="III-1-10"/>
      <sheetName val="III-1-7"/>
      <sheetName val="III-1-9"/>
      <sheetName val="III-1-6"/>
      <sheetName val="III-1-1"/>
      <sheetName val="III-1-8"/>
      <sheetName val="III-1-2-1"/>
      <sheetName val="III-1-5"/>
      <sheetName val="III-1-4"/>
      <sheetName val="BOT模型 2011.12.31"/>
      <sheetName val="累计投资明细"/>
      <sheetName val="累计投资Movement"/>
      <sheetName val="PIT"/>
      <sheetName val="明细清单-2016.12.31"/>
      <sheetName val="Output2"/>
      <sheetName val="Module6"/>
      <sheetName val="MainPrintCode"/>
      <sheetName val="Introduction"/>
      <sheetName val="Exch.rate"/>
      <sheetName val="original2"/>
      <sheetName val="材料出库单"/>
      <sheetName val="数据定义1"/>
      <sheetName val="Review pts"/>
      <sheetName val="Summary-ending bal"/>
      <sheetName val="云达"/>
      <sheetName val="AM"/>
      <sheetName val="ROMI"/>
      <sheetName val="struc_SBU"/>
      <sheetName val="translate"/>
      <sheetName val="发电量&amp;主营业务收入"/>
      <sheetName val="Raw Data"/>
      <sheetName val="Administration"/>
      <sheetName val="Q110"/>
      <sheetName val="附表"/>
      <sheetName val="SGA"/>
      <sheetName val="2006 Deferred Tax"/>
      <sheetName val="직원별 11월"/>
      <sheetName val="U600-投资收益"/>
      <sheetName val="15"/>
      <sheetName val="U4"/>
      <sheetName val="B5 SUAD"/>
      <sheetName val="AR Breakdown&amp;Aging"/>
      <sheetName val="AP Breakdown &amp; Aging"/>
      <sheetName val="M2.1.1 Leadsheet - ST Loan"/>
      <sheetName val="（1）固定资产情况底稿"/>
      <sheetName val="12201001"/>
      <sheetName val="Deferred Dev Cost"/>
      <sheetName val="下拉框来源"/>
      <sheetName val="TSNO-DC"/>
      <sheetName val="Duration "/>
      <sheetName val="日報表"/>
      <sheetName val="Peso áreas e CPs"/>
      <sheetName val="Taxas"/>
      <sheetName val="Language"/>
      <sheetName val="BookSchema"/>
      <sheetName val="Profit and Loss"/>
      <sheetName val="Statement"/>
      <sheetName val="表15"/>
      <sheetName val="试算资产负债表"/>
      <sheetName val="Income Tax Expense"/>
      <sheetName val="K1_100Breakdown"/>
      <sheetName val="K1_210新增清单"/>
      <sheetName val="K1_Lead"/>
      <sheetName val="P600"/>
      <sheetName val="USPCL"/>
      <sheetName val="Consumer"/>
      <sheetName val="BS-HK"/>
      <sheetName val="BS&amp;PL- PRC"/>
      <sheetName val="PL-HK"/>
      <sheetName val="ZHF"/>
      <sheetName val="其他应付款4-12月份明细表"/>
      <sheetName val="BKD"/>
      <sheetName val="Turnover analysis"/>
      <sheetName val="Consol A300"/>
      <sheetName val="detailitems_316"/>
      <sheetName val="底稿0000"/>
      <sheetName val="DateAnalysis Day Lag"/>
      <sheetName val="I1.Lead 长期股权投资"/>
      <sheetName val="I1.CLA"/>
      <sheetName val="Premium Sep 03"/>
      <sheetName val="Premium Dec 03"/>
      <sheetName val="tax movement"/>
      <sheetName val="Rental Commitment 06.01"/>
      <sheetName val="ActiveRM"/>
      <sheetName val="Factset"/>
      <sheetName val="Teste de Adições"/>
      <sheetName val="FinStats"/>
      <sheetName val="6月"/>
      <sheetName val="Lookups"/>
      <sheetName val="担保"/>
      <sheetName val="&lt;U-1-2&gt;UGP_Breakdown"/>
      <sheetName val="SAAS_by客户_BKD"/>
      <sheetName val="Leadsheet"/>
      <sheetName val="精准营销_BKD"/>
      <sheetName val="多主体清单"/>
      <sheetName val="14480000"/>
      <sheetName val="Entry"/>
      <sheetName val="201109"/>
      <sheetName val="FIAT"/>
      <sheetName val="UFPrn20230620153939"/>
      <sheetName val="試 算 表"/>
      <sheetName val="FF_1"/>
      <sheetName val="FF_2"/>
      <sheetName val="会计科目表"/>
      <sheetName val="INPUT ICO balances"/>
      <sheetName val="INPUT ICO balances currency"/>
      <sheetName val="CON MR2K AL ck"/>
      <sheetName val="FxdChg"/>
      <sheetName val="현금흐름표"/>
      <sheetName val="Comp Data"/>
      <sheetName val="Reporting"/>
      <sheetName val="coststruk"/>
      <sheetName val="PersPlan"/>
      <sheetName val="IB Average"/>
      <sheetName val="IB"/>
      <sheetName val="Int ZFLS"/>
      <sheetName val="WB"/>
      <sheetName val="WoS"/>
      <sheetName val="Inputs"/>
      <sheetName val="标准定义"/>
      <sheetName val="merger"/>
      <sheetName val="Balance-M"/>
      <sheetName val="Level 1-3 Change Overview"/>
      <sheetName val="应收帐款余额表"/>
      <sheetName val="VXX"/>
      <sheetName val="Target"/>
      <sheetName val="Index_Page"/>
      <sheetName val="Chart Analysis"/>
      <sheetName val="Finished Goods"/>
      <sheetName val="Note Lines - Consolidation"/>
      <sheetName val="Journal Entries - EJE"/>
      <sheetName val="Journal Entries - AJE"/>
      <sheetName val="②業務ステップ"/>
      <sheetName val="B25-95"/>
      <sheetName val="销售收入预算表"/>
      <sheetName val="1) Customers"/>
      <sheetName val="Consol notes_IFRS"/>
      <sheetName val="K31X"/>
      <sheetName val="促销费内容"/>
      <sheetName val="Config"/>
      <sheetName val="1030002 A"/>
      <sheetName val="1030004 A"/>
      <sheetName val="1030006 A"/>
      <sheetName val="COMMON"/>
      <sheetName val="频度分析"/>
      <sheetName val="FXrates"/>
      <sheetName val="co_code"/>
      <sheetName val="Total Fixed Cost (Detailed)"/>
      <sheetName val="Non-operating Items (Detailed)"/>
      <sheetName val="Sum by Month-5th ver"/>
      <sheetName val="Variable Costs by Cost Ctr"/>
      <sheetName val="VE20"/>
      <sheetName val="GB"/>
      <sheetName val="NE"/>
      <sheetName val="SAP Debt Age"/>
      <sheetName val="SAP Due Age - Insurance"/>
      <sheetName val="MIS1"/>
      <sheetName val="DEC Bank"/>
      <sheetName val="DEC GL"/>
      <sheetName val="Prepaid expenses-Wendy"/>
      <sheetName val="Notes receivable"/>
      <sheetName val="M2.1.2 Breakdown - ST Loan草稿"/>
      <sheetName val="HFM P&amp;L"/>
      <sheetName val="Note 3 Other revenue"/>
      <sheetName val="Depreciation Policy"/>
      <sheetName val="Define"/>
      <sheetName val="Jun12 640 BS"/>
      <sheetName val="Finance"/>
      <sheetName val="K5-1"/>
      <sheetName val="exch rates"/>
      <sheetName val="출금실적"/>
      <sheetName val="A500-Audit adjustment"/>
      <sheetName val="省地市对照表"/>
      <sheetName val="K(GDH)"/>
      <sheetName val="VW_Material_HK"/>
      <sheetName val="AB"/>
      <sheetName val="K100-在建工程、固定资产、无形资产"/>
      <sheetName val="A股tie数表-1"/>
      <sheetName val="CAL-TB-MFG"/>
      <sheetName val="ECON"/>
      <sheetName val="#RIF"/>
      <sheetName val="CALEND"/>
      <sheetName val="geog"/>
      <sheetName val="审定表"/>
      <sheetName val="U200"/>
      <sheetName val="热力系统"/>
      <sheetName val="J301"/>
      <sheetName val="J200"/>
      <sheetName val="General"/>
      <sheetName val="报表层次重要性水平"/>
      <sheetName val="所有者权益(股东权益)变动表(未审)"/>
      <sheetName val="计提准备金明细"/>
      <sheetName val="表六 "/>
      <sheetName val="DataEntry"/>
      <sheetName val="物资采购"/>
      <sheetName val="C3WB Omzet and Debiteuren"/>
      <sheetName val="C3WD Receivables and Cash"/>
      <sheetName val="A5_PRC_20221231"/>
      <sheetName val="Financial Exp."/>
      <sheetName val="JE"/>
      <sheetName val="-&gt; EDV Budget"/>
      <sheetName val="关联方往来"/>
      <sheetName val="Balance #1"/>
      <sheetName val="Inv_days #5"/>
      <sheetName val="Adjust #14"/>
      <sheetName val="FA_Dep #7"/>
      <sheetName val="director"/>
      <sheetName val="process "/>
      <sheetName val="Costs成本"/>
      <sheetName val="Heading"/>
      <sheetName val="detailitems_183"/>
      <sheetName val="Others"/>
      <sheetName val="RECONCILIATION"/>
      <sheetName val="O1"/>
      <sheetName val="M1"/>
      <sheetName val="H1"/>
      <sheetName val="M.I."/>
      <sheetName val="成本匯總表"/>
      <sheetName val="所屬公司"/>
      <sheetName val="制造費用"/>
      <sheetName val="Bank Table"/>
      <sheetName val="K Imobilizado"/>
      <sheetName val="建信置业"/>
      <sheetName val="绍兴信达"/>
      <sheetName val="Final"/>
      <sheetName val="本"/>
      <sheetName val="AU锦江城市"/>
      <sheetName val="Korrekt_Fin_Debts_InteCo2005"/>
      <sheetName val="A3-100"/>
      <sheetName val="Cashf_ch#6"/>
      <sheetName val="P200"/>
      <sheetName val="RA#3"/>
      <sheetName val="AA#7-2023"/>
      <sheetName val="Reconciliation form"/>
      <sheetName val="Sch11"/>
      <sheetName val="Income Tax"/>
      <sheetName val="Transaction type"/>
      <sheetName val="Changes in customer master file"/>
      <sheetName val="BL Multiples"/>
      <sheetName val="Minput"/>
      <sheetName val="Weekly"/>
      <sheetName val="BudMF"/>
      <sheetName val="2015"/>
      <sheetName val="各项收入"/>
      <sheetName val="2009汉虹设计"/>
      <sheetName val="2009汉虹精密"/>
      <sheetName val="detailitems_11"/>
      <sheetName val="detailitems_59"/>
      <sheetName val="detailitems_82"/>
      <sheetName val="K100 - Fixed assets"/>
      <sheetName val="Input A"/>
      <sheetName val="OCT BANK"/>
      <sheetName val="Lockbox"/>
      <sheetName val="Main Menu"/>
      <sheetName val="ex rate"/>
      <sheetName val="wl"/>
      <sheetName val="OP-YZ"/>
      <sheetName val="Sampling Table"/>
      <sheetName val="评估结论"/>
      <sheetName val="INSS1"/>
      <sheetName val="J300"/>
      <sheetName val="J-310定单"/>
      <sheetName val="Cálculo Detallado"/>
      <sheetName val="VSPA"/>
      <sheetName val="Movem. in fixed assets - Depr."/>
      <sheetName val="BM"/>
      <sheetName val="PO"/>
      <sheetName val="Records"/>
      <sheetName val="G110"/>
      <sheetName val="Summary P&amp;L"/>
      <sheetName val="3. P.Y. Min Baseline"/>
      <sheetName val="报表附注"/>
      <sheetName val="Nov Sales"/>
      <sheetName val="Oct Sales"/>
      <sheetName val="FF-3"/>
      <sheetName val="FF-2"/>
      <sheetName val="Trade Spend PSP 3"/>
      <sheetName val="Customer Hierarchy 6"/>
      <sheetName val="Customer Hierarchy 4"/>
      <sheetName val="Process Map"/>
      <sheetName val="浮"/>
      <sheetName val="OI-Fcst"/>
      <sheetName val="水分析"/>
      <sheetName val="C3WB Primary and Secondary"/>
      <sheetName val="C3WD Secondary and Tertiary"/>
      <sheetName val="ACTUAL_TOTAL"/>
      <sheetName val="Cutoff Analysis(1)"/>
      <sheetName val="For AFS PRC"/>
      <sheetName val="9100-PO"/>
      <sheetName val="Sch PR-2"/>
      <sheetName val="Sch PR-3"/>
      <sheetName val="FX_Assumptions"/>
      <sheetName val="FY99 Volume"/>
      <sheetName val="2005余额表"/>
      <sheetName val="2月"/>
      <sheetName val="研发费用222"/>
      <sheetName val="Detail List 2019"/>
      <sheetName val="E Lead"/>
      <sheetName val="Valuation of Investment"/>
      <sheetName val="WIP(08)"/>
      <sheetName val="263-B2 Business Segment BS 2005"/>
      <sheetName val="263-B3 Business Segment BS 2006"/>
      <sheetName val="成本预测"/>
      <sheetName val="Fin_prefinal"/>
      <sheetName val="help"/>
      <sheetName val="余额"/>
      <sheetName val="97BGT6"/>
      <sheetName val="AT"/>
      <sheetName val="check list"/>
      <sheetName val="Ingressados"/>
      <sheetName val="FA Breakdown"/>
      <sheetName val="其他应收款(合计)"/>
      <sheetName val="应收票据"/>
      <sheetName val="RF-G7"/>
      <sheetName val="销售成本"/>
      <sheetName val="P &amp; L"/>
      <sheetName val="Intelenet"/>
      <sheetName val="Disclosure"/>
      <sheetName val="10月20日估值"/>
      <sheetName val="U400_管理费用Breakdown"/>
      <sheetName val="U600_财务费用Breakdown"/>
      <sheetName val="F-C"/>
      <sheetName val="图表数据源"/>
      <sheetName val="图表"/>
      <sheetName val="运费汇总表"/>
      <sheetName val="额定运力汇总表"/>
      <sheetName val="开单量汇总表"/>
      <sheetName val="货量汇总表"/>
      <sheetName val="Budget Rates"/>
      <sheetName val="l eq"/>
      <sheetName val="日本材發注表"/>
      <sheetName val="Netearnanal"/>
      <sheetName val="JPY_Rates"/>
      <sheetName val="HKD_Rates"/>
      <sheetName val="USD_Rates"/>
      <sheetName val="Transinputs"/>
      <sheetName val="gcl-BS"/>
      <sheetName val="gcl-PL"/>
      <sheetName val="ASS01Assumptions"/>
      <sheetName val="U040_cost明细_CP rental "/>
      <sheetName val="TB2000"/>
      <sheetName val="TB2001"/>
      <sheetName val="利润及利润分配表"/>
      <sheetName val="EAST"/>
      <sheetName val="RGUL"/>
      <sheetName val="交易"/>
      <sheetName val="J411"/>
      <sheetName val="Shunde"/>
      <sheetName val="2002年"/>
      <sheetName val="说明"/>
      <sheetName val="零部件"/>
      <sheetName val="西部开发"/>
      <sheetName val="华融致远"/>
      <sheetName val="11月"/>
      <sheetName val="P301"/>
      <sheetName val="Finsum-NAS"/>
      <sheetName val="NAS-BS"/>
      <sheetName val="A100"/>
      <sheetName val="8月"/>
      <sheetName val=" 弃"/>
      <sheetName val="103105"/>
      <sheetName val="INTELSAT"/>
      <sheetName val="DADOS"/>
      <sheetName val="RIS_TECNICHE"/>
      <sheetName val="integral"/>
      <sheetName val="tabela"/>
      <sheetName val="bal"/>
      <sheetName val="调整分录"/>
      <sheetName val="prebdg97"/>
      <sheetName val="premi96"/>
      <sheetName val="历年减少"/>
      <sheetName val="DEPOSIT-PPYMT"/>
      <sheetName val="贷方"/>
      <sheetName val="目标成本"/>
      <sheetName val="辅助计算表"/>
      <sheetName val="调整说明"/>
      <sheetName val="Beverage Volume"/>
      <sheetName val="P2_100_杭州乐刻"/>
      <sheetName val="P2_100_北京乐刻"/>
      <sheetName val="sapactivexlhiddensheet"/>
      <sheetName val="人民币合同模板"/>
      <sheetName val="Historical prices"/>
      <sheetName val="Valuation - GSJBW"/>
      <sheetName val="AssBook"/>
      <sheetName val="Ass1"/>
      <sheetName val="ARP_U201"/>
      <sheetName val="2001 based proj"/>
      <sheetName val="Total"/>
      <sheetName val="通玻"/>
      <sheetName val="11待摊费用"/>
      <sheetName val="5570"/>
      <sheetName val="5560"/>
      <sheetName val="21030511盘点票"/>
      <sheetName val="托售"/>
      <sheetName val="1. Exercised"/>
      <sheetName val="India April 06"/>
      <sheetName val="Feuil1"/>
      <sheetName val="所得税费用"/>
      <sheetName val="中间价"/>
      <sheetName val="BS-PRC GAAP (Consol)"/>
      <sheetName val="A3_Consol"/>
      <sheetName val="212101"/>
      <sheetName val="办事处经费"/>
      <sheetName val="办事处市场部经费"/>
      <sheetName val="营销人员借款"/>
      <sheetName val="离职营销人员借款"/>
      <sheetName val="公司备用金"/>
      <sheetName val="律师"/>
      <sheetName val="提示表"/>
      <sheetName val="T160_摊余成本"/>
      <sheetName val="U600_Lead"/>
      <sheetName val="不重要分部"/>
      <sheetName val="I"/>
      <sheetName val="Liquidity Risk"/>
      <sheetName val="Lease Data - LC"/>
      <sheetName val="tax-ss"/>
      <sheetName val="MGM11"/>
      <sheetName val="MGM12"/>
      <sheetName val="MGM1"/>
      <sheetName val="MGM4"/>
      <sheetName val="MGM3"/>
      <sheetName val="sheet6"/>
      <sheetName val="Note 27 (O.Income Auditors)"/>
      <sheetName val="Valuation of Inv (Deloitte)"/>
      <sheetName val="OSP|C_500现金盘点"/>
      <sheetName val="C_102特殊账户程序"/>
      <sheetName val="C_300现金截止性测试"/>
      <sheetName val="CR8-C1"/>
      <sheetName val="Hist_BS"/>
      <sheetName val="产品销售收入与成本明细表"/>
      <sheetName val="PROOF"/>
      <sheetName val="F600计价测试"/>
      <sheetName val="U1300-1_Test on deferred income"/>
      <sheetName val="import_all"/>
      <sheetName val="ORGANIZACION"/>
      <sheetName val="BVE"/>
      <sheetName val="RESUMEN Vtas-Util Op"/>
      <sheetName val="Detail Test-SH"/>
      <sheetName val="Movement-SH"/>
      <sheetName val="depreciation PIT-SH"/>
      <sheetName val="NAME"/>
      <sheetName val="CECO"/>
      <sheetName val="FF3"/>
      <sheetName val="会计科目(不能修订）"/>
      <sheetName val="JW Debt &amp; Interests"/>
      <sheetName val="Asset listing for AUC"/>
      <sheetName val="FS item Listing"/>
      <sheetName val="Reimbursable"/>
      <sheetName val="FP"/>
      <sheetName val="Time Dimension Lookup"/>
      <sheetName val="合并单位 (2)"/>
      <sheetName val="合并单位"/>
      <sheetName val="Headcount"/>
      <sheetName val="TITLE"/>
      <sheetName val="1Cash-Petty"/>
      <sheetName val="CASHFLOW"/>
      <sheetName val="평가&amp;선급.미지급"/>
      <sheetName val="은행"/>
      <sheetName val="RoXDataTables"/>
      <sheetName val="tb-cy"/>
      <sheetName val="Marco"/>
      <sheetName val="U501"/>
      <sheetName val="Overview"/>
      <sheetName val="1.1 - Summary"/>
      <sheetName val="1.2 - Detailed"/>
      <sheetName val="3.1 - Summary"/>
      <sheetName val="4 - Management fee"/>
      <sheetName val="BT - report"/>
      <sheetName val="PTPL95"/>
      <sheetName val="CuHDG"/>
      <sheetName val="SalesMYP"/>
      <sheetName val="TONGKE1P"/>
      <sheetName val="Gesamt 13"/>
      <sheetName val="合并TB"/>
      <sheetName val="Internal"/>
      <sheetName val="03 P&amp;L by Month"/>
      <sheetName val="BS HCX_21"/>
      <sheetName val="LB411"/>
      <sheetName val="增加值汇总"/>
      <sheetName val="NKCR_comm_scheme"/>
      <sheetName val="NKCR_appliedrates"/>
      <sheetName val="KCR_comm_scheme"/>
      <sheetName val="Settings"/>
      <sheetName val="SalaryData"/>
      <sheetName val="有效性"/>
      <sheetName val="合同记录"/>
      <sheetName val="low series"/>
      <sheetName val="ZA Home"/>
      <sheetName val="  mis-ple  "/>
      <sheetName val="Coversheet-Quarterly_Report"/>
      <sheetName val="F302"/>
      <sheetName val="F401"/>
      <sheetName val="BS and PL"/>
      <sheetName val="SAP"/>
      <sheetName val="PossibleA"/>
      <sheetName val="PossibleB1"/>
      <sheetName val="PossibleB2"/>
      <sheetName val="PossibleC1"/>
      <sheetName val="PossibleC2"/>
      <sheetName val="PossibleD"/>
      <sheetName val="PossibleE"/>
      <sheetName val="C3W Summary(6)"/>
      <sheetName val="C3WB Primary and Secondary(6)"/>
      <sheetName val="C3WD Secondary and Tertiary(6)"/>
      <sheetName val="C3WD Receivable and Cash"/>
      <sheetName val=" Regional trade sales"/>
      <sheetName val=" Cost of sales"/>
      <sheetName val="FUTURES"/>
      <sheetName val="月损益表"/>
      <sheetName val="1000052"/>
      <sheetName val="會計科目"/>
      <sheetName val="EXCH"/>
      <sheetName val="AR Data"/>
      <sheetName val="Dept_P&amp;M"/>
      <sheetName val="產品名稱"/>
      <sheetName val="銅屑分配表"/>
      <sheetName val="在制品計算表"/>
      <sheetName val="XVIa_i_ _ average price _2_"/>
      <sheetName val="Sale breakdown"/>
      <sheetName val="研发费用支出明细表（7-9）月"/>
      <sheetName val="U340-2_研发支出分明细（from 20240630)"/>
      <sheetName val="AR2-F21"/>
      <sheetName val="Appendix - Joao Carlos ar"/>
      <sheetName val="SC Cover"/>
      <sheetName val="QAD-面套库存"/>
      <sheetName val="PRC GAAP"/>
      <sheetName val="玛赛软件合同总价表"/>
      <sheetName val="内贸采购合同总价表"/>
      <sheetName val="Eco-Fin"/>
      <sheetName val="F"/>
      <sheetName val="Instr + GQL ORM"/>
      <sheetName val="存货_生产成本Dy"/>
      <sheetName val="05PLAN VAR"/>
      <sheetName val="一轮日程第一周"/>
      <sheetName val="Cashbook"/>
      <sheetName val="Valid Values"/>
      <sheetName val="2006DEP.sap data"/>
      <sheetName val="Adf par resp"/>
      <sheetName val="tot.invest"/>
      <sheetName val="tot.invest&amp;fund raising "/>
      <sheetName val="总成本费用"/>
      <sheetName val="流动资金估算表"/>
      <sheetName val="All Cash Dil"/>
      <sheetName val="CW12毛利分析-产品线"/>
      <sheetName val="Überleitung P Budget"/>
      <sheetName val="降低额统计(会签)"/>
      <sheetName val="预提科目"/>
      <sheetName val="FLTMASPE"/>
      <sheetName val="办公楼服务员"/>
      <sheetName val="1月考勤"/>
      <sheetName val="D1535"/>
      <sheetName val="D1534"/>
      <sheetName val="ERS CWC"/>
      <sheetName val="二级明细"/>
      <sheetName val="其他应收-导出"/>
      <sheetName val="营业外支出"/>
      <sheetName val="Var. in WC main Markets"/>
      <sheetName val="Period Admin"/>
      <sheetName val="Menü"/>
      <sheetName val="新"/>
      <sheetName val="LTM"/>
      <sheetName val="1998"/>
      <sheetName val="14.04.03"/>
      <sheetName val="ortho P1-12"/>
      <sheetName val="固定资产清理"/>
      <sheetName val="HIN-BR Detail"/>
      <sheetName val="PRE0502"/>
      <sheetName val="UFPrn20230109083351"/>
      <sheetName val="E 1.2.1 - RECEBIMENTOS ABR"/>
      <sheetName val="Consolidado"/>
      <sheetName val="moban"/>
      <sheetName val="填表单位及所需资料清单"/>
      <sheetName val="N27-1-短期借款"/>
      <sheetName val="N29-1-预收款及其他应付款项"/>
      <sheetName val="N5b1-其他收入和利得净值"/>
      <sheetName val="Curto-Longo(Atual)"/>
      <sheetName val="A3_合并财务报表"/>
      <sheetName val="SUAD"/>
      <sheetName val="N101_Comfirmation selection"/>
      <sheetName val="Andy"/>
      <sheetName val="PICK to 1022"/>
      <sheetName val="PICK to 1037"/>
      <sheetName val="Markup Table"/>
      <sheetName val="Dashboard"/>
      <sheetName val="A5_合并调整"/>
      <sheetName val="1.Pgm"/>
      <sheetName val="4) Coat Est for Upper Platform"/>
      <sheetName val="5) Cost Estimation Jacket"/>
      <sheetName val="Detail2015"/>
      <sheetName val="Main data"/>
      <sheetName val="Centralisatie"/>
      <sheetName val="Transl"/>
      <sheetName val="Net Trans Sum"/>
      <sheetName val="GSH"/>
      <sheetName val="GSH (2)"/>
      <sheetName val="Dropdown Lists"/>
      <sheetName val="C.1 Reconcile Cost"/>
      <sheetName val="Tax recon. detail"/>
      <sheetName val="FEIT breakdown"/>
      <sheetName val="Matrixes"/>
      <sheetName val="other bonus"/>
      <sheetName val="DLDB10"/>
      <sheetName val="B&amp;S 1999"/>
      <sheetName val="O200_CIT movement"/>
      <sheetName val="報價"/>
      <sheetName val="98年5月新報價"/>
      <sheetName val="Sheet3 (2)"/>
      <sheetName val="A400 (Jun 2015)."/>
      <sheetName val="Audit Results"/>
      <sheetName val="Audit Results Upper Stratum"/>
      <sheetName val="Planning"/>
      <sheetName val="Population Characteristics"/>
      <sheetName val="Act"/>
      <sheetName val="CONCUR"/>
      <sheetName val="General assumptions"/>
      <sheetName val="Customers"/>
      <sheetName val="Payments"/>
      <sheetName val="PSP-Lead-C"/>
      <sheetName val="Struktur"/>
      <sheetName val="对应代码"/>
      <sheetName val="选项-勿动!!！"/>
      <sheetName val="Ku_Wk_Sys"/>
      <sheetName val="Txns"/>
      <sheetName val="Data Source"/>
      <sheetName val="Deferred tax 15100"/>
      <sheetName val="Pur"/>
      <sheetName val="S3 20130930 PRC"/>
      <sheetName val="95FF_Bal"/>
      <sheetName val=" 1000 - Bank and Cash"/>
      <sheetName val=" 2_76080 - PENSION _ EMPLOYER"/>
      <sheetName val="Consol BS"/>
      <sheetName val="HO &amp; Aust BS"/>
      <sheetName val="7a.Other Inc Exp"/>
      <sheetName val="O500"/>
      <sheetName val="PPL"/>
      <sheetName val="CIE"/>
      <sheetName val="Cash flow(FC)"/>
      <sheetName val="PPL(FC)"/>
      <sheetName val="Group BS '000 MA"/>
      <sheetName val="智行链subcon_BS"/>
      <sheetName val="Adiantamentos"/>
      <sheetName val="_detailitems_171"/>
      <sheetName val="DCF阳新修改后"/>
      <sheetName val="Dep allowance"/>
      <sheetName val="x504明细"/>
      <sheetName val="F19L-T deferred expense"/>
      <sheetName val="F49 RPT transaction"/>
      <sheetName val="Look3"/>
      <sheetName val="Look4"/>
      <sheetName val="Look5"/>
      <sheetName val="基本情况(非输出页）"/>
      <sheetName val="市政表建安"/>
      <sheetName val="BS COA as of 2007-4-10"/>
      <sheetName val="2_应收票据"/>
      <sheetName val="U100"/>
      <sheetName val="自定义"/>
      <sheetName val="consol-费用"/>
      <sheetName val="sysparm"/>
      <sheetName val="长期投资科目余额表"/>
      <sheetName val="长期投资一级余额"/>
      <sheetName val="长期投资二级余额"/>
      <sheetName val="长期投资三级余额"/>
      <sheetName val="长期投资明细帐"/>
      <sheetName val="投资收益明细帐"/>
      <sheetName val="利润分配明细帐"/>
      <sheetName val="2004年度应收账款分析"/>
      <sheetName val="应收账款明细表_内部"/>
      <sheetName val="应收账款明细表_外部"/>
      <sheetName val="Co Code Mapping"/>
      <sheetName val="Filter"/>
      <sheetName val="KPI"/>
      <sheetName val="应收出口退税mx"/>
      <sheetName val="Amortization Schedules"/>
      <sheetName val="Configuration"/>
      <sheetName val="AP Entry"/>
      <sheetName val="IPE"/>
      <sheetName val="E1_100ARBreakdown"/>
      <sheetName val="P2_100Breakdown"/>
      <sheetName val="P2_101薪酬分析"/>
      <sheetName val="BSDownload"/>
      <sheetName val="PLDownload"/>
      <sheetName val="consolid soc"/>
      <sheetName val="Exp type&amp;cost element mapping"/>
      <sheetName val="SUIVI EFFECTIFS"/>
      <sheetName val="EFFECT."/>
      <sheetName val="Tons"/>
      <sheetName val="tit"/>
      <sheetName val="PL by month-EFY"/>
      <sheetName val="直运直汇客户名称"/>
      <sheetName val="产品SAP"/>
      <sheetName val="abcd"/>
      <sheetName val="Vendas Tons"/>
      <sheetName val="C.Estr."/>
      <sheetName val="COSTAB97"/>
      <sheetName val="indice"/>
      <sheetName val="mixprod"/>
      <sheetName val="raf"/>
      <sheetName val="rce"/>
      <sheetName val="CAB"/>
      <sheetName val="H.Satuan"/>
      <sheetName val="JV"/>
      <sheetName val="剔除过程-预审"/>
      <sheetName val="Downside Case Comparison"/>
      <sheetName val="A3-PRC-Reporting"/>
      <sheetName val="O2 Lead "/>
      <sheetName val="ControlItems"/>
      <sheetName val="HAS04RND"/>
      <sheetName val="Performance Summary"/>
      <sheetName val="SPI"/>
      <sheetName val="Requirements"/>
      <sheetName val="Storage"/>
      <sheetName val="Cost Centre Xref"/>
      <sheetName val="待摊费用明细表"/>
      <sheetName val="INDEXES"/>
      <sheetName val="FF-2 (1)"/>
      <sheetName val="Bank Recon"/>
      <sheetName val="Contribution"/>
      <sheetName val="Sch 13"/>
      <sheetName val="Jul HK"/>
      <sheetName val="Mapping table"/>
      <sheetName val="LS"/>
      <sheetName val="Calculo y Asignacion ZAR-TAC"/>
      <sheetName val="fluxo de caixa"/>
      <sheetName val="VC.00销售费用BKD"/>
      <sheetName val="VD.00管理费用BKD"/>
      <sheetName val="Uexp.01 TOD 抽样工具输出-全年"/>
      <sheetName val="FNS9697"/>
      <sheetName val="应收账款k"/>
      <sheetName val="Significant Processes"/>
      <sheetName val="PublicData"/>
      <sheetName val="ESTOQUE TRANSITORIO"/>
      <sheetName val="7月回款"/>
      <sheetName val="U144_回退业务"/>
      <sheetName val="3月销售"/>
      <sheetName val="A5_灿星"/>
      <sheetName val="IFRS#7-1 stock provision"/>
      <sheetName val="Disclosure Summary"/>
      <sheetName val="TB-原币"/>
      <sheetName val="Log"/>
      <sheetName val="欧元价格"/>
      <sheetName val="Cost-Bud"/>
      <sheetName val="Turnover-Bud"/>
      <sheetName val="Vol-Bud"/>
      <sheetName val="Amortisation"/>
      <sheetName val="INFO"/>
      <sheetName val="DTA(2012)"/>
      <sheetName val="AR1-F20"/>
      <sheetName val="SBU Tax Rates"/>
      <sheetName val="Actual"/>
      <sheetName val="Tax Rate Table"/>
      <sheetName val="资产类"/>
      <sheetName val="负债类"/>
      <sheetName val="损益类"/>
      <sheetName val="2007"/>
      <sheetName val="合同件"/>
      <sheetName val="DatosSwitch"/>
      <sheetName val="DatosFront"/>
      <sheetName val="DatosRear"/>
      <sheetName val="A3-Conso_2023"/>
      <sheetName val="A3-Conso_2022"/>
      <sheetName val="附注15-1在建工程有关资料"/>
      <sheetName val="附注20-1借款"/>
      <sheetName val="附注25-应付工资及福利费"/>
      <sheetName val="附注29-应上交应弥补款项表"/>
      <sheetName val="附注37-1产品成本"/>
      <sheetName val="附注48-非货币性交易事项"/>
      <sheetName val="附注49-债务重组事项"/>
      <sheetName val="附注50-担保"/>
      <sheetName val="附注13-2对外投资"/>
      <sheetName val="附注51-对外开证"/>
      <sheetName val="FP Sum"/>
      <sheetName val="COA "/>
      <sheetName val="Mon1"/>
      <sheetName val="FA ad09-12"/>
      <sheetName val="FY03"/>
      <sheetName val="新准则TB"/>
      <sheetName val="BTS"/>
      <sheetName val="A301-Direct"/>
      <sheetName val="Excess Calc"/>
      <sheetName val="总部帐2"/>
      <sheetName val="CorpBreak"/>
      <sheetName val="Mach &amp; equip"/>
      <sheetName val="Sens"/>
      <sheetName val="Ratios"/>
      <sheetName val="RNK_Map"/>
      <sheetName val="Check Sums"/>
      <sheetName val="Watch_List"/>
      <sheetName val="RNK"/>
      <sheetName val="RangeDictionary"/>
      <sheetName val="Sample Layout"/>
      <sheetName val="Style"/>
      <sheetName val="RNK_Value"/>
      <sheetName val="RNK_Master"/>
      <sheetName val="WARNING"/>
      <sheetName val="RNK_PD"/>
      <sheetName val="User_Uni_PD"/>
      <sheetName val="User_Uni"/>
      <sheetName val="User_Uni_Val"/>
      <sheetName val="Master_PD"/>
      <sheetName val="剥离前"/>
      <sheetName val="MJE adjustment list"/>
      <sheetName val="Grid Calc"/>
      <sheetName val="ACCT 24050"/>
      <sheetName val="PROVISON"/>
      <sheetName val="对方已收货确认EBGZ未确认收入清单"/>
      <sheetName val="Invoice Template"/>
      <sheetName val="Mio_Euro"/>
      <sheetName val="U500-SH"/>
      <sheetName val="U500-JX"/>
      <sheetName val="U420 SH CRO Others 2021"/>
      <sheetName val="U420 WX 临床CRO 泰格医药 2021&amp;2022"/>
      <sheetName val="收入分析"/>
      <sheetName val="PBC"/>
      <sheetName val="5821長投增減變動表"/>
      <sheetName val="5826權益法認列PHI"/>
      <sheetName val="5829PHK股東權益"/>
      <sheetName val="5820查核說明"/>
      <sheetName val="期初B"/>
      <sheetName val="A3_康沣上海"/>
      <sheetName val="固定資產"/>
      <sheetName val="Com list"/>
      <sheetName val="标本-资产"/>
      <sheetName val="应付职工薪酬Dy"/>
      <sheetName val="累计折旧_2"/>
      <sheetName val="N2.2"/>
      <sheetName val="análise"/>
      <sheetName val="Índices"/>
      <sheetName val="CP"/>
      <sheetName val="回款日报表（分部门）"/>
      <sheetName val="应收账款账龄分析表（分客户）"/>
      <sheetName val="发货日报表（分部门）"/>
      <sheetName val="发货日报表（分品种）"/>
      <sheetName val="Days"/>
      <sheetName val="5714"/>
      <sheetName val="分产品销售收入、成本分析表"/>
      <sheetName val="HFM Plant List"/>
      <sheetName val="HL"/>
      <sheetName val="7300-10-1内部往来"/>
      <sheetName val="单位名录"/>
      <sheetName val="MTL$-INTER"/>
      <sheetName val="KH-Q1,Q2,01"/>
      <sheetName val="坏账准备_预付账款Dy"/>
      <sheetName val="U900"/>
      <sheetName val="收发存汇总表"/>
      <sheetName val="短期投资股票投资.dbf"/>
      <sheetName val="短期投资国债投资.dbf"/>
      <sheetName val="股票投资收益.dbf"/>
      <sheetName val="其他货币海通.dbf"/>
      <sheetName val="其他货币零领路.dbf"/>
      <sheetName val="投资收益债券.dbf"/>
      <sheetName val="输入上年调整分录"/>
      <sheetName val="应付帐款期后付款"/>
      <sheetName val="FZ-1"/>
      <sheetName val="6126-2"/>
      <sheetName val="Aging"/>
      <sheetName val="CMA_Calculations"/>
      <sheetName val="预算构成"/>
      <sheetName val="K200"/>
      <sheetName val="ExRate"/>
      <sheetName val="Résultats"/>
      <sheetName val="银存A2-1"/>
      <sheetName val="FZ-2"/>
      <sheetName val="FZ-3往来"/>
      <sheetName val="Initial"/>
      <sheetName val="6414-2"/>
      <sheetName val="其他应收款－个人"/>
      <sheetName val="房产税"/>
      <sheetName val="Phase_II_steel_1000"/>
      <sheetName val="USCV3"/>
      <sheetName val="生產明細"/>
      <sheetName val="ce99"/>
      <sheetName val="E2.1.1-Fat 06.2006"/>
      <sheetName val="IC"/>
      <sheetName val="WC"/>
      <sheetName val="net debt"/>
      <sheetName val="QoA(report)"/>
      <sheetName val="Financial highlight"/>
      <sheetName val="earn out"/>
      <sheetName val="Foreign Deferred Rollforward"/>
      <sheetName val="1月1"/>
      <sheetName val="D-Cons"/>
      <sheetName val="08.8"/>
      <sheetName val="Jahresdurchschnittskurse GUV"/>
      <sheetName val="OtherKPI"/>
      <sheetName val="03 Price"/>
      <sheetName val="M1.1"/>
      <sheetName val="選項"/>
      <sheetName val="客户"/>
      <sheetName val="Step 5a (PO#1)"/>
      <sheetName val="Res.Autor.Motivo"/>
      <sheetName val="Res.Devolv.Motivo"/>
      <sheetName val="Revenue  (KL)"/>
      <sheetName val="B.0"/>
      <sheetName val="MIE2001"/>
      <sheetName val="MIE2002"/>
      <sheetName val="Wacc"/>
      <sheetName val="CF(con)"/>
      <sheetName val="IPS-1"/>
      <sheetName val="Template"/>
      <sheetName val="填表单位"/>
      <sheetName val="GAAP adjustment"/>
      <sheetName val="HH"/>
      <sheetName val="cutoff04Jan"/>
      <sheetName val="EcoIndic"/>
      <sheetName val="低值品"/>
      <sheetName val="Aging analysis"/>
      <sheetName val="General Info"/>
      <sheetName val="Current month"/>
      <sheetName val="数字视频并帐"/>
      <sheetName val="MN T.B."/>
      <sheetName val="基本資料"/>
      <sheetName val="基本情况"/>
      <sheetName val="Summary (Wuhan)"/>
      <sheetName val="UserInput"/>
      <sheetName val="_2590"/>
      <sheetName val="_2642"/>
      <sheetName val="_2647"/>
      <sheetName val="ACUMain"/>
      <sheetName val="Combine BS"/>
      <sheetName val="Combine I&amp;E"/>
      <sheetName val="PDP Assumptions"/>
      <sheetName val="Fx8576d 20050630"/>
      <sheetName val="Timeband"/>
      <sheetName val="XpertInt"/>
      <sheetName val="Monthly"/>
      <sheetName val="Tax Computation (1)"/>
      <sheetName val="Depn Allowance (2)"/>
      <sheetName val="(1)Global Properties"/>
      <sheetName val="21710103"/>
      <sheetName val="2171010501"/>
      <sheetName val="2171010502"/>
      <sheetName val="217102"/>
      <sheetName val="Financial Statement"/>
      <sheetName val="Subscriber(total)"/>
      <sheetName val="Mix(early bird)"/>
      <sheetName val="Mix(original)"/>
      <sheetName val="Mix(promotion)"/>
      <sheetName val="Mix(super discount)"/>
      <sheetName val="Mix(wholesale)"/>
      <sheetName val="Tariff(early bird)"/>
      <sheetName val="Tariff(original)"/>
      <sheetName val="Tariff(promotion)"/>
      <sheetName val="Tariff(super discount)"/>
      <sheetName val="Tariff(wholesale)"/>
      <sheetName val="A3_影视技术"/>
      <sheetName val="Final Review"/>
      <sheetName val="TGS-TP"/>
      <sheetName val="1. Data Entry Sales, AL2"/>
      <sheetName val="Uexp财务费用BKD"/>
      <sheetName val="T2ItemName"/>
      <sheetName val="T3DepthStuctureName"/>
      <sheetName val="GP1 bridge"/>
      <sheetName val="GL1"/>
      <sheetName val="SCG"/>
      <sheetName val="KE30"/>
      <sheetName val="總計(按月份)"/>
      <sheetName val="Help2"/>
      <sheetName val="HELP1"/>
      <sheetName val="Est"/>
      <sheetName val="清单12.31"/>
      <sheetName val="Formules"/>
      <sheetName val="Detail_坏账测算"/>
      <sheetName val="U210"/>
      <sheetName val="K.03.1 折旧测试"/>
      <sheetName val="PL Duke - June"/>
      <sheetName val="Text"/>
      <sheetName val="Simu &amp; Ass"/>
      <sheetName val="K101_2023"/>
      <sheetName val="For AFS 固定资产2024"/>
      <sheetName val="人民币"/>
      <sheetName val="美元"/>
      <sheetName val="6月收入预测"/>
      <sheetName val="Deferred Tax"/>
      <sheetName val="Total Detail"/>
      <sheetName val="MAIN RECON TEMPLATE"/>
      <sheetName val="130.95 Polybus-南通實(OK)"/>
      <sheetName val="Datos Entrada"/>
      <sheetName val="Datos de entrada"/>
      <sheetName val="Definition"/>
      <sheetName val="372A-1固定资产折旧测算"/>
      <sheetName val="M"/>
      <sheetName val="1-12科目余额表"/>
      <sheetName val="11-12月科目余额表"/>
      <sheetName val="12.31固定资产清单"/>
      <sheetName val="预付11-12"/>
      <sheetName val="在建工程Mx"/>
      <sheetName val="2007年度"/>
      <sheetName val="001Disclosure Summary"/>
      <sheetName val="5 Analysis"/>
      <sheetName val="PPHE"/>
      <sheetName val="Manual Price Book Detail"/>
      <sheetName val="Vendavo 12-17-07"/>
      <sheetName val="江苏应收账款"/>
      <sheetName val="BKD香港"/>
      <sheetName val="BKD岳阳"/>
      <sheetName val="Margins"/>
      <sheetName val="E100_医疗板块1231"/>
      <sheetName val="G2 Lead"/>
      <sheetName val="O5 Lead"/>
      <sheetName val="O5-4  Lead"/>
      <sheetName val="M3.1 Leadsheet_LT Loan"/>
      <sheetName val="U210' "/>
      <sheetName val="科目列表其中项"/>
      <sheetName val="币种其中项"/>
      <sheetName val="自定义一列表"/>
      <sheetName val="自定义二列表"/>
      <sheetName val="其中项及原币调整"/>
      <sheetName val="基础表"/>
      <sheetName val="_______"/>
      <sheetName val="核算项目余额表"/>
      <sheetName val="控制清单"/>
      <sheetName val="Properties"/>
      <sheetName val="DLCD"/>
      <sheetName val="Working Capital "/>
      <sheetName val="隐藏页"/>
      <sheetName val="基本信息"/>
      <sheetName val="银行存款"/>
      <sheetName val="Prefinal-LT Prepaid "/>
      <sheetName val="Revised Trade Shows"/>
      <sheetName val="项目部经营情况表"/>
      <sheetName val="average price"/>
      <sheetName val="05年预售率"/>
      <sheetName val="2006年宏观调控对绿城的影响"/>
      <sheetName val="SZ3"/>
      <sheetName val="AL"/>
      <sheetName val="CRV"/>
      <sheetName val="FO"/>
      <sheetName val="JUU"/>
      <sheetName val="S30"/>
      <sheetName val="S0A"/>
      <sheetName val="S0D"/>
      <sheetName val="S3N"/>
      <sheetName val="部品名"/>
      <sheetName val="ＢＭＰ塗装直材"/>
      <sheetName val="A310_UFAS_利润表"/>
      <sheetName val="A310_UFS_利润表"/>
      <sheetName val="1201"/>
      <sheetName val="Income tax reconciliation"/>
      <sheetName val="资产清单"/>
      <sheetName val="MetaData"/>
      <sheetName val="TB of Head office"/>
      <sheetName val="Peso"/>
      <sheetName val="MCIT10_Tent"/>
      <sheetName val="April"/>
      <sheetName val="Augest"/>
      <sheetName val="Dec"/>
      <sheetName val="Feb"/>
      <sheetName val="July"/>
      <sheetName val="Mar"/>
      <sheetName val="May"/>
      <sheetName val="Nov"/>
      <sheetName val="Oct"/>
      <sheetName val="OH"/>
      <sheetName val="Sep"/>
      <sheetName val="jun94"/>
      <sheetName val="研发设备折旧"/>
      <sheetName val="ACE-OUT"/>
      <sheetName val="成本中心组织结构"/>
      <sheetName val="salary"/>
      <sheetName val="Common Assumptions"/>
      <sheetName val="Common Size Statements"/>
      <sheetName val="Data (2)"/>
      <sheetName val="F200存货盘点"/>
      <sheetName val="PM-TE(pre-final)"/>
      <sheetName val="定义"/>
      <sheetName val="CODES"/>
      <sheetName val="Aging List"/>
      <sheetName val="A上海龙工"/>
      <sheetName val="UF"/>
      <sheetName val="For report"/>
      <sheetName val="Reconcilation"/>
      <sheetName val="HK"/>
      <sheetName val="A5-GROUP"/>
      <sheetName val="Sheet16"/>
      <sheetName val="披露"/>
      <sheetName val="上海桥箱"/>
      <sheetName val="福建龙工"/>
      <sheetName val="上海龙工"/>
      <sheetName val="QUERY"/>
      <sheetName val="BIS LIST-NTH 18"/>
      <sheetName val="Financ. Overview"/>
      <sheetName val="报表标准名称"/>
      <sheetName val="Worksheet_in_5610_Property____3"/>
      <sheetName val="Worksheet_in_5610_Property____4"/>
      <sheetName val="摊销表"/>
      <sheetName val="维多利实收明细(05.1-4)"/>
      <sheetName val="Parc. de ICMS"/>
      <sheetName val="1000"/>
      <sheetName val="3000"/>
      <sheetName val="4000"/>
      <sheetName val="PRC Consol"/>
      <sheetName val="_003.3固定资产"/>
      <sheetName val="002利润表(调整后)"/>
      <sheetName val="附件1：经营租赁信息统计表-需更新"/>
      <sheetName val="调整汇总AJE&amp;RJE"/>
      <sheetName val="A5_54福建闽东南 20250930"/>
      <sheetName val="A5 54福建闽东南  20250930-EY"/>
      <sheetName val="2010.9"/>
      <sheetName val="2009.9"/>
      <sheetName val="合并附注"/>
      <sheetName val="2货站"/>
      <sheetName val="明细账"/>
      <sheetName val="2"/>
      <sheetName val="intbutot wksheet current"/>
      <sheetName val="1996"/>
      <sheetName val="数量对比"/>
      <sheetName val="option"/>
      <sheetName val="Tab"/>
      <sheetName val="0101主料"/>
      <sheetName val="0102中草药"/>
      <sheetName val="0104燃料"/>
      <sheetName val="0106备品备件"/>
      <sheetName val="0109辅料"/>
      <sheetName val="0110化剂"/>
      <sheetName val="0112气体"/>
      <sheetName val="0206标签"/>
      <sheetName val="0207纸箱纸盒"/>
      <sheetName val="0208瓶类"/>
      <sheetName val="0302办公用品"/>
      <sheetName val="0303工具"/>
      <sheetName val="0304玻璃仪器"/>
      <sheetName val="0399其他材料"/>
      <sheetName val="05自制半成品"/>
      <sheetName val="CQFMA"/>
      <sheetName val="OP Assets"/>
      <sheetName val="_102中草药"/>
      <sheetName val="_104燃料"/>
      <sheetName val="_106备品备件"/>
      <sheetName val="_108劳保"/>
      <sheetName val="_109辅料"/>
      <sheetName val="_110化剂"/>
      <sheetName val="_112气体"/>
      <sheetName val="_206标签"/>
      <sheetName val="_207纸箱纸盒"/>
      <sheetName val="_208瓶类"/>
      <sheetName val="_302办公用品"/>
      <sheetName val="_303工具"/>
      <sheetName val="_304玻璃仪器"/>
      <sheetName val="_399其他材料"/>
      <sheetName val="_4产成品"/>
      <sheetName val="_5自制半成品"/>
      <sheetName val="478 - Subledger balance"/>
      <sheetName val="SubAlloc"/>
      <sheetName val="PH_BAL"/>
      <sheetName val="Third party"/>
      <sheetName val="应交税费审定表"/>
      <sheetName val="COO2"/>
      <sheetName val="AcctMgt"/>
      <sheetName val="Creative"/>
      <sheetName val="Hotmedia2"/>
      <sheetName val="m2"/>
      <sheetName val="PR2"/>
      <sheetName val="sales2"/>
      <sheetName val="1_Support"/>
      <sheetName val="Tax computation"/>
      <sheetName val="01 RM and PM"/>
      <sheetName val="Cash Flow Working"/>
      <sheetName val="Int. Rate Data"/>
      <sheetName val="0521"/>
      <sheetName val="Research Est."/>
      <sheetName val="Share Stats"/>
      <sheetName val="Capitalization Tables"/>
      <sheetName val="DCF_NetCo"/>
      <sheetName val="DCF_RetailCo_NetCo"/>
      <sheetName val="DCF_SQ"/>
      <sheetName val="GP_Company_Info"/>
      <sheetName val="DCF_RetailCo_TowerCo"/>
      <sheetName val="DCF_TowerCo"/>
      <sheetName val="Model &gt;&gt;"/>
      <sheetName val="Synergy DCF"/>
      <sheetName val="Financials"/>
      <sheetName val="Share Price"/>
      <sheetName val="Descrip. &amp; Ownership"/>
      <sheetName val="KIS_Annual"/>
      <sheetName val="Summary Local"/>
      <sheetName val="Summary USD"/>
      <sheetName val="afsaddin_table_ids"/>
      <sheetName val="afsaddin_table_props"/>
      <sheetName val="afsaddin_table_vars"/>
      <sheetName val="A5"/>
      <sheetName val="afsaddin_sheetchange"/>
      <sheetName val="TowerCo Output"/>
      <sheetName val="itnernal sales"/>
      <sheetName val="Breakdown RMB"/>
      <sheetName val="101"/>
      <sheetName val="AUD_Rates"/>
      <sheetName val="dt"/>
      <sheetName val="Customer_Country"/>
      <sheetName val="F1存貨"/>
      <sheetName val="F2生物資產-流動"/>
      <sheetName val="G2預付款項"/>
      <sheetName val="G3待分配予業主之非流動資產(或處分群組)淨額"/>
      <sheetName val="G4待出售非流動資產"/>
      <sheetName val="G5其他流動資產"/>
      <sheetName val="D11透過損益按公允價值衡量之金融資產-非流動"/>
      <sheetName val="D12備供出售金融資產-非流動"/>
      <sheetName val="D13持有至到期日金融資產-非流動"/>
      <sheetName val="D1透過損益按公允價值衡量之金融資產-流動"/>
      <sheetName val="S2避險之衍生金融資產-非流動"/>
      <sheetName val="D16無活絡市場之債券投資-非流動"/>
      <sheetName val="L1無形資產"/>
      <sheetName val="F3生物資產-非流動"/>
      <sheetName val="O2遞延所得稅資產"/>
      <sheetName val="D2備供出售金融資產-流動"/>
      <sheetName val="L2有形探勘及評估資產"/>
      <sheetName val="M1短期借款"/>
      <sheetName val="M2應付短期票券"/>
      <sheetName val="M3透過損益按公允價值衡量之金融負債-流動"/>
      <sheetName val="S3避險之衍生金融負債-流動"/>
      <sheetName val="S4以成本衡量之金融負債-流動"/>
      <sheetName val="N應付票據及帳款"/>
      <sheetName val="P1其他應付款"/>
      <sheetName val="P2負債準備-流動"/>
      <sheetName val="P3與待出售非流動資產直接相關之負債"/>
      <sheetName val="P4其他流動負債"/>
      <sheetName val="M5一年或一營業週期內到期長期負債"/>
      <sheetName val="M6特別股負債-流動"/>
      <sheetName val="S5避險之衍生金融負債-非流動"/>
      <sheetName val="S6以成本衡量之金融負債-非流動"/>
      <sheetName val="Q4應付公司債"/>
      <sheetName val="Q5長期借款"/>
      <sheetName val="P11負債準備-非流動"/>
      <sheetName val="O4遞延所得稅負債"/>
      <sheetName val="P12其他非流動負債"/>
      <sheetName val="T10股本"/>
      <sheetName val="T11資本公積"/>
      <sheetName val="T13其他權益"/>
      <sheetName val="VA營業成本"/>
      <sheetName val="I聯屬公司間未實現利益"/>
      <sheetName val="D5以成本衡量之金融資產-流動"/>
      <sheetName val="VA10製造費用"/>
      <sheetName val="VA20維修成本"/>
      <sheetName val="VC1推銷費用"/>
      <sheetName val="VD1管理費用"/>
      <sheetName val="VD2研究發展費用"/>
      <sheetName val="VD3其他費用"/>
      <sheetName val="UB10其他收益"/>
      <sheetName val="VD10其他費損"/>
      <sheetName val="D6無活絡市場之債券投資-流動"/>
      <sheetName val="UB20其他收入"/>
      <sheetName val="UB31其他利益"/>
      <sheetName val="VE財務成本"/>
      <sheetName val="UB40採用權益法之關聯企業及合資損益之份額"/>
      <sheetName val="UB50採用權益法之子公司、關聯企業及合資損益之份額"/>
      <sheetName val="O3當期所得稅負債"/>
      <sheetName val="VD40停業單位損益"/>
      <sheetName val="E應收票據及帳款"/>
      <sheetName val="G1其他應收款"/>
      <sheetName val="mutacao"/>
      <sheetName val="PL - For report"/>
      <sheetName val="Movement-上海"/>
      <sheetName val="Dic"/>
      <sheetName val="2002 Intra-group CA"/>
      <sheetName val="26301 Cost Summary"/>
      <sheetName val="7.2化学内部关联交易额"/>
      <sheetName val="차액보증"/>
      <sheetName val="IBD"/>
      <sheetName val="交行定期存款户"/>
      <sheetName val="初始设定"/>
      <sheetName val="Bookings-summary"/>
      <sheetName val="T.B."/>
      <sheetName val="DPL"/>
      <sheetName val="OE Daniel"/>
      <sheetName val="Equity"/>
      <sheetName val="AFA_O.A.B"/>
      <sheetName val="4-6生产"/>
      <sheetName val="4-6生产入库"/>
      <sheetName val="4-6销售出库"/>
      <sheetName val="7-9销售出库"/>
      <sheetName val="7-9生产零用"/>
      <sheetName val="7-9生产入库"/>
      <sheetName val="P6 Fab_PO_IN"/>
      <sheetName val="R&amp;EAMT"/>
      <sheetName val="短期投资"/>
      <sheetName val="Disposals"/>
      <sheetName val="预提费用"/>
      <sheetName val="PLANBILANZ-BEWEGUNGSBILANZ"/>
      <sheetName val="OR Breakdown"/>
      <sheetName val="项目定义"/>
      <sheetName val="收入客户明细表"/>
      <sheetName val="现金流量明细表"/>
      <sheetName val="Consolidation"/>
      <sheetName val="Elimination"/>
      <sheetName val="U1 Lead Sheet"/>
      <sheetName val="附件四  第三方后台收集信息表"/>
      <sheetName val="过不足"/>
      <sheetName val="UFPrn20031203195053"/>
      <sheetName val="Aac TB"/>
      <sheetName val="범한여행"/>
      <sheetName val="C_flow 95"/>
      <sheetName val="公司及项目02"/>
      <sheetName val="资07"/>
      <sheetName val="坏帐准备"/>
      <sheetName val="J412"/>
      <sheetName val="產成品收發明細表5"/>
      <sheetName val="Q.01 Breakdown"/>
      <sheetName val="Ark"/>
      <sheetName val="K.01.1 BKD"/>
      <sheetName val="Drop Down"/>
      <sheetName val="LK01"/>
      <sheetName val="L100100"/>
      <sheetName val="A3_菲仕绿能小合并"/>
      <sheetName val="Sample design - 2005"/>
      <sheetName val="STOCKGRGIDATA"/>
      <sheetName val="花名册隐藏下拉框"/>
      <sheetName val="考察报告"/>
      <sheetName val="三方评价"/>
      <sheetName val="证书资料等"/>
      <sheetName val="CW08"/>
      <sheetName val="#BEZUG"/>
      <sheetName val="EBITDA Cause of Change"/>
      <sheetName val="Margin Cause of Change by Cat"/>
      <sheetName val="ST Bericht"/>
      <sheetName val="J1-4002"/>
      <sheetName val="Control Sheet"/>
      <sheetName val="UFPrn20050928093916"/>
      <sheetName val="3월연장근무"/>
      <sheetName val="AP graph"/>
      <sheetName val="FF-1"/>
      <sheetName val="APCODE"/>
      <sheetName val="H400"/>
      <sheetName val="Mp-team 1"/>
      <sheetName val="本部-年初"/>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sheetData sheetId="1318"/>
      <sheetData sheetId="1319"/>
      <sheetData sheetId="1320"/>
      <sheetData sheetId="1321"/>
      <sheetData sheetId="1322"/>
      <sheetData sheetId="1323"/>
      <sheetData sheetId="1324"/>
      <sheetData sheetId="1325"/>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sheetData sheetId="1829"/>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sheetData sheetId="1977"/>
      <sheetData sheetId="1978"/>
      <sheetData sheetId="1979"/>
      <sheetData sheetId="1980"/>
      <sheetData sheetId="1981"/>
      <sheetData sheetId="1982"/>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sheetData sheetId="2315"/>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sheetData sheetId="2384"/>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sheetData sheetId="2579"/>
      <sheetData sheetId="2580"/>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A3"/>
      <sheetName val="A5"/>
      <sheetName val="TB1231"/>
      <sheetName val="TB0930"/>
      <sheetName val="TB0630"/>
    </sheetNames>
    <sheetDataSet>
      <sheetData sheetId="0">
        <row r="35">
          <cell r="F35">
            <v>3932426.08</v>
          </cell>
        </row>
        <row r="35">
          <cell r="AT35">
            <v>5014838.67217014</v>
          </cell>
        </row>
      </sheetData>
      <sheetData sheetId="1"/>
      <sheetData sheetId="2"/>
      <sheetData sheetId="3"/>
      <sheetData sheetId="4"/>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A3"/>
      <sheetName val="A5"/>
      <sheetName val="TB1231"/>
      <sheetName val="TB0930"/>
      <sheetName val="TB0630"/>
    </sheetNames>
    <sheetDataSet>
      <sheetData sheetId="0">
        <row r="35">
          <cell r="AQ35">
            <v>3873070.14217014</v>
          </cell>
        </row>
      </sheetData>
      <sheetData sheetId="1"/>
      <sheetData sheetId="2"/>
      <sheetData sheetId="3"/>
      <sheetData sheetId="4"/>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汇总"/>
      <sheetName val="K.00 Lead"/>
      <sheetName val="K1_400折旧测试"/>
      <sheetName val="K.01.1 BKD"/>
      <sheetName val="K.01.1a FA list"/>
      <sheetName val="K.02.1 新增测试"/>
      <sheetName val="K.02.1a 选样输出"/>
      <sheetName val="K.02.1b 新增清单"/>
      <sheetName val="K.02.2 处置测试"/>
      <sheetName val="K.02.2a 选样输出（处置）"/>
      <sheetName val="SkywindSettingSheet"/>
      <sheetName val="K.02.2b 处置清单"/>
      <sheetName val="DS_INTERNAL_SETTINGS_STORAGE"/>
      <sheetName val="DS_INTERNAL_DOCGROUP_STORAGE"/>
      <sheetName val="DS_INTERNAL_DOCUMENT_STORAGE"/>
      <sheetName val="DS_INTERNAL_SNIP_STORAGE"/>
    </sheetNames>
    <sheetDataSet>
      <sheetData sheetId="0"/>
      <sheetData sheetId="1"/>
      <sheetData sheetId="2"/>
      <sheetData sheetId="3">
        <row r="17">
          <cell r="G17" t="str">
            <v>办公设备</v>
          </cell>
        </row>
        <row r="17">
          <cell r="J17" t="str">
            <v>电子设备</v>
          </cell>
        </row>
        <row r="17">
          <cell r="M17" t="str">
            <v>仪器设备</v>
          </cell>
        </row>
        <row r="17">
          <cell r="P17" t="str">
            <v>其他设备</v>
          </cell>
        </row>
        <row r="17">
          <cell r="S17" t="str">
            <v>运输工具</v>
          </cell>
        </row>
        <row r="37">
          <cell r="F37">
            <v>0</v>
          </cell>
        </row>
        <row r="37">
          <cell r="I37">
            <v>0</v>
          </cell>
        </row>
        <row r="37">
          <cell r="L37">
            <v>0</v>
          </cell>
        </row>
        <row r="37">
          <cell r="O37">
            <v>0</v>
          </cell>
        </row>
        <row r="37">
          <cell r="R37">
            <v>0</v>
          </cell>
        </row>
      </sheetData>
      <sheetData sheetId="4">
        <row r="22">
          <cell r="D22" t="str">
            <v>01-02-0063</v>
          </cell>
        </row>
        <row r="22">
          <cell r="M22">
            <v>6992</v>
          </cell>
        </row>
        <row r="23">
          <cell r="D23" t="str">
            <v>01-02-0064</v>
          </cell>
        </row>
        <row r="23">
          <cell r="M23">
            <v>3857</v>
          </cell>
        </row>
        <row r="24">
          <cell r="D24" t="str">
            <v>01-02-0065</v>
          </cell>
        </row>
        <row r="24">
          <cell r="M24">
            <v>2650.5</v>
          </cell>
        </row>
        <row r="25">
          <cell r="D25" t="str">
            <v>01-02-0066</v>
          </cell>
        </row>
        <row r="25">
          <cell r="M25">
            <v>3800</v>
          </cell>
        </row>
        <row r="26">
          <cell r="D26" t="str">
            <v>020056</v>
          </cell>
        </row>
        <row r="26">
          <cell r="M26">
            <v>13603.2</v>
          </cell>
        </row>
        <row r="27">
          <cell r="D27" t="str">
            <v>020057</v>
          </cell>
        </row>
        <row r="27">
          <cell r="M27">
            <v>6672</v>
          </cell>
        </row>
        <row r="28">
          <cell r="D28" t="str">
            <v>020058</v>
          </cell>
        </row>
        <row r="28">
          <cell r="M28">
            <v>15360</v>
          </cell>
        </row>
        <row r="29">
          <cell r="D29" t="str">
            <v>020059</v>
          </cell>
        </row>
        <row r="29">
          <cell r="M29">
            <v>8530.56</v>
          </cell>
        </row>
        <row r="30">
          <cell r="D30" t="str">
            <v>020060</v>
          </cell>
        </row>
        <row r="30">
          <cell r="M30">
            <v>4224</v>
          </cell>
        </row>
        <row r="31">
          <cell r="D31" t="str">
            <v>020061</v>
          </cell>
        </row>
        <row r="31">
          <cell r="M31">
            <v>2280</v>
          </cell>
        </row>
        <row r="32">
          <cell r="D32" t="str">
            <v>020062</v>
          </cell>
        </row>
        <row r="32">
          <cell r="M32">
            <v>2470</v>
          </cell>
        </row>
        <row r="33">
          <cell r="D33" t="str">
            <v>030001</v>
          </cell>
        </row>
        <row r="33">
          <cell r="M33">
            <v>11512.32</v>
          </cell>
        </row>
        <row r="34">
          <cell r="D34" t="str">
            <v>030002</v>
          </cell>
        </row>
        <row r="34">
          <cell r="M34">
            <v>6333.12</v>
          </cell>
        </row>
        <row r="35">
          <cell r="D35" t="str">
            <v>030003</v>
          </cell>
        </row>
        <row r="35">
          <cell r="M35">
            <v>1497.6</v>
          </cell>
        </row>
        <row r="36">
          <cell r="D36" t="str">
            <v>030004</v>
          </cell>
        </row>
        <row r="36">
          <cell r="M36">
            <v>16121.28</v>
          </cell>
        </row>
        <row r="37">
          <cell r="D37" t="str">
            <v>030005</v>
          </cell>
        </row>
        <row r="37">
          <cell r="M37">
            <v>1439.04</v>
          </cell>
        </row>
        <row r="38">
          <cell r="D38" t="str">
            <v>030006</v>
          </cell>
        </row>
        <row r="38">
          <cell r="M38">
            <v>1151.04</v>
          </cell>
        </row>
        <row r="39">
          <cell r="D39" t="str">
            <v>030007</v>
          </cell>
        </row>
        <row r="39">
          <cell r="M39">
            <v>1954.56</v>
          </cell>
        </row>
        <row r="40">
          <cell r="D40" t="str">
            <v>030008</v>
          </cell>
        </row>
        <row r="40">
          <cell r="M40">
            <v>2016</v>
          </cell>
        </row>
        <row r="41">
          <cell r="D41" t="str">
            <v>030009</v>
          </cell>
        </row>
        <row r="41">
          <cell r="M41">
            <v>1872</v>
          </cell>
        </row>
        <row r="42">
          <cell r="D42" t="str">
            <v>030011</v>
          </cell>
        </row>
        <row r="42">
          <cell r="M42">
            <v>0</v>
          </cell>
        </row>
        <row r="43">
          <cell r="D43" t="str">
            <v>030012</v>
          </cell>
        </row>
        <row r="43">
          <cell r="M43">
            <v>7200</v>
          </cell>
        </row>
        <row r="44">
          <cell r="D44" t="str">
            <v>030013</v>
          </cell>
        </row>
        <row r="44">
          <cell r="M44">
            <v>1152</v>
          </cell>
        </row>
        <row r="45">
          <cell r="D45" t="str">
            <v>030014</v>
          </cell>
        </row>
        <row r="45">
          <cell r="M45">
            <v>854.4</v>
          </cell>
        </row>
        <row r="46">
          <cell r="D46" t="str">
            <v>030015</v>
          </cell>
        </row>
        <row r="46">
          <cell r="M46">
            <v>1603.2</v>
          </cell>
        </row>
        <row r="47">
          <cell r="D47" t="str">
            <v>030016</v>
          </cell>
        </row>
        <row r="47">
          <cell r="M47">
            <v>854.4</v>
          </cell>
        </row>
        <row r="48">
          <cell r="D48" t="str">
            <v>030017</v>
          </cell>
        </row>
        <row r="48">
          <cell r="M48">
            <v>1872</v>
          </cell>
        </row>
        <row r="49">
          <cell r="D49" t="str">
            <v>030018</v>
          </cell>
        </row>
        <row r="49">
          <cell r="M49">
            <v>30240</v>
          </cell>
        </row>
        <row r="50">
          <cell r="D50" t="str">
            <v>030019</v>
          </cell>
        </row>
        <row r="50">
          <cell r="M50">
            <v>2496</v>
          </cell>
        </row>
        <row r="51">
          <cell r="D51" t="str">
            <v>030020</v>
          </cell>
        </row>
        <row r="51">
          <cell r="M51">
            <v>5236.8</v>
          </cell>
        </row>
        <row r="52">
          <cell r="D52" t="str">
            <v>030021</v>
          </cell>
        </row>
        <row r="52">
          <cell r="M52">
            <v>7104</v>
          </cell>
        </row>
        <row r="53">
          <cell r="D53" t="str">
            <v>030022</v>
          </cell>
        </row>
        <row r="53">
          <cell r="M53">
            <v>2160</v>
          </cell>
        </row>
        <row r="54">
          <cell r="D54" t="str">
            <v>030023</v>
          </cell>
        </row>
        <row r="54">
          <cell r="M54">
            <v>6100.8</v>
          </cell>
        </row>
        <row r="55">
          <cell r="D55" t="str">
            <v>030024</v>
          </cell>
        </row>
        <row r="55">
          <cell r="M55">
            <v>3263.04</v>
          </cell>
        </row>
        <row r="56">
          <cell r="D56" t="str">
            <v>030025</v>
          </cell>
        </row>
        <row r="56">
          <cell r="M56">
            <v>8304</v>
          </cell>
        </row>
        <row r="57">
          <cell r="D57" t="str">
            <v>030026</v>
          </cell>
        </row>
        <row r="57">
          <cell r="M57">
            <v>65280</v>
          </cell>
        </row>
        <row r="58">
          <cell r="D58" t="str">
            <v>030027</v>
          </cell>
        </row>
        <row r="58">
          <cell r="M58">
            <v>56273.28</v>
          </cell>
        </row>
        <row r="59">
          <cell r="D59" t="str">
            <v>030028</v>
          </cell>
        </row>
        <row r="59">
          <cell r="M59">
            <v>168000</v>
          </cell>
        </row>
        <row r="60">
          <cell r="D60" t="str">
            <v>030029</v>
          </cell>
        </row>
        <row r="60">
          <cell r="M60">
            <v>3071.04</v>
          </cell>
        </row>
        <row r="61">
          <cell r="D61" t="str">
            <v>030030</v>
          </cell>
        </row>
        <row r="61">
          <cell r="M61">
            <v>1620.48</v>
          </cell>
        </row>
        <row r="62">
          <cell r="D62" t="str">
            <v>030031</v>
          </cell>
        </row>
        <row r="62">
          <cell r="M62">
            <v>2495.04</v>
          </cell>
        </row>
        <row r="63">
          <cell r="D63" t="str">
            <v>030032</v>
          </cell>
        </row>
        <row r="63">
          <cell r="M63">
            <v>5145.6</v>
          </cell>
        </row>
        <row r="64">
          <cell r="D64" t="str">
            <v>030033</v>
          </cell>
        </row>
        <row r="64">
          <cell r="M64">
            <v>5035</v>
          </cell>
        </row>
        <row r="65">
          <cell r="D65" t="str">
            <v>030035</v>
          </cell>
        </row>
        <row r="65">
          <cell r="M65">
            <v>5937.5</v>
          </cell>
        </row>
        <row r="66">
          <cell r="D66" t="str">
            <v>030036</v>
          </cell>
        </row>
        <row r="66">
          <cell r="M66">
            <v>4940</v>
          </cell>
        </row>
        <row r="67">
          <cell r="D67" t="str">
            <v>WANGLUOBU0514201703</v>
          </cell>
        </row>
        <row r="67">
          <cell r="M67">
            <v>1757.5</v>
          </cell>
        </row>
        <row r="68">
          <cell r="D68" t="str">
            <v>YIWUKE0513201703</v>
          </cell>
        </row>
        <row r="68">
          <cell r="M68">
            <v>1805</v>
          </cell>
        </row>
        <row r="69">
          <cell r="D69" t="str">
            <v>01-02-0068</v>
          </cell>
        </row>
        <row r="69">
          <cell r="M69">
            <v>61302.45</v>
          </cell>
        </row>
        <row r="70">
          <cell r="D70" t="str">
            <v>01-02-0069</v>
          </cell>
        </row>
        <row r="70">
          <cell r="M70">
            <v>20743.41</v>
          </cell>
        </row>
        <row r="71">
          <cell r="D71" t="str">
            <v>01-02-0070</v>
          </cell>
        </row>
        <row r="71">
          <cell r="M71">
            <v>1414.28</v>
          </cell>
        </row>
        <row r="72">
          <cell r="D72" t="str">
            <v>01-02-0071</v>
          </cell>
        </row>
        <row r="72">
          <cell r="M72">
            <v>700.56</v>
          </cell>
        </row>
        <row r="73">
          <cell r="D73" t="str">
            <v>01-02-0072</v>
          </cell>
        </row>
        <row r="73">
          <cell r="M73">
            <v>3483.2</v>
          </cell>
        </row>
        <row r="74">
          <cell r="D74" t="str">
            <v>01-02-0073</v>
          </cell>
        </row>
        <row r="74">
          <cell r="M74">
            <v>2111.94</v>
          </cell>
        </row>
        <row r="75">
          <cell r="D75" t="str">
            <v>01-03-0001</v>
          </cell>
        </row>
        <row r="75">
          <cell r="M75">
            <v>3027.92</v>
          </cell>
        </row>
        <row r="76">
          <cell r="D76" t="str">
            <v>01-03-0002</v>
          </cell>
        </row>
        <row r="76">
          <cell r="M76">
            <v>738.08</v>
          </cell>
        </row>
        <row r="77">
          <cell r="D77" t="str">
            <v>01-03-0003</v>
          </cell>
        </row>
        <row r="77">
          <cell r="M77">
            <v>41030.64</v>
          </cell>
        </row>
        <row r="78">
          <cell r="D78" t="str">
            <v>01-02-0067</v>
          </cell>
        </row>
        <row r="78">
          <cell r="M78">
            <v>1553.82</v>
          </cell>
        </row>
        <row r="79">
          <cell r="D79" t="str">
            <v>01-02-0074</v>
          </cell>
        </row>
        <row r="79">
          <cell r="M79">
            <v>4893.98</v>
          </cell>
        </row>
        <row r="80">
          <cell r="D80" t="str">
            <v>01-02-0075</v>
          </cell>
        </row>
        <row r="80">
          <cell r="M80">
            <v>6669</v>
          </cell>
        </row>
        <row r="81">
          <cell r="D81" t="str">
            <v>01-02-0076</v>
          </cell>
        </row>
        <row r="81">
          <cell r="M81">
            <v>1482</v>
          </cell>
        </row>
        <row r="82">
          <cell r="D82" t="str">
            <v>01-02-0077</v>
          </cell>
        </row>
        <row r="82">
          <cell r="M82">
            <v>10093.75</v>
          </cell>
        </row>
        <row r="83">
          <cell r="D83" t="str">
            <v>01-02-0078</v>
          </cell>
        </row>
        <row r="83">
          <cell r="M83">
            <v>2454.25</v>
          </cell>
        </row>
        <row r="84">
          <cell r="D84" t="str">
            <v>01-02-0079</v>
          </cell>
        </row>
        <row r="84">
          <cell r="M84">
            <v>1148</v>
          </cell>
        </row>
        <row r="85">
          <cell r="D85" t="str">
            <v>01-02-0080</v>
          </cell>
        </row>
        <row r="85">
          <cell r="M85">
            <v>673</v>
          </cell>
        </row>
        <row r="86">
          <cell r="D86" t="str">
            <v>01-02-0081</v>
          </cell>
        </row>
        <row r="86">
          <cell r="M86">
            <v>646.08</v>
          </cell>
        </row>
        <row r="87">
          <cell r="D87" t="str">
            <v>01-02-0082</v>
          </cell>
        </row>
        <row r="87">
          <cell r="M87">
            <v>2584.08</v>
          </cell>
        </row>
        <row r="88">
          <cell r="D88" t="str">
            <v>01-02-0083</v>
          </cell>
        </row>
        <row r="88">
          <cell r="M88">
            <v>4803.12</v>
          </cell>
        </row>
        <row r="89">
          <cell r="D89" t="str">
            <v>01-02-0084</v>
          </cell>
        </row>
        <row r="89">
          <cell r="M89">
            <v>2804.4</v>
          </cell>
        </row>
        <row r="90">
          <cell r="D90" t="str">
            <v>01-02-0086</v>
          </cell>
        </row>
        <row r="90">
          <cell r="M90">
            <v>3078</v>
          </cell>
        </row>
        <row r="91">
          <cell r="D91" t="str">
            <v>01-02-0087</v>
          </cell>
        </row>
        <row r="91">
          <cell r="M91">
            <v>4180.08</v>
          </cell>
        </row>
        <row r="92">
          <cell r="D92" t="str">
            <v>01-03-0004</v>
          </cell>
        </row>
        <row r="92">
          <cell r="M92">
            <v>1208.13</v>
          </cell>
        </row>
        <row r="93">
          <cell r="D93" t="str">
            <v>01-04-0001</v>
          </cell>
        </row>
        <row r="93">
          <cell r="M93">
            <v>6240</v>
          </cell>
        </row>
        <row r="94">
          <cell r="D94" t="str">
            <v>01-04-0002</v>
          </cell>
        </row>
        <row r="94">
          <cell r="M94">
            <v>21812</v>
          </cell>
        </row>
        <row r="95">
          <cell r="D95" t="str">
            <v>01-04-0003</v>
          </cell>
        </row>
        <row r="95">
          <cell r="M95">
            <v>5224.05</v>
          </cell>
        </row>
        <row r="96">
          <cell r="D96" t="str">
            <v>01-04-0004</v>
          </cell>
        </row>
        <row r="96">
          <cell r="M96">
            <v>6792.5</v>
          </cell>
        </row>
        <row r="97">
          <cell r="D97" t="str">
            <v>01-04-0005</v>
          </cell>
        </row>
        <row r="97">
          <cell r="M97">
            <v>2660</v>
          </cell>
        </row>
        <row r="98">
          <cell r="D98" t="str">
            <v>01-04-0006</v>
          </cell>
        </row>
        <row r="98">
          <cell r="M98">
            <v>2992.5</v>
          </cell>
        </row>
        <row r="99">
          <cell r="D99" t="str">
            <v>01-04-0007</v>
          </cell>
        </row>
        <row r="99">
          <cell r="M99">
            <v>5795</v>
          </cell>
        </row>
        <row r="100">
          <cell r="D100" t="str">
            <v>01-04-0008</v>
          </cell>
        </row>
        <row r="100">
          <cell r="M100">
            <v>6460</v>
          </cell>
        </row>
        <row r="101">
          <cell r="D101" t="str">
            <v>01-04-0009</v>
          </cell>
        </row>
        <row r="101">
          <cell r="M101">
            <v>2992.5</v>
          </cell>
        </row>
        <row r="102">
          <cell r="D102" t="str">
            <v>01-04-0011</v>
          </cell>
        </row>
        <row r="102">
          <cell r="M102">
            <v>2831</v>
          </cell>
        </row>
        <row r="103">
          <cell r="D103" t="str">
            <v>01-04-0015</v>
          </cell>
        </row>
        <row r="103">
          <cell r="M103">
            <v>5320</v>
          </cell>
        </row>
        <row r="104">
          <cell r="D104" t="str">
            <v>01-04-0016</v>
          </cell>
        </row>
        <row r="104">
          <cell r="M104">
            <v>5225</v>
          </cell>
        </row>
        <row r="105">
          <cell r="D105" t="str">
            <v>01-04-0017</v>
          </cell>
        </row>
        <row r="105">
          <cell r="M105">
            <v>5662</v>
          </cell>
        </row>
        <row r="106">
          <cell r="D106" t="str">
            <v>01-04-0018</v>
          </cell>
        </row>
        <row r="106">
          <cell r="M106">
            <v>2660</v>
          </cell>
        </row>
        <row r="107">
          <cell r="D107" t="str">
            <v>01-04-0019</v>
          </cell>
        </row>
        <row r="107">
          <cell r="M107">
            <v>2470</v>
          </cell>
        </row>
        <row r="108">
          <cell r="D108" t="str">
            <v>01-04-0020</v>
          </cell>
        </row>
        <row r="108">
          <cell r="M108">
            <v>2850</v>
          </cell>
        </row>
        <row r="109">
          <cell r="D109" t="str">
            <v>01-04-0021</v>
          </cell>
        </row>
        <row r="109">
          <cell r="M109">
            <v>2660</v>
          </cell>
        </row>
        <row r="110">
          <cell r="D110" t="str">
            <v>01-04-0023</v>
          </cell>
        </row>
        <row r="110">
          <cell r="M110">
            <v>3788.6</v>
          </cell>
        </row>
        <row r="111">
          <cell r="D111" t="str">
            <v>01-04-0024</v>
          </cell>
        </row>
        <row r="111">
          <cell r="M111">
            <v>2849.05</v>
          </cell>
        </row>
        <row r="112">
          <cell r="D112" t="str">
            <v>01-04-0025</v>
          </cell>
        </row>
        <row r="112">
          <cell r="M112">
            <v>5795</v>
          </cell>
        </row>
        <row r="113">
          <cell r="D113" t="str">
            <v>01-04-0026</v>
          </cell>
        </row>
        <row r="113">
          <cell r="M113">
            <v>2560.91</v>
          </cell>
        </row>
        <row r="114">
          <cell r="D114" t="str">
            <v>040001</v>
          </cell>
        </row>
        <row r="114">
          <cell r="M114">
            <v>2304</v>
          </cell>
        </row>
        <row r="115">
          <cell r="D115" t="str">
            <v>040007</v>
          </cell>
        </row>
        <row r="115">
          <cell r="M115">
            <v>5184</v>
          </cell>
        </row>
        <row r="116">
          <cell r="D116" t="str">
            <v>040008</v>
          </cell>
        </row>
        <row r="116">
          <cell r="M116">
            <v>44160</v>
          </cell>
        </row>
        <row r="117">
          <cell r="D117" t="str">
            <v>040010</v>
          </cell>
        </row>
        <row r="117">
          <cell r="M117">
            <v>4512</v>
          </cell>
        </row>
        <row r="118">
          <cell r="D118" t="str">
            <v>040012</v>
          </cell>
        </row>
        <row r="118">
          <cell r="M118">
            <v>3244.8</v>
          </cell>
        </row>
        <row r="119">
          <cell r="D119" t="str">
            <v>040013</v>
          </cell>
        </row>
        <row r="119">
          <cell r="M119">
            <v>23616</v>
          </cell>
        </row>
        <row r="120">
          <cell r="D120" t="str">
            <v>040015</v>
          </cell>
        </row>
        <row r="120">
          <cell r="M120">
            <v>6144</v>
          </cell>
        </row>
        <row r="121">
          <cell r="D121" t="str">
            <v>040021</v>
          </cell>
        </row>
        <row r="121">
          <cell r="M121">
            <v>22080</v>
          </cell>
        </row>
        <row r="122">
          <cell r="D122" t="str">
            <v>040022</v>
          </cell>
        </row>
        <row r="122">
          <cell r="M122">
            <v>49440</v>
          </cell>
        </row>
        <row r="123">
          <cell r="D123" t="str">
            <v>040023</v>
          </cell>
        </row>
        <row r="123">
          <cell r="M123">
            <v>8817.6</v>
          </cell>
        </row>
        <row r="124">
          <cell r="D124" t="str">
            <v>040025</v>
          </cell>
        </row>
        <row r="124">
          <cell r="M124">
            <v>0</v>
          </cell>
        </row>
        <row r="125">
          <cell r="D125" t="str">
            <v>040026</v>
          </cell>
        </row>
        <row r="125">
          <cell r="M125">
            <v>0</v>
          </cell>
        </row>
        <row r="126">
          <cell r="D126" t="str">
            <v>01-04-0027</v>
          </cell>
        </row>
        <row r="126">
          <cell r="M126">
            <v>5320</v>
          </cell>
        </row>
        <row r="127">
          <cell r="D127" t="str">
            <v>01-04-0028</v>
          </cell>
        </row>
        <row r="127">
          <cell r="M127">
            <v>3123.6</v>
          </cell>
        </row>
        <row r="128">
          <cell r="D128" t="str">
            <v>01-04-0029</v>
          </cell>
        </row>
        <row r="128">
          <cell r="M128">
            <v>9310</v>
          </cell>
        </row>
        <row r="129">
          <cell r="D129" t="str">
            <v>01-04-0030</v>
          </cell>
        </row>
        <row r="129">
          <cell r="M129">
            <v>4939.05</v>
          </cell>
        </row>
        <row r="130">
          <cell r="D130" t="str">
            <v>01-04-0031</v>
          </cell>
        </row>
        <row r="130">
          <cell r="M130">
            <v>9882.6</v>
          </cell>
        </row>
        <row r="131">
          <cell r="D131" t="str">
            <v>01-04-0032</v>
          </cell>
        </row>
        <row r="131">
          <cell r="M131">
            <v>5495.35</v>
          </cell>
        </row>
        <row r="132">
          <cell r="D132" t="str">
            <v>01-04-0033</v>
          </cell>
        </row>
        <row r="132">
          <cell r="M132">
            <v>20537.36</v>
          </cell>
        </row>
        <row r="133">
          <cell r="D133" t="str">
            <v>01-04-0034</v>
          </cell>
        </row>
        <row r="133">
          <cell r="M133">
            <v>11753.46</v>
          </cell>
        </row>
        <row r="134">
          <cell r="D134" t="str">
            <v>01-04-0036</v>
          </cell>
        </row>
        <row r="134">
          <cell r="M134">
            <v>6871.76</v>
          </cell>
        </row>
        <row r="135">
          <cell r="D135" t="str">
            <v>01-04-0037</v>
          </cell>
        </row>
        <row r="135">
          <cell r="M135">
            <v>3325</v>
          </cell>
        </row>
        <row r="136">
          <cell r="D136" t="str">
            <v>01-04-0038</v>
          </cell>
        </row>
        <row r="136">
          <cell r="M136">
            <v>3325</v>
          </cell>
        </row>
        <row r="137">
          <cell r="D137" t="str">
            <v>01-04-0039</v>
          </cell>
        </row>
        <row r="137">
          <cell r="M137">
            <v>3103.24</v>
          </cell>
        </row>
        <row r="138">
          <cell r="D138" t="str">
            <v>01-04-0040</v>
          </cell>
        </row>
        <row r="138">
          <cell r="M138">
            <v>1624.56</v>
          </cell>
        </row>
        <row r="139">
          <cell r="D139" t="str">
            <v>01-04-0041</v>
          </cell>
        </row>
        <row r="139">
          <cell r="M139">
            <v>2881.76</v>
          </cell>
        </row>
        <row r="140">
          <cell r="D140" t="str">
            <v>01-04-0042</v>
          </cell>
        </row>
        <row r="140">
          <cell r="M140">
            <v>1182.16</v>
          </cell>
        </row>
        <row r="141">
          <cell r="D141" t="str">
            <v>01-04-0043</v>
          </cell>
        </row>
        <row r="141">
          <cell r="M141">
            <v>2208.87</v>
          </cell>
        </row>
        <row r="142">
          <cell r="D142" t="str">
            <v>01-04-0035</v>
          </cell>
        </row>
        <row r="142">
          <cell r="M142">
            <v>2781.54</v>
          </cell>
        </row>
        <row r="143">
          <cell r="D143" t="str">
            <v>01-04-0044</v>
          </cell>
        </row>
        <row r="143">
          <cell r="M143">
            <v>2507</v>
          </cell>
        </row>
        <row r="144">
          <cell r="D144" t="str">
            <v>01-04-0045</v>
          </cell>
        </row>
        <row r="144">
          <cell r="M144">
            <v>1418.5</v>
          </cell>
        </row>
        <row r="145">
          <cell r="D145" t="str">
            <v>01-04-0046</v>
          </cell>
        </row>
        <row r="145">
          <cell r="M145">
            <v>1055.5</v>
          </cell>
        </row>
        <row r="146">
          <cell r="D146" t="str">
            <v>01-04-0047</v>
          </cell>
        </row>
        <row r="146">
          <cell r="M146">
            <v>14118</v>
          </cell>
        </row>
        <row r="147">
          <cell r="D147" t="str">
            <v>01-04-0048</v>
          </cell>
        </row>
        <row r="147">
          <cell r="M147">
            <v>2823.5</v>
          </cell>
        </row>
        <row r="148">
          <cell r="D148" t="str">
            <v>01-04-0049</v>
          </cell>
        </row>
        <row r="148">
          <cell r="M148">
            <v>5647.25</v>
          </cell>
        </row>
        <row r="149">
          <cell r="D149" t="str">
            <v>01-04-0050</v>
          </cell>
        </row>
        <row r="149">
          <cell r="M149">
            <v>19633.44</v>
          </cell>
        </row>
        <row r="150">
          <cell r="D150" t="str">
            <v>01-04-0051</v>
          </cell>
        </row>
        <row r="150">
          <cell r="M150">
            <v>1223.67</v>
          </cell>
        </row>
        <row r="151">
          <cell r="D151" t="str">
            <v>01-04-0052</v>
          </cell>
        </row>
        <row r="151">
          <cell r="M151">
            <v>1274.07</v>
          </cell>
        </row>
        <row r="152">
          <cell r="D152" t="str">
            <v>01-04-0053</v>
          </cell>
        </row>
        <row r="152">
          <cell r="M152">
            <v>7916.6</v>
          </cell>
        </row>
        <row r="153">
          <cell r="D153" t="str">
            <v>01-04-0054</v>
          </cell>
        </row>
        <row r="153">
          <cell r="M153">
            <v>939</v>
          </cell>
        </row>
        <row r="154">
          <cell r="D154" t="str">
            <v>01-04-0055</v>
          </cell>
        </row>
        <row r="154">
          <cell r="M154">
            <v>6080.04</v>
          </cell>
        </row>
        <row r="155">
          <cell r="D155" t="str">
            <v>01-04-0056</v>
          </cell>
        </row>
        <row r="155">
          <cell r="M155">
            <v>3324.96</v>
          </cell>
        </row>
        <row r="156">
          <cell r="D156" t="str">
            <v>01-05-0001</v>
          </cell>
        </row>
        <row r="156">
          <cell r="M156">
            <v>40850</v>
          </cell>
        </row>
        <row r="157">
          <cell r="D157" t="str">
            <v>01-05-0002</v>
          </cell>
        </row>
        <row r="157">
          <cell r="M157">
            <v>58900</v>
          </cell>
        </row>
        <row r="158">
          <cell r="D158" t="str">
            <v>01-05-0003</v>
          </cell>
        </row>
        <row r="158">
          <cell r="M158">
            <v>0</v>
          </cell>
        </row>
        <row r="159">
          <cell r="D159" t="str">
            <v>01-05-0004</v>
          </cell>
        </row>
        <row r="159">
          <cell r="M159">
            <v>0</v>
          </cell>
        </row>
        <row r="160">
          <cell r="D160" t="str">
            <v>01-05-0005</v>
          </cell>
        </row>
        <row r="160">
          <cell r="M160">
            <v>0</v>
          </cell>
        </row>
        <row r="161">
          <cell r="D161" t="str">
            <v>01-05-0006</v>
          </cell>
        </row>
        <row r="161">
          <cell r="M161">
            <v>0</v>
          </cell>
        </row>
        <row r="162">
          <cell r="D162" t="str">
            <v>01-05-0007</v>
          </cell>
        </row>
        <row r="162">
          <cell r="M162">
            <v>0</v>
          </cell>
        </row>
        <row r="163">
          <cell r="D163" t="str">
            <v>01-05-0008</v>
          </cell>
        </row>
        <row r="163">
          <cell r="M163">
            <v>15200</v>
          </cell>
        </row>
        <row r="164">
          <cell r="D164" t="str">
            <v>01-05-0009</v>
          </cell>
        </row>
        <row r="164">
          <cell r="M164">
            <v>37050</v>
          </cell>
        </row>
        <row r="165">
          <cell r="D165" t="str">
            <v>01-05-0010</v>
          </cell>
        </row>
        <row r="165">
          <cell r="M165">
            <v>19237.5</v>
          </cell>
        </row>
        <row r="166">
          <cell r="D166" t="str">
            <v>01-05-0011</v>
          </cell>
        </row>
        <row r="166">
          <cell r="M166">
            <v>0</v>
          </cell>
        </row>
        <row r="167">
          <cell r="D167" t="str">
            <v>01-05-0012</v>
          </cell>
        </row>
        <row r="167">
          <cell r="M167">
            <v>0</v>
          </cell>
        </row>
        <row r="168">
          <cell r="D168" t="str">
            <v>01-05-0013</v>
          </cell>
        </row>
        <row r="168">
          <cell r="M168">
            <v>44650</v>
          </cell>
        </row>
        <row r="169">
          <cell r="D169" t="str">
            <v>01-05-0015</v>
          </cell>
        </row>
        <row r="169">
          <cell r="M169">
            <v>17100</v>
          </cell>
        </row>
        <row r="170">
          <cell r="D170" t="str">
            <v>01-05-0018</v>
          </cell>
        </row>
        <row r="170">
          <cell r="M170">
            <v>6175</v>
          </cell>
        </row>
        <row r="171">
          <cell r="D171" t="str">
            <v>01-05-0019</v>
          </cell>
        </row>
        <row r="171">
          <cell r="M171">
            <v>0</v>
          </cell>
        </row>
        <row r="172">
          <cell r="D172" t="str">
            <v>01-05-0021</v>
          </cell>
        </row>
        <row r="172">
          <cell r="M172">
            <v>8740</v>
          </cell>
        </row>
        <row r="173">
          <cell r="D173" t="str">
            <v>01-05-0022</v>
          </cell>
        </row>
        <row r="173">
          <cell r="M173">
            <v>251750</v>
          </cell>
        </row>
        <row r="174">
          <cell r="D174" t="str">
            <v>01-05-0023</v>
          </cell>
        </row>
        <row r="174">
          <cell r="M174">
            <v>6460</v>
          </cell>
        </row>
        <row r="175">
          <cell r="D175" t="str">
            <v>01-05-0024</v>
          </cell>
        </row>
        <row r="175">
          <cell r="M175">
            <v>9500</v>
          </cell>
        </row>
        <row r="176">
          <cell r="D176" t="str">
            <v>01-05-0025</v>
          </cell>
        </row>
        <row r="176">
          <cell r="M176">
            <v>14250</v>
          </cell>
        </row>
        <row r="177">
          <cell r="D177" t="str">
            <v>01-05-0026</v>
          </cell>
        </row>
        <row r="177">
          <cell r="M177">
            <v>26600</v>
          </cell>
        </row>
        <row r="178">
          <cell r="D178" t="str">
            <v>01-05-0027</v>
          </cell>
        </row>
        <row r="178">
          <cell r="M178">
            <v>665000</v>
          </cell>
        </row>
        <row r="179">
          <cell r="D179" t="str">
            <v>01-05-0028</v>
          </cell>
        </row>
        <row r="179">
          <cell r="M179">
            <v>22800</v>
          </cell>
        </row>
        <row r="180">
          <cell r="D180" t="str">
            <v>01-05-0029</v>
          </cell>
        </row>
        <row r="180">
          <cell r="M180">
            <v>6175</v>
          </cell>
        </row>
        <row r="181">
          <cell r="D181" t="str">
            <v>01-05-0030</v>
          </cell>
        </row>
        <row r="181">
          <cell r="M181">
            <v>1900</v>
          </cell>
        </row>
        <row r="182">
          <cell r="D182" t="str">
            <v>01-05-0031</v>
          </cell>
        </row>
        <row r="182">
          <cell r="M182">
            <v>10925</v>
          </cell>
        </row>
        <row r="183">
          <cell r="D183" t="str">
            <v>01-05-0033</v>
          </cell>
        </row>
        <row r="183">
          <cell r="M183">
            <v>20900</v>
          </cell>
        </row>
        <row r="184">
          <cell r="D184" t="str">
            <v>01-05-0034</v>
          </cell>
        </row>
        <row r="184">
          <cell r="M184">
            <v>50350</v>
          </cell>
        </row>
        <row r="185">
          <cell r="D185" t="str">
            <v>01-05-0035</v>
          </cell>
        </row>
        <row r="185">
          <cell r="M185">
            <v>5700</v>
          </cell>
        </row>
        <row r="186">
          <cell r="D186" t="str">
            <v>01-05-0036</v>
          </cell>
        </row>
        <row r="186">
          <cell r="M186">
            <v>19000</v>
          </cell>
        </row>
        <row r="187">
          <cell r="D187" t="str">
            <v>01-05-0037</v>
          </cell>
        </row>
        <row r="187">
          <cell r="M187">
            <v>246810</v>
          </cell>
        </row>
        <row r="188">
          <cell r="D188" t="str">
            <v>01-05-0038</v>
          </cell>
        </row>
        <row r="188">
          <cell r="M188">
            <v>266000</v>
          </cell>
        </row>
        <row r="189">
          <cell r="D189" t="str">
            <v>01-05-0039</v>
          </cell>
        </row>
        <row r="189">
          <cell r="M189">
            <v>570000</v>
          </cell>
        </row>
        <row r="190">
          <cell r="D190" t="str">
            <v>01-05-0040</v>
          </cell>
        </row>
        <row r="190">
          <cell r="M190">
            <v>997500</v>
          </cell>
        </row>
        <row r="191">
          <cell r="D191" t="str">
            <v>01-05-0041</v>
          </cell>
        </row>
        <row r="191">
          <cell r="M191">
            <v>0</v>
          </cell>
        </row>
        <row r="192">
          <cell r="D192" t="str">
            <v>01-05-0042</v>
          </cell>
        </row>
        <row r="192">
          <cell r="M192">
            <v>123500</v>
          </cell>
        </row>
        <row r="193">
          <cell r="D193" t="str">
            <v>01-05-0043</v>
          </cell>
        </row>
        <row r="193">
          <cell r="M193">
            <v>38950</v>
          </cell>
        </row>
        <row r="194">
          <cell r="D194" t="str">
            <v>01-05-0044</v>
          </cell>
        </row>
        <row r="194">
          <cell r="M194">
            <v>131100</v>
          </cell>
        </row>
        <row r="195">
          <cell r="D195" t="str">
            <v>01-05-0045</v>
          </cell>
        </row>
        <row r="195">
          <cell r="M195">
            <v>7600</v>
          </cell>
        </row>
        <row r="196">
          <cell r="D196" t="str">
            <v>01-05-0046</v>
          </cell>
        </row>
        <row r="196">
          <cell r="M196">
            <v>83600</v>
          </cell>
        </row>
        <row r="197">
          <cell r="D197" t="str">
            <v>01-05-0047</v>
          </cell>
        </row>
        <row r="197">
          <cell r="M197">
            <v>31920</v>
          </cell>
        </row>
        <row r="198">
          <cell r="D198" t="str">
            <v>01-05-0048</v>
          </cell>
        </row>
        <row r="198">
          <cell r="M198">
            <v>110833.52</v>
          </cell>
        </row>
        <row r="199">
          <cell r="D199" t="str">
            <v>01-05-0049</v>
          </cell>
        </row>
        <row r="199">
          <cell r="M199">
            <v>8844.69</v>
          </cell>
        </row>
        <row r="200">
          <cell r="D200" t="str">
            <v>01-05-0050</v>
          </cell>
        </row>
        <row r="200">
          <cell r="M200">
            <v>3369.52</v>
          </cell>
        </row>
        <row r="201">
          <cell r="D201" t="str">
            <v>01-05-0051</v>
          </cell>
        </row>
        <row r="201">
          <cell r="M201">
            <v>3546.48</v>
          </cell>
        </row>
        <row r="202">
          <cell r="D202" t="str">
            <v>01-05-0052</v>
          </cell>
        </row>
        <row r="202">
          <cell r="M202">
            <v>15960</v>
          </cell>
        </row>
        <row r="203">
          <cell r="D203" t="str">
            <v>01-05-0053</v>
          </cell>
        </row>
        <row r="203">
          <cell r="M203">
            <v>503500</v>
          </cell>
        </row>
        <row r="204">
          <cell r="D204" t="str">
            <v>01-05-0054</v>
          </cell>
        </row>
        <row r="204">
          <cell r="M204">
            <v>38696.84</v>
          </cell>
        </row>
        <row r="205">
          <cell r="D205" t="str">
            <v>01-05-0055</v>
          </cell>
        </row>
        <row r="205">
          <cell r="M205">
            <v>30463.16</v>
          </cell>
        </row>
        <row r="206">
          <cell r="D206" t="str">
            <v>01-05-0056</v>
          </cell>
        </row>
        <row r="206">
          <cell r="M206">
            <v>6175</v>
          </cell>
        </row>
        <row r="207">
          <cell r="D207" t="str">
            <v>01-05-0057</v>
          </cell>
        </row>
        <row r="207">
          <cell r="M207">
            <v>96900</v>
          </cell>
        </row>
        <row r="208">
          <cell r="D208" t="str">
            <v>01-05-0058</v>
          </cell>
        </row>
        <row r="208">
          <cell r="M208">
            <v>105513.17</v>
          </cell>
        </row>
        <row r="209">
          <cell r="D209" t="str">
            <v>01-05-0059</v>
          </cell>
        </row>
        <row r="209">
          <cell r="M209">
            <v>42670.67</v>
          </cell>
        </row>
        <row r="210">
          <cell r="D210" t="str">
            <v>01-05-0060</v>
          </cell>
        </row>
        <row r="210">
          <cell r="M210">
            <v>27154.33</v>
          </cell>
        </row>
        <row r="211">
          <cell r="D211" t="str">
            <v>01-05-0061</v>
          </cell>
        </row>
        <row r="211">
          <cell r="M211">
            <v>620666.83</v>
          </cell>
        </row>
        <row r="212">
          <cell r="D212" t="str">
            <v>01-05-0062</v>
          </cell>
        </row>
        <row r="212">
          <cell r="M212">
            <v>1086166.83</v>
          </cell>
        </row>
        <row r="213">
          <cell r="D213" t="str">
            <v>020001</v>
          </cell>
        </row>
        <row r="213">
          <cell r="M213">
            <v>9408</v>
          </cell>
        </row>
        <row r="214">
          <cell r="D214" t="str">
            <v>020002</v>
          </cell>
        </row>
        <row r="214">
          <cell r="M214">
            <v>7872</v>
          </cell>
        </row>
        <row r="215">
          <cell r="D215" t="str">
            <v>020003</v>
          </cell>
        </row>
        <row r="215">
          <cell r="M215">
            <v>9600</v>
          </cell>
        </row>
        <row r="216">
          <cell r="D216" t="str">
            <v>020004</v>
          </cell>
        </row>
        <row r="216">
          <cell r="M216">
            <v>17280</v>
          </cell>
        </row>
        <row r="217">
          <cell r="D217" t="str">
            <v>020005</v>
          </cell>
        </row>
        <row r="217">
          <cell r="M217">
            <v>28800</v>
          </cell>
        </row>
        <row r="218">
          <cell r="D218" t="str">
            <v>020006</v>
          </cell>
        </row>
        <row r="218">
          <cell r="M218">
            <v>5760</v>
          </cell>
        </row>
        <row r="219">
          <cell r="D219" t="str">
            <v>020007</v>
          </cell>
        </row>
        <row r="219">
          <cell r="M219">
            <v>0</v>
          </cell>
        </row>
        <row r="220">
          <cell r="D220" t="str">
            <v>020008</v>
          </cell>
        </row>
        <row r="220">
          <cell r="M220">
            <v>6720</v>
          </cell>
        </row>
        <row r="221">
          <cell r="D221" t="str">
            <v>020009</v>
          </cell>
        </row>
        <row r="221">
          <cell r="M221">
            <v>0</v>
          </cell>
        </row>
        <row r="222">
          <cell r="D222" t="str">
            <v>020010</v>
          </cell>
        </row>
        <row r="222">
          <cell r="M222">
            <v>15993.6</v>
          </cell>
        </row>
        <row r="223">
          <cell r="D223" t="str">
            <v>020011</v>
          </cell>
        </row>
        <row r="223">
          <cell r="M223">
            <v>14208</v>
          </cell>
        </row>
        <row r="224">
          <cell r="D224" t="str">
            <v>020013</v>
          </cell>
        </row>
        <row r="224">
          <cell r="M224">
            <v>0</v>
          </cell>
        </row>
        <row r="225">
          <cell r="D225" t="str">
            <v>020014</v>
          </cell>
        </row>
        <row r="225">
          <cell r="M225">
            <v>0</v>
          </cell>
        </row>
        <row r="226">
          <cell r="D226" t="str">
            <v>020015</v>
          </cell>
        </row>
        <row r="226">
          <cell r="M226">
            <v>34944</v>
          </cell>
        </row>
        <row r="227">
          <cell r="D227" t="str">
            <v>020016</v>
          </cell>
        </row>
        <row r="227">
          <cell r="M227">
            <v>20966.4</v>
          </cell>
        </row>
        <row r="228">
          <cell r="D228" t="str">
            <v>020017</v>
          </cell>
        </row>
        <row r="228">
          <cell r="M228">
            <v>0</v>
          </cell>
        </row>
        <row r="229">
          <cell r="D229" t="str">
            <v>020020</v>
          </cell>
        </row>
        <row r="229">
          <cell r="M229">
            <v>0</v>
          </cell>
        </row>
        <row r="230">
          <cell r="D230" t="str">
            <v>020021</v>
          </cell>
        </row>
        <row r="230">
          <cell r="M230">
            <v>0</v>
          </cell>
        </row>
        <row r="231">
          <cell r="D231" t="str">
            <v>020022</v>
          </cell>
        </row>
        <row r="231">
          <cell r="M231">
            <v>0</v>
          </cell>
        </row>
        <row r="232">
          <cell r="D232" t="str">
            <v>020023</v>
          </cell>
        </row>
        <row r="232">
          <cell r="M232">
            <v>0</v>
          </cell>
        </row>
        <row r="233">
          <cell r="D233" t="str">
            <v>020024</v>
          </cell>
        </row>
        <row r="233">
          <cell r="M233">
            <v>3936</v>
          </cell>
        </row>
        <row r="234">
          <cell r="D234" t="str">
            <v>020026</v>
          </cell>
        </row>
        <row r="234">
          <cell r="M234">
            <v>86400</v>
          </cell>
        </row>
        <row r="235">
          <cell r="D235" t="str">
            <v>020027</v>
          </cell>
        </row>
        <row r="235">
          <cell r="M235">
            <v>0</v>
          </cell>
        </row>
        <row r="236">
          <cell r="D236" t="str">
            <v>020028</v>
          </cell>
        </row>
        <row r="236">
          <cell r="M236">
            <v>0</v>
          </cell>
        </row>
        <row r="237">
          <cell r="D237" t="str">
            <v>020032</v>
          </cell>
        </row>
        <row r="237">
          <cell r="M237">
            <v>8640</v>
          </cell>
        </row>
        <row r="238">
          <cell r="D238" t="str">
            <v>020033</v>
          </cell>
        </row>
        <row r="238">
          <cell r="M238">
            <v>576000</v>
          </cell>
        </row>
        <row r="239">
          <cell r="D239" t="str">
            <v>020034</v>
          </cell>
        </row>
        <row r="239">
          <cell r="M239">
            <v>0</v>
          </cell>
        </row>
        <row r="240">
          <cell r="D240" t="str">
            <v>020035</v>
          </cell>
        </row>
        <row r="240">
          <cell r="M240">
            <v>3600</v>
          </cell>
        </row>
        <row r="241">
          <cell r="D241" t="str">
            <v>020036</v>
          </cell>
        </row>
        <row r="241">
          <cell r="M241">
            <v>2592</v>
          </cell>
        </row>
        <row r="242">
          <cell r="D242" t="str">
            <v>020037</v>
          </cell>
        </row>
        <row r="242">
          <cell r="M242">
            <v>37440</v>
          </cell>
        </row>
        <row r="243">
          <cell r="D243" t="str">
            <v>020038</v>
          </cell>
        </row>
        <row r="243">
          <cell r="M243">
            <v>0</v>
          </cell>
        </row>
        <row r="244">
          <cell r="D244" t="str">
            <v>020039</v>
          </cell>
        </row>
        <row r="244">
          <cell r="M244">
            <v>4080</v>
          </cell>
        </row>
        <row r="245">
          <cell r="D245" t="str">
            <v>020040</v>
          </cell>
        </row>
        <row r="245">
          <cell r="M245">
            <v>0</v>
          </cell>
        </row>
        <row r="246">
          <cell r="D246" t="str">
            <v>020041</v>
          </cell>
        </row>
        <row r="246">
          <cell r="M246">
            <v>0</v>
          </cell>
        </row>
        <row r="247">
          <cell r="D247" t="str">
            <v>020042</v>
          </cell>
        </row>
        <row r="247">
          <cell r="M247">
            <v>6240</v>
          </cell>
        </row>
        <row r="248">
          <cell r="D248" t="str">
            <v>020043</v>
          </cell>
        </row>
        <row r="248">
          <cell r="M248">
            <v>38400</v>
          </cell>
        </row>
        <row r="249">
          <cell r="D249" t="str">
            <v>020044</v>
          </cell>
        </row>
        <row r="249">
          <cell r="M249">
            <v>9120</v>
          </cell>
        </row>
        <row r="250">
          <cell r="D250" t="str">
            <v>020045</v>
          </cell>
        </row>
        <row r="250">
          <cell r="M250">
            <v>43200</v>
          </cell>
        </row>
        <row r="251">
          <cell r="D251" t="str">
            <v>020046</v>
          </cell>
        </row>
        <row r="251">
          <cell r="M251">
            <v>29568</v>
          </cell>
        </row>
        <row r="252">
          <cell r="D252" t="str">
            <v>020047</v>
          </cell>
        </row>
        <row r="252">
          <cell r="M252">
            <v>0</v>
          </cell>
        </row>
        <row r="253">
          <cell r="D253" t="str">
            <v>020048</v>
          </cell>
        </row>
        <row r="253">
          <cell r="M253">
            <v>0</v>
          </cell>
        </row>
        <row r="254">
          <cell r="D254" t="str">
            <v>020049</v>
          </cell>
        </row>
        <row r="254">
          <cell r="M254">
            <v>113049.6</v>
          </cell>
        </row>
        <row r="255">
          <cell r="D255" t="str">
            <v>020050</v>
          </cell>
        </row>
        <row r="255">
          <cell r="M255">
            <v>5616</v>
          </cell>
        </row>
        <row r="256">
          <cell r="D256" t="str">
            <v>020051</v>
          </cell>
        </row>
        <row r="256">
          <cell r="M256">
            <v>30720</v>
          </cell>
        </row>
        <row r="257">
          <cell r="D257" t="str">
            <v>020052</v>
          </cell>
        </row>
        <row r="257">
          <cell r="M257">
            <v>2688</v>
          </cell>
        </row>
        <row r="258">
          <cell r="D258" t="str">
            <v>020054</v>
          </cell>
        </row>
        <row r="258">
          <cell r="M258">
            <v>40800</v>
          </cell>
        </row>
        <row r="259">
          <cell r="D259" t="str">
            <v>YAKE01201801</v>
          </cell>
        </row>
        <row r="259">
          <cell r="M259">
            <v>61440</v>
          </cell>
        </row>
        <row r="260">
          <cell r="D260" t="str">
            <v>YAKE02201801</v>
          </cell>
        </row>
        <row r="260">
          <cell r="M260">
            <v>0</v>
          </cell>
        </row>
        <row r="261">
          <cell r="D261" t="str">
            <v>01-05-0063</v>
          </cell>
        </row>
        <row r="261">
          <cell r="M261">
            <v>370499.85</v>
          </cell>
        </row>
        <row r="262">
          <cell r="D262" t="str">
            <v>01-05-0064</v>
          </cell>
        </row>
        <row r="262">
          <cell r="M262">
            <v>356250.15</v>
          </cell>
        </row>
        <row r="263">
          <cell r="D263" t="str">
            <v>01-05-0065</v>
          </cell>
        </row>
        <row r="263">
          <cell r="M263">
            <v>0</v>
          </cell>
        </row>
        <row r="264">
          <cell r="D264" t="str">
            <v>01-05-0066</v>
          </cell>
        </row>
        <row r="264">
          <cell r="M264">
            <v>1906.19</v>
          </cell>
        </row>
        <row r="265">
          <cell r="D265" t="str">
            <v>01-05-0067</v>
          </cell>
        </row>
        <row r="265">
          <cell r="M265">
            <v>2383.06</v>
          </cell>
        </row>
        <row r="266">
          <cell r="D266" t="str">
            <v>01-05-0068</v>
          </cell>
        </row>
        <row r="266">
          <cell r="M266">
            <v>204566.54</v>
          </cell>
        </row>
        <row r="267">
          <cell r="D267" t="str">
            <v>01-05-0069</v>
          </cell>
        </row>
        <row r="267">
          <cell r="M267">
            <v>28120</v>
          </cell>
        </row>
        <row r="268">
          <cell r="D268" t="str">
            <v>01-05-0070</v>
          </cell>
        </row>
        <row r="268">
          <cell r="M268">
            <v>15583.29</v>
          </cell>
        </row>
        <row r="269">
          <cell r="D269" t="str">
            <v>01-05-0071</v>
          </cell>
        </row>
        <row r="269">
          <cell r="M269">
            <v>12357.72</v>
          </cell>
        </row>
        <row r="270">
          <cell r="D270" t="str">
            <v>01-05-0072</v>
          </cell>
        </row>
        <row r="270">
          <cell r="M270">
            <v>269166.78</v>
          </cell>
        </row>
        <row r="271">
          <cell r="D271" t="str">
            <v>01-05-0074</v>
          </cell>
        </row>
        <row r="271">
          <cell r="M271">
            <v>19329.24</v>
          </cell>
        </row>
        <row r="272">
          <cell r="D272" t="str">
            <v>01-05-0075</v>
          </cell>
        </row>
        <row r="272">
          <cell r="M272">
            <v>50983.24</v>
          </cell>
        </row>
        <row r="273">
          <cell r="D273" t="str">
            <v>01-05-0076</v>
          </cell>
        </row>
        <row r="273">
          <cell r="M273">
            <v>4916.16</v>
          </cell>
        </row>
        <row r="274">
          <cell r="D274" t="str">
            <v>01-05-0073</v>
          </cell>
        </row>
        <row r="274">
          <cell r="M274">
            <v>3337.77</v>
          </cell>
        </row>
        <row r="275">
          <cell r="D275" t="str">
            <v>01-05-0077</v>
          </cell>
        </row>
        <row r="275">
          <cell r="M275">
            <v>4655.04</v>
          </cell>
        </row>
        <row r="276">
          <cell r="D276" t="str">
            <v>01-05-0078</v>
          </cell>
        </row>
        <row r="276">
          <cell r="M276">
            <v>133000.08</v>
          </cell>
        </row>
        <row r="277">
          <cell r="D277" t="str">
            <v>01-05-0079</v>
          </cell>
        </row>
        <row r="277">
          <cell r="M277">
            <v>2717</v>
          </cell>
        </row>
        <row r="278">
          <cell r="D278" t="str">
            <v>01-05-0080</v>
          </cell>
        </row>
        <row r="278">
          <cell r="M278">
            <v>29714.3</v>
          </cell>
        </row>
        <row r="279">
          <cell r="D279" t="str">
            <v>01-05-0081</v>
          </cell>
        </row>
        <row r="279">
          <cell r="M279">
            <v>40565.07</v>
          </cell>
        </row>
        <row r="280">
          <cell r="D280" t="str">
            <v>01-05-0082</v>
          </cell>
        </row>
        <row r="280">
          <cell r="M280">
            <v>6231.81</v>
          </cell>
        </row>
        <row r="281">
          <cell r="D281" t="str">
            <v>01-05-0014</v>
          </cell>
        </row>
        <row r="281">
          <cell r="M281">
            <v>2850</v>
          </cell>
        </row>
        <row r="282">
          <cell r="D282" t="str">
            <v>01-05-0016</v>
          </cell>
        </row>
        <row r="282">
          <cell r="M282">
            <v>2470</v>
          </cell>
        </row>
        <row r="283">
          <cell r="D283" t="str">
            <v>01-05-0017</v>
          </cell>
        </row>
        <row r="283">
          <cell r="M283">
            <v>7600</v>
          </cell>
        </row>
        <row r="284">
          <cell r="D284" t="str">
            <v>01-06-0001</v>
          </cell>
        </row>
        <row r="284">
          <cell r="M284">
            <v>5320</v>
          </cell>
        </row>
        <row r="285">
          <cell r="D285" t="str">
            <v>01-06-0002</v>
          </cell>
        </row>
        <row r="285">
          <cell r="M285">
            <v>2850</v>
          </cell>
        </row>
        <row r="286">
          <cell r="D286" t="str">
            <v>01-06-0003</v>
          </cell>
        </row>
        <row r="286">
          <cell r="M286">
            <v>2638.63</v>
          </cell>
        </row>
        <row r="287">
          <cell r="D287" t="str">
            <v>060002</v>
          </cell>
        </row>
        <row r="287">
          <cell r="M287">
            <v>4416</v>
          </cell>
        </row>
        <row r="288">
          <cell r="D288" t="str">
            <v>060004</v>
          </cell>
        </row>
        <row r="288">
          <cell r="M288">
            <v>2380.8</v>
          </cell>
        </row>
        <row r="289">
          <cell r="D289" t="str">
            <v>060006</v>
          </cell>
        </row>
        <row r="289">
          <cell r="M289">
            <v>199680</v>
          </cell>
        </row>
        <row r="290">
          <cell r="D290" t="str">
            <v>01-06-0004</v>
          </cell>
        </row>
        <row r="290">
          <cell r="M290">
            <v>8098.86</v>
          </cell>
        </row>
        <row r="291">
          <cell r="D291" t="str">
            <v>01-06-0005</v>
          </cell>
        </row>
        <row r="291">
          <cell r="M291">
            <v>2436</v>
          </cell>
        </row>
        <row r="292">
          <cell r="D292" t="str">
            <v>01-06-0006</v>
          </cell>
        </row>
        <row r="292">
          <cell r="M292">
            <v>6637.2</v>
          </cell>
        </row>
        <row r="293">
          <cell r="D293" t="str">
            <v>01-06-0007</v>
          </cell>
        </row>
        <row r="293">
          <cell r="M293">
            <v>22366.12</v>
          </cell>
        </row>
        <row r="294">
          <cell r="D294" t="str">
            <v>01-06-0008</v>
          </cell>
        </row>
        <row r="294">
          <cell r="M294">
            <v>19132</v>
          </cell>
        </row>
        <row r="295">
          <cell r="D295" t="str">
            <v>01-07-0001</v>
          </cell>
        </row>
        <row r="295">
          <cell r="M295">
            <v>805600</v>
          </cell>
        </row>
        <row r="296">
          <cell r="D296" t="str">
            <v>01-07-0002</v>
          </cell>
        </row>
        <row r="296">
          <cell r="M296">
            <v>240007.5</v>
          </cell>
        </row>
        <row r="297">
          <cell r="D297" t="str">
            <v>01-03-0005</v>
          </cell>
        </row>
        <row r="297">
          <cell r="M297">
            <v>590.72</v>
          </cell>
        </row>
        <row r="298">
          <cell r="D298" t="str">
            <v>01-04-0057</v>
          </cell>
        </row>
        <row r="298">
          <cell r="M298">
            <v>2279.52</v>
          </cell>
        </row>
        <row r="299">
          <cell r="D299" t="str">
            <v>01-04-0058</v>
          </cell>
        </row>
        <row r="299">
          <cell r="M299">
            <v>5488.96</v>
          </cell>
        </row>
        <row r="300">
          <cell r="D300" t="str">
            <v>01-04-0059</v>
          </cell>
        </row>
        <row r="300">
          <cell r="M300">
            <v>2195.2</v>
          </cell>
        </row>
        <row r="301">
          <cell r="D301" t="str">
            <v>01-04-0060</v>
          </cell>
        </row>
        <row r="301">
          <cell r="M301">
            <v>662.4</v>
          </cell>
        </row>
        <row r="302">
          <cell r="D302" t="str">
            <v>01-04-0061</v>
          </cell>
        </row>
        <row r="302">
          <cell r="M302">
            <v>2484.3</v>
          </cell>
        </row>
        <row r="303">
          <cell r="D303" t="str">
            <v>01-04-0062</v>
          </cell>
        </row>
        <row r="303">
          <cell r="M303">
            <v>11875.05</v>
          </cell>
        </row>
        <row r="304">
          <cell r="D304" t="str">
            <v>01-04-0063</v>
          </cell>
        </row>
        <row r="304">
          <cell r="M304">
            <v>34263.3</v>
          </cell>
        </row>
        <row r="305">
          <cell r="D305" t="str">
            <v>01-04-0064</v>
          </cell>
        </row>
        <row r="305">
          <cell r="M305">
            <v>11716.65</v>
          </cell>
        </row>
        <row r="306">
          <cell r="D306" t="str">
            <v>01-04-0065</v>
          </cell>
        </row>
        <row r="306">
          <cell r="M306">
            <v>17232.15</v>
          </cell>
        </row>
        <row r="307">
          <cell r="D307" t="str">
            <v>01-04-0066</v>
          </cell>
        </row>
        <row r="307">
          <cell r="M307">
            <v>1495.8</v>
          </cell>
        </row>
        <row r="308">
          <cell r="D308" t="str">
            <v>01-04-0067</v>
          </cell>
        </row>
        <row r="308">
          <cell r="M308">
            <v>6428.38</v>
          </cell>
        </row>
        <row r="309">
          <cell r="D309" t="str">
            <v>01-04-0068</v>
          </cell>
        </row>
        <row r="309">
          <cell r="M309">
            <v>1624.84</v>
          </cell>
        </row>
        <row r="310">
          <cell r="D310" t="str">
            <v>01-04-0069</v>
          </cell>
        </row>
        <row r="310">
          <cell r="M310">
            <v>4013.75</v>
          </cell>
        </row>
        <row r="311">
          <cell r="D311" t="str">
            <v>01-04-0070</v>
          </cell>
        </row>
        <row r="311">
          <cell r="M311">
            <v>3812.77</v>
          </cell>
        </row>
        <row r="312">
          <cell r="D312" t="str">
            <v>01-04-0071</v>
          </cell>
        </row>
        <row r="312">
          <cell r="M312">
            <v>932.49</v>
          </cell>
        </row>
        <row r="313">
          <cell r="D313" t="str">
            <v>01-04-0072</v>
          </cell>
        </row>
        <row r="313">
          <cell r="M313">
            <v>605.54</v>
          </cell>
        </row>
        <row r="314">
          <cell r="D314" t="str">
            <v>01-04-0073</v>
          </cell>
        </row>
        <row r="314">
          <cell r="M314">
            <v>636.09</v>
          </cell>
        </row>
        <row r="315">
          <cell r="D315" t="str">
            <v>01-04-0074</v>
          </cell>
        </row>
        <row r="315">
          <cell r="M315">
            <v>2000.7</v>
          </cell>
        </row>
        <row r="316">
          <cell r="D316" t="str">
            <v>01-04-0075</v>
          </cell>
        </row>
        <row r="316">
          <cell r="M316">
            <v>4065.96</v>
          </cell>
        </row>
        <row r="317">
          <cell r="D317" t="str">
            <v>01-04-0076</v>
          </cell>
        </row>
        <row r="317">
          <cell r="M317">
            <v>1805.04</v>
          </cell>
        </row>
        <row r="318">
          <cell r="D318" t="str">
            <v>01-04-0077</v>
          </cell>
        </row>
        <row r="318">
          <cell r="M318">
            <v>10624.2</v>
          </cell>
        </row>
        <row r="319">
          <cell r="D319" t="str">
            <v>01-04-0078</v>
          </cell>
        </row>
        <row r="319">
          <cell r="M319">
            <v>15485.04</v>
          </cell>
        </row>
        <row r="320">
          <cell r="D320" t="str">
            <v>01-04-0079</v>
          </cell>
        </row>
        <row r="320">
          <cell r="M320">
            <v>1215.96</v>
          </cell>
        </row>
        <row r="321">
          <cell r="D321" t="str">
            <v>01-04-0080</v>
          </cell>
        </row>
        <row r="321">
          <cell r="M321">
            <v>10972.56</v>
          </cell>
        </row>
        <row r="322">
          <cell r="D322" t="str">
            <v>01-04-0081</v>
          </cell>
        </row>
        <row r="322">
          <cell r="M322">
            <v>645.96</v>
          </cell>
        </row>
        <row r="323">
          <cell r="D323" t="str">
            <v>01-05-0083</v>
          </cell>
        </row>
        <row r="323">
          <cell r="M323">
            <v>1938</v>
          </cell>
        </row>
        <row r="324">
          <cell r="D324" t="str">
            <v>01-05-0084</v>
          </cell>
        </row>
        <row r="324">
          <cell r="M324">
            <v>269.11</v>
          </cell>
        </row>
        <row r="325">
          <cell r="D325" t="str">
            <v>01-05-0085</v>
          </cell>
        </row>
        <row r="325">
          <cell r="M325">
            <v>269.11</v>
          </cell>
        </row>
        <row r="326">
          <cell r="D326" t="str">
            <v>01-05-0086</v>
          </cell>
        </row>
        <row r="326">
          <cell r="M326">
            <v>1266.72</v>
          </cell>
        </row>
        <row r="327">
          <cell r="D327" t="str">
            <v>01-05-0087</v>
          </cell>
        </row>
        <row r="327">
          <cell r="M327">
            <v>1086.12</v>
          </cell>
        </row>
        <row r="328">
          <cell r="D328" t="str">
            <v>01-05-0088</v>
          </cell>
        </row>
        <row r="328">
          <cell r="M328">
            <v>6811.56</v>
          </cell>
        </row>
        <row r="329">
          <cell r="D329" t="str">
            <v>01-05-0089</v>
          </cell>
        </row>
        <row r="329">
          <cell r="M329">
            <v>9517.48</v>
          </cell>
        </row>
        <row r="330">
          <cell r="D330" t="str">
            <v>01-05-0090</v>
          </cell>
        </row>
        <row r="330">
          <cell r="M330">
            <v>13573.7</v>
          </cell>
        </row>
        <row r="331">
          <cell r="D331" t="str">
            <v>01-05-0091</v>
          </cell>
        </row>
        <row r="331">
          <cell r="M331">
            <v>88666.62</v>
          </cell>
        </row>
        <row r="332">
          <cell r="D332" t="str">
            <v>01-04-0082</v>
          </cell>
        </row>
        <row r="332">
          <cell r="M332">
            <v>272.88</v>
          </cell>
        </row>
        <row r="333">
          <cell r="D333" t="str">
            <v>01-05-0092</v>
          </cell>
        </row>
        <row r="333">
          <cell r="M333">
            <v>5190.13</v>
          </cell>
        </row>
        <row r="334">
          <cell r="D334" t="str">
            <v>01-05-0093</v>
          </cell>
        </row>
        <row r="334">
          <cell r="M334">
            <v>2960.87</v>
          </cell>
        </row>
        <row r="335">
          <cell r="D335" t="str">
            <v>01-05-0094</v>
          </cell>
        </row>
        <row r="335">
          <cell r="M335">
            <v>4789.62</v>
          </cell>
        </row>
        <row r="336">
          <cell r="D336" t="str">
            <v>01-05-0095</v>
          </cell>
        </row>
        <row r="336">
          <cell r="M336">
            <v>2612.5</v>
          </cell>
        </row>
        <row r="337">
          <cell r="D337" t="str">
            <v>01-05-0096</v>
          </cell>
        </row>
        <row r="337">
          <cell r="M337">
            <v>7140.87</v>
          </cell>
        </row>
        <row r="338">
          <cell r="D338" t="str">
            <v>01-05-0097</v>
          </cell>
        </row>
        <row r="338">
          <cell r="M338">
            <v>10206.13</v>
          </cell>
        </row>
        <row r="339">
          <cell r="D339" t="str">
            <v>01-05-0098</v>
          </cell>
        </row>
        <row r="339">
          <cell r="M339">
            <v>443.36</v>
          </cell>
        </row>
        <row r="340">
          <cell r="D340" t="str">
            <v>01-05-0099</v>
          </cell>
        </row>
        <row r="340">
          <cell r="M340">
            <v>1266.56</v>
          </cell>
        </row>
        <row r="341">
          <cell r="D341" t="str">
            <v>01-05-0100</v>
          </cell>
        </row>
        <row r="341">
          <cell r="M341">
            <v>40232.5</v>
          </cell>
        </row>
        <row r="342">
          <cell r="D342" t="str">
            <v>01-05-0101</v>
          </cell>
        </row>
        <row r="342">
          <cell r="M342">
            <v>9975</v>
          </cell>
        </row>
        <row r="343">
          <cell r="D343" t="str">
            <v>01-05-0102</v>
          </cell>
        </row>
        <row r="343">
          <cell r="M343">
            <v>150.42</v>
          </cell>
        </row>
        <row r="344">
          <cell r="D344" t="str">
            <v>01-05-0103</v>
          </cell>
        </row>
        <row r="344">
          <cell r="M344">
            <v>387.6</v>
          </cell>
        </row>
        <row r="345">
          <cell r="D345" t="str">
            <v>01-05-0104</v>
          </cell>
        </row>
        <row r="345">
          <cell r="M345">
            <v>9975</v>
          </cell>
        </row>
        <row r="346">
          <cell r="D346" t="str">
            <v>01-05-0105</v>
          </cell>
        </row>
        <row r="346">
          <cell r="M346">
            <v>0</v>
          </cell>
        </row>
        <row r="347">
          <cell r="D347" t="str">
            <v>01-05-0106</v>
          </cell>
        </row>
        <row r="347">
          <cell r="M347">
            <v>19659.84</v>
          </cell>
        </row>
        <row r="348">
          <cell r="D348" t="str">
            <v>01-07-0003</v>
          </cell>
        </row>
        <row r="348">
          <cell r="M348">
            <v>5699.68</v>
          </cell>
        </row>
      </sheetData>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新增资产"/>
    </sheetNames>
    <sheetDataSet>
      <sheetData sheetId="0">
        <row r="1">
          <cell r="C1" t="str">
            <v>资产编码</v>
          </cell>
        </row>
        <row r="1">
          <cell r="L1" t="str">
            <v>累计折旧/摊销</v>
          </cell>
        </row>
        <row r="2">
          <cell r="C2" t="str">
            <v>01-02-0063</v>
          </cell>
        </row>
        <row r="2">
          <cell r="L2">
            <v>6992</v>
          </cell>
        </row>
        <row r="3">
          <cell r="C3" t="str">
            <v>01-02-0064</v>
          </cell>
        </row>
        <row r="3">
          <cell r="L3">
            <v>3857</v>
          </cell>
        </row>
        <row r="4">
          <cell r="C4" t="str">
            <v>01-02-0065</v>
          </cell>
        </row>
        <row r="4">
          <cell r="L4">
            <v>2650.5</v>
          </cell>
        </row>
        <row r="5">
          <cell r="C5" t="str">
            <v>01-02-0066</v>
          </cell>
        </row>
        <row r="5">
          <cell r="L5">
            <v>3800</v>
          </cell>
        </row>
        <row r="6">
          <cell r="C6" t="str">
            <v>01-02-0067</v>
          </cell>
        </row>
        <row r="6">
          <cell r="L6">
            <v>1950.54</v>
          </cell>
        </row>
        <row r="7">
          <cell r="C7" t="str">
            <v>01-02-0068</v>
          </cell>
        </row>
        <row r="7">
          <cell r="L7">
            <v>81224.97</v>
          </cell>
        </row>
        <row r="8">
          <cell r="C8" t="str">
            <v>01-02-0069</v>
          </cell>
        </row>
        <row r="8">
          <cell r="L8">
            <v>29326.89</v>
          </cell>
        </row>
        <row r="9">
          <cell r="C9" t="str">
            <v>01-02-0070</v>
          </cell>
        </row>
        <row r="9">
          <cell r="L9">
            <v>2020.4</v>
          </cell>
        </row>
        <row r="10">
          <cell r="C10" t="str">
            <v>01-02-0071</v>
          </cell>
        </row>
        <row r="10">
          <cell r="L10">
            <v>1000.8</v>
          </cell>
        </row>
        <row r="11">
          <cell r="C11" t="str">
            <v>01-02-0072</v>
          </cell>
        </row>
        <row r="11">
          <cell r="L11">
            <v>4976</v>
          </cell>
        </row>
        <row r="12">
          <cell r="C12" t="str">
            <v>01-02-0073</v>
          </cell>
        </row>
        <row r="12">
          <cell r="L12">
            <v>3050.58</v>
          </cell>
        </row>
        <row r="13">
          <cell r="C13" t="str">
            <v>01-02-0074</v>
          </cell>
        </row>
        <row r="13">
          <cell r="L13">
            <v>7152.74</v>
          </cell>
        </row>
        <row r="14">
          <cell r="C14" t="str">
            <v>01-02-0075</v>
          </cell>
        </row>
        <row r="14">
          <cell r="L14">
            <v>9747</v>
          </cell>
        </row>
        <row r="15">
          <cell r="C15" t="str">
            <v>01-02-0076</v>
          </cell>
        </row>
        <row r="15">
          <cell r="L15">
            <v>2166</v>
          </cell>
        </row>
        <row r="16">
          <cell r="C16" t="str">
            <v>01-02-0077</v>
          </cell>
        </row>
        <row r="16">
          <cell r="L16">
            <v>14938.75</v>
          </cell>
        </row>
        <row r="17">
          <cell r="C17" t="str">
            <v>01-02-0078</v>
          </cell>
        </row>
        <row r="17">
          <cell r="L17">
            <v>3632.29</v>
          </cell>
        </row>
        <row r="18">
          <cell r="C18" t="str">
            <v>01-02-0079</v>
          </cell>
        </row>
        <row r="18">
          <cell r="L18">
            <v>1699.04</v>
          </cell>
        </row>
        <row r="19">
          <cell r="C19" t="str">
            <v>01-02-0080</v>
          </cell>
        </row>
        <row r="19">
          <cell r="L19">
            <v>996.04</v>
          </cell>
        </row>
        <row r="20">
          <cell r="C20" t="str">
            <v>01-02-0081</v>
          </cell>
        </row>
        <row r="20">
          <cell r="L20">
            <v>969.12</v>
          </cell>
        </row>
        <row r="21">
          <cell r="C21" t="str">
            <v>01-02-0082</v>
          </cell>
        </row>
        <row r="21">
          <cell r="L21">
            <v>3876.12</v>
          </cell>
        </row>
        <row r="22">
          <cell r="C22" t="str">
            <v>01-02-0083</v>
          </cell>
        </row>
        <row r="22">
          <cell r="L22">
            <v>7204.68</v>
          </cell>
        </row>
        <row r="23">
          <cell r="C23" t="str">
            <v>01-02-0084</v>
          </cell>
        </row>
        <row r="23">
          <cell r="L23">
            <v>4206.6</v>
          </cell>
        </row>
        <row r="24">
          <cell r="C24" t="str">
            <v>01-02-0086</v>
          </cell>
        </row>
        <row r="24">
          <cell r="L24">
            <v>4617</v>
          </cell>
        </row>
        <row r="25">
          <cell r="C25" t="str">
            <v>01-02-0087</v>
          </cell>
        </row>
        <row r="25">
          <cell r="L25">
            <v>6270.12</v>
          </cell>
        </row>
        <row r="26">
          <cell r="C26" t="str">
            <v>020056</v>
          </cell>
        </row>
        <row r="26">
          <cell r="L26">
            <v>13603.2</v>
          </cell>
        </row>
        <row r="27">
          <cell r="C27" t="str">
            <v>020057</v>
          </cell>
        </row>
        <row r="27">
          <cell r="L27">
            <v>6672</v>
          </cell>
        </row>
        <row r="28">
          <cell r="C28" t="str">
            <v>020058</v>
          </cell>
        </row>
        <row r="28">
          <cell r="L28">
            <v>15360</v>
          </cell>
        </row>
        <row r="29">
          <cell r="C29" t="str">
            <v>020059</v>
          </cell>
        </row>
        <row r="29">
          <cell r="L29">
            <v>8530.56</v>
          </cell>
        </row>
        <row r="30">
          <cell r="C30" t="str">
            <v>020060</v>
          </cell>
        </row>
        <row r="30">
          <cell r="L30">
            <v>4224</v>
          </cell>
        </row>
        <row r="31">
          <cell r="C31" t="str">
            <v>020061</v>
          </cell>
        </row>
        <row r="31">
          <cell r="L31">
            <v>2280</v>
          </cell>
        </row>
        <row r="32">
          <cell r="C32" t="str">
            <v>020062</v>
          </cell>
        </row>
        <row r="32">
          <cell r="L32">
            <v>2470</v>
          </cell>
        </row>
        <row r="33">
          <cell r="C33" t="str">
            <v>01-03-0001</v>
          </cell>
        </row>
        <row r="33">
          <cell r="L33">
            <v>3893.1</v>
          </cell>
        </row>
        <row r="34">
          <cell r="C34" t="str">
            <v>01-03-0002</v>
          </cell>
        </row>
        <row r="34">
          <cell r="L34">
            <v>949.05</v>
          </cell>
        </row>
        <row r="35">
          <cell r="C35" t="str">
            <v>01-03-0003</v>
          </cell>
        </row>
        <row r="35">
          <cell r="L35">
            <v>52753.5</v>
          </cell>
        </row>
        <row r="36">
          <cell r="C36" t="str">
            <v>01-03-0004</v>
          </cell>
        </row>
        <row r="36">
          <cell r="L36">
            <v>1898.49</v>
          </cell>
        </row>
        <row r="37">
          <cell r="C37" t="str">
            <v>01-03-0005</v>
          </cell>
        </row>
        <row r="37">
          <cell r="L37">
            <v>1033.76</v>
          </cell>
        </row>
        <row r="38">
          <cell r="C38" t="str">
            <v>030001</v>
          </cell>
        </row>
        <row r="38">
          <cell r="L38">
            <v>11512.32</v>
          </cell>
        </row>
        <row r="39">
          <cell r="C39" t="str">
            <v>030002</v>
          </cell>
        </row>
        <row r="39">
          <cell r="L39">
            <v>6333.12</v>
          </cell>
        </row>
        <row r="40">
          <cell r="C40" t="str">
            <v>030003</v>
          </cell>
        </row>
        <row r="40">
          <cell r="L40">
            <v>1497.6</v>
          </cell>
        </row>
        <row r="41">
          <cell r="C41" t="str">
            <v>030004</v>
          </cell>
        </row>
        <row r="41">
          <cell r="L41">
            <v>16121.28</v>
          </cell>
        </row>
        <row r="42">
          <cell r="C42" t="str">
            <v>030005</v>
          </cell>
        </row>
        <row r="42">
          <cell r="L42">
            <v>1439.04</v>
          </cell>
        </row>
        <row r="43">
          <cell r="C43" t="str">
            <v>030006</v>
          </cell>
        </row>
        <row r="43">
          <cell r="L43">
            <v>1151.04</v>
          </cell>
        </row>
        <row r="44">
          <cell r="C44" t="str">
            <v>030007</v>
          </cell>
        </row>
        <row r="44">
          <cell r="L44">
            <v>1954.56</v>
          </cell>
        </row>
        <row r="45">
          <cell r="C45" t="str">
            <v>030008</v>
          </cell>
        </row>
        <row r="45">
          <cell r="L45">
            <v>2016</v>
          </cell>
        </row>
        <row r="46">
          <cell r="C46" t="str">
            <v>030009</v>
          </cell>
        </row>
        <row r="46">
          <cell r="L46">
            <v>1872</v>
          </cell>
        </row>
        <row r="47">
          <cell r="C47" t="str">
            <v>030012</v>
          </cell>
        </row>
        <row r="47">
          <cell r="L47">
            <v>7200</v>
          </cell>
        </row>
        <row r="48">
          <cell r="C48" t="str">
            <v>030013</v>
          </cell>
        </row>
        <row r="48">
          <cell r="L48">
            <v>1152</v>
          </cell>
        </row>
        <row r="49">
          <cell r="C49" t="str">
            <v>030014</v>
          </cell>
        </row>
        <row r="49">
          <cell r="L49">
            <v>854.4</v>
          </cell>
        </row>
        <row r="50">
          <cell r="C50" t="str">
            <v>030015</v>
          </cell>
        </row>
        <row r="50">
          <cell r="L50">
            <v>1603.2</v>
          </cell>
        </row>
        <row r="51">
          <cell r="C51" t="str">
            <v>030016</v>
          </cell>
        </row>
        <row r="51">
          <cell r="L51">
            <v>854.4</v>
          </cell>
        </row>
        <row r="52">
          <cell r="C52" t="str">
            <v>030017</v>
          </cell>
        </row>
        <row r="52">
          <cell r="L52">
            <v>1872</v>
          </cell>
        </row>
        <row r="53">
          <cell r="C53" t="str">
            <v>030018</v>
          </cell>
        </row>
        <row r="53">
          <cell r="L53">
            <v>30240</v>
          </cell>
        </row>
        <row r="54">
          <cell r="C54" t="str">
            <v>030019</v>
          </cell>
        </row>
        <row r="54">
          <cell r="L54">
            <v>2496</v>
          </cell>
        </row>
        <row r="55">
          <cell r="C55" t="str">
            <v>030020</v>
          </cell>
        </row>
        <row r="55">
          <cell r="L55">
            <v>5236.8</v>
          </cell>
        </row>
        <row r="56">
          <cell r="C56" t="str">
            <v>030021</v>
          </cell>
        </row>
        <row r="56">
          <cell r="L56">
            <v>7104</v>
          </cell>
        </row>
        <row r="57">
          <cell r="C57" t="str">
            <v>030022</v>
          </cell>
        </row>
        <row r="57">
          <cell r="L57">
            <v>2160</v>
          </cell>
        </row>
        <row r="58">
          <cell r="C58" t="str">
            <v>030023</v>
          </cell>
        </row>
        <row r="58">
          <cell r="L58">
            <v>6100.8</v>
          </cell>
        </row>
        <row r="59">
          <cell r="C59" t="str">
            <v>030024</v>
          </cell>
        </row>
        <row r="59">
          <cell r="L59">
            <v>3263.04</v>
          </cell>
        </row>
        <row r="60">
          <cell r="C60" t="str">
            <v>030025</v>
          </cell>
        </row>
        <row r="60">
          <cell r="L60">
            <v>8304</v>
          </cell>
        </row>
        <row r="61">
          <cell r="C61" t="str">
            <v>030026</v>
          </cell>
        </row>
        <row r="61">
          <cell r="L61">
            <v>65280</v>
          </cell>
        </row>
        <row r="62">
          <cell r="C62" t="str">
            <v>030027</v>
          </cell>
        </row>
        <row r="62">
          <cell r="L62">
            <v>56273.28</v>
          </cell>
        </row>
        <row r="63">
          <cell r="C63" t="str">
            <v>030028</v>
          </cell>
        </row>
        <row r="63">
          <cell r="L63">
            <v>168000</v>
          </cell>
        </row>
        <row r="64">
          <cell r="C64" t="str">
            <v>030029</v>
          </cell>
        </row>
        <row r="64">
          <cell r="L64">
            <v>3071.04</v>
          </cell>
        </row>
        <row r="65">
          <cell r="C65" t="str">
            <v>030030</v>
          </cell>
        </row>
        <row r="65">
          <cell r="L65">
            <v>1620.48</v>
          </cell>
        </row>
        <row r="66">
          <cell r="C66" t="str">
            <v>030031</v>
          </cell>
        </row>
        <row r="66">
          <cell r="L66">
            <v>2495.04</v>
          </cell>
        </row>
        <row r="67">
          <cell r="C67" t="str">
            <v>030032</v>
          </cell>
        </row>
        <row r="67">
          <cell r="L67">
            <v>5145.6</v>
          </cell>
        </row>
        <row r="68">
          <cell r="C68" t="str">
            <v>030033</v>
          </cell>
        </row>
        <row r="68">
          <cell r="L68">
            <v>5035</v>
          </cell>
        </row>
        <row r="69">
          <cell r="C69" t="str">
            <v>030035</v>
          </cell>
        </row>
        <row r="69">
          <cell r="L69">
            <v>5937.5</v>
          </cell>
        </row>
        <row r="70">
          <cell r="C70" t="str">
            <v>030036</v>
          </cell>
        </row>
        <row r="70">
          <cell r="L70">
            <v>4940</v>
          </cell>
        </row>
        <row r="71">
          <cell r="C71" t="str">
            <v>WANGLUOBU0514201703</v>
          </cell>
        </row>
        <row r="71">
          <cell r="L71">
            <v>1757.5</v>
          </cell>
        </row>
        <row r="72">
          <cell r="C72" t="str">
            <v>YIWUKE0513201703</v>
          </cell>
        </row>
        <row r="72">
          <cell r="L72">
            <v>1805</v>
          </cell>
        </row>
        <row r="73">
          <cell r="C73" t="str">
            <v>01-04-0001</v>
          </cell>
        </row>
        <row r="73">
          <cell r="L73">
            <v>6240</v>
          </cell>
        </row>
        <row r="74">
          <cell r="C74" t="str">
            <v>01-04-0002</v>
          </cell>
        </row>
        <row r="74">
          <cell r="L74">
            <v>21812</v>
          </cell>
        </row>
        <row r="75">
          <cell r="C75" t="str">
            <v>01-04-0003</v>
          </cell>
        </row>
        <row r="75">
          <cell r="L75">
            <v>5224.05</v>
          </cell>
        </row>
        <row r="76">
          <cell r="C76" t="str">
            <v>01-04-0004</v>
          </cell>
        </row>
        <row r="76">
          <cell r="L76">
            <v>6792.5</v>
          </cell>
        </row>
        <row r="77">
          <cell r="C77" t="str">
            <v>01-04-0005</v>
          </cell>
        </row>
        <row r="77">
          <cell r="L77">
            <v>2660</v>
          </cell>
        </row>
        <row r="78">
          <cell r="C78" t="str">
            <v>01-04-0006</v>
          </cell>
        </row>
        <row r="78">
          <cell r="L78">
            <v>2992.5</v>
          </cell>
        </row>
        <row r="79">
          <cell r="C79" t="str">
            <v>01-04-0007</v>
          </cell>
        </row>
        <row r="79">
          <cell r="L79">
            <v>5795</v>
          </cell>
        </row>
        <row r="80">
          <cell r="C80" t="str">
            <v>01-04-0008</v>
          </cell>
        </row>
        <row r="80">
          <cell r="L80">
            <v>6460</v>
          </cell>
        </row>
        <row r="81">
          <cell r="C81" t="str">
            <v>01-04-0009</v>
          </cell>
        </row>
        <row r="81">
          <cell r="L81">
            <v>2992.5</v>
          </cell>
        </row>
        <row r="82">
          <cell r="C82" t="str">
            <v>01-04-0011</v>
          </cell>
        </row>
        <row r="82">
          <cell r="L82">
            <v>2831</v>
          </cell>
        </row>
        <row r="83">
          <cell r="C83" t="str">
            <v>01-04-0015</v>
          </cell>
        </row>
        <row r="83">
          <cell r="L83">
            <v>5320</v>
          </cell>
        </row>
        <row r="84">
          <cell r="C84" t="str">
            <v>01-04-0016</v>
          </cell>
        </row>
        <row r="84">
          <cell r="L84">
            <v>5225</v>
          </cell>
        </row>
        <row r="85">
          <cell r="C85" t="str">
            <v>01-04-0017</v>
          </cell>
        </row>
        <row r="85">
          <cell r="L85">
            <v>5662</v>
          </cell>
        </row>
        <row r="86">
          <cell r="C86" t="str">
            <v>01-04-0018</v>
          </cell>
        </row>
        <row r="86">
          <cell r="L86">
            <v>2660</v>
          </cell>
        </row>
        <row r="87">
          <cell r="C87" t="str">
            <v>01-04-0019</v>
          </cell>
        </row>
        <row r="87">
          <cell r="L87">
            <v>2470</v>
          </cell>
        </row>
        <row r="88">
          <cell r="C88" t="str">
            <v>01-04-0020</v>
          </cell>
        </row>
        <row r="88">
          <cell r="L88">
            <v>2850</v>
          </cell>
        </row>
        <row r="89">
          <cell r="C89" t="str">
            <v>01-04-0021</v>
          </cell>
        </row>
        <row r="89">
          <cell r="L89">
            <v>2660</v>
          </cell>
        </row>
        <row r="90">
          <cell r="C90" t="str">
            <v>01-04-0023</v>
          </cell>
        </row>
        <row r="90">
          <cell r="L90">
            <v>3788.6</v>
          </cell>
        </row>
        <row r="91">
          <cell r="C91" t="str">
            <v>01-04-0024</v>
          </cell>
        </row>
        <row r="91">
          <cell r="L91">
            <v>2849.05</v>
          </cell>
        </row>
        <row r="92">
          <cell r="C92" t="str">
            <v>01-04-0025</v>
          </cell>
        </row>
        <row r="92">
          <cell r="L92">
            <v>5795</v>
          </cell>
        </row>
        <row r="93">
          <cell r="C93" t="str">
            <v>01-04-0026</v>
          </cell>
        </row>
        <row r="93">
          <cell r="L93">
            <v>2560.91</v>
          </cell>
        </row>
        <row r="94">
          <cell r="C94" t="str">
            <v>01-04-0027</v>
          </cell>
        </row>
        <row r="94">
          <cell r="L94">
            <v>5320</v>
          </cell>
        </row>
        <row r="95">
          <cell r="C95" t="str">
            <v>01-04-0028</v>
          </cell>
        </row>
        <row r="95">
          <cell r="L95">
            <v>3123.6</v>
          </cell>
        </row>
        <row r="96">
          <cell r="C96" t="str">
            <v>01-04-0029</v>
          </cell>
        </row>
        <row r="96">
          <cell r="L96">
            <v>9310</v>
          </cell>
        </row>
        <row r="97">
          <cell r="C97" t="str">
            <v>01-04-0030</v>
          </cell>
        </row>
        <row r="97">
          <cell r="L97">
            <v>4939.05</v>
          </cell>
        </row>
        <row r="98">
          <cell r="C98" t="str">
            <v>01-04-0031</v>
          </cell>
        </row>
        <row r="98">
          <cell r="L98">
            <v>10165</v>
          </cell>
        </row>
        <row r="99">
          <cell r="C99" t="str">
            <v>01-04-0032</v>
          </cell>
        </row>
        <row r="99">
          <cell r="L99">
            <v>5652.5</v>
          </cell>
        </row>
        <row r="100">
          <cell r="C100" t="str">
            <v>01-04-0033</v>
          </cell>
        </row>
        <row r="100">
          <cell r="L100">
            <v>21745.5</v>
          </cell>
        </row>
        <row r="101">
          <cell r="C101" t="str">
            <v>01-04-0034</v>
          </cell>
        </row>
        <row r="101">
          <cell r="L101">
            <v>12445</v>
          </cell>
        </row>
        <row r="102">
          <cell r="C102" t="str">
            <v>01-04-0035</v>
          </cell>
        </row>
        <row r="102">
          <cell r="L102">
            <v>2945</v>
          </cell>
        </row>
        <row r="103">
          <cell r="C103" t="str">
            <v>01-04-0036</v>
          </cell>
        </row>
        <row r="103">
          <cell r="L103">
            <v>8835</v>
          </cell>
        </row>
        <row r="104">
          <cell r="C104" t="str">
            <v>01-04-0037</v>
          </cell>
        </row>
        <row r="104">
          <cell r="L104">
            <v>4275</v>
          </cell>
        </row>
        <row r="105">
          <cell r="C105" t="str">
            <v>01-04-0038</v>
          </cell>
        </row>
        <row r="105">
          <cell r="L105">
            <v>4275</v>
          </cell>
        </row>
        <row r="106">
          <cell r="C106" t="str">
            <v>01-04-0039</v>
          </cell>
        </row>
        <row r="106">
          <cell r="L106">
            <v>3990</v>
          </cell>
        </row>
        <row r="107">
          <cell r="C107" t="str">
            <v>01-04-0040</v>
          </cell>
        </row>
        <row r="107">
          <cell r="L107">
            <v>2088.86</v>
          </cell>
        </row>
        <row r="108">
          <cell r="C108" t="str">
            <v>01-04-0041</v>
          </cell>
        </row>
        <row r="108">
          <cell r="L108">
            <v>3705</v>
          </cell>
        </row>
        <row r="109">
          <cell r="C109" t="str">
            <v>01-04-0042</v>
          </cell>
        </row>
        <row r="109">
          <cell r="L109">
            <v>1520</v>
          </cell>
        </row>
        <row r="110">
          <cell r="C110" t="str">
            <v>01-04-0043</v>
          </cell>
        </row>
        <row r="110">
          <cell r="L110">
            <v>2945</v>
          </cell>
        </row>
        <row r="111">
          <cell r="C111" t="str">
            <v>01-04-0044</v>
          </cell>
        </row>
        <row r="111">
          <cell r="L111">
            <v>3610</v>
          </cell>
        </row>
        <row r="112">
          <cell r="C112" t="str">
            <v>01-04-0045</v>
          </cell>
        </row>
        <row r="112">
          <cell r="L112">
            <v>2042.5</v>
          </cell>
        </row>
        <row r="113">
          <cell r="C113" t="str">
            <v>01-04-0046</v>
          </cell>
        </row>
        <row r="113">
          <cell r="L113">
            <v>1520</v>
          </cell>
        </row>
        <row r="114">
          <cell r="C114" t="str">
            <v>01-04-0047</v>
          </cell>
        </row>
        <row r="114">
          <cell r="L114">
            <v>20330</v>
          </cell>
        </row>
        <row r="115">
          <cell r="C115" t="str">
            <v>01-04-0048</v>
          </cell>
        </row>
        <row r="115">
          <cell r="L115">
            <v>4066</v>
          </cell>
        </row>
        <row r="116">
          <cell r="C116" t="str">
            <v>01-04-0049</v>
          </cell>
        </row>
        <row r="116">
          <cell r="L116">
            <v>8132</v>
          </cell>
        </row>
        <row r="117">
          <cell r="C117" t="str">
            <v>01-04-0050</v>
          </cell>
        </row>
        <row r="117">
          <cell r="L117">
            <v>29450</v>
          </cell>
        </row>
        <row r="118">
          <cell r="C118" t="str">
            <v>01-04-0051</v>
          </cell>
        </row>
        <row r="118">
          <cell r="L118">
            <v>1922.91</v>
          </cell>
        </row>
        <row r="119">
          <cell r="C119" t="str">
            <v>01-04-0052</v>
          </cell>
        </row>
        <row r="119">
          <cell r="L119">
            <v>2002.11</v>
          </cell>
        </row>
        <row r="120">
          <cell r="C120" t="str">
            <v>01-04-0053</v>
          </cell>
        </row>
        <row r="120">
          <cell r="L120">
            <v>12666.56</v>
          </cell>
        </row>
        <row r="121">
          <cell r="C121" t="str">
            <v>01-04-0054</v>
          </cell>
        </row>
        <row r="121">
          <cell r="L121">
            <v>1502.4</v>
          </cell>
        </row>
        <row r="122">
          <cell r="C122" t="str">
            <v>01-04-0055</v>
          </cell>
        </row>
        <row r="122">
          <cell r="L122">
            <v>10133.4</v>
          </cell>
        </row>
        <row r="123">
          <cell r="C123" t="str">
            <v>01-04-0056</v>
          </cell>
        </row>
        <row r="123">
          <cell r="L123">
            <v>5541.6</v>
          </cell>
        </row>
        <row r="124">
          <cell r="C124" t="str">
            <v>01-04-0057</v>
          </cell>
        </row>
        <row r="124">
          <cell r="L124">
            <v>3989.16</v>
          </cell>
        </row>
        <row r="125">
          <cell r="C125" t="str">
            <v>01-04-0058</v>
          </cell>
        </row>
        <row r="125">
          <cell r="L125">
            <v>9605.68</v>
          </cell>
        </row>
        <row r="126">
          <cell r="C126" t="str">
            <v>01-04-0059</v>
          </cell>
        </row>
        <row r="126">
          <cell r="L126">
            <v>3841.6</v>
          </cell>
        </row>
        <row r="127">
          <cell r="C127" t="str">
            <v>01-04-0060</v>
          </cell>
        </row>
        <row r="127">
          <cell r="L127">
            <v>1159.2</v>
          </cell>
        </row>
        <row r="128">
          <cell r="C128" t="str">
            <v>01-04-0061</v>
          </cell>
        </row>
        <row r="128">
          <cell r="L128">
            <v>4471.74</v>
          </cell>
        </row>
        <row r="129">
          <cell r="C129" t="str">
            <v>01-04-0062</v>
          </cell>
        </row>
        <row r="129">
          <cell r="L129">
            <v>21375.09</v>
          </cell>
        </row>
        <row r="130">
          <cell r="C130" t="str">
            <v>01-04-0063</v>
          </cell>
        </row>
        <row r="130">
          <cell r="L130">
            <v>61673.94</v>
          </cell>
        </row>
        <row r="131">
          <cell r="C131" t="str">
            <v>01-04-0064</v>
          </cell>
        </row>
        <row r="131">
          <cell r="L131">
            <v>21089.97</v>
          </cell>
        </row>
        <row r="132">
          <cell r="C132" t="str">
            <v>01-04-0065</v>
          </cell>
        </row>
        <row r="132">
          <cell r="L132">
            <v>31017.87</v>
          </cell>
        </row>
        <row r="133">
          <cell r="C133" t="str">
            <v>01-04-0066</v>
          </cell>
        </row>
        <row r="133">
          <cell r="L133">
            <v>2692.44</v>
          </cell>
        </row>
        <row r="134">
          <cell r="C134" t="str">
            <v>01-04-0067</v>
          </cell>
        </row>
        <row r="134">
          <cell r="L134">
            <v>11938.42</v>
          </cell>
        </row>
        <row r="135">
          <cell r="C135" t="str">
            <v>01-04-0068</v>
          </cell>
        </row>
        <row r="135">
          <cell r="L135">
            <v>3017.56</v>
          </cell>
        </row>
        <row r="136">
          <cell r="C136" t="str">
            <v>01-04-0069</v>
          </cell>
        </row>
        <row r="136">
          <cell r="L136">
            <v>7718.75</v>
          </cell>
        </row>
        <row r="137">
          <cell r="C137" t="str">
            <v>01-04-0070</v>
          </cell>
        </row>
        <row r="137">
          <cell r="L137">
            <v>7332.25</v>
          </cell>
        </row>
        <row r="138">
          <cell r="C138" t="str">
            <v>01-04-0071</v>
          </cell>
        </row>
        <row r="138">
          <cell r="L138">
            <v>1793.25</v>
          </cell>
        </row>
        <row r="139">
          <cell r="C139" t="str">
            <v>01-04-0072</v>
          </cell>
        </row>
        <row r="139">
          <cell r="L139">
            <v>1164.5</v>
          </cell>
        </row>
        <row r="140">
          <cell r="C140" t="str">
            <v>01-04-0073</v>
          </cell>
        </row>
        <row r="140">
          <cell r="L140">
            <v>1223.25</v>
          </cell>
        </row>
        <row r="141">
          <cell r="C141" t="str">
            <v>01-04-0074</v>
          </cell>
        </row>
        <row r="141">
          <cell r="L141">
            <v>3847.5</v>
          </cell>
        </row>
        <row r="142">
          <cell r="C142" t="str">
            <v>01-04-0075</v>
          </cell>
        </row>
        <row r="142">
          <cell r="L142">
            <v>8131.92</v>
          </cell>
        </row>
        <row r="143">
          <cell r="C143" t="str">
            <v>01-04-0076</v>
          </cell>
        </row>
        <row r="143">
          <cell r="L143">
            <v>3610.08</v>
          </cell>
        </row>
        <row r="144">
          <cell r="C144" t="str">
            <v>01-04-0077</v>
          </cell>
        </row>
        <row r="144">
          <cell r="L144">
            <v>21248.4</v>
          </cell>
        </row>
        <row r="145">
          <cell r="C145" t="str">
            <v>01-04-0078</v>
          </cell>
        </row>
        <row r="145">
          <cell r="L145">
            <v>30970.08</v>
          </cell>
        </row>
        <row r="146">
          <cell r="C146" t="str">
            <v>01-04-0079</v>
          </cell>
        </row>
        <row r="146">
          <cell r="L146">
            <v>2431.92</v>
          </cell>
        </row>
        <row r="147">
          <cell r="C147" t="str">
            <v>01-04-0080</v>
          </cell>
        </row>
        <row r="147">
          <cell r="L147">
            <v>21945.12</v>
          </cell>
        </row>
        <row r="148">
          <cell r="C148" t="str">
            <v>01-04-0081</v>
          </cell>
        </row>
        <row r="148">
          <cell r="L148">
            <v>1291.92</v>
          </cell>
        </row>
        <row r="149">
          <cell r="C149" t="str">
            <v>01-04-0082</v>
          </cell>
        </row>
        <row r="149">
          <cell r="L149">
            <v>636.72</v>
          </cell>
        </row>
        <row r="150">
          <cell r="C150" t="str">
            <v>01-04-0083</v>
          </cell>
        </row>
        <row r="150">
          <cell r="L150">
            <v>382.4</v>
          </cell>
        </row>
        <row r="151">
          <cell r="C151" t="str">
            <v>01-04-0084</v>
          </cell>
        </row>
        <row r="151">
          <cell r="L151">
            <v>499.5</v>
          </cell>
        </row>
        <row r="152">
          <cell r="C152" t="str">
            <v>01-04-0085</v>
          </cell>
        </row>
        <row r="152">
          <cell r="L152">
            <v>1583.36</v>
          </cell>
        </row>
        <row r="153">
          <cell r="C153" t="str">
            <v>01-04-0086</v>
          </cell>
        </row>
        <row r="153">
          <cell r="L153">
            <v>626.75</v>
          </cell>
        </row>
        <row r="154">
          <cell r="C154" t="str">
            <v>01-04-0087</v>
          </cell>
        </row>
        <row r="154">
          <cell r="L154">
            <v>260.68</v>
          </cell>
        </row>
        <row r="155">
          <cell r="C155" t="str">
            <v>01-04-0088</v>
          </cell>
        </row>
        <row r="155">
          <cell r="L155">
            <v>150.42</v>
          </cell>
        </row>
        <row r="156">
          <cell r="C156" t="str">
            <v>01-04-0089</v>
          </cell>
        </row>
        <row r="156">
          <cell r="L156">
            <v>102.84</v>
          </cell>
        </row>
        <row r="157">
          <cell r="C157" t="str">
            <v>01-04-0090</v>
          </cell>
        </row>
        <row r="157">
          <cell r="L157">
            <v>19.21</v>
          </cell>
        </row>
        <row r="158">
          <cell r="C158" t="str">
            <v>040001</v>
          </cell>
        </row>
        <row r="158">
          <cell r="L158">
            <v>2304</v>
          </cell>
        </row>
        <row r="159">
          <cell r="C159" t="str">
            <v>040007</v>
          </cell>
        </row>
        <row r="159">
          <cell r="L159">
            <v>5184</v>
          </cell>
        </row>
        <row r="160">
          <cell r="C160" t="str">
            <v>040008</v>
          </cell>
        </row>
        <row r="160">
          <cell r="L160">
            <v>44160</v>
          </cell>
        </row>
        <row r="161">
          <cell r="C161" t="str">
            <v>040010</v>
          </cell>
        </row>
        <row r="161">
          <cell r="L161">
            <v>4512</v>
          </cell>
        </row>
        <row r="162">
          <cell r="C162" t="str">
            <v>040012</v>
          </cell>
        </row>
        <row r="162">
          <cell r="L162">
            <v>3244.8</v>
          </cell>
        </row>
        <row r="163">
          <cell r="C163" t="str">
            <v>040013</v>
          </cell>
        </row>
        <row r="163">
          <cell r="L163">
            <v>23616</v>
          </cell>
        </row>
        <row r="164">
          <cell r="C164" t="str">
            <v>040015</v>
          </cell>
        </row>
        <row r="164">
          <cell r="L164">
            <v>6144</v>
          </cell>
        </row>
        <row r="165">
          <cell r="C165" t="str">
            <v>040021</v>
          </cell>
        </row>
        <row r="165">
          <cell r="L165">
            <v>22080</v>
          </cell>
        </row>
        <row r="166">
          <cell r="C166" t="str">
            <v>040022</v>
          </cell>
        </row>
        <row r="166">
          <cell r="L166">
            <v>49440</v>
          </cell>
        </row>
        <row r="167">
          <cell r="C167" t="str">
            <v>040023</v>
          </cell>
        </row>
        <row r="167">
          <cell r="L167">
            <v>8817.6</v>
          </cell>
        </row>
        <row r="168">
          <cell r="C168" t="str">
            <v>01-05-0001</v>
          </cell>
        </row>
        <row r="168">
          <cell r="L168">
            <v>40850</v>
          </cell>
        </row>
        <row r="169">
          <cell r="C169" t="str">
            <v>01-05-0002</v>
          </cell>
        </row>
        <row r="169">
          <cell r="L169">
            <v>58900</v>
          </cell>
        </row>
        <row r="170">
          <cell r="C170" t="str">
            <v>01-05-0008</v>
          </cell>
        </row>
        <row r="170">
          <cell r="L170">
            <v>15200</v>
          </cell>
        </row>
        <row r="171">
          <cell r="C171" t="str">
            <v>01-05-0009</v>
          </cell>
        </row>
        <row r="171">
          <cell r="L171">
            <v>37050</v>
          </cell>
        </row>
        <row r="172">
          <cell r="C172" t="str">
            <v>01-05-0010</v>
          </cell>
        </row>
        <row r="172">
          <cell r="L172">
            <v>19237.5</v>
          </cell>
        </row>
        <row r="173">
          <cell r="C173" t="str">
            <v>01-05-0013</v>
          </cell>
        </row>
        <row r="173">
          <cell r="L173">
            <v>44650</v>
          </cell>
        </row>
        <row r="174">
          <cell r="C174" t="str">
            <v>01-05-0015</v>
          </cell>
        </row>
        <row r="174">
          <cell r="L174">
            <v>17100</v>
          </cell>
        </row>
        <row r="175">
          <cell r="C175" t="str">
            <v>01-05-0018</v>
          </cell>
        </row>
        <row r="175">
          <cell r="L175">
            <v>6175</v>
          </cell>
        </row>
        <row r="176">
          <cell r="C176" t="str">
            <v>01-05-0021</v>
          </cell>
        </row>
        <row r="176">
          <cell r="L176">
            <v>8740</v>
          </cell>
        </row>
        <row r="177">
          <cell r="C177" t="str">
            <v>01-05-0022</v>
          </cell>
        </row>
        <row r="177">
          <cell r="L177">
            <v>251750</v>
          </cell>
        </row>
        <row r="178">
          <cell r="C178" t="str">
            <v>01-05-0023</v>
          </cell>
        </row>
        <row r="178">
          <cell r="L178">
            <v>6460</v>
          </cell>
        </row>
        <row r="179">
          <cell r="C179" t="str">
            <v>01-05-0024</v>
          </cell>
        </row>
        <row r="179">
          <cell r="L179">
            <v>9500</v>
          </cell>
        </row>
        <row r="180">
          <cell r="C180" t="str">
            <v>01-05-0025</v>
          </cell>
        </row>
        <row r="180">
          <cell r="L180">
            <v>14250</v>
          </cell>
        </row>
        <row r="181">
          <cell r="C181" t="str">
            <v>01-05-0026</v>
          </cell>
        </row>
        <row r="181">
          <cell r="L181">
            <v>26600</v>
          </cell>
        </row>
        <row r="182">
          <cell r="C182" t="str">
            <v>01-05-0027</v>
          </cell>
        </row>
        <row r="182">
          <cell r="L182">
            <v>665000</v>
          </cell>
        </row>
        <row r="183">
          <cell r="C183" t="str">
            <v>01-05-0028</v>
          </cell>
        </row>
        <row r="183">
          <cell r="L183">
            <v>22800</v>
          </cell>
        </row>
        <row r="184">
          <cell r="C184" t="str">
            <v>01-05-0029</v>
          </cell>
        </row>
        <row r="184">
          <cell r="L184">
            <v>6175</v>
          </cell>
        </row>
        <row r="185">
          <cell r="C185" t="str">
            <v>01-05-0030</v>
          </cell>
        </row>
        <row r="185">
          <cell r="L185">
            <v>1900</v>
          </cell>
        </row>
        <row r="186">
          <cell r="C186" t="str">
            <v>01-05-0031</v>
          </cell>
        </row>
        <row r="186">
          <cell r="L186">
            <v>10925</v>
          </cell>
        </row>
        <row r="187">
          <cell r="C187" t="str">
            <v>01-05-0033</v>
          </cell>
        </row>
        <row r="187">
          <cell r="L187">
            <v>20900</v>
          </cell>
        </row>
        <row r="188">
          <cell r="C188" t="str">
            <v>01-05-0034</v>
          </cell>
        </row>
        <row r="188">
          <cell r="L188">
            <v>50350</v>
          </cell>
        </row>
        <row r="189">
          <cell r="C189" t="str">
            <v>01-05-0035</v>
          </cell>
        </row>
        <row r="189">
          <cell r="L189">
            <v>5700</v>
          </cell>
        </row>
        <row r="190">
          <cell r="C190" t="str">
            <v>01-05-0036</v>
          </cell>
        </row>
        <row r="190">
          <cell r="L190">
            <v>19000</v>
          </cell>
        </row>
        <row r="191">
          <cell r="C191" t="str">
            <v>01-05-0037</v>
          </cell>
        </row>
        <row r="191">
          <cell r="L191">
            <v>246810</v>
          </cell>
        </row>
        <row r="192">
          <cell r="C192" t="str">
            <v>01-05-0038</v>
          </cell>
        </row>
        <row r="192">
          <cell r="L192">
            <v>266000</v>
          </cell>
        </row>
        <row r="193">
          <cell r="C193" t="str">
            <v>01-05-0039</v>
          </cell>
        </row>
        <row r="193">
          <cell r="L193">
            <v>570000</v>
          </cell>
        </row>
        <row r="194">
          <cell r="C194" t="str">
            <v>01-05-0040</v>
          </cell>
        </row>
        <row r="194">
          <cell r="L194">
            <v>997500</v>
          </cell>
        </row>
        <row r="195">
          <cell r="C195" t="str">
            <v>01-05-0042</v>
          </cell>
        </row>
        <row r="195">
          <cell r="L195">
            <v>123500</v>
          </cell>
        </row>
        <row r="196">
          <cell r="C196" t="str">
            <v>01-05-0043</v>
          </cell>
        </row>
        <row r="196">
          <cell r="L196">
            <v>38950</v>
          </cell>
        </row>
        <row r="197">
          <cell r="C197" t="str">
            <v>01-05-0044</v>
          </cell>
        </row>
        <row r="197">
          <cell r="L197">
            <v>131100</v>
          </cell>
        </row>
        <row r="198">
          <cell r="C198" t="str">
            <v>01-05-0045</v>
          </cell>
        </row>
        <row r="198">
          <cell r="L198">
            <v>7600</v>
          </cell>
        </row>
        <row r="199">
          <cell r="C199" t="str">
            <v>01-05-0046</v>
          </cell>
        </row>
        <row r="199">
          <cell r="L199">
            <v>83600</v>
          </cell>
        </row>
        <row r="200">
          <cell r="C200" t="str">
            <v>01-05-0047</v>
          </cell>
        </row>
        <row r="200">
          <cell r="L200">
            <v>34200</v>
          </cell>
        </row>
        <row r="201">
          <cell r="C201" t="str">
            <v>01-05-0048</v>
          </cell>
        </row>
        <row r="201">
          <cell r="L201">
            <v>118750</v>
          </cell>
        </row>
        <row r="202">
          <cell r="C202" t="str">
            <v>01-05-0049</v>
          </cell>
        </row>
        <row r="202">
          <cell r="L202">
            <v>9310</v>
          </cell>
        </row>
        <row r="203">
          <cell r="C203" t="str">
            <v>01-05-0050</v>
          </cell>
        </row>
        <row r="203">
          <cell r="L203">
            <v>3610</v>
          </cell>
        </row>
        <row r="204">
          <cell r="C204" t="str">
            <v>01-05-0051</v>
          </cell>
        </row>
        <row r="204">
          <cell r="L204">
            <v>3800</v>
          </cell>
        </row>
        <row r="205">
          <cell r="C205" t="str">
            <v>01-05-0052</v>
          </cell>
        </row>
        <row r="205">
          <cell r="L205">
            <v>17100</v>
          </cell>
        </row>
        <row r="206">
          <cell r="C206" t="str">
            <v>01-05-0053</v>
          </cell>
        </row>
        <row r="206">
          <cell r="L206">
            <v>570000</v>
          </cell>
        </row>
        <row r="207">
          <cell r="C207" t="str">
            <v>01-05-0054</v>
          </cell>
        </row>
        <row r="207">
          <cell r="L207">
            <v>44650</v>
          </cell>
        </row>
        <row r="208">
          <cell r="C208" t="str">
            <v>01-05-0055</v>
          </cell>
        </row>
        <row r="208">
          <cell r="L208">
            <v>35150</v>
          </cell>
        </row>
        <row r="209">
          <cell r="C209" t="str">
            <v>01-05-0056</v>
          </cell>
        </row>
        <row r="209">
          <cell r="L209">
            <v>7125</v>
          </cell>
        </row>
        <row r="210">
          <cell r="C210" t="str">
            <v>01-05-0057</v>
          </cell>
        </row>
        <row r="210">
          <cell r="L210">
            <v>114000</v>
          </cell>
        </row>
        <row r="211">
          <cell r="C211" t="str">
            <v>01-05-0058</v>
          </cell>
        </row>
        <row r="211">
          <cell r="L211">
            <v>129200</v>
          </cell>
        </row>
        <row r="212">
          <cell r="C212" t="str">
            <v>01-05-0059</v>
          </cell>
        </row>
        <row r="212">
          <cell r="L212">
            <v>52250</v>
          </cell>
        </row>
        <row r="213">
          <cell r="C213" t="str">
            <v>01-05-0060</v>
          </cell>
        </row>
        <row r="213">
          <cell r="L213">
            <v>33250</v>
          </cell>
        </row>
        <row r="214">
          <cell r="C214" t="str">
            <v>01-05-0061</v>
          </cell>
        </row>
        <row r="214">
          <cell r="L214">
            <v>760000</v>
          </cell>
        </row>
        <row r="215">
          <cell r="C215" t="str">
            <v>01-05-0062</v>
          </cell>
        </row>
        <row r="215">
          <cell r="L215">
            <v>1330000</v>
          </cell>
        </row>
        <row r="216">
          <cell r="C216" t="str">
            <v>01-05-0063</v>
          </cell>
        </row>
        <row r="216">
          <cell r="L216">
            <v>469299.81</v>
          </cell>
        </row>
        <row r="217">
          <cell r="C217" t="str">
            <v>01-05-0064</v>
          </cell>
        </row>
        <row r="217">
          <cell r="L217">
            <v>451250.19</v>
          </cell>
        </row>
        <row r="218">
          <cell r="C218" t="str">
            <v>01-05-0066</v>
          </cell>
        </row>
        <row r="218">
          <cell r="L218">
            <v>2438.15</v>
          </cell>
        </row>
        <row r="219">
          <cell r="C219" t="str">
            <v>01-05-0067</v>
          </cell>
        </row>
        <row r="219">
          <cell r="L219">
            <v>3048.1</v>
          </cell>
        </row>
        <row r="220">
          <cell r="C220" t="str">
            <v>01-05-0068</v>
          </cell>
        </row>
        <row r="220">
          <cell r="L220">
            <v>269166.5</v>
          </cell>
        </row>
        <row r="221">
          <cell r="C221" t="str">
            <v>01-05-0069</v>
          </cell>
        </row>
        <row r="221">
          <cell r="L221">
            <v>37240</v>
          </cell>
        </row>
        <row r="222">
          <cell r="C222" t="str">
            <v>01-05-0070</v>
          </cell>
        </row>
        <row r="222">
          <cell r="L222">
            <v>20637.33</v>
          </cell>
        </row>
        <row r="223">
          <cell r="C223" t="str">
            <v>01-05-0071</v>
          </cell>
        </row>
        <row r="223">
          <cell r="L223">
            <v>16476.96</v>
          </cell>
        </row>
        <row r="224">
          <cell r="C224" t="str">
            <v>01-05-0072</v>
          </cell>
        </row>
        <row r="224">
          <cell r="L224">
            <v>364166.82</v>
          </cell>
        </row>
        <row r="225">
          <cell r="C225" t="str">
            <v>01-05-0073</v>
          </cell>
        </row>
        <row r="225">
          <cell r="L225">
            <v>4629.81</v>
          </cell>
        </row>
        <row r="226">
          <cell r="C226" t="str">
            <v>01-05-0075</v>
          </cell>
        </row>
        <row r="226">
          <cell r="L226">
            <v>72833.2</v>
          </cell>
        </row>
        <row r="227">
          <cell r="C227" t="str">
            <v>01-05-0076</v>
          </cell>
        </row>
        <row r="227">
          <cell r="L227">
            <v>7101.12</v>
          </cell>
        </row>
        <row r="228">
          <cell r="C228" t="str">
            <v>01-05-0077</v>
          </cell>
        </row>
        <row r="228">
          <cell r="L228">
            <v>6982.56</v>
          </cell>
        </row>
        <row r="229">
          <cell r="C229" t="str">
            <v>01-05-0078</v>
          </cell>
        </row>
        <row r="229">
          <cell r="L229">
            <v>199500.12</v>
          </cell>
        </row>
        <row r="230">
          <cell r="C230" t="str">
            <v>01-05-0079</v>
          </cell>
        </row>
        <row r="230">
          <cell r="L230">
            <v>4199</v>
          </cell>
        </row>
        <row r="231">
          <cell r="C231" t="str">
            <v>01-05-0081</v>
          </cell>
        </row>
        <row r="231">
          <cell r="L231">
            <v>63745.11</v>
          </cell>
        </row>
        <row r="232">
          <cell r="C232" t="str">
            <v>01-05-0082</v>
          </cell>
        </row>
        <row r="232">
          <cell r="L232">
            <v>10167.69</v>
          </cell>
        </row>
        <row r="233">
          <cell r="C233" t="str">
            <v>01-05-0083</v>
          </cell>
        </row>
        <row r="233">
          <cell r="L233">
            <v>3306</v>
          </cell>
        </row>
        <row r="234">
          <cell r="C234" t="str">
            <v>01-05-0084</v>
          </cell>
        </row>
        <row r="234">
          <cell r="L234">
            <v>459.07</v>
          </cell>
        </row>
        <row r="235">
          <cell r="C235" t="str">
            <v>01-05-0085</v>
          </cell>
        </row>
        <row r="235">
          <cell r="L235">
            <v>459.07</v>
          </cell>
        </row>
        <row r="236">
          <cell r="C236" t="str">
            <v>01-05-0086</v>
          </cell>
        </row>
        <row r="236">
          <cell r="L236">
            <v>2216.76</v>
          </cell>
        </row>
        <row r="237">
          <cell r="C237" t="str">
            <v>01-05-0087</v>
          </cell>
        </row>
        <row r="237">
          <cell r="L237">
            <v>2017.08</v>
          </cell>
        </row>
        <row r="238">
          <cell r="C238" t="str">
            <v>01-05-0089</v>
          </cell>
        </row>
        <row r="238">
          <cell r="L238">
            <v>17675.32</v>
          </cell>
        </row>
        <row r="239">
          <cell r="C239" t="str">
            <v>01-05-0090</v>
          </cell>
        </row>
        <row r="239">
          <cell r="L239">
            <v>25208.3</v>
          </cell>
        </row>
        <row r="240">
          <cell r="C240" t="str">
            <v>01-05-0091</v>
          </cell>
        </row>
        <row r="240">
          <cell r="L240">
            <v>164666.58</v>
          </cell>
        </row>
        <row r="241">
          <cell r="C241" t="str">
            <v>01-05-0092</v>
          </cell>
        </row>
        <row r="241">
          <cell r="L241">
            <v>10852.09</v>
          </cell>
        </row>
        <row r="242">
          <cell r="C242" t="str">
            <v>01-05-0093</v>
          </cell>
        </row>
        <row r="242">
          <cell r="L242">
            <v>6190.91</v>
          </cell>
        </row>
        <row r="243">
          <cell r="C243" t="str">
            <v>01-05-0094</v>
          </cell>
        </row>
        <row r="243">
          <cell r="L243">
            <v>10014.66</v>
          </cell>
        </row>
        <row r="244">
          <cell r="C244" t="str">
            <v>01-05-0095</v>
          </cell>
        </row>
        <row r="244">
          <cell r="L244">
            <v>5462.5</v>
          </cell>
        </row>
        <row r="245">
          <cell r="C245" t="str">
            <v>01-05-0096</v>
          </cell>
        </row>
        <row r="245">
          <cell r="L245">
            <v>14930.91</v>
          </cell>
        </row>
        <row r="246">
          <cell r="C246" t="str">
            <v>01-05-0097</v>
          </cell>
        </row>
        <row r="246">
          <cell r="L246">
            <v>21340.09</v>
          </cell>
        </row>
        <row r="247">
          <cell r="C247" t="str">
            <v>01-05-0098</v>
          </cell>
        </row>
        <row r="247">
          <cell r="L247">
            <v>1108.4</v>
          </cell>
        </row>
        <row r="248">
          <cell r="C248" t="str">
            <v>01-05-0099</v>
          </cell>
        </row>
        <row r="248">
          <cell r="L248">
            <v>3166.4</v>
          </cell>
        </row>
        <row r="249">
          <cell r="C249" t="str">
            <v>01-05-0100</v>
          </cell>
        </row>
        <row r="249">
          <cell r="L249">
            <v>109202.5</v>
          </cell>
        </row>
        <row r="250">
          <cell r="C250" t="str">
            <v>01-05-0101</v>
          </cell>
        </row>
        <row r="250">
          <cell r="L250">
            <v>27075</v>
          </cell>
        </row>
        <row r="251">
          <cell r="C251" t="str">
            <v>01-05-0102</v>
          </cell>
        </row>
        <row r="251">
          <cell r="L251">
            <v>1955.46</v>
          </cell>
        </row>
        <row r="252">
          <cell r="C252" t="str">
            <v>01-05-0103</v>
          </cell>
        </row>
        <row r="252">
          <cell r="L252">
            <v>5038.8</v>
          </cell>
        </row>
        <row r="253">
          <cell r="C253" t="str">
            <v>01-05-0104</v>
          </cell>
        </row>
        <row r="253">
          <cell r="L253">
            <v>129675</v>
          </cell>
        </row>
        <row r="254">
          <cell r="C254" t="str">
            <v>01-05-0105</v>
          </cell>
        </row>
        <row r="254">
          <cell r="L254">
            <v>72200.04</v>
          </cell>
        </row>
        <row r="255">
          <cell r="C255" t="str">
            <v>01-05-0106</v>
          </cell>
        </row>
        <row r="255">
          <cell r="L255">
            <v>39319.68</v>
          </cell>
        </row>
        <row r="256">
          <cell r="C256" t="str">
            <v>01-05-0107</v>
          </cell>
        </row>
        <row r="256">
          <cell r="L256">
            <v>8977.5</v>
          </cell>
        </row>
        <row r="257">
          <cell r="C257" t="str">
            <v>01-05-0108</v>
          </cell>
        </row>
        <row r="257">
          <cell r="L257">
            <v>2128</v>
          </cell>
        </row>
        <row r="258">
          <cell r="C258" t="str">
            <v>01-05-0109</v>
          </cell>
        </row>
        <row r="258">
          <cell r="L258">
            <v>20836.69</v>
          </cell>
        </row>
        <row r="259">
          <cell r="C259" t="str">
            <v>01-05-0110</v>
          </cell>
        </row>
        <row r="259">
          <cell r="L259">
            <v>2337</v>
          </cell>
        </row>
        <row r="260">
          <cell r="C260" t="str">
            <v>01-05-0111</v>
          </cell>
        </row>
        <row r="260">
          <cell r="L260">
            <v>886.68</v>
          </cell>
        </row>
        <row r="261">
          <cell r="C261" t="str">
            <v>01-05-0112</v>
          </cell>
        </row>
        <row r="261">
          <cell r="L261">
            <v>190</v>
          </cell>
        </row>
        <row r="262">
          <cell r="C262" t="str">
            <v>01-05-0113</v>
          </cell>
        </row>
        <row r="262">
          <cell r="L262">
            <v>114</v>
          </cell>
        </row>
        <row r="263">
          <cell r="C263" t="str">
            <v>01-05-0114</v>
          </cell>
        </row>
        <row r="263">
          <cell r="L263">
            <v>557.32</v>
          </cell>
        </row>
        <row r="264">
          <cell r="C264" t="str">
            <v>01-05-0115</v>
          </cell>
        </row>
        <row r="264">
          <cell r="L264">
            <v>2945.01</v>
          </cell>
        </row>
        <row r="265">
          <cell r="C265" t="str">
            <v>01-05-0116</v>
          </cell>
        </row>
        <row r="265">
          <cell r="L265">
            <v>12033.34</v>
          </cell>
        </row>
        <row r="266">
          <cell r="C266" t="str">
            <v>020001</v>
          </cell>
        </row>
        <row r="266">
          <cell r="L266">
            <v>9408</v>
          </cell>
        </row>
        <row r="267">
          <cell r="C267" t="str">
            <v>020002</v>
          </cell>
        </row>
        <row r="267">
          <cell r="L267">
            <v>7872</v>
          </cell>
        </row>
        <row r="268">
          <cell r="C268" t="str">
            <v>020003</v>
          </cell>
        </row>
        <row r="268">
          <cell r="L268">
            <v>9600</v>
          </cell>
        </row>
        <row r="269">
          <cell r="C269" t="str">
            <v>020004</v>
          </cell>
        </row>
        <row r="269">
          <cell r="L269">
            <v>17280</v>
          </cell>
        </row>
        <row r="270">
          <cell r="C270" t="str">
            <v>020005</v>
          </cell>
        </row>
        <row r="270">
          <cell r="L270">
            <v>28800</v>
          </cell>
        </row>
        <row r="271">
          <cell r="C271" t="str">
            <v>020006</v>
          </cell>
        </row>
        <row r="271">
          <cell r="L271">
            <v>5760</v>
          </cell>
        </row>
        <row r="272">
          <cell r="C272" t="str">
            <v>020008</v>
          </cell>
        </row>
        <row r="272">
          <cell r="L272">
            <v>6720</v>
          </cell>
        </row>
        <row r="273">
          <cell r="C273" t="str">
            <v>020010</v>
          </cell>
        </row>
        <row r="273">
          <cell r="L273">
            <v>15993.6</v>
          </cell>
        </row>
        <row r="274">
          <cell r="C274" t="str">
            <v>020011</v>
          </cell>
        </row>
        <row r="274">
          <cell r="L274">
            <v>14208</v>
          </cell>
        </row>
        <row r="275">
          <cell r="C275" t="str">
            <v>020015</v>
          </cell>
        </row>
        <row r="275">
          <cell r="L275">
            <v>34944</v>
          </cell>
        </row>
        <row r="276">
          <cell r="C276" t="str">
            <v>020016</v>
          </cell>
        </row>
        <row r="276">
          <cell r="L276">
            <v>20966.4</v>
          </cell>
        </row>
        <row r="277">
          <cell r="C277" t="str">
            <v>020024</v>
          </cell>
        </row>
        <row r="277">
          <cell r="L277">
            <v>3936</v>
          </cell>
        </row>
        <row r="278">
          <cell r="C278" t="str">
            <v>020026</v>
          </cell>
        </row>
        <row r="278">
          <cell r="L278">
            <v>86400</v>
          </cell>
        </row>
        <row r="279">
          <cell r="C279" t="str">
            <v>020032</v>
          </cell>
        </row>
        <row r="279">
          <cell r="L279">
            <v>8640</v>
          </cell>
        </row>
        <row r="280">
          <cell r="C280" t="str">
            <v>020033</v>
          </cell>
        </row>
        <row r="280">
          <cell r="L280">
            <v>576000</v>
          </cell>
        </row>
        <row r="281">
          <cell r="C281" t="str">
            <v>020035</v>
          </cell>
        </row>
        <row r="281">
          <cell r="L281">
            <v>3600</v>
          </cell>
        </row>
        <row r="282">
          <cell r="C282" t="str">
            <v>020036</v>
          </cell>
        </row>
        <row r="282">
          <cell r="L282">
            <v>2592</v>
          </cell>
        </row>
        <row r="283">
          <cell r="C283" t="str">
            <v>020037</v>
          </cell>
        </row>
        <row r="283">
          <cell r="L283">
            <v>37440</v>
          </cell>
        </row>
        <row r="284">
          <cell r="C284" t="str">
            <v>020039</v>
          </cell>
        </row>
        <row r="284">
          <cell r="L284">
            <v>4080</v>
          </cell>
        </row>
        <row r="285">
          <cell r="C285" t="str">
            <v>020042</v>
          </cell>
        </row>
        <row r="285">
          <cell r="L285">
            <v>6240</v>
          </cell>
        </row>
        <row r="286">
          <cell r="C286" t="str">
            <v>020043</v>
          </cell>
        </row>
        <row r="286">
          <cell r="L286">
            <v>38400</v>
          </cell>
        </row>
        <row r="287">
          <cell r="C287" t="str">
            <v>020044</v>
          </cell>
        </row>
        <row r="287">
          <cell r="L287">
            <v>9120</v>
          </cell>
        </row>
        <row r="288">
          <cell r="C288" t="str">
            <v>020045</v>
          </cell>
        </row>
        <row r="288">
          <cell r="L288">
            <v>43200</v>
          </cell>
        </row>
        <row r="289">
          <cell r="C289" t="str">
            <v>020046</v>
          </cell>
        </row>
        <row r="289">
          <cell r="L289">
            <v>29568</v>
          </cell>
        </row>
        <row r="290">
          <cell r="C290" t="str">
            <v>020049</v>
          </cell>
        </row>
        <row r="290">
          <cell r="L290">
            <v>113049.6</v>
          </cell>
        </row>
        <row r="291">
          <cell r="C291" t="str">
            <v>020050</v>
          </cell>
        </row>
        <row r="291">
          <cell r="L291">
            <v>5616</v>
          </cell>
        </row>
        <row r="292">
          <cell r="C292" t="str">
            <v>020051</v>
          </cell>
        </row>
        <row r="292">
          <cell r="L292">
            <v>30720</v>
          </cell>
        </row>
        <row r="293">
          <cell r="C293" t="str">
            <v>020052</v>
          </cell>
        </row>
        <row r="293">
          <cell r="L293">
            <v>2688</v>
          </cell>
        </row>
        <row r="294">
          <cell r="C294" t="str">
            <v>020054</v>
          </cell>
        </row>
        <row r="294">
          <cell r="L294">
            <v>40800</v>
          </cell>
        </row>
        <row r="295">
          <cell r="C295" t="str">
            <v>YAKE01201801</v>
          </cell>
        </row>
        <row r="295">
          <cell r="L295">
            <v>61440</v>
          </cell>
        </row>
        <row r="296">
          <cell r="C296" t="str">
            <v>01-05-0014</v>
          </cell>
        </row>
        <row r="296">
          <cell r="L296">
            <v>2850</v>
          </cell>
        </row>
        <row r="297">
          <cell r="C297" t="str">
            <v>01-05-0016</v>
          </cell>
        </row>
        <row r="297">
          <cell r="L297">
            <v>2470</v>
          </cell>
        </row>
        <row r="298">
          <cell r="C298" t="str">
            <v>01-05-0017</v>
          </cell>
        </row>
        <row r="298">
          <cell r="L298">
            <v>7600</v>
          </cell>
        </row>
        <row r="299">
          <cell r="C299" t="str">
            <v>01-06-0001</v>
          </cell>
        </row>
        <row r="299">
          <cell r="L299">
            <v>5320</v>
          </cell>
        </row>
        <row r="300">
          <cell r="C300" t="str">
            <v>01-06-0002</v>
          </cell>
        </row>
        <row r="300">
          <cell r="L300">
            <v>2850</v>
          </cell>
        </row>
        <row r="301">
          <cell r="C301" t="str">
            <v>01-06-0003</v>
          </cell>
        </row>
        <row r="301">
          <cell r="L301">
            <v>2638.63</v>
          </cell>
        </row>
        <row r="302">
          <cell r="C302" t="str">
            <v>01-06-0004</v>
          </cell>
        </row>
        <row r="302">
          <cell r="L302">
            <v>8835</v>
          </cell>
        </row>
        <row r="303">
          <cell r="C303" t="str">
            <v>01-06-0005</v>
          </cell>
        </row>
        <row r="303">
          <cell r="L303">
            <v>2923.14</v>
          </cell>
        </row>
        <row r="304">
          <cell r="C304" t="str">
            <v>01-06-0006</v>
          </cell>
        </row>
        <row r="304">
          <cell r="L304">
            <v>7964.8</v>
          </cell>
        </row>
        <row r="305">
          <cell r="C305" t="str">
            <v>01-06-0007</v>
          </cell>
        </row>
        <row r="305">
          <cell r="L305">
            <v>28756.5</v>
          </cell>
        </row>
        <row r="306">
          <cell r="C306" t="str">
            <v>01-06-0008</v>
          </cell>
        </row>
        <row r="306">
          <cell r="L306">
            <v>27550</v>
          </cell>
        </row>
        <row r="307">
          <cell r="C307" t="str">
            <v>01-06-0009</v>
          </cell>
        </row>
        <row r="307">
          <cell r="L307">
            <v>1372.24</v>
          </cell>
        </row>
        <row r="308">
          <cell r="C308" t="str">
            <v>060002</v>
          </cell>
        </row>
        <row r="308">
          <cell r="L308">
            <v>4416</v>
          </cell>
        </row>
        <row r="309">
          <cell r="C309" t="str">
            <v>060004</v>
          </cell>
        </row>
        <row r="309">
          <cell r="L309">
            <v>2380.8</v>
          </cell>
        </row>
        <row r="310">
          <cell r="C310" t="str">
            <v>060006</v>
          </cell>
        </row>
        <row r="310">
          <cell r="L310">
            <v>199680</v>
          </cell>
        </row>
        <row r="311">
          <cell r="C311" t="str">
            <v>01-07-0001</v>
          </cell>
        </row>
        <row r="311">
          <cell r="L311">
            <v>805600</v>
          </cell>
        </row>
        <row r="312">
          <cell r="C312" t="str">
            <v>01-07-0002</v>
          </cell>
        </row>
        <row r="312">
          <cell r="L312">
            <v>336010.5</v>
          </cell>
        </row>
        <row r="313">
          <cell r="C313" t="str">
            <v>01-07-0003</v>
          </cell>
        </row>
        <row r="313">
          <cell r="L313">
            <v>15470.56</v>
          </cell>
        </row>
        <row r="314">
          <cell r="C314" t="str">
            <v>01-07-0004</v>
          </cell>
        </row>
        <row r="314">
          <cell r="L314">
            <v>10687.5</v>
          </cell>
        </row>
        <row r="315">
          <cell r="L315">
            <v>14108429.27</v>
          </cell>
        </row>
      </sheetData>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汇总"/>
      <sheetName val="K.00 Lead"/>
      <sheetName val="K.01.1 BKD"/>
      <sheetName val="K1_400折旧测试"/>
      <sheetName val="K.01.1a FA list"/>
      <sheetName val="Sheet3"/>
      <sheetName val="Sheet2"/>
      <sheetName val="Sheet1"/>
      <sheetName val="K.02.1 新增测试"/>
      <sheetName val="K.02.2a 选样输出（新增）"/>
      <sheetName val="K.02.1b 新增清单"/>
      <sheetName val="K.02.2b 处置清单"/>
      <sheetName val="K.02.2 处置测试"/>
      <sheetName val="K.02.2a 选样输出（处置）"/>
      <sheetName val="SkywindSettingSheet"/>
      <sheetName val="DS_INTERNAL_SETTINGS_STORAGE"/>
      <sheetName val="DS_INTERNAL_DOCGROUP_STORAGE"/>
      <sheetName val="DS_INTERNAL_DOCUMENT_STORAGE"/>
      <sheetName val="DS_INTERNAL_SNIP_STORAGE"/>
      <sheetName val="K.02.1a 选样输出"/>
    </sheetNames>
    <sheetDataSet>
      <sheetData sheetId="0">
        <row r="3">
          <cell r="G3">
            <v>357000</v>
          </cell>
        </row>
        <row r="5">
          <cell r="G5">
            <v>159500</v>
          </cell>
        </row>
        <row r="7">
          <cell r="G7">
            <v>35700</v>
          </cell>
        </row>
        <row r="21">
          <cell r="F21">
            <v>119625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汇总"/>
      <sheetName val="K1_Lead"/>
      <sheetName val="K1_100Breakdown"/>
      <sheetName val="K1_400折旧测试"/>
      <sheetName val="K1_200新增测试"/>
      <sheetName val="K1_210处置测试"/>
      <sheetName val="K1_300检查实物"/>
      <sheetName val="SkywindSettingSheet"/>
      <sheetName val="减值测试索引介绍 "/>
      <sheetName val="K1_500减值测试"/>
      <sheetName val="OSP"/>
      <sheetName val="IPE"/>
      <sheetName val="报告披露"/>
    </sheetNames>
    <sheetDataSet>
      <sheetData sheetId="0"/>
      <sheetData sheetId="1"/>
      <sheetData sheetId="2">
        <row r="32">
          <cell r="C32" t="str">
            <v>办公设备</v>
          </cell>
        </row>
        <row r="33">
          <cell r="C33" t="str">
            <v>电子设备</v>
          </cell>
        </row>
        <row r="34">
          <cell r="C34" t="str">
            <v>仪器设备</v>
          </cell>
        </row>
        <row r="35">
          <cell r="C35" t="str">
            <v>其他设备</v>
          </cell>
        </row>
        <row r="36">
          <cell r="C36" t="str">
            <v>运输工具</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汇总"/>
      <sheetName val="K1_Lead"/>
      <sheetName val="K1_100Breakdown"/>
      <sheetName val="K1_400折旧测试"/>
      <sheetName val="K1_200新增测试"/>
      <sheetName val="K1_110在建工程"/>
      <sheetName val="K1_210处置测试"/>
      <sheetName val="K1_300检查实物"/>
      <sheetName val="SkywindSettingSheet"/>
      <sheetName val="K1_500减值测试"/>
      <sheetName val="IPE"/>
    </sheetNames>
    <sheetDataSet>
      <sheetData sheetId="0" refreshError="1"/>
      <sheetData sheetId="1"/>
      <sheetData sheetId="2">
        <row r="34">
          <cell r="G34">
            <v>0</v>
          </cell>
        </row>
        <row r="34">
          <cell r="L34">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汇总"/>
      <sheetName val="K.00 Lead"/>
      <sheetName val="K1_400折旧测试"/>
      <sheetName val="K.01.1 BKD"/>
      <sheetName val="K.01.1a FA list"/>
      <sheetName val="K.02.1 新增测试"/>
      <sheetName val="K.02.1a 选样输出"/>
      <sheetName val="K.02.1b 新增清单"/>
      <sheetName val="K.02.2 处置测试"/>
      <sheetName val="K.02.2a 选样输出（处置）"/>
      <sheetName val="SkywindSettingSheet"/>
      <sheetName val="K.02.2b 处置清单"/>
      <sheetName val="K.03.1 折旧测试"/>
      <sheetName val="Sheet2"/>
    </sheetNames>
    <sheetDataSet>
      <sheetData sheetId="0"/>
      <sheetData sheetId="1"/>
      <sheetData sheetId="2">
        <row r="500">
          <cell r="F500">
            <v>59355.9378298611</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K1 SWP &#22266;&#23450;&#36164;&#20135; 20251231 02_&#29790;&#20029;&#21307;&#30103;.xlsx" TargetMode="External"/></Relationships>
</file>

<file path=xl/worksheets/_rels/sheet2.xml.rels><?xml version="1.0" encoding="UTF-8" standalone="yes"?>
<Relationships xmlns="http://schemas.openxmlformats.org/package/2006/relationships"><Relationship Id="rId4" Type="http://schemas.openxmlformats.org/officeDocument/2006/relationships/hyperlink" Target="../../../../../../../../: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TargetMode="External"/><Relationship Id="rId3" Type="http://schemas.openxmlformats.org/officeDocument/2006/relationships/hyperlink" Target="../../../../../../../../: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TargetMode="External"/><Relationship Id="rId2" Type="http://schemas.openxmlformats.org/officeDocument/2006/relationships/hyperlink" Target="../../../../../../../../: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5"/>
  <sheetViews>
    <sheetView topLeftCell="B1" workbookViewId="0">
      <selection activeCell="D12" sqref="D12"/>
    </sheetView>
  </sheetViews>
  <sheetFormatPr defaultColWidth="9" defaultRowHeight="14.1" outlineLevelRow="4" outlineLevelCol="5"/>
  <cols>
    <col min="1" max="2" width="8.63063063063063" customWidth="1"/>
    <col min="3" max="3" width="12.6306306306306" customWidth="1"/>
    <col min="4" max="5" width="70.6306306306306" customWidth="1"/>
    <col min="6" max="6" width="8.63063063063063" customWidth="1"/>
  </cols>
  <sheetData>
    <row r="1" spans="1:6">
      <c r="A1" s="1255" t="s">
        <v>0</v>
      </c>
      <c r="B1" s="1255" t="s">
        <v>1</v>
      </c>
      <c r="C1" s="1255" t="s">
        <v>2</v>
      </c>
      <c r="D1" s="1255" t="s">
        <v>3</v>
      </c>
      <c r="E1" s="1255" t="s">
        <v>4</v>
      </c>
      <c r="F1" s="1255" t="s">
        <v>5</v>
      </c>
    </row>
    <row r="2" ht="56.55" spans="1:6">
      <c r="A2">
        <v>1</v>
      </c>
      <c r="B2" t="s">
        <v>6</v>
      </c>
      <c r="C2" s="1256" t="s">
        <v>7</v>
      </c>
      <c r="D2" s="1257" t="s">
        <v>8</v>
      </c>
      <c r="F2" t="s">
        <v>9</v>
      </c>
    </row>
    <row r="3" ht="42.45" spans="1:6">
      <c r="A3">
        <v>2</v>
      </c>
      <c r="B3" t="s">
        <v>6</v>
      </c>
      <c r="C3" s="1256" t="s">
        <v>10</v>
      </c>
      <c r="D3" s="1257" t="s">
        <v>11</v>
      </c>
      <c r="F3" t="s">
        <v>9</v>
      </c>
    </row>
    <row r="4" ht="42.45" spans="1:6">
      <c r="A4">
        <v>3</v>
      </c>
      <c r="B4" t="s">
        <v>6</v>
      </c>
      <c r="C4" s="1256" t="s">
        <v>12</v>
      </c>
      <c r="D4" s="1257" t="s">
        <v>13</v>
      </c>
      <c r="E4" t="s">
        <v>14</v>
      </c>
      <c r="F4" t="s">
        <v>9</v>
      </c>
    </row>
    <row r="5" ht="42.45" spans="1:6">
      <c r="A5">
        <v>4</v>
      </c>
      <c r="B5" t="s">
        <v>15</v>
      </c>
      <c r="C5" s="1256" t="s">
        <v>16</v>
      </c>
      <c r="D5" s="1257" t="s">
        <v>17</v>
      </c>
      <c r="F5" t="s">
        <v>9</v>
      </c>
    </row>
  </sheetData>
  <hyperlinks>
    <hyperlink ref="C2" r:id="rId1" location="'K1_400折旧测试'!$P$142" display="$P$142"/>
    <hyperlink ref="C3" r:id="rId1" location="'K1_400折旧测试'!$U$325" display="$U$325"/>
    <hyperlink ref="C4" r:id="rId1" location="'K1_400折旧测试'!$C$435" display="$C$435"/>
    <hyperlink ref="C5" r:id="rId1" location="'K.02.1 新增测试 '!$L$34" display="$L$34"/>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showGridLines="0" zoomScale="70" zoomScaleNormal="70" topLeftCell="A8" workbookViewId="0">
      <selection activeCell="H22" sqref="H22"/>
    </sheetView>
  </sheetViews>
  <sheetFormatPr defaultColWidth="8.72972972972973" defaultRowHeight="12.4"/>
  <cols>
    <col min="1" max="1" width="2.63063063063063" style="54" customWidth="1"/>
    <col min="2" max="2" width="13.0900900900901" style="1198" customWidth="1"/>
    <col min="3" max="3" width="15.3603603603604" style="189" customWidth="1"/>
    <col min="4" max="4" width="21" style="54" customWidth="1"/>
    <col min="5" max="5" width="19" style="54" customWidth="1"/>
    <col min="6" max="6" width="25.6306306306306" style="54" customWidth="1"/>
    <col min="7" max="7" width="13.7297297297297" style="54" customWidth="1"/>
    <col min="8" max="8" width="33.4504504504505" style="896" customWidth="1"/>
    <col min="9" max="9" width="24.9099099099099" style="54" customWidth="1"/>
    <col min="10" max="16384" width="8.72972972972973" style="54"/>
  </cols>
  <sheetData>
    <row r="1" ht="20.1" spans="1:9">
      <c r="A1" s="1199" t="s">
        <v>18</v>
      </c>
      <c r="G1" s="1200"/>
      <c r="H1" s="1201"/>
    </row>
    <row r="2" ht="19.5" customHeight="1" spans="1:9">
      <c r="B2" s="1202" t="s">
        <v>19</v>
      </c>
      <c r="C2" s="1203"/>
      <c r="D2" s="1202"/>
      <c r="E2" s="1133"/>
      <c r="F2" s="1204" t="s">
        <v>20</v>
      </c>
      <c r="G2" s="1200"/>
      <c r="H2" s="1201"/>
    </row>
    <row r="3" ht="14.1" spans="1:9">
      <c r="B3" s="1133"/>
      <c r="C3" s="65"/>
      <c r="D3" s="1133"/>
      <c r="E3" s="1133"/>
      <c r="F3" s="1204" t="s">
        <v>21</v>
      </c>
      <c r="G3" s="1200"/>
      <c r="H3" s="1201"/>
    </row>
    <row r="4" ht="10.15" customHeight="1" spans="1:9">
      <c r="G4" s="1200"/>
      <c r="H4" s="1201"/>
    </row>
    <row r="5" ht="15" customHeight="1" spans="1:9">
      <c r="B5" s="1205" t="s">
        <v>22</v>
      </c>
      <c r="C5" s="1206" t="s">
        <v>23</v>
      </c>
      <c r="D5" s="1206"/>
      <c r="E5" s="1206"/>
      <c r="F5" s="1207" t="s">
        <v>24</v>
      </c>
      <c r="G5" s="1208" t="s">
        <v>25</v>
      </c>
      <c r="H5" s="1207" t="s">
        <v>26</v>
      </c>
      <c r="I5" s="1207" t="s">
        <v>27</v>
      </c>
    </row>
    <row r="6" ht="63" customHeight="1" spans="1:9">
      <c r="B6" s="1209">
        <v>1</v>
      </c>
      <c r="C6" s="1210" t="s">
        <v>28</v>
      </c>
      <c r="D6" s="1210"/>
      <c r="E6" s="1210"/>
      <c r="F6" s="1258" t="s">
        <v>23</v>
      </c>
      <c r="G6" s="1212" t="s">
        <v>29</v>
      </c>
      <c r="H6" s="1213"/>
      <c r="I6" s="1214"/>
    </row>
    <row r="7" ht="15" customHeight="1" spans="1:9">
      <c r="B7" s="1205" t="s">
        <v>30</v>
      </c>
      <c r="C7" s="1215" t="s">
        <v>31</v>
      </c>
      <c r="D7" s="1206"/>
      <c r="E7" s="1206"/>
      <c r="F7" s="1207" t="s">
        <v>24</v>
      </c>
      <c r="G7" s="1208" t="s">
        <v>25</v>
      </c>
      <c r="H7" s="1207" t="s">
        <v>26</v>
      </c>
      <c r="I7" s="1207" t="s">
        <v>27</v>
      </c>
    </row>
    <row r="8" ht="47.15" customHeight="1" spans="1:9">
      <c r="B8" s="1209">
        <v>1</v>
      </c>
      <c r="C8" s="1216" t="s">
        <v>32</v>
      </c>
      <c r="D8" s="1216"/>
      <c r="E8" s="1216"/>
      <c r="F8" s="1258" t="s">
        <v>33</v>
      </c>
      <c r="G8" s="1212" t="s">
        <v>29</v>
      </c>
      <c r="H8" s="1213"/>
      <c r="I8" s="1214"/>
    </row>
    <row r="9" ht="15" customHeight="1" spans="1:9">
      <c r="B9" s="1205" t="s">
        <v>34</v>
      </c>
      <c r="C9" s="1215" t="s">
        <v>35</v>
      </c>
      <c r="D9" s="1206"/>
      <c r="E9" s="1206"/>
      <c r="F9" s="1207" t="s">
        <v>24</v>
      </c>
      <c r="G9" s="1208" t="s">
        <v>25</v>
      </c>
      <c r="H9" s="1207" t="s">
        <v>26</v>
      </c>
      <c r="I9" s="1207" t="s">
        <v>27</v>
      </c>
    </row>
    <row r="10" ht="54.75" customHeight="1" spans="1:9">
      <c r="B10" s="1074">
        <v>1</v>
      </c>
      <c r="C10" s="1217" t="s">
        <v>36</v>
      </c>
      <c r="D10" s="1218"/>
      <c r="E10" s="1219"/>
      <c r="F10" s="1258" t="s">
        <v>37</v>
      </c>
      <c r="G10" s="1220" t="s">
        <v>29</v>
      </c>
      <c r="H10" s="1221"/>
      <c r="I10" s="1222" t="s">
        <v>38</v>
      </c>
    </row>
    <row r="11" ht="29.15" customHeight="1" spans="1:9">
      <c r="B11" s="1223">
        <v>2</v>
      </c>
      <c r="C11" s="1224" t="s">
        <v>39</v>
      </c>
      <c r="D11" s="1225"/>
      <c r="E11" s="1226"/>
      <c r="F11" s="1258" t="s">
        <v>40</v>
      </c>
      <c r="G11" s="1220" t="s">
        <v>29</v>
      </c>
      <c r="H11" s="1227"/>
      <c r="I11" s="1228"/>
    </row>
    <row r="12" ht="30" customHeight="1" spans="1:9">
      <c r="B12" s="1229"/>
      <c r="C12" s="1230"/>
      <c r="D12" s="1231"/>
      <c r="E12" s="1232"/>
      <c r="F12" s="1258" t="s">
        <v>41</v>
      </c>
      <c r="G12" s="1233"/>
      <c r="H12" s="1234"/>
      <c r="I12" s="1235"/>
    </row>
    <row r="13" ht="15" customHeight="1" spans="1:9">
      <c r="B13" s="1205" t="s">
        <v>34</v>
      </c>
      <c r="C13" s="1215" t="s">
        <v>42</v>
      </c>
      <c r="D13" s="1206"/>
      <c r="E13" s="1206"/>
      <c r="F13" s="1207" t="s">
        <v>24</v>
      </c>
      <c r="G13" s="1208" t="s">
        <v>25</v>
      </c>
      <c r="H13" s="1207" t="s">
        <v>26</v>
      </c>
      <c r="I13" s="1207" t="s">
        <v>27</v>
      </c>
    </row>
    <row r="14" ht="54" customHeight="1" spans="1:9">
      <c r="B14" s="1074">
        <v>1</v>
      </c>
      <c r="C14" s="1216" t="s">
        <v>43</v>
      </c>
      <c r="D14" s="1216"/>
      <c r="E14" s="1216"/>
      <c r="F14" s="1258" t="s">
        <v>44</v>
      </c>
      <c r="G14" s="1220" t="s">
        <v>29</v>
      </c>
      <c r="H14" s="1221"/>
      <c r="I14" s="1214"/>
    </row>
    <row r="15" ht="21.75" customHeight="1" spans="1:9">
      <c r="B15" s="1223">
        <v>2</v>
      </c>
      <c r="C15" s="1224" t="s">
        <v>45</v>
      </c>
      <c r="D15" s="1225"/>
      <c r="E15" s="1226"/>
      <c r="F15" s="1258" t="s">
        <v>46</v>
      </c>
      <c r="G15" s="1220" t="s">
        <v>47</v>
      </c>
      <c r="H15" s="1227" t="s">
        <v>48</v>
      </c>
      <c r="I15" s="1236"/>
    </row>
    <row r="16" ht="28.5" customHeight="1" spans="1:9">
      <c r="B16" s="1229"/>
      <c r="C16" s="1230"/>
      <c r="D16" s="1231"/>
      <c r="E16" s="1232"/>
      <c r="F16" s="1258" t="s">
        <v>49</v>
      </c>
      <c r="G16" s="1233"/>
      <c r="H16" s="1234"/>
      <c r="I16" s="1237"/>
    </row>
    <row r="17" ht="15.75" customHeight="1" spans="2:9">
      <c r="B17" s="1205" t="s">
        <v>50</v>
      </c>
      <c r="C17" s="1215" t="s">
        <v>51</v>
      </c>
      <c r="D17" s="1206"/>
      <c r="E17" s="1206"/>
      <c r="F17" s="1207" t="s">
        <v>24</v>
      </c>
      <c r="G17" s="1208" t="s">
        <v>25</v>
      </c>
      <c r="H17" s="1207" t="s">
        <v>26</v>
      </c>
      <c r="I17" s="1207" t="s">
        <v>27</v>
      </c>
    </row>
    <row r="18" ht="39" customHeight="1" spans="2:9">
      <c r="B18" s="1238">
        <v>1</v>
      </c>
      <c r="C18" s="1239" t="s">
        <v>52</v>
      </c>
      <c r="D18" s="913"/>
      <c r="E18" s="913"/>
      <c r="F18" s="1258" t="s">
        <v>53</v>
      </c>
      <c r="G18" s="1212" t="s">
        <v>47</v>
      </c>
      <c r="H18" s="1213" t="s">
        <v>54</v>
      </c>
      <c r="I18" s="1240"/>
    </row>
    <row r="19" ht="23.25" customHeight="1" spans="2:9">
      <c r="B19" s="1238">
        <v>2</v>
      </c>
      <c r="C19" s="1241" t="s">
        <v>55</v>
      </c>
      <c r="D19" s="1242"/>
      <c r="E19" s="1242"/>
      <c r="F19" s="1258" t="s">
        <v>56</v>
      </c>
      <c r="G19" s="1212" t="s">
        <v>29</v>
      </c>
      <c r="H19" s="1213" t="s">
        <v>54</v>
      </c>
      <c r="I19" s="1243"/>
    </row>
    <row r="20" ht="43.5" customHeight="1" spans="2:9">
      <c r="B20" s="1238">
        <v>3</v>
      </c>
      <c r="C20" s="1244" t="s">
        <v>57</v>
      </c>
      <c r="D20" s="1245"/>
      <c r="E20" s="1246"/>
      <c r="F20" s="1258" t="s">
        <v>58</v>
      </c>
      <c r="G20" s="1212" t="s">
        <v>29</v>
      </c>
      <c r="H20" s="1213"/>
      <c r="I20" s="1247"/>
    </row>
    <row r="21" ht="15" customHeight="1" spans="2:9">
      <c r="B21" s="1248" t="s">
        <v>59</v>
      </c>
      <c r="C21" s="1215" t="s">
        <v>60</v>
      </c>
      <c r="D21" s="1206"/>
      <c r="E21" s="1206"/>
      <c r="F21" s="1249" t="s">
        <v>24</v>
      </c>
      <c r="G21" s="1250" t="s">
        <v>25</v>
      </c>
      <c r="H21" s="1249" t="s">
        <v>26</v>
      </c>
      <c r="I21" s="1249" t="s">
        <v>27</v>
      </c>
    </row>
    <row r="22" ht="127.5" customHeight="1" spans="2:9">
      <c r="B22" s="1251">
        <v>1</v>
      </c>
      <c r="C22" s="1244" t="s">
        <v>61</v>
      </c>
      <c r="D22" s="1245"/>
      <c r="E22" s="1246"/>
      <c r="F22" s="1258" t="s">
        <v>62</v>
      </c>
      <c r="G22" s="1252" t="s">
        <v>47</v>
      </c>
      <c r="H22" s="1253" t="s">
        <v>63</v>
      </c>
      <c r="I22" s="1254"/>
    </row>
  </sheetData>
  <mergeCells count="24">
    <mergeCell ref="C5:E5"/>
    <mergeCell ref="C6:E6"/>
    <mergeCell ref="C7:E7"/>
    <mergeCell ref="C8:E8"/>
    <mergeCell ref="C9:E9"/>
    <mergeCell ref="C10:E10"/>
    <mergeCell ref="C13:E13"/>
    <mergeCell ref="C14:E14"/>
    <mergeCell ref="C17:E17"/>
    <mergeCell ref="C18:E18"/>
    <mergeCell ref="C19:E19"/>
    <mergeCell ref="C20:E20"/>
    <mergeCell ref="C21:E21"/>
    <mergeCell ref="C22:E22"/>
    <mergeCell ref="B11:B12"/>
    <mergeCell ref="B15:B16"/>
    <mergeCell ref="G11:G12"/>
    <mergeCell ref="G15:G16"/>
    <mergeCell ref="H11:H12"/>
    <mergeCell ref="H15:H16"/>
    <mergeCell ref="I10:I12"/>
    <mergeCell ref="I15:I16"/>
    <mergeCell ref="C15:E16"/>
    <mergeCell ref="C11:E12"/>
  </mergeCells>
  <conditionalFormatting sqref="F22">
    <cfRule type="containsBlanks" dxfId="0" priority="1">
      <formula>LEN(TRIM(F22))=0</formula>
    </cfRule>
  </conditionalFormatting>
  <conditionalFormatting sqref="G22">
    <cfRule type="containsBlanks" dxfId="1" priority="2">
      <formula>LEN(TRIM(G22))=0</formula>
    </cfRule>
  </conditionalFormatting>
  <conditionalFormatting sqref="H22">
    <cfRule type="expression" dxfId="0" priority="4">
      <formula>SUMPRODUCT((G22="否")*(LEN(H22)=0))</formula>
    </cfRule>
  </conditionalFormatting>
  <conditionalFormatting sqref="G6 G8 G10:G11 G14:G15 G18:G20">
    <cfRule type="containsBlanks" dxfId="1" priority="22">
      <formula>LEN(TRIM(G6))=0</formula>
    </cfRule>
  </conditionalFormatting>
  <conditionalFormatting sqref="H6 H8 H10:H11 H14:H15 H18:H20">
    <cfRule type="expression" dxfId="0" priority="55">
      <formula>SUMPRODUCT((G6="否")*(LEN(H6)=0))</formula>
    </cfRule>
  </conditionalFormatting>
  <dataValidations count="1">
    <dataValidation type="list" allowBlank="1" showInputMessage="1" sqref="G6 G8 G22 G10:G11 G14:G15 G18:G20">
      <formula1>"是,否"</formula1>
    </dataValidation>
  </dataValidations>
  <hyperlinks>
    <hyperlink ref="F6" location="'K.00 Lead Sheet'!A1" display="K.00 Lead Sheet"/>
    <hyperlink ref="F8" location="'K.01 Agree SL to GL'!A1" display="K.01 Agree SL to GL"/>
    <hyperlink ref="F19" location="'K.03.2 折旧测试TOD'!A1" display="K.03.2 折旧测试TOD"/>
    <hyperlink ref="F18" location="'K.03.1 SAP'!A1" display="K.03.1 SAP"/>
    <hyperlink ref="F10" location="新增清单!A1" display="新增清单"/>
    <hyperlink ref="F14" location="处置清单!A1" display="处置清单"/>
    <hyperlink ref="F15" location="'K.02.2 处置测试'!A1" display="K.02.2 处置测试"/>
    <hyperlink ref="F11" location="'K.02.1 新增测试 '!A1" display="K.02.1 新增测试"/>
    <hyperlink ref="F12" location="'K.02.1a 新增选样输出'!A1" display="K.02.1a 新增选样输出"/>
    <hyperlink ref="F16" location="'K.02.2a 处置选样输出'!A1" display="K.02.2a 处置选样输出"/>
    <hyperlink ref="F20" location="'K.03.3 折旧政策复核'!A1" display="K.03.3 折旧政策复核"/>
    <hyperlink ref="C22:E22" r:id="rId2" display="1.使用在审计过程中所获得的信息来确定管理层是否已识别适当的减值迹象；可使用PSP Canvas form K.04：识别减值迹象，也可使用 &lt;SWP减值迹象识别&gt; 对减值迹象进行评估，并根据指引要求获取相关支持性文件。&#10;2.如有减值迹象的，评价管理层假设、未来现金流等减值评估的合理性，核实并测算减值金额。&#10;3.检查是否存在转回固定资产减值准备的情况，确定减值准备在以后会计期间没有转回。"/>
    <hyperlink ref="F2" r:id="rId3" display="OSP K1 SWP 固定资产及在建工程盘点 202YMMDD XYZ公司.xlsx"/>
    <hyperlink ref="F3" r:id="rId4" display="OSP K1 SWP 固定资产权属检查 202YMMDD XYZ公司.xlsx"/>
  </hyperlinks>
  <pageMargins left="0.7" right="0.7" top="0.75" bottom="0.75" header="0.3" footer="0.3"/>
  <pageSetup paperSize="9" orientation="portrait" horizont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80"/>
  <sheetViews>
    <sheetView showGridLines="0" zoomScale="70" zoomScaleNormal="70" topLeftCell="A36" workbookViewId="0">
      <selection activeCell="H69" sqref="H69"/>
    </sheetView>
  </sheetViews>
  <sheetFormatPr defaultColWidth="8.90990990990991" defaultRowHeight="12.75" customHeight="1"/>
  <cols>
    <col min="1" max="1" width="2.63063063063063" style="57" customWidth="1"/>
    <col min="2" max="2" width="24.0900900900901" style="58" customWidth="1"/>
    <col min="3" max="3" width="21.4504504504505" style="58" customWidth="1"/>
    <col min="4" max="4" width="13.3603603603604" style="58" customWidth="1"/>
    <col min="5" max="10" width="14.0900900900901" style="58" customWidth="1"/>
    <col min="11" max="12" width="17.2702702702703" style="58" customWidth="1"/>
    <col min="13" max="13" width="14.2702702702703" style="58" customWidth="1"/>
    <col min="14" max="14" width="19.3603603603604" style="58" customWidth="1"/>
    <col min="15" max="15" width="19.7297297297297" style="58" customWidth="1"/>
    <col min="16" max="16" width="2.63063063063063" style="58" customWidth="1"/>
    <col min="17" max="17" width="1.63063063063063" style="58" customWidth="1"/>
    <col min="18" max="30" width="13.9099099099099" style="58" customWidth="1"/>
    <col min="31" max="16384" width="8.90990990990991" style="58"/>
  </cols>
  <sheetData>
    <row r="1" s="870" customFormat="1" ht="50.15" customHeight="1" spans="2:17">
      <c r="B1" s="1040" t="s">
        <v>64</v>
      </c>
      <c r="C1" s="1041"/>
      <c r="D1" s="1042"/>
      <c r="E1" s="1042"/>
      <c r="F1" s="1042"/>
      <c r="G1" s="1042"/>
      <c r="H1" s="1042"/>
      <c r="I1" s="1042"/>
      <c r="J1" s="1043"/>
      <c r="K1" s="1042"/>
      <c r="L1" s="1042"/>
      <c r="M1" s="1042"/>
      <c r="N1" s="1042"/>
      <c r="O1" s="1044"/>
      <c r="Q1" s="1045"/>
    </row>
    <row r="2" s="870" customFormat="1" ht="21.75" customHeight="1" spans="2:17">
      <c r="B2" s="1046" t="s">
        <v>65</v>
      </c>
      <c r="C2" s="1047" t="s">
        <v>66</v>
      </c>
      <c r="D2" s="1048" t="s">
        <v>67</v>
      </c>
      <c r="E2" s="1049"/>
      <c r="F2" s="1049"/>
      <c r="G2" s="1049"/>
      <c r="H2" s="1049"/>
      <c r="I2" s="1049"/>
      <c r="J2" s="1049"/>
      <c r="K2" s="1049"/>
      <c r="L2" s="1049"/>
      <c r="M2" s="1049"/>
      <c r="N2" s="1049"/>
      <c r="O2" s="1050"/>
      <c r="Q2" s="1045"/>
    </row>
    <row r="3" s="870" customFormat="1" ht="21.75" customHeight="1" spans="2:17">
      <c r="B3" s="1051" t="s">
        <v>68</v>
      </c>
      <c r="C3" s="1052">
        <v>46022</v>
      </c>
      <c r="D3" s="1053"/>
      <c r="E3" s="1054"/>
      <c r="F3" s="1054"/>
      <c r="G3" s="1054"/>
      <c r="H3" s="1054"/>
      <c r="I3" s="1054"/>
      <c r="J3" s="1054"/>
      <c r="K3" s="1054"/>
      <c r="L3" s="1054"/>
      <c r="M3" s="1054"/>
      <c r="N3" s="1054"/>
      <c r="O3" s="1055"/>
      <c r="Q3" s="1045"/>
    </row>
    <row r="4" s="870" customFormat="1" ht="21.75" customHeight="1" spans="2:17">
      <c r="B4" s="1051" t="s">
        <v>69</v>
      </c>
      <c r="C4" s="1052">
        <v>46022</v>
      </c>
      <c r="D4" s="1053"/>
      <c r="E4" s="1054"/>
      <c r="F4" s="1054"/>
      <c r="G4" s="1054"/>
      <c r="H4" s="1054"/>
      <c r="I4" s="1054"/>
      <c r="J4" s="1054"/>
      <c r="K4" s="1054"/>
      <c r="L4" s="1054"/>
      <c r="M4" s="1054"/>
      <c r="N4" s="1054"/>
      <c r="O4" s="1055"/>
      <c r="Q4" s="1045"/>
    </row>
    <row r="5" s="870" customFormat="1" ht="21.75" customHeight="1" spans="2:17">
      <c r="B5" s="1051" t="s">
        <v>70</v>
      </c>
      <c r="C5" s="1056">
        <v>213730</v>
      </c>
      <c r="D5" s="1053"/>
      <c r="E5" s="1054"/>
      <c r="F5" s="1054"/>
      <c r="G5" s="1054"/>
      <c r="H5" s="1054"/>
      <c r="I5" s="1054"/>
      <c r="J5" s="1054"/>
      <c r="K5" s="1054"/>
      <c r="L5" s="1054"/>
      <c r="M5" s="1054"/>
      <c r="N5" s="1054"/>
      <c r="O5" s="1055"/>
      <c r="Q5" s="1045"/>
    </row>
    <row r="6" s="870" customFormat="1" ht="21.75" customHeight="1" spans="2:17">
      <c r="B6" s="1051" t="s">
        <v>71</v>
      </c>
      <c r="C6" s="1056">
        <v>38900</v>
      </c>
      <c r="D6" s="1053"/>
      <c r="E6" s="1054"/>
      <c r="F6" s="1054"/>
      <c r="G6" s="1054"/>
      <c r="H6" s="1054"/>
      <c r="I6" s="1054"/>
      <c r="J6" s="1054"/>
      <c r="K6" s="1054"/>
      <c r="L6" s="1054"/>
      <c r="M6" s="1054"/>
      <c r="N6" s="1054"/>
      <c r="O6" s="1055"/>
      <c r="Q6" s="1045"/>
    </row>
    <row r="7" s="870" customFormat="1" ht="21.75" customHeight="1" spans="2:17">
      <c r="B7" s="1057" t="s">
        <v>72</v>
      </c>
      <c r="C7" s="1058" t="s">
        <v>73</v>
      </c>
      <c r="D7" s="1053"/>
      <c r="E7" s="1054"/>
      <c r="F7" s="1054"/>
      <c r="G7" s="1054"/>
      <c r="H7" s="1054"/>
      <c r="I7" s="1054"/>
      <c r="J7" s="1054"/>
      <c r="K7" s="1054"/>
      <c r="L7" s="1054"/>
      <c r="M7" s="1054"/>
      <c r="N7" s="1054"/>
      <c r="O7" s="1055"/>
      <c r="Q7" s="1045"/>
    </row>
    <row r="8" s="870" customFormat="1" ht="21.75" customHeight="1" spans="2:17">
      <c r="B8" s="1051" t="s">
        <v>74</v>
      </c>
      <c r="C8" s="1059" t="s">
        <v>75</v>
      </c>
      <c r="D8" s="1053"/>
      <c r="E8" s="1054"/>
      <c r="F8" s="1054"/>
      <c r="G8" s="1054"/>
      <c r="H8" s="1054"/>
      <c r="I8" s="1054"/>
      <c r="J8" s="1054"/>
      <c r="K8" s="1054"/>
      <c r="L8" s="1054"/>
      <c r="M8" s="1054"/>
      <c r="N8" s="1054"/>
      <c r="O8" s="1055"/>
      <c r="Q8" s="1045"/>
    </row>
    <row r="9" s="871" customFormat="1" ht="30" customHeight="1" spans="2:17">
      <c r="B9" s="1060" t="s">
        <v>76</v>
      </c>
      <c r="C9" s="1061"/>
      <c r="D9" s="1061"/>
      <c r="E9" s="1061"/>
      <c r="F9" s="1061"/>
      <c r="G9" s="1061"/>
      <c r="H9" s="1061"/>
      <c r="I9" s="1061"/>
      <c r="J9" s="1062"/>
      <c r="K9" s="1061"/>
      <c r="L9" s="1061"/>
      <c r="M9" s="1061"/>
      <c r="N9" s="1061"/>
      <c r="O9" s="1063"/>
      <c r="Q9" s="1045"/>
    </row>
    <row r="10" s="870" customFormat="1" ht="15" customHeight="1" spans="2:17">
      <c r="Q10" s="1045"/>
    </row>
    <row r="11" s="870" customFormat="1" ht="15" customHeight="1" spans="2:17">
      <c r="B11" s="18" t="s">
        <v>77</v>
      </c>
      <c r="Q11" s="1045"/>
    </row>
    <row r="12" s="870" customFormat="1" ht="15" customHeight="1" spans="2:17">
      <c r="Q12" s="1045"/>
    </row>
    <row r="13" s="870" customFormat="1" ht="15" customHeight="1" spans="2:17">
      <c r="D13" s="1064" t="s">
        <v>78</v>
      </c>
      <c r="E13" s="1065"/>
      <c r="H13" s="1066"/>
      <c r="I13" s="1067"/>
      <c r="J13" s="1068" t="s">
        <v>79</v>
      </c>
      <c r="K13" s="1067"/>
      <c r="L13" s="1069"/>
      <c r="Q13" s="1045"/>
    </row>
    <row r="14" s="870" customFormat="1" ht="15" customHeight="1" spans="2:17">
      <c r="B14" s="1070" t="s">
        <v>80</v>
      </c>
      <c r="C14" s="1070" t="s">
        <v>81</v>
      </c>
      <c r="D14" s="1070" t="s">
        <v>82</v>
      </c>
      <c r="E14" s="1070" t="s">
        <v>83</v>
      </c>
      <c r="H14" s="924" t="s">
        <v>84</v>
      </c>
      <c r="I14" s="1071" t="s">
        <v>85</v>
      </c>
      <c r="J14" s="1072"/>
      <c r="K14" s="1072"/>
      <c r="L14" s="1073"/>
      <c r="Q14" s="1045"/>
    </row>
    <row r="15" s="870" customFormat="1" ht="15" customHeight="1" spans="2:17">
      <c r="B15" s="1074" t="s">
        <v>86</v>
      </c>
      <c r="C15" s="1075" t="s">
        <v>87</v>
      </c>
      <c r="D15" s="1076">
        <f>IF(C15="Minimal",$C$5*100%,IF(C15="Low",$C$5*75%,IF(C15="Moderate",$C$5*50%,IF(C15="High",$C$5*25%,IF(C15="N/A","-",)))))</f>
        <v>213730</v>
      </c>
      <c r="E15" s="1077">
        <f>MIN($D$15:$D$19)</f>
        <v>160297.5</v>
      </c>
      <c r="H15" s="1078" t="s">
        <v>88</v>
      </c>
      <c r="I15" s="1071" t="s">
        <v>89</v>
      </c>
      <c r="J15" s="640"/>
      <c r="K15" s="1079"/>
      <c r="L15" s="1080"/>
      <c r="Q15" s="1045"/>
    </row>
    <row r="16" s="870" customFormat="1" ht="15" customHeight="1" spans="2:17">
      <c r="B16" s="1081" t="s">
        <v>90</v>
      </c>
      <c r="C16" s="1075" t="s">
        <v>87</v>
      </c>
      <c r="D16" s="1082">
        <f>IF(C16="Minimal",$C$5*100%,IF(C16="Low",$C$5*75%,IF(C16="Moderate",$C$5*50%,IF(C16="High",$C$5*25%,IF(C16="N/A","-",)))))</f>
        <v>213730</v>
      </c>
      <c r="E16" s="1083"/>
      <c r="H16" s="924" t="s">
        <v>91</v>
      </c>
      <c r="I16" s="1084" t="s">
        <v>92</v>
      </c>
      <c r="J16" s="1085"/>
      <c r="K16" s="1079"/>
      <c r="L16" s="1080"/>
      <c r="Q16" s="1045"/>
    </row>
    <row r="17" s="870" customFormat="1" ht="15" customHeight="1" spans="2:17">
      <c r="B17" s="1074" t="s">
        <v>93</v>
      </c>
      <c r="C17" s="1075" t="s">
        <v>94</v>
      </c>
      <c r="D17" s="1082">
        <f>IF(C17="Minimal",$C$5*100%,IF(C17="Low",$C$5*75%,IF(C17="Moderate",$C$5*50%,IF(C17="High",$C$5*25%,IF(C17="N/A","-",)))))</f>
        <v>160297.5</v>
      </c>
      <c r="E17" s="1083"/>
      <c r="H17" s="924" t="s">
        <v>95</v>
      </c>
      <c r="I17" s="1084" t="s">
        <v>96</v>
      </c>
      <c r="J17" s="1086"/>
      <c r="K17" s="1079"/>
      <c r="L17" s="1080"/>
      <c r="Q17" s="1045"/>
    </row>
    <row r="18" s="870" customFormat="1" ht="15" customHeight="1" spans="2:17">
      <c r="B18" s="1074" t="s">
        <v>97</v>
      </c>
      <c r="C18" s="1075" t="s">
        <v>87</v>
      </c>
      <c r="D18" s="1082">
        <f>IF(C18="Minimal",$C$5*100%,IF(C18="Low",$C$5*75%,IF(C18="Moderate",$C$5*50%,IF(C18="High",$C$5*25%,IF(C18="N/A","-",)))))</f>
        <v>213730</v>
      </c>
      <c r="E18" s="1083"/>
      <c r="H18" s="924" t="s">
        <v>98</v>
      </c>
      <c r="I18" s="1071" t="s">
        <v>99</v>
      </c>
      <c r="J18" s="1072"/>
      <c r="K18" s="1079"/>
      <c r="L18" s="1080"/>
      <c r="Q18" s="1045"/>
    </row>
    <row r="19" s="870" customFormat="1" ht="13.7" spans="2:17">
      <c r="B19" s="1087" t="s">
        <v>100</v>
      </c>
      <c r="C19" s="1075" t="s">
        <v>87</v>
      </c>
      <c r="D19" s="1082">
        <f>IF(C19="Minimal",$C$5*100%,IF(C19="Low",$C$5*75%,IF(C19="Moderate",$C$5*50%,IF(C19="High",$C$5*25%,IF(C19="N/A","-",)))))</f>
        <v>213730</v>
      </c>
      <c r="E19" s="1088"/>
      <c r="H19" s="1089" t="s">
        <v>101</v>
      </c>
      <c r="I19" s="1071" t="s">
        <v>102</v>
      </c>
      <c r="J19" s="1079"/>
      <c r="K19" s="1079"/>
      <c r="L19" s="1080"/>
      <c r="Q19" s="1045"/>
    </row>
    <row r="20" s="870" customFormat="1" ht="13.5" customHeight="1" spans="2:17">
      <c r="B20" s="1090" t="s">
        <v>103</v>
      </c>
      <c r="C20" s="1090"/>
      <c r="D20" s="1090"/>
      <c r="E20" s="1090"/>
      <c r="H20" s="924" t="s">
        <v>104</v>
      </c>
      <c r="I20" s="1071" t="s">
        <v>105</v>
      </c>
      <c r="J20" s="1079"/>
      <c r="K20" s="1079"/>
      <c r="L20" s="1080"/>
      <c r="Q20" s="1045"/>
    </row>
    <row r="21" s="870" customFormat="1" ht="16.5" customHeight="1" spans="2:17">
      <c r="B21" s="1091" t="s">
        <v>106</v>
      </c>
      <c r="C21" s="1092"/>
      <c r="D21" s="1092"/>
      <c r="E21" s="1092"/>
      <c r="F21" s="1093"/>
      <c r="G21" s="1093"/>
      <c r="H21" s="1089" t="s">
        <v>107</v>
      </c>
      <c r="I21" s="1071" t="s">
        <v>108</v>
      </c>
      <c r="J21" s="1079"/>
      <c r="K21" s="1079"/>
      <c r="L21" s="1080"/>
      <c r="Q21" s="1045"/>
    </row>
    <row r="22" s="870" customFormat="1" ht="15" customHeight="1" spans="2:17">
      <c r="B22" s="1091" t="s">
        <v>109</v>
      </c>
      <c r="C22" s="1092"/>
      <c r="D22" s="1092"/>
      <c r="E22" s="1092"/>
      <c r="F22" s="1094"/>
      <c r="G22" s="1093"/>
      <c r="H22" s="1095" t="s">
        <v>110</v>
      </c>
      <c r="I22" s="1071" t="s">
        <v>111</v>
      </c>
      <c r="J22" s="1096"/>
      <c r="K22" s="1096"/>
      <c r="L22" s="1097"/>
      <c r="Q22" s="1045"/>
    </row>
    <row r="23" s="870" customFormat="1" ht="16.5" customHeight="1" spans="2:17">
      <c r="B23" s="1092" t="s">
        <v>112</v>
      </c>
      <c r="C23" s="1092"/>
      <c r="D23" s="1092"/>
      <c r="E23" s="1092"/>
      <c r="F23" s="1094"/>
      <c r="G23" s="1093"/>
      <c r="Q23" s="1045"/>
    </row>
    <row r="24" s="870" customFormat="1" ht="13.15" customHeight="1" spans="2:17">
      <c r="B24" s="1091" t="s">
        <v>113</v>
      </c>
      <c r="C24" s="1092"/>
      <c r="D24" s="1092"/>
      <c r="E24" s="1092"/>
      <c r="F24" s="1094"/>
      <c r="G24" s="1093"/>
      <c r="H24" s="101"/>
      <c r="I24" s="65"/>
      <c r="J24" s="65"/>
      <c r="K24" s="65"/>
      <c r="L24" s="65"/>
      <c r="Q24" s="1045"/>
    </row>
    <row r="25" s="870" customFormat="1" ht="12.4" spans="2:17">
      <c r="F25" s="1093"/>
      <c r="G25" s="1093"/>
      <c r="H25" s="1093"/>
      <c r="I25" s="1093"/>
      <c r="Q25" s="1045"/>
    </row>
    <row r="26" s="1037" customFormat="1" ht="15" customHeight="1" spans="2:17">
      <c r="B26" s="209" t="s">
        <v>114</v>
      </c>
      <c r="C26" s="1098"/>
      <c r="D26" s="1098"/>
      <c r="E26" s="1098"/>
      <c r="F26" s="1098"/>
      <c r="G26" s="1098"/>
      <c r="H26" s="832"/>
      <c r="I26" s="1099"/>
      <c r="J26" s="1099"/>
      <c r="K26" s="1098"/>
      <c r="M26" s="870"/>
      <c r="Q26" s="1045"/>
    </row>
    <row r="27" s="870" customFormat="1" ht="15" customHeight="1" spans="2:17">
      <c r="B27" s="1100" t="s">
        <v>115</v>
      </c>
      <c r="C27" s="1101" t="s">
        <v>116</v>
      </c>
      <c r="D27" s="1101"/>
      <c r="E27" s="1101"/>
      <c r="F27" s="1101"/>
      <c r="Q27" s="1045"/>
    </row>
    <row r="28" s="870" customFormat="1" ht="43.5" customHeight="1" spans="2:17">
      <c r="B28" s="1102" t="s">
        <v>117</v>
      </c>
      <c r="C28" s="1103" t="s">
        <v>118</v>
      </c>
      <c r="D28" s="1104"/>
      <c r="E28" s="1104"/>
      <c r="F28" s="1105"/>
      <c r="Q28" s="1045"/>
    </row>
    <row r="29" s="870" customFormat="1" ht="43.5" customHeight="1" spans="2:17">
      <c r="B29" s="1102" t="s">
        <v>119</v>
      </c>
      <c r="C29" s="1106" t="s">
        <v>120</v>
      </c>
      <c r="D29" s="1107"/>
      <c r="E29" s="1107"/>
      <c r="F29" s="1108"/>
      <c r="Q29" s="1045"/>
    </row>
    <row r="30" s="870" customFormat="1" ht="14.65" customHeight="1" spans="2:17">
      <c r="B30" s="1102" t="s">
        <v>121</v>
      </c>
      <c r="C30" s="1106" t="s">
        <v>122</v>
      </c>
      <c r="D30" s="1107"/>
      <c r="E30" s="1107"/>
      <c r="F30" s="1108"/>
      <c r="Q30" s="1045"/>
    </row>
    <row r="31" s="870" customFormat="1" ht="14.65" customHeight="1" spans="2:17">
      <c r="B31" s="1109" t="s">
        <v>123</v>
      </c>
      <c r="C31" s="1106" t="s">
        <v>124</v>
      </c>
      <c r="D31" s="1107"/>
      <c r="E31" s="1107"/>
      <c r="F31" s="1108"/>
      <c r="Q31" s="1045"/>
    </row>
    <row r="32" s="870" customFormat="1" ht="14.65" customHeight="1" spans="2:17">
      <c r="B32" s="1102" t="s">
        <v>125</v>
      </c>
      <c r="C32" s="1106" t="s">
        <v>126</v>
      </c>
      <c r="D32" s="1107"/>
      <c r="E32" s="1107"/>
      <c r="F32" s="1108"/>
      <c r="Q32" s="1045"/>
    </row>
    <row r="33" s="870" customFormat="1" ht="43.5" customHeight="1" spans="1:38">
      <c r="B33" s="1102" t="s">
        <v>127</v>
      </c>
      <c r="C33" s="1106" t="s">
        <v>128</v>
      </c>
      <c r="D33" s="1107"/>
      <c r="E33" s="1107"/>
      <c r="F33" s="1108"/>
      <c r="Q33" s="1045"/>
    </row>
    <row r="34" s="870" customFormat="1" ht="29.15" customHeight="1" spans="1:38">
      <c r="B34" s="1102" t="s">
        <v>129</v>
      </c>
      <c r="C34" s="1106" t="s">
        <v>130</v>
      </c>
      <c r="D34" s="1107"/>
      <c r="E34" s="1107"/>
      <c r="F34" s="1108"/>
      <c r="Q34" s="1045"/>
    </row>
    <row r="35" s="870" customFormat="1" ht="15" customHeight="1" spans="1:38">
      <c r="B35" s="1110"/>
      <c r="C35" s="1111"/>
      <c r="D35" s="1111"/>
      <c r="E35" s="1111"/>
      <c r="F35" s="1111"/>
      <c r="Q35" s="1045"/>
    </row>
    <row r="36" s="870" customFormat="1" ht="15" customHeight="1" spans="1:38">
      <c r="D36" s="1111"/>
      <c r="E36" s="1111"/>
      <c r="F36" s="1111"/>
      <c r="G36" s="1112"/>
      <c r="H36" s="1113"/>
      <c r="L36" s="1114"/>
      <c r="N36" s="1115"/>
      <c r="Q36" s="1045"/>
    </row>
    <row r="37" s="870" customFormat="1" ht="15" customHeight="1" spans="1:38">
      <c r="B37" s="1116" t="s">
        <v>131</v>
      </c>
      <c r="C37" s="1065"/>
      <c r="D37" s="1117"/>
      <c r="E37" s="1118"/>
      <c r="F37" s="1118"/>
      <c r="G37" s="1118"/>
      <c r="H37" s="1118"/>
      <c r="I37" s="1118"/>
      <c r="J37" s="1118"/>
      <c r="K37" s="1118"/>
      <c r="N37" s="1115"/>
      <c r="Q37" s="1045"/>
    </row>
    <row r="38" s="870" customFormat="1" ht="15" customHeight="1" spans="1:38">
      <c r="B38" s="1119" t="str">
        <f>"波动幅度 ("&amp;C8&amp;"):"</f>
        <v>波动幅度 (CNY):</v>
      </c>
      <c r="C38" s="1120">
        <f>$E$15</f>
        <v>160297.5</v>
      </c>
      <c r="D38" s="1121"/>
      <c r="N38" s="1115"/>
      <c r="Q38" s="1045"/>
    </row>
    <row r="39" s="1038" customFormat="1" ht="15" customHeight="1" spans="1:38">
      <c r="B39" s="1119" t="s">
        <v>132</v>
      </c>
      <c r="C39" s="1122">
        <v>0.1</v>
      </c>
      <c r="D39" s="1123"/>
      <c r="M39" s="870"/>
      <c r="N39" s="1124"/>
      <c r="Q39" s="1045"/>
    </row>
    <row r="40" s="156" customFormat="1" ht="17.55" spans="1:38">
      <c r="B40" s="1125"/>
      <c r="C40" s="1125"/>
      <c r="D40" s="1126"/>
      <c r="E40" s="1126"/>
      <c r="F40" s="1127"/>
      <c r="G40" s="1127"/>
      <c r="H40" s="815"/>
      <c r="O40" s="650"/>
      <c r="Q40" s="1045"/>
      <c r="S40" s="650"/>
      <c r="T40" s="164"/>
      <c r="AK40" s="650"/>
      <c r="AL40" s="164"/>
    </row>
    <row r="41" s="1039" customFormat="1" ht="15" customHeight="1" spans="1:38">
      <c r="B41" s="1128" t="s">
        <v>133</v>
      </c>
      <c r="C41" s="1129"/>
      <c r="D41" s="1129"/>
      <c r="Q41" s="1130"/>
      <c r="R41" s="1131"/>
    </row>
    <row r="42" s="1039" customFormat="1" ht="15" customHeight="1" spans="1:38">
      <c r="B42" s="1132" t="s">
        <v>134</v>
      </c>
      <c r="C42" s="1129"/>
      <c r="D42" s="1129"/>
      <c r="Q42" s="1130"/>
      <c r="R42" s="1131"/>
    </row>
    <row r="43" s="3" customFormat="1" ht="12.4" spans="1:38">
      <c r="B43" s="1133"/>
      <c r="C43" s="1134"/>
      <c r="D43" s="1134"/>
      <c r="E43" s="1134"/>
      <c r="F43" s="101"/>
      <c r="G43" s="1134"/>
      <c r="I43" s="156"/>
      <c r="J43" s="156"/>
      <c r="K43" s="1135"/>
      <c r="L43" s="1135"/>
      <c r="M43" s="1135"/>
      <c r="N43" s="1135"/>
      <c r="O43" s="1135"/>
      <c r="Q43" s="1045"/>
    </row>
    <row r="44" s="870" customFormat="1" ht="15" customHeight="1" spans="1:38">
      <c r="A44" s="65"/>
      <c r="B44" s="65"/>
      <c r="C44" s="1136"/>
      <c r="D44" s="1136"/>
      <c r="K44" s="1136"/>
      <c r="L44" s="1136"/>
      <c r="M44" s="1136"/>
      <c r="N44" s="1136"/>
      <c r="O44" s="1136"/>
      <c r="Q44" s="1045"/>
    </row>
    <row r="45" s="870" customFormat="1" ht="15" customHeight="1" spans="1:38">
      <c r="A45" s="65"/>
      <c r="B45" s="747"/>
      <c r="C45" s="747"/>
      <c r="D45" s="101"/>
      <c r="E45" s="101" t="s">
        <v>135</v>
      </c>
      <c r="F45" s="101"/>
      <c r="G45" s="101"/>
      <c r="H45" s="101"/>
      <c r="I45" s="65"/>
      <c r="J45" s="1137" t="s">
        <v>136</v>
      </c>
      <c r="K45" s="1138"/>
      <c r="L45" s="1138"/>
      <c r="M45" s="1138"/>
      <c r="N45" s="1139"/>
      <c r="O45" s="1139"/>
      <c r="Q45" s="1045"/>
    </row>
    <row r="46" s="739" customFormat="1" ht="15" customHeight="1" spans="1:38">
      <c r="B46" s="65"/>
      <c r="C46" s="65"/>
      <c r="D46" s="65"/>
      <c r="E46" s="1140" t="str">
        <f>"货币/单位: "&amp;C8</f>
        <v>货币/单位: CNY</v>
      </c>
      <c r="F46" s="1141"/>
      <c r="G46" s="1141"/>
      <c r="H46" s="1141"/>
      <c r="I46" s="1141"/>
      <c r="J46" s="1142"/>
      <c r="K46" s="1137"/>
      <c r="L46" s="1137"/>
      <c r="M46" s="1136"/>
      <c r="N46" s="1136"/>
      <c r="O46" s="1143"/>
      <c r="Q46" s="740"/>
    </row>
    <row r="47" s="870" customFormat="1" ht="15" customHeight="1" spans="1:38">
      <c r="A47" s="65"/>
      <c r="B47" s="1144"/>
      <c r="C47" s="1144"/>
      <c r="D47" s="1144"/>
      <c r="E47" s="1145">
        <f>$C$3</f>
        <v>46022</v>
      </c>
      <c r="F47" s="1146"/>
      <c r="G47" s="1146"/>
      <c r="H47" s="1146"/>
      <c r="I47" s="1147"/>
      <c r="J47" s="1148">
        <f>DATE(YEAR($C$3)-1,12,31)</f>
        <v>45657</v>
      </c>
      <c r="K47" s="1149" t="s">
        <v>137</v>
      </c>
      <c r="L47" s="1150"/>
      <c r="M47" s="1151"/>
      <c r="N47" s="1152" t="s">
        <v>138</v>
      </c>
      <c r="O47" s="1152" t="s">
        <v>139</v>
      </c>
      <c r="Q47" s="1045"/>
    </row>
    <row r="48" s="870" customFormat="1" ht="15" customHeight="1" spans="1:38">
      <c r="A48" s="65"/>
      <c r="B48" s="1153" t="s">
        <v>140</v>
      </c>
      <c r="C48" s="1153" t="s">
        <v>141</v>
      </c>
      <c r="D48" s="1153" t="s">
        <v>142</v>
      </c>
      <c r="E48" s="1154" t="s">
        <v>143</v>
      </c>
      <c r="F48" s="1155" t="s">
        <v>144</v>
      </c>
      <c r="G48" s="1155" t="s">
        <v>145</v>
      </c>
      <c r="H48" s="1155" t="s">
        <v>146</v>
      </c>
      <c r="I48" s="1154" t="s">
        <v>147</v>
      </c>
      <c r="J48" s="1154" t="s">
        <v>148</v>
      </c>
      <c r="K48" s="1156" t="s">
        <v>149</v>
      </c>
      <c r="L48" s="1155" t="s">
        <v>150</v>
      </c>
      <c r="M48" s="1157" t="s">
        <v>151</v>
      </c>
      <c r="N48" s="1158"/>
      <c r="O48" s="1158"/>
      <c r="Q48" s="1045"/>
    </row>
    <row r="49" s="1038" customFormat="1" ht="15" customHeight="1" spans="1:17">
      <c r="A49" s="65"/>
      <c r="B49" s="1159">
        <v>1601</v>
      </c>
      <c r="C49" s="1160" t="s">
        <v>152</v>
      </c>
      <c r="D49" s="637" t="s">
        <v>30</v>
      </c>
      <c r="E49" s="1161">
        <f>'K.01 Agree SL to GL'!Z42</f>
        <v>17840855.35</v>
      </c>
      <c r="F49" s="1161"/>
      <c r="G49" s="638">
        <f>E49+F49</f>
        <v>17840855.35</v>
      </c>
      <c r="H49" s="1161"/>
      <c r="I49" s="638">
        <f>G49+H49</f>
        <v>17840855.35</v>
      </c>
      <c r="J49" s="1162">
        <v>17333941.68</v>
      </c>
      <c r="K49" s="638">
        <f>I49-J49</f>
        <v>506913.669999998</v>
      </c>
      <c r="L49" s="1163">
        <f>IF(J49&lt;&gt;0,K49/J49,1)</f>
        <v>0.0292439930489023</v>
      </c>
      <c r="M49" s="86" t="s">
        <v>153</v>
      </c>
      <c r="N49" s="1164" t="str">
        <f>IF(AND(ABS(K49)&gt;=$C$38,ABS(L49)&gt;=$C$39),"是","否")</f>
        <v>否</v>
      </c>
      <c r="O49" s="1165" t="s">
        <v>47</v>
      </c>
      <c r="Q49" s="1166"/>
    </row>
    <row r="50" s="870" customFormat="1" ht="15" customHeight="1" spans="1:17">
      <c r="A50" s="65"/>
      <c r="B50" s="1159">
        <v>1602</v>
      </c>
      <c r="C50" s="1160" t="s">
        <v>154</v>
      </c>
      <c r="D50" s="637" t="s">
        <v>30</v>
      </c>
      <c r="E50" s="1161">
        <f>'K.01 Agree SL to GL'!Z44</f>
        <v>14108429.27</v>
      </c>
      <c r="F50" s="1161"/>
      <c r="G50" s="638">
        <f>E50+F50</f>
        <v>14108429.27</v>
      </c>
      <c r="H50" s="1161">
        <f>-E67</f>
        <v>59355.9378298611</v>
      </c>
      <c r="I50" s="638">
        <f>G50+H50</f>
        <v>14167785.2078299</v>
      </c>
      <c r="J50" s="1162">
        <v>12319103.0078299</v>
      </c>
      <c r="K50" s="638">
        <f>I50-J50</f>
        <v>1848682.2</v>
      </c>
      <c r="L50" s="1163">
        <f>IF(J50&lt;&gt;0,K50/J50,1)</f>
        <v>0.150066299374638</v>
      </c>
      <c r="M50" s="1167"/>
      <c r="N50" s="1164" t="str">
        <f>IF(AND(ABS(K50)&gt;=$C$38,ABS(L50)&gt;=$C$39),"是","否")</f>
        <v>是</v>
      </c>
      <c r="O50" s="1165" t="s">
        <v>47</v>
      </c>
      <c r="Q50" s="1045"/>
    </row>
    <row r="51" s="870" customFormat="1" ht="15" customHeight="1" spans="1:17">
      <c r="A51" s="65"/>
      <c r="B51" s="1159">
        <v>1603</v>
      </c>
      <c r="C51" s="1160" t="s">
        <v>155</v>
      </c>
      <c r="D51" s="637" t="s">
        <v>30</v>
      </c>
      <c r="E51" s="1161">
        <f>'K.01 Agree SL to GL'!Z46</f>
        <v>0</v>
      </c>
      <c r="F51" s="1161"/>
      <c r="G51" s="638">
        <f>E51+F51</f>
        <v>0</v>
      </c>
      <c r="H51" s="1161"/>
      <c r="I51" s="638">
        <f>G51+H51</f>
        <v>0</v>
      </c>
      <c r="J51" s="1162">
        <v>0</v>
      </c>
      <c r="K51" s="638">
        <f>I51-J51</f>
        <v>0</v>
      </c>
      <c r="L51" s="1163">
        <f t="shared" ref="L51" si="0">IF(J51&lt;&gt;0,K51/J51,1)</f>
        <v>1</v>
      </c>
      <c r="M51" s="1167"/>
      <c r="N51" s="1164" t="str">
        <f>IF(AND(ABS(K51)&gt;=$C$38,ABS(L51)&gt;=$C$39),"是","否")</f>
        <v>否</v>
      </c>
      <c r="O51" s="1165" t="s">
        <v>47</v>
      </c>
      <c r="Q51" s="1045"/>
    </row>
    <row r="52" s="870" customFormat="1" ht="15" customHeight="1" spans="1:17">
      <c r="A52" s="65"/>
      <c r="B52" s="1168"/>
      <c r="C52" s="1169"/>
      <c r="D52" s="1170"/>
      <c r="E52" s="1171"/>
      <c r="F52" s="1171"/>
      <c r="G52" s="1172"/>
      <c r="H52" s="1171"/>
      <c r="I52" s="1172"/>
      <c r="J52" s="1173"/>
      <c r="K52" s="1174"/>
      <c r="L52" s="1163"/>
      <c r="M52" s="1175"/>
      <c r="N52" s="1176"/>
      <c r="O52" s="1177"/>
      <c r="Q52" s="1045"/>
    </row>
    <row r="53" s="870" customFormat="1" ht="15" customHeight="1" spans="1:17">
      <c r="A53" s="65"/>
      <c r="B53" s="65"/>
      <c r="C53" s="1169" t="s">
        <v>156</v>
      </c>
      <c r="D53" s="747"/>
      <c r="E53" s="1178">
        <f>E49-E50-E51</f>
        <v>3732426.08</v>
      </c>
      <c r="F53" s="1178">
        <f t="shared" ref="F53:G53" si="1">F49-F50-F51</f>
        <v>0</v>
      </c>
      <c r="G53" s="1178">
        <f t="shared" si="1"/>
        <v>3732426.08</v>
      </c>
      <c r="H53" s="1178"/>
      <c r="I53" s="1178">
        <f t="shared" ref="I53:K53" si="2">I49-I50-I51</f>
        <v>3673070.14217014</v>
      </c>
      <c r="J53" s="1178">
        <f t="shared" si="2"/>
        <v>5014838.67217014</v>
      </c>
      <c r="K53" s="1178">
        <f t="shared" si="2"/>
        <v>-1341768.53</v>
      </c>
      <c r="L53" s="1179">
        <f>IF(J53&lt;&gt;0,K53/J53,1)</f>
        <v>-0.267559659983909</v>
      </c>
      <c r="M53" s="637"/>
      <c r="N53" s="1164" t="str">
        <f>IF(AND(ABS(K53)&gt;=$C$38,ABS(L53)&gt;=$C$39),"是","否")</f>
        <v>是</v>
      </c>
      <c r="O53" s="1165" t="s">
        <v>47</v>
      </c>
      <c r="Q53" s="1045"/>
    </row>
    <row r="54" s="870" customFormat="1" ht="15" customHeight="1" spans="1:17">
      <c r="A54" s="65"/>
      <c r="B54" s="65"/>
      <c r="C54" s="1169"/>
      <c r="D54" s="747"/>
      <c r="E54" s="1180"/>
      <c r="F54" s="1180"/>
      <c r="G54" s="1180"/>
      <c r="H54" s="1180"/>
      <c r="I54" s="1180"/>
      <c r="J54" s="1180"/>
      <c r="K54" s="1180"/>
      <c r="L54" s="1181"/>
      <c r="M54" s="637"/>
      <c r="N54" s="1176"/>
      <c r="O54" s="1177"/>
      <c r="Q54" s="1045"/>
    </row>
    <row r="55" s="870" customFormat="1" ht="15" customHeight="1" spans="1:17">
      <c r="A55" s="65"/>
      <c r="B55" s="65"/>
      <c r="C55" s="57" t="s">
        <v>157</v>
      </c>
      <c r="D55" s="747"/>
      <c r="E55"/>
      <c r="F55" s="1180"/>
      <c r="G55" s="1162">
        <f>'[5]A3'!$F$35</f>
        <v>3932426.08</v>
      </c>
      <c r="H55" s="1180"/>
      <c r="I55" s="1162">
        <f>'[6]A3'!$AQ$35</f>
        <v>3873070.14217014</v>
      </c>
      <c r="J55" s="1162">
        <f>'[5]A3'!$AT$35</f>
        <v>5014838.67217014</v>
      </c>
      <c r="K55" s="1182"/>
      <c r="L55" s="1182"/>
      <c r="M55" s="637"/>
      <c r="N55" s="65"/>
      <c r="O55" s="65"/>
      <c r="Q55" s="1045"/>
    </row>
    <row r="56" s="870" customFormat="1" ht="15" customHeight="1" spans="1:17">
      <c r="A56" s="65"/>
      <c r="B56" s="65"/>
      <c r="C56" s="57" t="s">
        <v>158</v>
      </c>
      <c r="D56" s="84"/>
      <c r="E56"/>
      <c r="F56" s="1171"/>
      <c r="G56" s="638">
        <f>G53-G55</f>
        <v>-200000.000000004</v>
      </c>
      <c r="H56" s="1171"/>
      <c r="I56" s="638">
        <f>I53-I55</f>
        <v>-200000.000000004</v>
      </c>
      <c r="J56" s="638">
        <f>J53-J55</f>
        <v>0</v>
      </c>
      <c r="K56" s="1183"/>
      <c r="L56" s="84"/>
      <c r="M56" s="84"/>
      <c r="N56" s="84"/>
      <c r="O56" s="84"/>
      <c r="Q56" s="1166"/>
    </row>
    <row r="57" s="870" customFormat="1" ht="15" customHeight="1" spans="1:17">
      <c r="A57" s="65"/>
      <c r="B57" s="65"/>
      <c r="C57" s="57"/>
      <c r="D57" s="84"/>
      <c r="E57"/>
      <c r="F57" s="1171"/>
      <c r="G57" s="1184"/>
      <c r="H57" s="1171"/>
      <c r="I57" s="1184"/>
      <c r="J57" s="1184"/>
      <c r="K57" s="1183"/>
      <c r="L57" s="84"/>
      <c r="M57" s="84"/>
      <c r="N57" s="84"/>
      <c r="O57" s="84"/>
      <c r="Q57" s="1166"/>
    </row>
    <row r="58" s="3" customFormat="1" customHeight="1" spans="1:17">
      <c r="B58" s="1185" t="s">
        <v>159</v>
      </c>
      <c r="C58" s="645"/>
      <c r="D58" s="101"/>
      <c r="E58" s="101"/>
      <c r="F58" s="101"/>
      <c r="G58" s="58"/>
      <c r="H58" s="156"/>
      <c r="I58" s="1135"/>
      <c r="J58" s="1135"/>
      <c r="K58" s="1135"/>
      <c r="L58" s="1135"/>
      <c r="M58" s="1135"/>
      <c r="N58" s="1135"/>
      <c r="O58" s="1186"/>
      <c r="Q58" s="1166"/>
    </row>
    <row r="59" s="3" customFormat="1" customHeight="1" spans="1:17">
      <c r="B59" s="1187" t="s">
        <v>160</v>
      </c>
      <c r="C59" s="1188"/>
      <c r="D59" s="1188"/>
      <c r="E59" s="1188"/>
      <c r="F59" s="1188"/>
      <c r="G59" s="101"/>
      <c r="H59" s="58"/>
      <c r="I59" s="156"/>
      <c r="J59" s="156"/>
      <c r="K59" s="1135"/>
      <c r="L59" s="1135"/>
      <c r="M59" s="1135"/>
      <c r="N59" s="1135"/>
      <c r="O59" s="1135"/>
      <c r="Q59" s="1166"/>
    </row>
    <row r="60" s="3" customFormat="1" customHeight="1" spans="1:17">
      <c r="B60" s="1188"/>
      <c r="C60" s="1188"/>
      <c r="D60" s="1188"/>
      <c r="E60" s="1188"/>
      <c r="F60" s="1188"/>
      <c r="G60" s="101"/>
      <c r="H60" s="58"/>
      <c r="I60" s="156"/>
      <c r="J60" s="156"/>
      <c r="K60" s="1135"/>
      <c r="L60" s="1135"/>
      <c r="M60" s="1135"/>
      <c r="N60" s="1135"/>
      <c r="O60" s="1135"/>
      <c r="Q60" s="1166"/>
    </row>
    <row r="61" s="3" customFormat="1" customHeight="1" spans="1:17">
      <c r="B61" s="1188"/>
      <c r="C61" s="1188"/>
      <c r="D61" s="1188"/>
      <c r="E61" s="1188"/>
      <c r="F61" s="1188"/>
      <c r="G61" s="101"/>
      <c r="H61" s="58"/>
      <c r="I61" s="156"/>
      <c r="J61" s="156"/>
      <c r="K61" s="1135"/>
      <c r="L61" s="1135"/>
      <c r="M61" s="1135"/>
      <c r="N61" s="1135"/>
      <c r="O61" s="1135"/>
      <c r="Q61" s="1166"/>
    </row>
    <row r="62" s="3" customFormat="1" customHeight="1" spans="1:17">
      <c r="B62" s="1188"/>
      <c r="C62" s="1188"/>
      <c r="D62" s="1188"/>
      <c r="E62" s="1188"/>
      <c r="F62" s="1188"/>
      <c r="G62" s="101"/>
      <c r="H62" s="58"/>
      <c r="I62" s="156"/>
      <c r="J62" s="156"/>
      <c r="K62" s="1135"/>
      <c r="L62" s="1135"/>
      <c r="M62" s="1135"/>
      <c r="N62" s="1135"/>
      <c r="O62" s="1135"/>
      <c r="Q62" s="1166"/>
    </row>
    <row r="63" s="3" customFormat="1" customHeight="1" spans="1:17">
      <c r="B63" s="1000"/>
      <c r="C63" s="1000"/>
      <c r="D63" s="1000"/>
      <c r="E63" s="1000"/>
      <c r="F63" s="1000"/>
      <c r="G63" s="101"/>
      <c r="H63" s="58"/>
      <c r="I63" s="156"/>
      <c r="J63" s="156"/>
      <c r="K63" s="1135"/>
      <c r="L63" s="1135"/>
      <c r="M63" s="1135"/>
      <c r="N63" s="1135"/>
      <c r="O63" s="1135"/>
      <c r="Q63" s="1166"/>
    </row>
    <row r="64" s="3" customFormat="1" customHeight="1" spans="1:17">
      <c r="B64" s="1169" t="s">
        <v>161</v>
      </c>
      <c r="C64" s="637"/>
      <c r="D64" s="872"/>
      <c r="E64" s="872"/>
      <c r="F64" s="1000"/>
      <c r="G64" s="101"/>
      <c r="H64" s="58"/>
      <c r="I64" s="156"/>
      <c r="J64" s="156"/>
      <c r="K64" s="1135"/>
      <c r="L64" s="1135"/>
      <c r="M64" s="1135"/>
      <c r="N64" s="1135"/>
      <c r="O64" s="1135"/>
      <c r="Q64" s="1166"/>
    </row>
    <row r="65" s="3" customFormat="1" customHeight="1" spans="1:17">
      <c r="B65" s="84" t="s">
        <v>162</v>
      </c>
      <c r="C65" s="637"/>
      <c r="D65" s="872"/>
      <c r="E65" s="872"/>
      <c r="F65" s="1000"/>
      <c r="G65" s="101"/>
      <c r="H65" s="58"/>
      <c r="I65" s="156"/>
      <c r="J65" s="156"/>
      <c r="K65" s="1135"/>
      <c r="L65" s="1135"/>
      <c r="M65" s="1135"/>
      <c r="N65" s="1135"/>
      <c r="O65" s="1135"/>
      <c r="Q65" s="1166"/>
    </row>
    <row r="66" s="3" customFormat="1" customHeight="1" spans="1:17">
      <c r="B66" s="1189" t="s">
        <v>163</v>
      </c>
      <c r="C66" s="1190" t="s">
        <v>141</v>
      </c>
      <c r="D66" s="1008"/>
      <c r="E66" s="1191" t="s">
        <v>164</v>
      </c>
      <c r="F66" s="58"/>
      <c r="G66" s="101"/>
      <c r="H66" s="58"/>
      <c r="I66" s="156"/>
      <c r="J66" s="156"/>
      <c r="K66" s="1135"/>
      <c r="L66" s="1135"/>
      <c r="M66" s="1135"/>
      <c r="N66" s="1135"/>
      <c r="O66" s="1135"/>
      <c r="Q66" s="1166"/>
    </row>
    <row r="67" s="3" customFormat="1" customHeight="1" spans="1:17">
      <c r="B67" s="1192" t="s">
        <v>165</v>
      </c>
      <c r="C67" s="1193" t="s">
        <v>166</v>
      </c>
      <c r="D67" s="58"/>
      <c r="E67" s="1194">
        <v>-59355.9378298611</v>
      </c>
      <c r="F67" s="58"/>
      <c r="G67" s="101"/>
      <c r="H67" s="58"/>
      <c r="I67" s="156"/>
      <c r="J67" s="156"/>
      <c r="K67" s="1135"/>
      <c r="L67" s="1135"/>
      <c r="M67" s="1135"/>
      <c r="N67" s="1135"/>
      <c r="O67" s="1135"/>
      <c r="Q67" s="1166"/>
    </row>
    <row r="68" s="3" customFormat="1" customHeight="1" spans="1:17">
      <c r="B68" s="1192" t="s">
        <v>165</v>
      </c>
      <c r="C68" s="1193" t="s">
        <v>167</v>
      </c>
      <c r="D68" s="58"/>
      <c r="E68" s="1194">
        <v>59355.9378298611</v>
      </c>
      <c r="F68" s="58"/>
      <c r="G68" s="101"/>
      <c r="H68" s="58"/>
      <c r="I68" s="156"/>
      <c r="J68" s="156"/>
      <c r="K68" s="1135"/>
      <c r="L68" s="1135"/>
      <c r="M68" s="1135"/>
      <c r="N68" s="1135"/>
      <c r="O68" s="1135"/>
      <c r="Q68" s="1166"/>
    </row>
    <row r="69" s="3" customFormat="1" customHeight="1" spans="1:17">
      <c r="B69" s="909"/>
      <c r="C69" s="1020"/>
      <c r="D69" s="1020"/>
      <c r="E69" s="1195"/>
      <c r="F69" s="58"/>
      <c r="G69" s="101"/>
      <c r="H69" s="58"/>
      <c r="I69" s="156"/>
      <c r="J69" s="156"/>
      <c r="K69" s="1135"/>
      <c r="L69" s="1135"/>
      <c r="M69" s="1135"/>
      <c r="N69" s="1135"/>
      <c r="O69" s="1135"/>
      <c r="Q69" s="1166"/>
    </row>
    <row r="70" s="3" customFormat="1" customHeight="1" spans="1:17">
      <c r="B70" s="58"/>
      <c r="C70" s="58"/>
      <c r="D70" s="58"/>
      <c r="E70" s="58"/>
      <c r="F70" s="58"/>
      <c r="G70" s="101"/>
      <c r="H70" s="58"/>
      <c r="I70" s="156"/>
      <c r="J70" s="156"/>
      <c r="K70" s="1135"/>
      <c r="L70" s="1135"/>
      <c r="M70" s="1135"/>
      <c r="N70" s="1135"/>
      <c r="O70" s="1135"/>
      <c r="Q70" s="1166"/>
    </row>
    <row r="71" s="3" customFormat="1" customHeight="1" spans="1:17">
      <c r="B71" s="101"/>
      <c r="C71" s="101"/>
      <c r="D71" s="101"/>
      <c r="E71" s="101"/>
      <c r="F71" s="101"/>
      <c r="G71" s="101"/>
      <c r="H71" s="58"/>
      <c r="I71" s="156"/>
      <c r="J71" s="156"/>
      <c r="K71" s="1135"/>
      <c r="L71" s="1135"/>
      <c r="M71" s="1135"/>
      <c r="N71" s="1135"/>
      <c r="O71" s="1135"/>
      <c r="Q71" s="1166"/>
    </row>
    <row r="72" s="3" customFormat="1" ht="15" customHeight="1" spans="1:17">
      <c r="B72" s="1196"/>
      <c r="C72" s="1197"/>
      <c r="D72" s="101"/>
      <c r="E72" s="101"/>
      <c r="F72" s="101"/>
      <c r="G72" s="101"/>
      <c r="H72" s="58"/>
      <c r="I72" s="156"/>
      <c r="J72" s="156"/>
      <c r="K72" s="1135"/>
      <c r="L72" s="1135"/>
      <c r="M72" s="1135"/>
      <c r="N72" s="1135"/>
      <c r="O72" s="1135"/>
      <c r="Q72" s="1166"/>
    </row>
    <row r="73" ht="7.5" customHeight="1" spans="1:17">
      <c r="A73" s="1166"/>
      <c r="B73" s="1166"/>
      <c r="C73" s="1166"/>
      <c r="D73" s="1166"/>
      <c r="E73" s="1166"/>
      <c r="F73" s="1166"/>
      <c r="G73" s="1166"/>
      <c r="H73" s="1166"/>
      <c r="I73" s="1166"/>
      <c r="J73" s="1166"/>
      <c r="K73" s="1166"/>
      <c r="L73" s="1166"/>
      <c r="M73" s="1166"/>
      <c r="N73" s="1166"/>
      <c r="O73" s="1166"/>
      <c r="P73" s="1166"/>
      <c r="Q73" s="1166"/>
    </row>
    <row r="74" customHeight="1" spans="1:17">
      <c r="A74" s="869"/>
    </row>
    <row r="75" customHeight="1" spans="1:17">
      <c r="A75" s="869"/>
    </row>
    <row r="76" customHeight="1" spans="1:17">
      <c r="A76" s="869"/>
    </row>
    <row r="77" customHeight="1" spans="1:17">
      <c r="A77" s="869"/>
    </row>
    <row r="78" customHeight="1" spans="1:17">
      <c r="A78" s="869"/>
    </row>
    <row r="79" customHeight="1" spans="1:17">
      <c r="A79" s="869"/>
    </row>
    <row r="80" customHeight="1" spans="1:17">
      <c r="A80" s="869"/>
    </row>
    <row r="81" customHeight="1" spans="1:1">
      <c r="A81" s="869"/>
    </row>
    <row r="82" customHeight="1" spans="1:1">
      <c r="A82" s="869"/>
    </row>
    <row r="83" customHeight="1" spans="1:1">
      <c r="A83" s="869"/>
    </row>
    <row r="84" customHeight="1" spans="1:1">
      <c r="A84" s="869"/>
    </row>
    <row r="85" customHeight="1" spans="1:1">
      <c r="A85" s="869"/>
    </row>
    <row r="86" customHeight="1" spans="1:1">
      <c r="A86" s="869"/>
    </row>
    <row r="87" customHeight="1" spans="1:1">
      <c r="A87" s="869"/>
    </row>
    <row r="88" customHeight="1" spans="1:1">
      <c r="A88" s="869"/>
    </row>
    <row r="89" customHeight="1" spans="1:1">
      <c r="A89" s="869"/>
    </row>
    <row r="90" customHeight="1" spans="1:1">
      <c r="A90" s="869"/>
    </row>
    <row r="91" customHeight="1" spans="1:1">
      <c r="A91" s="869"/>
    </row>
    <row r="92" customHeight="1" spans="1:1">
      <c r="A92" s="869"/>
    </row>
    <row r="93" customHeight="1" spans="1:1">
      <c r="A93" s="869"/>
    </row>
    <row r="94" customHeight="1" spans="1:1">
      <c r="A94" s="869"/>
    </row>
    <row r="95" customHeight="1" spans="1:1">
      <c r="A95" s="869"/>
    </row>
    <row r="96" customHeight="1" spans="1:1">
      <c r="A96" s="869"/>
    </row>
    <row r="97" customHeight="1" spans="1:1">
      <c r="A97" s="869"/>
    </row>
    <row r="98" customHeight="1" spans="1:1">
      <c r="A98" s="869"/>
    </row>
    <row r="99" customHeight="1" spans="1:1">
      <c r="A99" s="869"/>
    </row>
    <row r="100" customHeight="1" spans="1:1">
      <c r="A100" s="869"/>
    </row>
    <row r="101" customHeight="1" spans="1:1">
      <c r="A101" s="869"/>
    </row>
    <row r="102" customHeight="1" spans="1:1">
      <c r="A102" s="869"/>
    </row>
    <row r="103" customHeight="1" spans="1:1">
      <c r="A103" s="869"/>
    </row>
    <row r="104" customHeight="1" spans="1:1">
      <c r="A104" s="869"/>
    </row>
    <row r="105" customHeight="1" spans="1:1">
      <c r="A105" s="869"/>
    </row>
    <row r="106" customHeight="1" spans="1:1">
      <c r="A106" s="869"/>
    </row>
    <row r="107" customHeight="1" spans="1:1">
      <c r="A107" s="869"/>
    </row>
    <row r="108" customHeight="1" spans="1:1">
      <c r="A108" s="869"/>
    </row>
    <row r="109" customHeight="1" spans="1:1">
      <c r="A109" s="869"/>
    </row>
    <row r="110" customHeight="1" spans="1:1">
      <c r="A110" s="869"/>
    </row>
    <row r="111" customHeight="1" spans="1:1">
      <c r="A111" s="869"/>
    </row>
    <row r="112" customHeight="1" spans="1:1">
      <c r="A112" s="869"/>
    </row>
    <row r="113" customHeight="1" spans="1:1">
      <c r="A113" s="869"/>
    </row>
    <row r="114" customHeight="1" spans="1:1">
      <c r="A114" s="869"/>
    </row>
    <row r="115" customHeight="1" spans="1:1">
      <c r="A115" s="869"/>
    </row>
    <row r="116" customHeight="1" spans="1:1">
      <c r="A116" s="869"/>
    </row>
    <row r="117" customHeight="1" spans="1:1">
      <c r="A117" s="869"/>
    </row>
    <row r="118" customHeight="1" spans="1:1">
      <c r="A118" s="869"/>
    </row>
    <row r="119" customHeight="1" spans="1:1">
      <c r="A119" s="869"/>
    </row>
    <row r="120" customHeight="1" spans="1:1">
      <c r="A120" s="869"/>
    </row>
    <row r="121" customHeight="1" spans="1:1">
      <c r="A121" s="869"/>
    </row>
    <row r="122" customHeight="1" spans="1:1">
      <c r="A122" s="869"/>
    </row>
    <row r="123" customHeight="1" spans="1:1">
      <c r="A123" s="869"/>
    </row>
    <row r="124" customHeight="1" spans="1:1">
      <c r="A124" s="869"/>
    </row>
    <row r="125" customHeight="1" spans="1:1">
      <c r="A125" s="869"/>
    </row>
    <row r="126" customHeight="1" spans="1:1">
      <c r="A126" s="869"/>
    </row>
    <row r="127" customHeight="1" spans="1:1">
      <c r="A127" s="869"/>
    </row>
    <row r="128" customHeight="1" spans="1:1">
      <c r="A128" s="869"/>
    </row>
    <row r="129" customHeight="1" spans="1:1">
      <c r="A129" s="869"/>
    </row>
    <row r="130" customHeight="1" spans="1:1">
      <c r="A130" s="869"/>
    </row>
    <row r="131" customHeight="1" spans="1:1">
      <c r="A131" s="869"/>
    </row>
    <row r="132" customHeight="1" spans="1:1">
      <c r="A132" s="869"/>
    </row>
    <row r="133" customHeight="1" spans="1:1">
      <c r="A133" s="869"/>
    </row>
    <row r="134" customHeight="1" spans="1:1">
      <c r="A134" s="869"/>
    </row>
    <row r="135" customHeight="1" spans="1:1">
      <c r="A135" s="869"/>
    </row>
    <row r="136" customHeight="1" spans="1:1">
      <c r="A136" s="869"/>
    </row>
    <row r="137" customHeight="1" spans="1:1">
      <c r="A137" s="869"/>
    </row>
    <row r="138" customHeight="1" spans="1:1">
      <c r="A138" s="869"/>
    </row>
    <row r="139" customHeight="1" spans="1:1">
      <c r="A139" s="869"/>
    </row>
    <row r="140" customHeight="1" spans="1:1">
      <c r="A140" s="869"/>
    </row>
    <row r="141" customHeight="1" spans="1:1">
      <c r="A141" s="869"/>
    </row>
    <row r="142" customHeight="1" spans="1:1">
      <c r="A142" s="869"/>
    </row>
    <row r="143" customHeight="1" spans="1:1">
      <c r="A143" s="869"/>
    </row>
    <row r="144" customHeight="1" spans="1:1">
      <c r="A144" s="869"/>
    </row>
    <row r="145" customHeight="1" spans="1:1">
      <c r="A145" s="869"/>
    </row>
    <row r="146" customHeight="1" spans="1:1">
      <c r="A146" s="869"/>
    </row>
    <row r="147" customHeight="1" spans="1:1">
      <c r="A147" s="869"/>
    </row>
    <row r="148" customHeight="1" spans="1:1">
      <c r="A148" s="869"/>
    </row>
    <row r="149" customHeight="1" spans="1:1">
      <c r="A149" s="869"/>
    </row>
    <row r="150" customHeight="1" spans="1:1">
      <c r="A150" s="869"/>
    </row>
    <row r="151" customHeight="1" spans="1:1">
      <c r="A151" s="869"/>
    </row>
    <row r="152" customHeight="1" spans="1:1">
      <c r="A152" s="869"/>
    </row>
    <row r="153" customHeight="1" spans="1:1">
      <c r="A153" s="869"/>
    </row>
    <row r="154" customHeight="1" spans="1:1">
      <c r="A154" s="869"/>
    </row>
    <row r="155" customHeight="1" spans="1:1">
      <c r="A155" s="869"/>
    </row>
    <row r="156" customHeight="1" spans="1:1">
      <c r="A156" s="869"/>
    </row>
    <row r="157" customHeight="1" spans="1:1">
      <c r="A157" s="869"/>
    </row>
    <row r="158" customHeight="1" spans="1:1">
      <c r="A158" s="869"/>
    </row>
    <row r="159" customHeight="1" spans="1:1">
      <c r="A159" s="869"/>
    </row>
    <row r="160" customHeight="1" spans="1:1">
      <c r="A160" s="869"/>
    </row>
    <row r="161" customHeight="1" spans="1:1">
      <c r="A161" s="869"/>
    </row>
    <row r="162" customHeight="1" spans="1:1">
      <c r="A162" s="869"/>
    </row>
    <row r="163" customHeight="1" spans="1:1">
      <c r="A163" s="869"/>
    </row>
    <row r="164" customHeight="1" spans="1:1">
      <c r="A164" s="869"/>
    </row>
    <row r="165" customHeight="1" spans="1:1">
      <c r="A165" s="869"/>
    </row>
    <row r="166" customHeight="1" spans="1:1">
      <c r="A166" s="869"/>
    </row>
    <row r="167" customHeight="1" spans="1:1">
      <c r="A167" s="869"/>
    </row>
    <row r="168" customHeight="1" spans="1:1">
      <c r="A168" s="869"/>
    </row>
    <row r="169" customHeight="1" spans="1:1">
      <c r="A169" s="869"/>
    </row>
    <row r="170" customHeight="1" spans="1:1">
      <c r="A170" s="869"/>
    </row>
    <row r="171" customHeight="1" spans="1:1">
      <c r="A171" s="869"/>
    </row>
    <row r="172" customHeight="1" spans="1:1">
      <c r="A172" s="869"/>
    </row>
    <row r="173" customHeight="1" spans="1:1">
      <c r="A173" s="869"/>
    </row>
    <row r="174" customHeight="1" spans="1:1">
      <c r="A174" s="869"/>
    </row>
    <row r="175" customHeight="1" spans="1:1">
      <c r="A175" s="869"/>
    </row>
    <row r="176" customHeight="1" spans="1:1">
      <c r="A176" s="869"/>
    </row>
    <row r="177" customHeight="1" spans="1:1">
      <c r="A177" s="869"/>
    </row>
    <row r="178" customHeight="1" spans="1:1">
      <c r="A178" s="869"/>
    </row>
    <row r="179" customHeight="1" spans="1:1">
      <c r="A179" s="869"/>
    </row>
    <row r="180" customHeight="1" spans="1:1">
      <c r="A180" s="869"/>
    </row>
  </sheetData>
  <mergeCells count="19">
    <mergeCell ref="B20:E20"/>
    <mergeCell ref="B23:E23"/>
    <mergeCell ref="F25:I25"/>
    <mergeCell ref="C27:F27"/>
    <mergeCell ref="C28:F28"/>
    <mergeCell ref="C29:F29"/>
    <mergeCell ref="C30:F30"/>
    <mergeCell ref="C31:F31"/>
    <mergeCell ref="C32:F32"/>
    <mergeCell ref="C33:F33"/>
    <mergeCell ref="C34:F34"/>
    <mergeCell ref="A44:B44"/>
    <mergeCell ref="E46:J46"/>
    <mergeCell ref="E47:I47"/>
    <mergeCell ref="K47:L47"/>
    <mergeCell ref="N47:N48"/>
    <mergeCell ref="O47:O48"/>
    <mergeCell ref="D2:O8"/>
    <mergeCell ref="B59:F62"/>
  </mergeCells>
  <conditionalFormatting sqref="C39">
    <cfRule type="containsBlanks" dxfId="1" priority="3">
      <formula>LEN(TRIM(C39))=0</formula>
    </cfRule>
  </conditionalFormatting>
  <conditionalFormatting sqref="G55">
    <cfRule type="containsBlanks" dxfId="1" priority="7">
      <formula>LEN(TRIM(G55))=0</formula>
    </cfRule>
  </conditionalFormatting>
  <conditionalFormatting sqref="I55:J55">
    <cfRule type="containsBlanks" dxfId="1" priority="5">
      <formula>LEN(TRIM(I55))=0</formula>
    </cfRule>
  </conditionalFormatting>
  <conditionalFormatting sqref="B49:B51">
    <cfRule type="containsBlanks" dxfId="1" priority="28">
      <formula>LEN(TRIM(B49))=0</formula>
    </cfRule>
  </conditionalFormatting>
  <conditionalFormatting sqref="C2:C8">
    <cfRule type="containsBlanks" dxfId="1" priority="27">
      <formula>LEN(TRIM(C2))=0</formula>
    </cfRule>
  </conditionalFormatting>
  <conditionalFormatting sqref="C15:C19">
    <cfRule type="containsBlanks" dxfId="1" priority="1">
      <formula>LEN(TRIM(C15))=0</formula>
    </cfRule>
  </conditionalFormatting>
  <conditionalFormatting sqref="J49:J51">
    <cfRule type="containsBlanks" dxfId="1" priority="4">
      <formula>LEN(TRIM(J49))=0</formula>
    </cfRule>
  </conditionalFormatting>
  <conditionalFormatting sqref="O49:O51 O53">
    <cfRule type="containsBlanks" dxfId="1" priority="30">
      <formula>LEN(TRIM(O49))=0</formula>
    </cfRule>
  </conditionalFormatting>
  <conditionalFormatting sqref="B66:C68 E66:E68">
    <cfRule type="containsBlanks" dxfId="1" priority="2">
      <formula>LEN(TRIM(B66))=0</formula>
    </cfRule>
  </conditionalFormatting>
  <dataValidations count="3">
    <dataValidation type="list" allowBlank="1" showInputMessage="1" sqref="B66:B71">
      <formula1>"管理层账表调整(CLA),已更正审计调整(AA/RA/OA),未更正审计调整(SAD)"</formula1>
    </dataValidation>
    <dataValidation type="list" allowBlank="1" showInputMessage="1" sqref="C15:C19">
      <formula1>"Minimal,Low,Moderate,High,N/A"</formula1>
    </dataValidation>
    <dataValidation type="list" allowBlank="1" showInputMessage="1" sqref="O49:O54">
      <formula1>"是,否"</formula1>
    </dataValidation>
  </dataValidations>
  <hyperlinks>
    <hyperlink ref="B11" location="'汇总 '!A1" display="返回汇总页"/>
  </hyperlink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F192"/>
  <sheetViews>
    <sheetView showGridLines="0" zoomScale="70" zoomScaleNormal="70" zoomScaleSheetLayoutView="80" topLeftCell="A41" workbookViewId="0">
      <selection activeCell="K80" sqref="K80"/>
    </sheetView>
  </sheetViews>
  <sheetFormatPr defaultColWidth="9.09009009009009" defaultRowHeight="12.75" customHeight="1"/>
  <cols>
    <col min="1" max="1" width="2.63063063063063" style="874" customWidth="1"/>
    <col min="2" max="2" width="17.6306306306306" style="875" customWidth="1"/>
    <col min="3" max="3" width="18.9099099099099" style="875" customWidth="1"/>
    <col min="4" max="4" width="16.2702702702703" style="875" customWidth="1"/>
    <col min="5" max="5" width="20.0900900900901" style="875" customWidth="1"/>
    <col min="6" max="6" width="17.4504504504505" style="875" customWidth="1"/>
    <col min="7" max="7" width="19.9099099099099" style="876" customWidth="1"/>
    <col min="8" max="8" width="11.9099099099099" style="875" customWidth="1"/>
    <col min="9" max="9" width="15.7297297297297" style="875" customWidth="1"/>
    <col min="10" max="10" width="17.2702702702703" style="875" customWidth="1"/>
    <col min="11" max="11" width="11.2702702702703" style="875" customWidth="1"/>
    <col min="12" max="12" width="16.4504504504505" style="877" customWidth="1"/>
    <col min="13" max="13" width="16.9099099099099" style="875" customWidth="1"/>
    <col min="14" max="14" width="13.4504504504505" style="875" customWidth="1"/>
    <col min="15" max="15" width="14.3603603603604" style="875" customWidth="1"/>
    <col min="16" max="16" width="16.9099099099099" style="875" customWidth="1"/>
    <col min="17" max="17" width="10.7297297297297" style="875" customWidth="1"/>
    <col min="18" max="18" width="13.3603603603604" style="875" customWidth="1"/>
    <col min="19" max="19" width="16.9099099099099" style="875" customWidth="1"/>
    <col min="20" max="20" width="13.4504504504505" style="875" hidden="1" customWidth="1"/>
    <col min="21" max="21" width="17" style="875" hidden="1" customWidth="1"/>
    <col min="22" max="22" width="16.9099099099099" style="875" hidden="1" customWidth="1"/>
    <col min="23" max="24" width="11.9099099099099" style="875" hidden="1" customWidth="1"/>
    <col min="25" max="25" width="16.9099099099099" style="875" hidden="1" customWidth="1"/>
    <col min="26" max="27" width="11.3603603603604" style="875" customWidth="1"/>
    <col min="28" max="28" width="16.9099099099099" style="875" customWidth="1"/>
    <col min="29" max="29" width="14.7297297297297" style="875" customWidth="1"/>
    <col min="30" max="30" width="2.63063063063063" style="875" customWidth="1"/>
    <col min="31" max="31" width="1.63063063063063" style="875" customWidth="1"/>
    <col min="32" max="16384" width="9.09009009009009" style="875"/>
  </cols>
  <sheetData>
    <row r="1" s="870" customFormat="1" ht="50.15" customHeight="1" spans="1:31">
      <c r="B1" s="878" t="s">
        <v>168</v>
      </c>
      <c r="C1" s="879"/>
      <c r="D1" s="880"/>
      <c r="E1" s="880"/>
      <c r="F1" s="880"/>
      <c r="G1" s="880"/>
      <c r="H1" s="880"/>
      <c r="I1" s="880"/>
      <c r="J1" s="881"/>
      <c r="K1" s="880"/>
      <c r="L1" s="882"/>
      <c r="M1" s="882"/>
      <c r="N1" s="883"/>
      <c r="O1" s="883"/>
      <c r="P1" s="883"/>
      <c r="Q1" s="883"/>
      <c r="R1" s="883"/>
      <c r="S1" s="883"/>
      <c r="T1" s="883"/>
      <c r="U1" s="883"/>
      <c r="V1" s="883"/>
      <c r="W1" s="883"/>
      <c r="X1" s="883"/>
      <c r="Y1" s="883"/>
      <c r="Z1" s="883"/>
      <c r="AA1" s="883"/>
      <c r="AB1" s="883"/>
      <c r="AC1" s="884"/>
      <c r="AE1" s="885"/>
    </row>
    <row r="2" s="871" customFormat="1" ht="30" customHeight="1" spans="1:31">
      <c r="A2" s="870"/>
      <c r="B2" s="886" t="s">
        <v>169</v>
      </c>
      <c r="C2" s="887"/>
      <c r="D2" s="888"/>
      <c r="E2" s="889"/>
      <c r="F2" s="888"/>
      <c r="G2" s="889"/>
      <c r="H2" s="888"/>
      <c r="I2" s="889"/>
      <c r="J2" s="890"/>
      <c r="K2" s="889"/>
      <c r="L2" s="888"/>
      <c r="M2" s="889"/>
      <c r="N2" s="888"/>
      <c r="O2" s="889"/>
      <c r="P2" s="888"/>
      <c r="Q2" s="889"/>
      <c r="R2" s="888"/>
      <c r="S2" s="889"/>
      <c r="T2" s="888"/>
      <c r="U2" s="888"/>
      <c r="V2" s="888"/>
      <c r="W2" s="888"/>
      <c r="X2" s="888"/>
      <c r="Y2" s="888"/>
      <c r="Z2" s="888"/>
      <c r="AA2" s="888"/>
      <c r="AB2" s="888"/>
      <c r="AC2" s="891"/>
      <c r="AD2" s="892"/>
      <c r="AE2" s="893"/>
    </row>
    <row r="3" s="780" customFormat="1" ht="14.1" spans="1:31">
      <c r="A3" s="794"/>
      <c r="C3" s="894"/>
      <c r="D3" s="894"/>
      <c r="E3" s="894"/>
      <c r="F3" s="894"/>
      <c r="G3" s="894"/>
      <c r="H3" s="189"/>
      <c r="I3" s="189"/>
      <c r="J3" s="189"/>
      <c r="K3" s="189"/>
      <c r="L3" s="895"/>
      <c r="M3" s="189"/>
      <c r="N3" s="189"/>
      <c r="O3" s="896"/>
      <c r="AE3" s="893"/>
    </row>
    <row r="4" s="780" customFormat="1" ht="14.1" spans="1:31">
      <c r="A4" s="794"/>
      <c r="B4" s="18" t="s">
        <v>77</v>
      </c>
      <c r="C4" s="894"/>
      <c r="D4" s="894"/>
      <c r="E4" s="894"/>
      <c r="F4" s="894"/>
      <c r="G4" s="894"/>
      <c r="H4" s="189"/>
      <c r="I4" s="189"/>
      <c r="J4" s="189"/>
      <c r="K4" s="189"/>
      <c r="L4" s="895"/>
      <c r="M4" s="189"/>
      <c r="N4" s="189"/>
      <c r="O4" s="896"/>
      <c r="AE4" s="893"/>
    </row>
    <row r="5" s="780" customFormat="1" ht="14.1" spans="1:31">
      <c r="A5" s="794"/>
      <c r="D5" s="189"/>
      <c r="E5" s="189"/>
      <c r="F5" s="189"/>
      <c r="G5" s="189"/>
      <c r="H5" s="189"/>
      <c r="I5" s="189"/>
      <c r="J5" s="189"/>
      <c r="K5" s="189"/>
      <c r="L5" s="895"/>
      <c r="M5" s="189"/>
      <c r="N5" s="189"/>
      <c r="O5" s="896"/>
      <c r="AE5" s="893"/>
    </row>
    <row r="6" s="780" customFormat="1" ht="14.55" spans="1:31">
      <c r="A6" s="794"/>
      <c r="B6" s="897" t="s">
        <v>170</v>
      </c>
      <c r="C6" s="189"/>
      <c r="D6" s="189"/>
      <c r="E6" s="189"/>
      <c r="F6" s="189"/>
      <c r="G6" s="189"/>
      <c r="H6" s="189"/>
      <c r="I6" s="189"/>
      <c r="J6" s="189"/>
      <c r="K6" s="895"/>
      <c r="L6" s="189"/>
      <c r="M6" s="189"/>
      <c r="N6" s="896"/>
      <c r="AE6" s="893"/>
    </row>
    <row r="7" s="780" customFormat="1" ht="14.55" spans="1:31">
      <c r="A7" s="794"/>
      <c r="B7" s="897" t="s">
        <v>171</v>
      </c>
      <c r="C7" s="189"/>
      <c r="D7" s="189"/>
      <c r="E7" s="189"/>
      <c r="F7" s="189"/>
      <c r="G7" s="189"/>
      <c r="H7" s="189"/>
      <c r="I7" s="189"/>
      <c r="J7" s="189"/>
      <c r="K7" s="895"/>
      <c r="L7" s="189"/>
      <c r="M7" s="189"/>
      <c r="N7" s="896"/>
      <c r="AE7" s="893"/>
    </row>
    <row r="8" s="780" customFormat="1" ht="14.55" spans="1:31">
      <c r="A8" s="794"/>
      <c r="B8" s="897" t="s">
        <v>172</v>
      </c>
      <c r="C8" s="189"/>
      <c r="D8" s="189"/>
      <c r="E8" s="189"/>
      <c r="F8" s="189"/>
      <c r="G8" s="189"/>
      <c r="H8" s="189"/>
      <c r="I8" s="189"/>
      <c r="J8" s="189"/>
      <c r="K8" s="895"/>
      <c r="L8" s="189"/>
      <c r="M8" s="189"/>
      <c r="N8" s="896"/>
      <c r="U8" s="780" t="s">
        <v>173</v>
      </c>
      <c r="AE8" s="893"/>
    </row>
    <row r="9" s="58" customFormat="1" ht="31.5" customHeight="1" spans="1:31">
      <c r="A9" s="57"/>
      <c r="B9" s="794" t="s">
        <v>174</v>
      </c>
      <c r="C9" s="898"/>
      <c r="D9" s="898"/>
      <c r="E9" s="101"/>
      <c r="F9" s="101"/>
      <c r="G9" s="101"/>
      <c r="H9" s="101"/>
      <c r="I9" s="101"/>
      <c r="J9" s="898"/>
      <c r="K9" s="898"/>
      <c r="M9" s="101"/>
      <c r="N9" s="101"/>
      <c r="O9" s="898"/>
      <c r="P9" s="898"/>
      <c r="Q9" s="898"/>
      <c r="R9" s="898"/>
      <c r="S9" s="898"/>
      <c r="T9" s="101"/>
      <c r="V9" s="101"/>
      <c r="Z9" s="101" t="s">
        <v>175</v>
      </c>
      <c r="AA9" s="101"/>
      <c r="AB9" s="101"/>
      <c r="AD9" s="780"/>
      <c r="AE9" s="893"/>
    </row>
    <row r="10" s="209" customFormat="1" ht="14.55" spans="1:31">
      <c r="A10" s="57"/>
      <c r="B10" s="899"/>
      <c r="C10" s="900"/>
      <c r="D10" s="901" t="s">
        <v>176</v>
      </c>
      <c r="E10" s="902"/>
      <c r="F10" s="903" t="s">
        <v>177</v>
      </c>
      <c r="G10" s="904"/>
      <c r="H10" s="902"/>
      <c r="I10" s="903" t="s">
        <v>178</v>
      </c>
      <c r="J10" s="904"/>
      <c r="K10" s="902"/>
      <c r="L10" s="903" t="s">
        <v>179</v>
      </c>
      <c r="M10" s="904"/>
      <c r="N10" s="902"/>
      <c r="O10" s="903" t="s">
        <v>180</v>
      </c>
      <c r="P10" s="904"/>
      <c r="Q10" s="902"/>
      <c r="R10" s="903" t="s">
        <v>181</v>
      </c>
      <c r="S10" s="904"/>
      <c r="T10" s="902"/>
      <c r="U10" s="905" t="s">
        <v>182</v>
      </c>
      <c r="V10" s="904"/>
      <c r="W10" s="902"/>
      <c r="X10" s="905" t="s">
        <v>182</v>
      </c>
      <c r="Y10" s="904"/>
      <c r="Z10" s="902"/>
      <c r="AA10" s="905" t="s">
        <v>183</v>
      </c>
      <c r="AB10" s="904"/>
      <c r="AC10" s="906"/>
      <c r="AD10" s="907"/>
      <c r="AE10" s="908"/>
    </row>
    <row r="11" s="872" customFormat="1" ht="14.1" spans="1:31">
      <c r="A11" s="101"/>
      <c r="B11" s="909"/>
      <c r="C11" s="910"/>
      <c r="D11" s="643"/>
      <c r="E11" s="911" t="s">
        <v>184</v>
      </c>
      <c r="F11" s="217" t="s">
        <v>185</v>
      </c>
      <c r="G11" s="911" t="s">
        <v>186</v>
      </c>
      <c r="H11" s="911" t="s">
        <v>184</v>
      </c>
      <c r="I11" s="217" t="s">
        <v>185</v>
      </c>
      <c r="J11" s="911" t="s">
        <v>186</v>
      </c>
      <c r="K11" s="911" t="s">
        <v>184</v>
      </c>
      <c r="L11" s="217" t="s">
        <v>185</v>
      </c>
      <c r="M11" s="911" t="s">
        <v>186</v>
      </c>
      <c r="N11" s="911" t="s">
        <v>184</v>
      </c>
      <c r="O11" s="217" t="s">
        <v>185</v>
      </c>
      <c r="P11" s="911" t="s">
        <v>186</v>
      </c>
      <c r="Q11" s="911" t="s">
        <v>184</v>
      </c>
      <c r="R11" s="217" t="s">
        <v>185</v>
      </c>
      <c r="S11" s="911" t="s">
        <v>186</v>
      </c>
      <c r="T11" s="911" t="s">
        <v>184</v>
      </c>
      <c r="U11" s="217" t="s">
        <v>185</v>
      </c>
      <c r="V11" s="911" t="s">
        <v>186</v>
      </c>
      <c r="W11" s="911" t="s">
        <v>184</v>
      </c>
      <c r="X11" s="217" t="s">
        <v>185</v>
      </c>
      <c r="Y11" s="911" t="s">
        <v>186</v>
      </c>
      <c r="Z11" s="911" t="s">
        <v>184</v>
      </c>
      <c r="AA11" s="217" t="s">
        <v>185</v>
      </c>
      <c r="AB11" s="911" t="s">
        <v>186</v>
      </c>
      <c r="AC11" s="912" t="s">
        <v>187</v>
      </c>
      <c r="AD11" s="780"/>
      <c r="AE11" s="893"/>
    </row>
    <row r="12" s="58" customFormat="1" ht="14.55" spans="1:31">
      <c r="A12" s="57"/>
      <c r="B12" s="913"/>
      <c r="C12" s="914" t="s">
        <v>188</v>
      </c>
      <c r="D12" s="915" t="s">
        <v>88</v>
      </c>
      <c r="E12" s="916">
        <v>899364.01</v>
      </c>
      <c r="F12" s="916">
        <v>0</v>
      </c>
      <c r="G12" s="917">
        <f t="shared" ref="G12:G17" si="0">SUM(E12:F12)</f>
        <v>899364.01</v>
      </c>
      <c r="H12" s="917">
        <v>938864.49</v>
      </c>
      <c r="I12" s="916">
        <v>0</v>
      </c>
      <c r="J12" s="916">
        <f>SUM(H12:I12)</f>
        <v>938864.49</v>
      </c>
      <c r="K12" s="916">
        <v>13882261.04</v>
      </c>
      <c r="L12" s="916">
        <v>0</v>
      </c>
      <c r="M12" s="916">
        <f t="shared" ref="M12:M17" si="1">SUM(K12:L12)</f>
        <v>13882261.04</v>
      </c>
      <c r="N12" s="917">
        <v>320088.5</v>
      </c>
      <c r="O12" s="916">
        <v>0</v>
      </c>
      <c r="P12" s="916">
        <f t="shared" ref="P12:P17" si="2">SUM(N12:O12)</f>
        <v>320088.5</v>
      </c>
      <c r="Q12" s="916">
        <v>1293363.64</v>
      </c>
      <c r="R12" s="916">
        <v>0</v>
      </c>
      <c r="S12" s="916">
        <f>SUM(Q12:R12)</f>
        <v>1293363.64</v>
      </c>
      <c r="T12" s="916"/>
      <c r="U12" s="916"/>
      <c r="V12" s="916">
        <f>SUM(T12:U12)</f>
        <v>0</v>
      </c>
      <c r="W12" s="916"/>
      <c r="X12" s="916"/>
      <c r="Y12" s="916">
        <f>SUM(W12:X12)</f>
        <v>0</v>
      </c>
      <c r="Z12" s="916">
        <f t="shared" ref="Z12:AB17" si="3">SUM(E12,H12,K12,N12,Q12,T12,W12)</f>
        <v>17333941.68</v>
      </c>
      <c r="AA12" s="916">
        <f t="shared" si="3"/>
        <v>0</v>
      </c>
      <c r="AB12" s="916">
        <f t="shared" si="3"/>
        <v>17333941.68</v>
      </c>
      <c r="AC12" s="918">
        <f>AB12-'K.00 Lead Sheet'!J49</f>
        <v>0</v>
      </c>
      <c r="AD12" s="780"/>
      <c r="AE12" s="893"/>
    </row>
    <row r="13" s="58" customFormat="1" ht="14.1" spans="1:31">
      <c r="A13" s="57"/>
      <c r="B13" s="919"/>
      <c r="C13" s="920" t="s">
        <v>189</v>
      </c>
      <c r="D13" s="921" t="s">
        <v>190</v>
      </c>
      <c r="E13" s="922">
        <f>SUMIFS(新增清单!$K:$K,新增清单!$B:$B,'K.01 Agree SL to GL'!F10)</f>
        <v>0</v>
      </c>
      <c r="F13" s="922"/>
      <c r="G13" s="922">
        <f t="shared" si="0"/>
        <v>0</v>
      </c>
      <c r="H13" s="922">
        <f>SUMIFS(新增清单!$K:$K,新增清单!$B:$B,'K.01 Agree SL to GL'!I10)</f>
        <v>25746.67</v>
      </c>
      <c r="I13" s="922"/>
      <c r="J13" s="922">
        <f t="shared" ref="J13:J17" si="4">SUM(H13:I13)</f>
        <v>25746.67</v>
      </c>
      <c r="K13" s="922">
        <f>SUMIFS(新增清单!$K:$K,新增清单!$B:$B,'K.01 Agree SL to GL'!L10)</f>
        <v>774300</v>
      </c>
      <c r="L13" s="922"/>
      <c r="M13" s="922">
        <f t="shared" si="1"/>
        <v>774300</v>
      </c>
      <c r="N13" s="922">
        <f>SUMIFS(新增清单!$K:$K,新增清单!$B:$B,'K.01 Agree SL to GL'!O10)</f>
        <v>6500</v>
      </c>
      <c r="O13" s="922"/>
      <c r="P13" s="922">
        <f t="shared" si="2"/>
        <v>6500</v>
      </c>
      <c r="Q13" s="922">
        <f>SUMIFS(新增清单!$K:$K,新增清单!$B:$B,'K.01 Agree SL to GL'!R10)</f>
        <v>60000</v>
      </c>
      <c r="R13" s="922"/>
      <c r="S13" s="922">
        <f t="shared" ref="S13:S17" si="5">SUM(Q13:R13)</f>
        <v>60000</v>
      </c>
      <c r="T13" s="922"/>
      <c r="U13" s="922"/>
      <c r="V13" s="922">
        <f>SUM(T13:U13)</f>
        <v>0</v>
      </c>
      <c r="W13" s="922"/>
      <c r="X13" s="922"/>
      <c r="Y13" s="922">
        <f>SUM(W13:X13)</f>
        <v>0</v>
      </c>
      <c r="Z13" s="922">
        <f t="shared" si="3"/>
        <v>866546.67</v>
      </c>
      <c r="AA13" s="922">
        <f t="shared" si="3"/>
        <v>0</v>
      </c>
      <c r="AB13" s="922">
        <f t="shared" si="3"/>
        <v>866546.67</v>
      </c>
      <c r="AC13" s="923"/>
      <c r="AD13" s="780"/>
      <c r="AE13" s="893"/>
    </row>
    <row r="14" s="58" customFormat="1" ht="14.1" spans="1:31">
      <c r="A14" s="57"/>
      <c r="B14" s="919"/>
      <c r="C14" s="920" t="s">
        <v>191</v>
      </c>
      <c r="D14" s="924" t="s">
        <v>192</v>
      </c>
      <c r="E14" s="922">
        <v>0</v>
      </c>
      <c r="F14" s="922"/>
      <c r="G14" s="922">
        <f t="shared" si="0"/>
        <v>0</v>
      </c>
      <c r="H14" s="922">
        <v>0</v>
      </c>
      <c r="I14" s="922"/>
      <c r="J14" s="922">
        <f t="shared" si="4"/>
        <v>0</v>
      </c>
      <c r="K14" s="922">
        <v>0</v>
      </c>
      <c r="L14" s="922"/>
      <c r="M14" s="922">
        <f t="shared" si="1"/>
        <v>0</v>
      </c>
      <c r="N14" s="922">
        <v>0</v>
      </c>
      <c r="O14" s="922"/>
      <c r="P14" s="922">
        <f t="shared" si="2"/>
        <v>0</v>
      </c>
      <c r="Q14" s="922">
        <v>0</v>
      </c>
      <c r="R14" s="922"/>
      <c r="S14" s="922">
        <f t="shared" si="5"/>
        <v>0</v>
      </c>
      <c r="T14" s="922"/>
      <c r="U14" s="922"/>
      <c r="V14" s="922">
        <f>SUM(T14:U14)</f>
        <v>0</v>
      </c>
      <c r="W14" s="922"/>
      <c r="X14" s="922"/>
      <c r="Y14" s="922">
        <f t="shared" ref="Y14:Y17" si="6">SUM(W14:X14)</f>
        <v>0</v>
      </c>
      <c r="Z14" s="922">
        <f t="shared" si="3"/>
        <v>0</v>
      </c>
      <c r="AA14" s="922">
        <f t="shared" si="3"/>
        <v>0</v>
      </c>
      <c r="AB14" s="922">
        <f t="shared" si="3"/>
        <v>0</v>
      </c>
      <c r="AC14" s="923"/>
      <c r="AD14" s="780"/>
      <c r="AE14" s="893"/>
    </row>
    <row r="15" s="58" customFormat="1" ht="16.15" customHeight="1" spans="1:31">
      <c r="A15" s="57"/>
      <c r="B15" s="925" t="s">
        <v>152</v>
      </c>
      <c r="C15" s="920" t="s">
        <v>193</v>
      </c>
      <c r="D15" s="921" t="s">
        <v>194</v>
      </c>
      <c r="E15" s="922">
        <v>0</v>
      </c>
      <c r="F15" s="922"/>
      <c r="G15" s="922">
        <f t="shared" si="0"/>
        <v>0</v>
      </c>
      <c r="H15" s="922">
        <v>0</v>
      </c>
      <c r="I15" s="922"/>
      <c r="J15" s="922">
        <f t="shared" si="4"/>
        <v>0</v>
      </c>
      <c r="K15" s="922">
        <v>-159633</v>
      </c>
      <c r="L15" s="922"/>
      <c r="M15" s="922">
        <f t="shared" si="1"/>
        <v>-159633</v>
      </c>
      <c r="N15" s="922">
        <v>0</v>
      </c>
      <c r="O15" s="922"/>
      <c r="P15" s="922">
        <f t="shared" si="2"/>
        <v>0</v>
      </c>
      <c r="Q15" s="922">
        <v>0</v>
      </c>
      <c r="R15" s="922"/>
      <c r="S15" s="922">
        <f t="shared" si="5"/>
        <v>0</v>
      </c>
      <c r="T15" s="922"/>
      <c r="U15" s="922"/>
      <c r="V15" s="922">
        <f t="shared" ref="V15:V17" si="7">SUM(T15:U15)</f>
        <v>0</v>
      </c>
      <c r="W15" s="922"/>
      <c r="X15" s="922"/>
      <c r="Y15" s="922">
        <f t="shared" si="6"/>
        <v>0</v>
      </c>
      <c r="Z15" s="922">
        <f t="shared" si="3"/>
        <v>-159633</v>
      </c>
      <c r="AA15" s="922">
        <f t="shared" si="3"/>
        <v>0</v>
      </c>
      <c r="AB15" s="922">
        <f t="shared" si="3"/>
        <v>-159633</v>
      </c>
      <c r="AC15" s="923"/>
      <c r="AD15" s="780"/>
      <c r="AE15" s="893"/>
    </row>
    <row r="16" s="58" customFormat="1" ht="14.1" spans="1:31">
      <c r="A16" s="57"/>
      <c r="B16" s="919"/>
      <c r="C16" s="926" t="s">
        <v>195</v>
      </c>
      <c r="D16" s="924"/>
      <c r="E16" s="922">
        <v>0</v>
      </c>
      <c r="F16" s="922"/>
      <c r="G16" s="922">
        <f t="shared" si="0"/>
        <v>0</v>
      </c>
      <c r="H16" s="922">
        <v>0</v>
      </c>
      <c r="I16" s="922"/>
      <c r="J16" s="922">
        <f t="shared" si="4"/>
        <v>0</v>
      </c>
      <c r="K16" s="922">
        <v>0</v>
      </c>
      <c r="L16" s="922"/>
      <c r="M16" s="922">
        <f t="shared" si="1"/>
        <v>0</v>
      </c>
      <c r="N16" s="922">
        <v>0</v>
      </c>
      <c r="O16" s="922"/>
      <c r="P16" s="922">
        <f t="shared" si="2"/>
        <v>0</v>
      </c>
      <c r="Q16" s="922">
        <v>0</v>
      </c>
      <c r="R16" s="922"/>
      <c r="S16" s="922">
        <f t="shared" si="5"/>
        <v>0</v>
      </c>
      <c r="T16" s="922"/>
      <c r="U16" s="922"/>
      <c r="V16" s="922">
        <f t="shared" si="7"/>
        <v>0</v>
      </c>
      <c r="W16" s="922"/>
      <c r="X16" s="922"/>
      <c r="Y16" s="922">
        <f t="shared" si="6"/>
        <v>0</v>
      </c>
      <c r="Z16" s="922">
        <f t="shared" si="3"/>
        <v>0</v>
      </c>
      <c r="AA16" s="922">
        <f t="shared" si="3"/>
        <v>0</v>
      </c>
      <c r="AB16" s="922">
        <f t="shared" si="3"/>
        <v>0</v>
      </c>
      <c r="AC16" s="923"/>
      <c r="AD16" s="780"/>
      <c r="AE16" s="893"/>
    </row>
    <row r="17" s="58" customFormat="1" ht="17.25" customHeight="1" spans="1:31">
      <c r="A17" s="57"/>
      <c r="B17" s="919"/>
      <c r="C17" s="920" t="s">
        <v>196</v>
      </c>
      <c r="D17" s="921"/>
      <c r="E17" s="922">
        <v>0</v>
      </c>
      <c r="F17" s="922"/>
      <c r="G17" s="922">
        <f t="shared" si="0"/>
        <v>0</v>
      </c>
      <c r="H17" s="922">
        <v>0</v>
      </c>
      <c r="I17" s="922"/>
      <c r="J17" s="922">
        <f t="shared" si="4"/>
        <v>0</v>
      </c>
      <c r="K17" s="922">
        <v>0</v>
      </c>
      <c r="L17" s="922"/>
      <c r="M17" s="922">
        <f t="shared" si="1"/>
        <v>0</v>
      </c>
      <c r="N17" s="922">
        <v>0</v>
      </c>
      <c r="O17" s="922"/>
      <c r="P17" s="922">
        <f t="shared" si="2"/>
        <v>0</v>
      </c>
      <c r="Q17" s="922">
        <v>0</v>
      </c>
      <c r="R17" s="922"/>
      <c r="S17" s="922">
        <f t="shared" si="5"/>
        <v>0</v>
      </c>
      <c r="T17" s="922"/>
      <c r="U17" s="922"/>
      <c r="V17" s="922">
        <f t="shared" si="7"/>
        <v>0</v>
      </c>
      <c r="W17" s="922"/>
      <c r="X17" s="922"/>
      <c r="Y17" s="922">
        <f t="shared" si="6"/>
        <v>0</v>
      </c>
      <c r="Z17" s="922">
        <f t="shared" si="3"/>
        <v>0</v>
      </c>
      <c r="AA17" s="922">
        <f t="shared" si="3"/>
        <v>0</v>
      </c>
      <c r="AB17" s="922">
        <f t="shared" si="3"/>
        <v>0</v>
      </c>
      <c r="AC17" s="923"/>
      <c r="AD17" s="780"/>
      <c r="AE17" s="893"/>
    </row>
    <row r="18" s="58" customFormat="1" ht="14.55" spans="1:31">
      <c r="A18" s="57"/>
      <c r="B18" s="927"/>
      <c r="C18" s="928" t="s">
        <v>197</v>
      </c>
      <c r="D18" s="929" t="s">
        <v>104</v>
      </c>
      <c r="E18" s="916">
        <f t="shared" ref="E18:AB18" si="8">E12+E13+E14+E15+E16+E17</f>
        <v>899364.01</v>
      </c>
      <c r="F18" s="916">
        <f t="shared" si="8"/>
        <v>0</v>
      </c>
      <c r="G18" s="916">
        <f t="shared" si="8"/>
        <v>899364.01</v>
      </c>
      <c r="H18" s="916">
        <f t="shared" ref="H18" si="9">H12+H13+H14+H15+H16+H17</f>
        <v>964611.16</v>
      </c>
      <c r="I18" s="916">
        <f t="shared" si="8"/>
        <v>0</v>
      </c>
      <c r="J18" s="916">
        <f t="shared" si="8"/>
        <v>964611.16</v>
      </c>
      <c r="K18" s="916">
        <f t="shared" ref="K18" si="10">K12+K13+K14+K15+K16+K17</f>
        <v>14496928.04</v>
      </c>
      <c r="L18" s="916">
        <f t="shared" si="8"/>
        <v>0</v>
      </c>
      <c r="M18" s="916">
        <f t="shared" si="8"/>
        <v>14496928.04</v>
      </c>
      <c r="N18" s="916">
        <f t="shared" ref="N18:P18" si="11">N12+N13+N14+N15+N16+N17</f>
        <v>326588.5</v>
      </c>
      <c r="O18" s="916">
        <f t="shared" si="11"/>
        <v>0</v>
      </c>
      <c r="P18" s="916">
        <f t="shared" si="11"/>
        <v>326588.5</v>
      </c>
      <c r="Q18" s="916">
        <f t="shared" ref="Q18" si="12">Q12+Q13+Q14+Q15+Q16+Q17</f>
        <v>1353363.64</v>
      </c>
      <c r="R18" s="916">
        <f t="shared" si="8"/>
        <v>0</v>
      </c>
      <c r="S18" s="916">
        <f t="shared" si="8"/>
        <v>1353363.64</v>
      </c>
      <c r="T18" s="916">
        <f t="shared" ref="T18" si="13">T12+T13+T14+T15+T16+T17</f>
        <v>0</v>
      </c>
      <c r="U18" s="916">
        <f t="shared" si="8"/>
        <v>0</v>
      </c>
      <c r="V18" s="916">
        <f t="shared" si="8"/>
        <v>0</v>
      </c>
      <c r="W18" s="916">
        <f t="shared" ref="W18" si="14">W12+W13+W14+W15+W16+W17</f>
        <v>0</v>
      </c>
      <c r="X18" s="916">
        <f t="shared" si="8"/>
        <v>0</v>
      </c>
      <c r="Y18" s="916">
        <f t="shared" si="8"/>
        <v>0</v>
      </c>
      <c r="Z18" s="916">
        <f t="shared" si="8"/>
        <v>18040855.35</v>
      </c>
      <c r="AA18" s="916">
        <f t="shared" si="8"/>
        <v>0</v>
      </c>
      <c r="AB18" s="916">
        <f t="shared" si="8"/>
        <v>18040855.35</v>
      </c>
      <c r="AC18" s="918">
        <f>AB18-'K.00 Lead Sheet'!I49</f>
        <v>200000.000000004</v>
      </c>
      <c r="AD18" s="780"/>
      <c r="AE18" s="893"/>
    </row>
    <row r="19" s="58" customFormat="1" ht="14.55" spans="1:31">
      <c r="A19" s="57"/>
      <c r="B19" s="930"/>
      <c r="C19" s="928" t="s">
        <v>188</v>
      </c>
      <c r="D19" s="915" t="s">
        <v>88</v>
      </c>
      <c r="E19" s="916">
        <v>697552.19</v>
      </c>
      <c r="F19" s="916">
        <v>96280.4840555556</v>
      </c>
      <c r="G19" s="916">
        <f t="shared" ref="G19:G23" si="15">SUM(E19:F19)</f>
        <v>793832.674055555</v>
      </c>
      <c r="H19" s="916">
        <v>595604.84</v>
      </c>
      <c r="I19" s="916">
        <v>-1830.95172222223</v>
      </c>
      <c r="J19" s="916">
        <f>SUM(H19:I19)</f>
        <v>593773.888277778</v>
      </c>
      <c r="K19" s="916">
        <v>9626407.25</v>
      </c>
      <c r="L19" s="916">
        <v>-32942.6875</v>
      </c>
      <c r="M19" s="916">
        <f>SUM(K19:L19)</f>
        <v>9593464.5625</v>
      </c>
      <c r="N19" s="916">
        <v>288875.61</v>
      </c>
      <c r="O19" s="916">
        <v>-2150.83063888889</v>
      </c>
      <c r="P19" s="916">
        <f>SUM(N19:O19)</f>
        <v>286724.779361111</v>
      </c>
      <c r="Q19" s="916">
        <v>1051307.18</v>
      </c>
      <c r="R19" s="916">
        <v>-0.0763645833503688</v>
      </c>
      <c r="S19" s="916">
        <f t="shared" ref="S19:S23" si="16">SUM(Q19:R19)</f>
        <v>1051307.10363542</v>
      </c>
      <c r="T19" s="916"/>
      <c r="U19" s="916"/>
      <c r="V19" s="916">
        <f>SUM(T19:U19)</f>
        <v>0</v>
      </c>
      <c r="W19" s="916"/>
      <c r="X19" s="916"/>
      <c r="Y19" s="916">
        <f>SUM(W19:X19)</f>
        <v>0</v>
      </c>
      <c r="Z19" s="916">
        <f t="shared" ref="Z19:AB23" si="17">SUM(E19,H19,K19,N19,Q19,T19,W19)</f>
        <v>12259747.07</v>
      </c>
      <c r="AA19" s="916">
        <f t="shared" si="17"/>
        <v>59355.9378298611</v>
      </c>
      <c r="AB19" s="916">
        <f t="shared" si="17"/>
        <v>12319103.0078299</v>
      </c>
      <c r="AC19" s="918">
        <f>AB19-'K.00 Lead Sheet'!J50</f>
        <v>0</v>
      </c>
      <c r="AD19" s="780"/>
      <c r="AE19" s="893"/>
    </row>
    <row r="20" s="58" customFormat="1" ht="14.1" spans="1:31">
      <c r="A20" s="57"/>
      <c r="B20" s="919"/>
      <c r="C20" s="920" t="s">
        <v>198</v>
      </c>
      <c r="D20" s="921" t="s">
        <v>199</v>
      </c>
      <c r="E20" s="922">
        <f>SUMIFS('K.01.1a FA list'!$K$17:$K$330,'K.01.1a FA list'!$C$17:$C$330,'K.01 Agree SL to GL'!F10)</f>
        <v>68138.69</v>
      </c>
      <c r="F20" s="922"/>
      <c r="G20" s="922">
        <f t="shared" si="15"/>
        <v>68138.69</v>
      </c>
      <c r="H20" s="922">
        <f>SUMIFS('K.01.1a FA list'!$K$17:$K$330,'K.01.1a FA list'!$C$17:$C$330,'K.01 Agree SL to GL'!I10)</f>
        <v>182580.15</v>
      </c>
      <c r="I20" s="922"/>
      <c r="J20" s="922">
        <f>SUM(H20:I20)</f>
        <v>182580.15</v>
      </c>
      <c r="K20" s="922">
        <f>SUMIFS('K.01.1a FA list'!$K$17:$K$330,'K.01.1a FA list'!$C$17:$C$330,'K.01 Agree SL to GL'!L10)</f>
        <v>1548955.82</v>
      </c>
      <c r="L20" s="922"/>
      <c r="M20" s="922">
        <f>SUM(K20:L20)</f>
        <v>1548955.82</v>
      </c>
      <c r="N20" s="922">
        <f>SUMIFS('K.01.1a FA list'!$K$17:$K$330,'K.01.1a FA list'!$C$17:$C$330,'K.01 Agree SL to GL'!O10)</f>
        <v>18731.5</v>
      </c>
      <c r="O20" s="922"/>
      <c r="P20" s="922">
        <f>SUM(N20:O20)</f>
        <v>18731.5</v>
      </c>
      <c r="Q20" s="922">
        <f>SUMIFS('K.01.1a FA list'!$K$17:$K$330,'K.01.1a FA list'!$C$17:$C$330,'K.01 Agree SL to GL'!R10)</f>
        <v>116461.38</v>
      </c>
      <c r="R20" s="922"/>
      <c r="S20" s="922">
        <f t="shared" si="16"/>
        <v>116461.38</v>
      </c>
      <c r="T20" s="922"/>
      <c r="U20" s="922"/>
      <c r="V20" s="922">
        <f>SUM(T20:U20)</f>
        <v>0</v>
      </c>
      <c r="W20" s="922"/>
      <c r="X20" s="922"/>
      <c r="Y20" s="922">
        <f>SUM(W20:X20)</f>
        <v>0</v>
      </c>
      <c r="Z20" s="922">
        <f t="shared" si="17"/>
        <v>1934867.54</v>
      </c>
      <c r="AA20" s="922">
        <f t="shared" si="17"/>
        <v>0</v>
      </c>
      <c r="AB20" s="922">
        <f t="shared" si="17"/>
        <v>1934867.54</v>
      </c>
      <c r="AC20" s="923" t="s">
        <v>200</v>
      </c>
      <c r="AD20" s="780"/>
      <c r="AE20" s="893"/>
    </row>
    <row r="21" s="58" customFormat="1" ht="14.55" spans="1:31">
      <c r="A21" s="57"/>
      <c r="B21" s="925" t="s">
        <v>154</v>
      </c>
      <c r="C21" s="920" t="s">
        <v>193</v>
      </c>
      <c r="D21" s="921" t="s">
        <v>194</v>
      </c>
      <c r="E21" s="922">
        <v>0</v>
      </c>
      <c r="F21" s="922"/>
      <c r="G21" s="922">
        <f t="shared" si="15"/>
        <v>0</v>
      </c>
      <c r="H21" s="922">
        <v>0</v>
      </c>
      <c r="I21" s="922"/>
      <c r="J21" s="922">
        <f>SUM(H21:I21)</f>
        <v>0</v>
      </c>
      <c r="K21" s="922">
        <v>-86185.34</v>
      </c>
      <c r="L21" s="922"/>
      <c r="M21" s="922">
        <f>SUM(K21:L21)</f>
        <v>-86185.34</v>
      </c>
      <c r="N21" s="922">
        <v>0</v>
      </c>
      <c r="O21" s="922"/>
      <c r="P21" s="922">
        <f>SUM(N21:O21)</f>
        <v>0</v>
      </c>
      <c r="Q21" s="922">
        <v>0</v>
      </c>
      <c r="R21" s="922"/>
      <c r="S21" s="922">
        <f t="shared" si="16"/>
        <v>0</v>
      </c>
      <c r="T21" s="922"/>
      <c r="U21" s="922"/>
      <c r="V21" s="922">
        <f t="shared" ref="V21:V23" si="18">SUM(T21:U21)</f>
        <v>0</v>
      </c>
      <c r="W21" s="922"/>
      <c r="X21" s="922"/>
      <c r="Y21" s="922">
        <f>SUM(W21:X21)</f>
        <v>0</v>
      </c>
      <c r="Z21" s="922">
        <f>SUM(E21,H21,K21,N21,Q21,T21,W21)</f>
        <v>-86185.34</v>
      </c>
      <c r="AA21" s="922">
        <f t="shared" si="17"/>
        <v>0</v>
      </c>
      <c r="AB21" s="922">
        <f t="shared" si="17"/>
        <v>-86185.34</v>
      </c>
      <c r="AC21" s="923"/>
      <c r="AD21" s="780"/>
      <c r="AE21" s="893"/>
    </row>
    <row r="22" s="58" customFormat="1" ht="14.1" spans="1:31">
      <c r="A22" s="57"/>
      <c r="B22" s="919"/>
      <c r="C22" s="920" t="s">
        <v>195</v>
      </c>
      <c r="D22" s="924"/>
      <c r="E22" s="922">
        <v>0</v>
      </c>
      <c r="F22" s="922"/>
      <c r="G22" s="922">
        <f t="shared" si="15"/>
        <v>0</v>
      </c>
      <c r="H22" s="922">
        <v>0</v>
      </c>
      <c r="I22" s="922"/>
      <c r="J22" s="922">
        <f>SUM(H22:I22)</f>
        <v>0</v>
      </c>
      <c r="K22" s="922">
        <v>0</v>
      </c>
      <c r="L22" s="922"/>
      <c r="M22" s="922">
        <f>SUM(K22:L22)</f>
        <v>0</v>
      </c>
      <c r="N22" s="922">
        <v>0</v>
      </c>
      <c r="O22" s="922"/>
      <c r="P22" s="922">
        <f>SUM(N22:O22)</f>
        <v>0</v>
      </c>
      <c r="Q22" s="922">
        <v>0</v>
      </c>
      <c r="R22" s="922"/>
      <c r="S22" s="922">
        <f t="shared" si="16"/>
        <v>0</v>
      </c>
      <c r="T22" s="922"/>
      <c r="U22" s="922"/>
      <c r="V22" s="922">
        <f t="shared" si="18"/>
        <v>0</v>
      </c>
      <c r="W22" s="922"/>
      <c r="X22" s="922"/>
      <c r="Y22" s="922">
        <f>SUM(W22:X22)</f>
        <v>0</v>
      </c>
      <c r="Z22" s="922">
        <f t="shared" si="17"/>
        <v>0</v>
      </c>
      <c r="AA22" s="922">
        <f t="shared" si="17"/>
        <v>0</v>
      </c>
      <c r="AB22" s="922">
        <f t="shared" si="17"/>
        <v>0</v>
      </c>
      <c r="AC22" s="923"/>
      <c r="AD22" s="780"/>
      <c r="AE22" s="893"/>
    </row>
    <row r="23" s="58" customFormat="1" ht="14.1" spans="1:31">
      <c r="A23" s="57"/>
      <c r="B23" s="919"/>
      <c r="C23" s="920" t="s">
        <v>196</v>
      </c>
      <c r="D23" s="643"/>
      <c r="E23" s="922">
        <v>0</v>
      </c>
      <c r="F23" s="922"/>
      <c r="G23" s="922">
        <f t="shared" si="15"/>
        <v>0</v>
      </c>
      <c r="H23" s="922">
        <v>0</v>
      </c>
      <c r="I23" s="922"/>
      <c r="J23" s="922">
        <f>SUM(H23:I23)</f>
        <v>0</v>
      </c>
      <c r="K23" s="922">
        <v>0</v>
      </c>
      <c r="L23" s="922"/>
      <c r="M23" s="922">
        <f>SUM(K23:L23)</f>
        <v>0</v>
      </c>
      <c r="N23" s="922">
        <v>0</v>
      </c>
      <c r="O23" s="922"/>
      <c r="P23" s="922">
        <f>SUM(N23:O23)</f>
        <v>0</v>
      </c>
      <c r="Q23" s="922">
        <v>0</v>
      </c>
      <c r="R23" s="922"/>
      <c r="S23" s="922">
        <f t="shared" si="16"/>
        <v>0</v>
      </c>
      <c r="T23" s="922"/>
      <c r="U23" s="922"/>
      <c r="V23" s="922">
        <f t="shared" si="18"/>
        <v>0</v>
      </c>
      <c r="W23" s="922"/>
      <c r="X23" s="922"/>
      <c r="Y23" s="922">
        <f>SUM(W23:X23)</f>
        <v>0</v>
      </c>
      <c r="Z23" s="922">
        <f t="shared" si="17"/>
        <v>0</v>
      </c>
      <c r="AA23" s="922">
        <f t="shared" si="17"/>
        <v>0</v>
      </c>
      <c r="AB23" s="922">
        <f t="shared" si="17"/>
        <v>0</v>
      </c>
      <c r="AC23" s="923"/>
      <c r="AD23" s="780"/>
      <c r="AE23" s="893"/>
    </row>
    <row r="24" s="58" customFormat="1" ht="14.55" spans="1:31">
      <c r="A24" s="57"/>
      <c r="B24" s="927"/>
      <c r="C24" s="928" t="s">
        <v>197</v>
      </c>
      <c r="D24" s="929" t="s">
        <v>104</v>
      </c>
      <c r="E24" s="916">
        <f t="shared" ref="E24:AB24" si="19">E19+E20+E21+E22+E23</f>
        <v>765690.88</v>
      </c>
      <c r="F24" s="916">
        <f t="shared" si="19"/>
        <v>96280.4840555556</v>
      </c>
      <c r="G24" s="916">
        <f t="shared" si="19"/>
        <v>861971.364055556</v>
      </c>
      <c r="H24" s="916">
        <f t="shared" si="19"/>
        <v>778184.99</v>
      </c>
      <c r="I24" s="916">
        <f t="shared" si="19"/>
        <v>-1830.95172222223</v>
      </c>
      <c r="J24" s="916">
        <f t="shared" si="19"/>
        <v>776354.038277778</v>
      </c>
      <c r="K24" s="916">
        <f t="shared" si="19"/>
        <v>11089177.73</v>
      </c>
      <c r="L24" s="916">
        <f t="shared" si="19"/>
        <v>-32942.6875</v>
      </c>
      <c r="M24" s="916">
        <f t="shared" si="19"/>
        <v>11056235.0425</v>
      </c>
      <c r="N24" s="916">
        <f t="shared" si="19"/>
        <v>307607.11</v>
      </c>
      <c r="O24" s="916">
        <f t="shared" si="19"/>
        <v>-2150.83063888889</v>
      </c>
      <c r="P24" s="916">
        <f t="shared" si="19"/>
        <v>305456.279361111</v>
      </c>
      <c r="Q24" s="916">
        <f t="shared" si="19"/>
        <v>1167768.56</v>
      </c>
      <c r="R24" s="916">
        <f t="shared" si="19"/>
        <v>-0.0763645833503688</v>
      </c>
      <c r="S24" s="916">
        <f t="shared" si="19"/>
        <v>1167768.48363542</v>
      </c>
      <c r="T24" s="916">
        <f t="shared" si="19"/>
        <v>0</v>
      </c>
      <c r="U24" s="916">
        <f t="shared" si="19"/>
        <v>0</v>
      </c>
      <c r="V24" s="916">
        <f t="shared" si="19"/>
        <v>0</v>
      </c>
      <c r="W24" s="916">
        <f t="shared" si="19"/>
        <v>0</v>
      </c>
      <c r="X24" s="916">
        <f t="shared" si="19"/>
        <v>0</v>
      </c>
      <c r="Y24" s="916">
        <f t="shared" si="19"/>
        <v>0</v>
      </c>
      <c r="Z24" s="916">
        <f t="shared" si="19"/>
        <v>14108429.27</v>
      </c>
      <c r="AA24" s="916">
        <f t="shared" si="19"/>
        <v>59355.9378298611</v>
      </c>
      <c r="AB24" s="916">
        <f t="shared" si="19"/>
        <v>14167785.2078299</v>
      </c>
      <c r="AC24" s="918">
        <f>AB24-'K.00 Lead Sheet'!I50</f>
        <v>0</v>
      </c>
      <c r="AD24" s="780"/>
      <c r="AE24" s="893"/>
    </row>
    <row r="25" s="58" customFormat="1" ht="14.55" spans="1:31">
      <c r="A25" s="57"/>
      <c r="B25" s="930"/>
      <c r="C25" s="928" t="s">
        <v>188</v>
      </c>
      <c r="D25" s="915" t="s">
        <v>88</v>
      </c>
      <c r="E25" s="922">
        <v>0</v>
      </c>
      <c r="F25" s="922"/>
      <c r="G25" s="922">
        <f t="shared" ref="G25:G29" si="20">SUM(E25:F25)</f>
        <v>0</v>
      </c>
      <c r="H25" s="922">
        <v>0</v>
      </c>
      <c r="I25" s="922"/>
      <c r="J25" s="922">
        <f>SUM(H25:I25)</f>
        <v>0</v>
      </c>
      <c r="K25" s="922">
        <v>0</v>
      </c>
      <c r="L25" s="922"/>
      <c r="M25" s="922">
        <f>SUM(K25:L25)</f>
        <v>0</v>
      </c>
      <c r="N25" s="922">
        <v>0</v>
      </c>
      <c r="O25" s="922"/>
      <c r="P25" s="922">
        <f>SUM(N25:O25)</f>
        <v>0</v>
      </c>
      <c r="Q25" s="922">
        <v>0</v>
      </c>
      <c r="R25" s="922"/>
      <c r="S25" s="922">
        <f t="shared" ref="S25:S29" si="21">SUM(Q25:R25)</f>
        <v>0</v>
      </c>
      <c r="T25" s="922"/>
      <c r="U25" s="922"/>
      <c r="V25" s="922">
        <f t="shared" ref="V25:V29" si="22">SUM(T25:U25)</f>
        <v>0</v>
      </c>
      <c r="W25" s="922"/>
      <c r="X25" s="922"/>
      <c r="Y25" s="922">
        <f>SUM(W25:X25)</f>
        <v>0</v>
      </c>
      <c r="Z25" s="922">
        <f t="shared" ref="Z25:AB29" si="23">SUM(E25,H25,K25,N25,Q25,T25,W25)</f>
        <v>0</v>
      </c>
      <c r="AA25" s="922">
        <f t="shared" si="23"/>
        <v>0</v>
      </c>
      <c r="AB25" s="922">
        <f t="shared" si="23"/>
        <v>0</v>
      </c>
      <c r="AC25" s="918">
        <f>AB25-'K.00 Lead Sheet'!J51</f>
        <v>0</v>
      </c>
      <c r="AD25" s="780"/>
      <c r="AE25" s="893"/>
    </row>
    <row r="26" s="58" customFormat="1" ht="14.55" spans="1:31">
      <c r="A26" s="57"/>
      <c r="B26" s="919"/>
      <c r="C26" s="920" t="s">
        <v>198</v>
      </c>
      <c r="D26" s="921" t="s">
        <v>201</v>
      </c>
      <c r="E26" s="922">
        <v>0</v>
      </c>
      <c r="F26" s="922"/>
      <c r="G26" s="922">
        <f t="shared" si="20"/>
        <v>0</v>
      </c>
      <c r="H26" s="922">
        <v>0</v>
      </c>
      <c r="I26" s="922"/>
      <c r="J26" s="922">
        <f>SUM(H26:I26)</f>
        <v>0</v>
      </c>
      <c r="K26" s="922">
        <v>0</v>
      </c>
      <c r="L26" s="922"/>
      <c r="M26" s="922">
        <f>SUM(K26:L26)</f>
        <v>0</v>
      </c>
      <c r="N26" s="922">
        <v>0</v>
      </c>
      <c r="O26" s="922"/>
      <c r="P26" s="922">
        <f>SUM(N26:O26)</f>
        <v>0</v>
      </c>
      <c r="Q26" s="922">
        <v>0</v>
      </c>
      <c r="R26" s="922"/>
      <c r="S26" s="922">
        <f t="shared" si="21"/>
        <v>0</v>
      </c>
      <c r="T26" s="922"/>
      <c r="U26" s="922"/>
      <c r="V26" s="922">
        <f t="shared" si="22"/>
        <v>0</v>
      </c>
      <c r="W26" s="922"/>
      <c r="X26" s="922"/>
      <c r="Y26" s="922">
        <f>SUM(W26:X26)</f>
        <v>0</v>
      </c>
      <c r="Z26" s="922">
        <f t="shared" si="23"/>
        <v>0</v>
      </c>
      <c r="AA26" s="922">
        <f t="shared" si="23"/>
        <v>0</v>
      </c>
      <c r="AB26" s="922">
        <f t="shared" si="23"/>
        <v>0</v>
      </c>
      <c r="AC26" s="923"/>
      <c r="AD26" s="780"/>
      <c r="AE26" s="893"/>
    </row>
    <row r="27" s="58" customFormat="1" ht="14.55" spans="1:31">
      <c r="A27" s="57"/>
      <c r="B27" s="925" t="s">
        <v>155</v>
      </c>
      <c r="C27" s="920" t="s">
        <v>193</v>
      </c>
      <c r="D27" s="921" t="s">
        <v>194</v>
      </c>
      <c r="E27" s="922">
        <v>0</v>
      </c>
      <c r="F27" s="922"/>
      <c r="G27" s="922">
        <f t="shared" si="20"/>
        <v>0</v>
      </c>
      <c r="H27" s="922">
        <v>0</v>
      </c>
      <c r="I27" s="922"/>
      <c r="J27" s="922">
        <f>SUM(H27:I27)</f>
        <v>0</v>
      </c>
      <c r="K27" s="922">
        <v>0</v>
      </c>
      <c r="L27" s="922"/>
      <c r="M27" s="922">
        <f>SUM(K27:L27)</f>
        <v>0</v>
      </c>
      <c r="N27" s="922">
        <v>0</v>
      </c>
      <c r="O27" s="922"/>
      <c r="P27" s="922">
        <f>SUM(N27:O27)</f>
        <v>0</v>
      </c>
      <c r="Q27" s="922">
        <v>0</v>
      </c>
      <c r="R27" s="922"/>
      <c r="S27" s="922">
        <f t="shared" si="21"/>
        <v>0</v>
      </c>
      <c r="T27" s="922"/>
      <c r="U27" s="922"/>
      <c r="V27" s="922">
        <f t="shared" si="22"/>
        <v>0</v>
      </c>
      <c r="W27" s="922"/>
      <c r="X27" s="922"/>
      <c r="Y27" s="922">
        <f t="shared" ref="Y27:Y29" si="24">SUM(W27:X27)</f>
        <v>0</v>
      </c>
      <c r="Z27" s="922">
        <f t="shared" si="23"/>
        <v>0</v>
      </c>
      <c r="AA27" s="922">
        <f t="shared" si="23"/>
        <v>0</v>
      </c>
      <c r="AB27" s="922">
        <f t="shared" si="23"/>
        <v>0</v>
      </c>
      <c r="AC27" s="923"/>
      <c r="AD27" s="780"/>
      <c r="AE27" s="893"/>
    </row>
    <row r="28" s="58" customFormat="1" ht="14.1" spans="1:31">
      <c r="A28" s="57"/>
      <c r="B28" s="919"/>
      <c r="C28" s="926" t="s">
        <v>195</v>
      </c>
      <c r="D28" s="643"/>
      <c r="E28" s="922">
        <v>0</v>
      </c>
      <c r="F28" s="922"/>
      <c r="G28" s="922">
        <f t="shared" si="20"/>
        <v>0</v>
      </c>
      <c r="H28" s="922">
        <v>0</v>
      </c>
      <c r="I28" s="922"/>
      <c r="J28" s="922">
        <f>SUM(H28:I28)</f>
        <v>0</v>
      </c>
      <c r="K28" s="922">
        <v>0</v>
      </c>
      <c r="L28" s="922"/>
      <c r="M28" s="922">
        <f>SUM(K28:L28)</f>
        <v>0</v>
      </c>
      <c r="N28" s="922">
        <v>0</v>
      </c>
      <c r="O28" s="922"/>
      <c r="P28" s="922">
        <f>SUM(N28:O28)</f>
        <v>0</v>
      </c>
      <c r="Q28" s="922">
        <v>0</v>
      </c>
      <c r="R28" s="922"/>
      <c r="S28" s="922">
        <f t="shared" si="21"/>
        <v>0</v>
      </c>
      <c r="T28" s="922"/>
      <c r="U28" s="922"/>
      <c r="V28" s="922">
        <f t="shared" si="22"/>
        <v>0</v>
      </c>
      <c r="W28" s="922"/>
      <c r="X28" s="922"/>
      <c r="Y28" s="922">
        <f t="shared" si="24"/>
        <v>0</v>
      </c>
      <c r="Z28" s="922">
        <f t="shared" si="23"/>
        <v>0</v>
      </c>
      <c r="AA28" s="922">
        <f t="shared" si="23"/>
        <v>0</v>
      </c>
      <c r="AB28" s="922">
        <f t="shared" si="23"/>
        <v>0</v>
      </c>
      <c r="AC28" s="923"/>
      <c r="AD28" s="780"/>
      <c r="AE28" s="893"/>
    </row>
    <row r="29" s="58" customFormat="1" ht="13.5" customHeight="1" spans="1:31">
      <c r="A29" s="57"/>
      <c r="B29" s="919"/>
      <c r="C29" s="931" t="s">
        <v>196</v>
      </c>
      <c r="D29" s="643"/>
      <c r="E29" s="922">
        <v>0</v>
      </c>
      <c r="F29" s="922"/>
      <c r="G29" s="922">
        <f t="shared" si="20"/>
        <v>0</v>
      </c>
      <c r="H29" s="922">
        <v>0</v>
      </c>
      <c r="I29" s="922"/>
      <c r="J29" s="922">
        <f>SUM(H29:I29)</f>
        <v>0</v>
      </c>
      <c r="K29" s="922">
        <v>0</v>
      </c>
      <c r="L29" s="922"/>
      <c r="M29" s="922">
        <f>SUM(K29:L29)</f>
        <v>0</v>
      </c>
      <c r="N29" s="922">
        <v>0</v>
      </c>
      <c r="O29" s="922"/>
      <c r="P29" s="922">
        <f>SUM(N29:O29)</f>
        <v>0</v>
      </c>
      <c r="Q29" s="922">
        <v>0</v>
      </c>
      <c r="R29" s="922"/>
      <c r="S29" s="922">
        <f t="shared" si="21"/>
        <v>0</v>
      </c>
      <c r="T29" s="922"/>
      <c r="U29" s="922"/>
      <c r="V29" s="922">
        <f t="shared" si="22"/>
        <v>0</v>
      </c>
      <c r="W29" s="922"/>
      <c r="X29" s="922"/>
      <c r="Y29" s="922">
        <f t="shared" si="24"/>
        <v>0</v>
      </c>
      <c r="Z29" s="922">
        <f t="shared" si="23"/>
        <v>0</v>
      </c>
      <c r="AA29" s="922">
        <f t="shared" si="23"/>
        <v>0</v>
      </c>
      <c r="AB29" s="922">
        <f t="shared" si="23"/>
        <v>0</v>
      </c>
      <c r="AC29" s="923"/>
      <c r="AD29" s="780"/>
      <c r="AE29" s="893"/>
    </row>
    <row r="30" s="58" customFormat="1" ht="14.55" spans="1:31">
      <c r="A30" s="57"/>
      <c r="B30" s="927"/>
      <c r="C30" s="928" t="s">
        <v>197</v>
      </c>
      <c r="D30" s="929" t="s">
        <v>104</v>
      </c>
      <c r="E30" s="916">
        <f>E25+E26+E27+E28+E29</f>
        <v>0</v>
      </c>
      <c r="F30" s="916">
        <f>F25+F26+F27+F28+F29</f>
        <v>0</v>
      </c>
      <c r="G30" s="916">
        <f t="shared" ref="G30:AB30" si="25">G25+G26+G27+G28+G29</f>
        <v>0</v>
      </c>
      <c r="H30" s="916">
        <f t="shared" si="25"/>
        <v>0</v>
      </c>
      <c r="I30" s="916">
        <f t="shared" si="25"/>
        <v>0</v>
      </c>
      <c r="J30" s="916">
        <f t="shared" si="25"/>
        <v>0</v>
      </c>
      <c r="K30" s="916">
        <f t="shared" si="25"/>
        <v>0</v>
      </c>
      <c r="L30" s="916">
        <f t="shared" si="25"/>
        <v>0</v>
      </c>
      <c r="M30" s="916">
        <f t="shared" si="25"/>
        <v>0</v>
      </c>
      <c r="N30" s="916">
        <f t="shared" si="25"/>
        <v>0</v>
      </c>
      <c r="O30" s="916">
        <f t="shared" si="25"/>
        <v>0</v>
      </c>
      <c r="P30" s="916">
        <f t="shared" si="25"/>
        <v>0</v>
      </c>
      <c r="Q30" s="916">
        <f t="shared" si="25"/>
        <v>0</v>
      </c>
      <c r="R30" s="916">
        <f t="shared" si="25"/>
        <v>0</v>
      </c>
      <c r="S30" s="916">
        <f t="shared" si="25"/>
        <v>0</v>
      </c>
      <c r="T30" s="916">
        <f t="shared" si="25"/>
        <v>0</v>
      </c>
      <c r="U30" s="916">
        <f t="shared" si="25"/>
        <v>0</v>
      </c>
      <c r="V30" s="916">
        <f t="shared" si="25"/>
        <v>0</v>
      </c>
      <c r="W30" s="916">
        <f t="shared" si="25"/>
        <v>0</v>
      </c>
      <c r="X30" s="916">
        <f t="shared" si="25"/>
        <v>0</v>
      </c>
      <c r="Y30" s="916">
        <f t="shared" si="25"/>
        <v>0</v>
      </c>
      <c r="Z30" s="916">
        <f t="shared" si="25"/>
        <v>0</v>
      </c>
      <c r="AA30" s="916">
        <f t="shared" si="25"/>
        <v>0</v>
      </c>
      <c r="AB30" s="916">
        <f t="shared" si="25"/>
        <v>0</v>
      </c>
      <c r="AC30" s="918">
        <f>AB30-'K.00 Lead Sheet'!I51</f>
        <v>0</v>
      </c>
      <c r="AD30" s="780"/>
      <c r="AE30" s="893"/>
    </row>
    <row r="31" s="58" customFormat="1" ht="14.55" spans="1:31">
      <c r="A31" s="57"/>
      <c r="B31" s="932" t="s">
        <v>202</v>
      </c>
      <c r="C31" s="928" t="s">
        <v>188</v>
      </c>
      <c r="D31" s="929" t="s">
        <v>104</v>
      </c>
      <c r="E31" s="922">
        <f t="shared" ref="E31:AB31" si="26">E12-E19-E25</f>
        <v>201811.82</v>
      </c>
      <c r="F31" s="933">
        <f t="shared" si="26"/>
        <v>-96280.4840555556</v>
      </c>
      <c r="G31" s="922">
        <f t="shared" si="26"/>
        <v>105531.335944445</v>
      </c>
      <c r="H31" s="922">
        <f t="shared" si="26"/>
        <v>343259.65</v>
      </c>
      <c r="I31" s="922">
        <f t="shared" si="26"/>
        <v>1830.95172222223</v>
      </c>
      <c r="J31" s="922">
        <f t="shared" si="26"/>
        <v>345090.601722222</v>
      </c>
      <c r="K31" s="922">
        <f t="shared" si="26"/>
        <v>4255853.79</v>
      </c>
      <c r="L31" s="922">
        <f t="shared" si="26"/>
        <v>32942.6875</v>
      </c>
      <c r="M31" s="922">
        <f t="shared" si="26"/>
        <v>4288796.4775</v>
      </c>
      <c r="N31" s="922">
        <f t="shared" si="26"/>
        <v>31212.89</v>
      </c>
      <c r="O31" s="922">
        <f t="shared" si="26"/>
        <v>2150.83063888889</v>
      </c>
      <c r="P31" s="922">
        <f t="shared" si="26"/>
        <v>33363.7206388889</v>
      </c>
      <c r="Q31" s="922">
        <f t="shared" si="26"/>
        <v>242056.46</v>
      </c>
      <c r="R31" s="922">
        <f t="shared" si="26"/>
        <v>0.0763645833503688</v>
      </c>
      <c r="S31" s="922">
        <f t="shared" si="26"/>
        <v>242056.536364583</v>
      </c>
      <c r="T31" s="922">
        <f t="shared" si="26"/>
        <v>0</v>
      </c>
      <c r="U31" s="922">
        <f t="shared" si="26"/>
        <v>0</v>
      </c>
      <c r="V31" s="922">
        <f t="shared" si="26"/>
        <v>0</v>
      </c>
      <c r="W31" s="922">
        <f t="shared" si="26"/>
        <v>0</v>
      </c>
      <c r="X31" s="922">
        <f t="shared" si="26"/>
        <v>0</v>
      </c>
      <c r="Y31" s="922">
        <f t="shared" si="26"/>
        <v>0</v>
      </c>
      <c r="Z31" s="922">
        <f t="shared" si="26"/>
        <v>5074194.61</v>
      </c>
      <c r="AA31" s="922">
        <f t="shared" si="26"/>
        <v>-59355.9378298611</v>
      </c>
      <c r="AB31" s="922">
        <f t="shared" si="26"/>
        <v>5014838.67217014</v>
      </c>
      <c r="AC31" s="918">
        <f>AB31-'K.00 Lead Sheet'!J55</f>
        <v>0</v>
      </c>
      <c r="AD31" s="780"/>
      <c r="AE31" s="893"/>
    </row>
    <row r="32" s="58" customFormat="1" ht="14.55" spans="1:31">
      <c r="A32" s="57"/>
      <c r="B32" s="927"/>
      <c r="C32" s="934" t="s">
        <v>197</v>
      </c>
      <c r="D32" s="929" t="s">
        <v>104</v>
      </c>
      <c r="E32" s="935">
        <f t="shared" ref="E32:AB32" si="27">E18-E24-E30</f>
        <v>133673.13</v>
      </c>
      <c r="F32" s="936">
        <f t="shared" si="27"/>
        <v>-96280.4840555556</v>
      </c>
      <c r="G32" s="937">
        <f t="shared" si="27"/>
        <v>37392.6459444445</v>
      </c>
      <c r="H32" s="936">
        <f t="shared" si="27"/>
        <v>186426.17</v>
      </c>
      <c r="I32" s="936">
        <f t="shared" si="27"/>
        <v>1830.95172222223</v>
      </c>
      <c r="J32" s="936">
        <f t="shared" si="27"/>
        <v>188257.121722222</v>
      </c>
      <c r="K32" s="936">
        <f t="shared" si="27"/>
        <v>3407750.31</v>
      </c>
      <c r="L32" s="936">
        <f t="shared" si="27"/>
        <v>32942.6875</v>
      </c>
      <c r="M32" s="936">
        <f t="shared" si="27"/>
        <v>3440692.9975</v>
      </c>
      <c r="N32" s="936">
        <f t="shared" si="27"/>
        <v>18981.39</v>
      </c>
      <c r="O32" s="936">
        <f t="shared" si="27"/>
        <v>2150.83063888889</v>
      </c>
      <c r="P32" s="936">
        <f t="shared" si="27"/>
        <v>21132.2206388889</v>
      </c>
      <c r="Q32" s="936">
        <f t="shared" si="27"/>
        <v>185595.08</v>
      </c>
      <c r="R32" s="936">
        <f t="shared" si="27"/>
        <v>0.0763645833503688</v>
      </c>
      <c r="S32" s="936">
        <f t="shared" si="27"/>
        <v>185595.156364583</v>
      </c>
      <c r="T32" s="936">
        <f t="shared" si="27"/>
        <v>0</v>
      </c>
      <c r="U32" s="936">
        <f t="shared" si="27"/>
        <v>0</v>
      </c>
      <c r="V32" s="936">
        <f t="shared" si="27"/>
        <v>0</v>
      </c>
      <c r="W32" s="936">
        <f t="shared" si="27"/>
        <v>0</v>
      </c>
      <c r="X32" s="936">
        <f t="shared" si="27"/>
        <v>0</v>
      </c>
      <c r="Y32" s="936">
        <f t="shared" si="27"/>
        <v>0</v>
      </c>
      <c r="Z32" s="936">
        <f t="shared" si="27"/>
        <v>3932426.08</v>
      </c>
      <c r="AA32" s="936">
        <f t="shared" si="27"/>
        <v>-59355.9378298611</v>
      </c>
      <c r="AB32" s="936">
        <f t="shared" si="27"/>
        <v>3873070.14217014</v>
      </c>
      <c r="AC32" s="918">
        <f>AB32-'K.00 Lead Sheet'!I55</f>
        <v>0</v>
      </c>
      <c r="AD32" s="780"/>
      <c r="AE32" s="893"/>
    </row>
    <row r="33" s="58" customFormat="1" ht="14.1" spans="1:110">
      <c r="A33" s="57"/>
      <c r="B33" s="932" t="s">
        <v>203</v>
      </c>
      <c r="C33" s="131" t="s">
        <v>204</v>
      </c>
      <c r="D33" s="130" t="s">
        <v>205</v>
      </c>
      <c r="E33" s="922">
        <f>E18-E12</f>
        <v>0</v>
      </c>
      <c r="F33" s="922"/>
      <c r="G33" s="922">
        <f>G18-G12</f>
        <v>0</v>
      </c>
      <c r="H33" s="922">
        <f>H18-H12</f>
        <v>25746.67</v>
      </c>
      <c r="I33" s="922"/>
      <c r="J33" s="922">
        <f>J18-J12</f>
        <v>25746.67</v>
      </c>
      <c r="K33" s="922">
        <f>K18-K12</f>
        <v>614667</v>
      </c>
      <c r="L33" s="922"/>
      <c r="M33" s="922">
        <f>M18-M12</f>
        <v>614667</v>
      </c>
      <c r="N33" s="922">
        <f>N18-N12</f>
        <v>6500</v>
      </c>
      <c r="O33" s="922"/>
      <c r="P33" s="922">
        <f>P18-P12</f>
        <v>6500</v>
      </c>
      <c r="Q33" s="922">
        <f>Q18-Q12</f>
        <v>60000</v>
      </c>
      <c r="R33" s="922"/>
      <c r="S33" s="922">
        <f>S18-S12</f>
        <v>60000</v>
      </c>
      <c r="T33" s="922">
        <f>T18-T12</f>
        <v>0</v>
      </c>
      <c r="U33" s="922"/>
      <c r="V33" s="922">
        <f>V18-V12</f>
        <v>0</v>
      </c>
      <c r="W33" s="922">
        <f>W18-W12</f>
        <v>0</v>
      </c>
      <c r="X33" s="922"/>
      <c r="Y33" s="922">
        <f>Y18-Y12</f>
        <v>0</v>
      </c>
      <c r="Z33" s="922">
        <f>Z18-Z12</f>
        <v>706913.670000002</v>
      </c>
      <c r="AA33" s="922">
        <f>AA18-AA12</f>
        <v>0</v>
      </c>
      <c r="AB33" s="922">
        <f>AB18-AB12</f>
        <v>706913.670000002</v>
      </c>
      <c r="AC33" s="922"/>
      <c r="AD33" s="780"/>
      <c r="AE33" s="893"/>
    </row>
    <row r="34" s="58" customFormat="1" ht="14.1" spans="1:110">
      <c r="A34" s="57"/>
      <c r="B34" s="925"/>
      <c r="C34" s="131" t="s">
        <v>206</v>
      </c>
      <c r="D34" s="130" t="s">
        <v>207</v>
      </c>
      <c r="E34" s="938">
        <f>IFERROR(E33/E12,1)</f>
        <v>0</v>
      </c>
      <c r="F34" s="938"/>
      <c r="G34" s="938">
        <f>IFERROR(G33/G12,1)</f>
        <v>0</v>
      </c>
      <c r="H34" s="938">
        <f>IFERROR(H33/H12,1)</f>
        <v>0.0274232014036446</v>
      </c>
      <c r="I34" s="938"/>
      <c r="J34" s="938">
        <f>IFERROR(J33/J12,1)</f>
        <v>0.0274232014036446</v>
      </c>
      <c r="K34" s="938">
        <f>IFERROR(K33/K12,1)</f>
        <v>0.0442771532842463</v>
      </c>
      <c r="L34" s="938"/>
      <c r="M34" s="938">
        <f>IFERROR(M33/M12,1)</f>
        <v>0.0442771532842463</v>
      </c>
      <c r="N34" s="938">
        <f>IFERROR(N33/N12,1)</f>
        <v>0.0203068838774276</v>
      </c>
      <c r="O34" s="938"/>
      <c r="P34" s="938">
        <f>IFERROR(P33/P12,1)</f>
        <v>0.0203068838774276</v>
      </c>
      <c r="Q34" s="938">
        <f>IFERROR(Q33/Q12,1)</f>
        <v>0.0463906655053331</v>
      </c>
      <c r="R34" s="938"/>
      <c r="S34" s="938">
        <f>IFERROR(S33/S12,1)</f>
        <v>0.0463906655053331</v>
      </c>
      <c r="T34" s="938">
        <f>IFERROR(T33/T12,1)</f>
        <v>1</v>
      </c>
      <c r="U34" s="938"/>
      <c r="V34" s="938">
        <f>IFERROR(V33/V12,1)</f>
        <v>1</v>
      </c>
      <c r="W34" s="938">
        <f>IFERROR(W33/W12,1)</f>
        <v>1</v>
      </c>
      <c r="X34" s="938"/>
      <c r="Y34" s="938">
        <f>IFERROR(Y33/Y12,1)</f>
        <v>1</v>
      </c>
      <c r="Z34" s="938">
        <f>IFERROR(Z33/Z12,1)</f>
        <v>0.0407820496370795</v>
      </c>
      <c r="AA34" s="938">
        <f>IFERROR(AA33/AA12,1)</f>
        <v>1</v>
      </c>
      <c r="AB34" s="938">
        <f>IFERROR(AB33/AB12,1)</f>
        <v>0.0407820496370795</v>
      </c>
      <c r="AC34" s="939"/>
      <c r="AD34" s="780"/>
      <c r="AE34" s="893"/>
    </row>
    <row r="35" s="58" customFormat="1" ht="14.1" spans="1:110">
      <c r="A35" s="57"/>
      <c r="B35" s="925"/>
      <c r="C35" s="131" t="s">
        <v>208</v>
      </c>
      <c r="D35" s="130" t="s">
        <v>205</v>
      </c>
      <c r="E35" s="939">
        <f>E24-E19</f>
        <v>68138.6899999999</v>
      </c>
      <c r="F35" s="939"/>
      <c r="G35" s="939">
        <f>G24-G19</f>
        <v>68138.6900000001</v>
      </c>
      <c r="H35" s="939">
        <f>H24-H19</f>
        <v>182580.15</v>
      </c>
      <c r="I35" s="939"/>
      <c r="J35" s="939">
        <f>J24-J19</f>
        <v>182580.15</v>
      </c>
      <c r="K35" s="939">
        <f>K24-K19</f>
        <v>1462770.48</v>
      </c>
      <c r="L35" s="939"/>
      <c r="M35" s="939">
        <f>M24-M19</f>
        <v>1462770.48</v>
      </c>
      <c r="N35" s="939">
        <f>N24-N19</f>
        <v>18731.5</v>
      </c>
      <c r="O35" s="939"/>
      <c r="P35" s="939">
        <f>P24-P19</f>
        <v>18731.5</v>
      </c>
      <c r="Q35" s="939">
        <f>Q24-Q19</f>
        <v>116461.38</v>
      </c>
      <c r="R35" s="939"/>
      <c r="S35" s="939">
        <f>S24-S19</f>
        <v>116461.38</v>
      </c>
      <c r="T35" s="939">
        <f>T24-T19</f>
        <v>0</v>
      </c>
      <c r="U35" s="939"/>
      <c r="V35" s="939">
        <f>V24-V19</f>
        <v>0</v>
      </c>
      <c r="W35" s="939">
        <f>W24-W19</f>
        <v>0</v>
      </c>
      <c r="X35" s="939"/>
      <c r="Y35" s="939">
        <f>Y24-Y19</f>
        <v>0</v>
      </c>
      <c r="Z35" s="939">
        <f>Z24-Z19</f>
        <v>1848682.2</v>
      </c>
      <c r="AA35" s="939">
        <f>AA24-AA19</f>
        <v>0</v>
      </c>
      <c r="AB35" s="939">
        <f>AB24-AB19</f>
        <v>1848682.2</v>
      </c>
      <c r="AC35" s="939"/>
      <c r="AD35" s="780"/>
      <c r="AE35" s="893"/>
    </row>
    <row r="36" s="58" customFormat="1" ht="14.1" spans="1:110">
      <c r="A36" s="57"/>
      <c r="B36" s="925"/>
      <c r="C36" s="131" t="s">
        <v>209</v>
      </c>
      <c r="D36" s="130" t="s">
        <v>207</v>
      </c>
      <c r="E36" s="938">
        <f>IFERROR(E35/E19,1)</f>
        <v>0.0976825690992382</v>
      </c>
      <c r="F36" s="938"/>
      <c r="G36" s="938">
        <f>IFERROR(G35/G19,1)</f>
        <v>0.0858350786342557</v>
      </c>
      <c r="H36" s="938">
        <f>IFERROR(H35/H19,1)</f>
        <v>0.306545779580972</v>
      </c>
      <c r="I36" s="938"/>
      <c r="J36" s="938">
        <f>IFERROR(J35/J19,1)</f>
        <v>0.307491039273499</v>
      </c>
      <c r="K36" s="938">
        <f>IFERROR(K35/K19,1)</f>
        <v>0.1519539369166</v>
      </c>
      <c r="L36" s="938"/>
      <c r="M36" s="938">
        <f>IFERROR(M35/M19,1)</f>
        <v>0.152475726623085</v>
      </c>
      <c r="N36" s="938">
        <f>IFERROR(N35/N19,1)</f>
        <v>0.0648427882160076</v>
      </c>
      <c r="O36" s="938"/>
      <c r="P36" s="938">
        <f>IFERROR(P35/P19,1)</f>
        <v>0.0653291984101901</v>
      </c>
      <c r="Q36" s="938">
        <f>IFERROR(Q35/Q19,1)</f>
        <v>0.110777689162172</v>
      </c>
      <c r="R36" s="938"/>
      <c r="S36" s="938">
        <f>IFERROR(S35/S19,1)</f>
        <v>0.110777697208815</v>
      </c>
      <c r="T36" s="938">
        <f>IFERROR(T35/T19,1)</f>
        <v>1</v>
      </c>
      <c r="U36" s="938"/>
      <c r="V36" s="938">
        <f>IFERROR(V35/V19,1)</f>
        <v>1</v>
      </c>
      <c r="W36" s="938">
        <f>IFERROR(W35/W19,1)</f>
        <v>1</v>
      </c>
      <c r="X36" s="938"/>
      <c r="Y36" s="938">
        <f>IFERROR(Y35/Y19,1)</f>
        <v>1</v>
      </c>
      <c r="Z36" s="938">
        <f>IFERROR(Z35/Z19,1)</f>
        <v>0.150792849921332</v>
      </c>
      <c r="AA36" s="938">
        <f>IFERROR(AA35/AA19,1)</f>
        <v>0</v>
      </c>
      <c r="AB36" s="938">
        <f>IFERROR(AB35/AB19,1)</f>
        <v>0.150066299374638</v>
      </c>
      <c r="AC36" s="939"/>
      <c r="AD36" s="780"/>
      <c r="AE36" s="893"/>
    </row>
    <row r="37" s="58" customFormat="1" ht="14.1" spans="1:110">
      <c r="A37" s="57"/>
      <c r="B37" s="925"/>
      <c r="C37" s="131" t="s">
        <v>210</v>
      </c>
      <c r="D37" s="130" t="s">
        <v>205</v>
      </c>
      <c r="E37" s="939">
        <f>E30-E25</f>
        <v>0</v>
      </c>
      <c r="F37" s="939"/>
      <c r="G37" s="939">
        <f>G30-G25</f>
        <v>0</v>
      </c>
      <c r="H37" s="939">
        <f>H30-H25</f>
        <v>0</v>
      </c>
      <c r="I37" s="939"/>
      <c r="J37" s="939">
        <f>J30-J25</f>
        <v>0</v>
      </c>
      <c r="K37" s="939">
        <f>K30-K25</f>
        <v>0</v>
      </c>
      <c r="L37" s="939"/>
      <c r="M37" s="939">
        <f>M30-M25</f>
        <v>0</v>
      </c>
      <c r="N37" s="939">
        <f>N30-N25</f>
        <v>0</v>
      </c>
      <c r="O37" s="939"/>
      <c r="P37" s="939">
        <f>P30-P25</f>
        <v>0</v>
      </c>
      <c r="Q37" s="939">
        <f>Q30-Q25</f>
        <v>0</v>
      </c>
      <c r="R37" s="939"/>
      <c r="S37" s="939">
        <f>S30-S25</f>
        <v>0</v>
      </c>
      <c r="T37" s="939">
        <f>T30-T25</f>
        <v>0</v>
      </c>
      <c r="U37" s="939"/>
      <c r="V37" s="939">
        <f>V30-V25</f>
        <v>0</v>
      </c>
      <c r="W37" s="939">
        <f>W30-W25</f>
        <v>0</v>
      </c>
      <c r="X37" s="939"/>
      <c r="Y37" s="939">
        <f>Y30-Y25</f>
        <v>0</v>
      </c>
      <c r="Z37" s="939">
        <f>Z30-Z25</f>
        <v>0</v>
      </c>
      <c r="AA37" s="939">
        <f>AA30-AA25</f>
        <v>0</v>
      </c>
      <c r="AB37" s="939">
        <f>AB30-AB25</f>
        <v>0</v>
      </c>
      <c r="AC37" s="939"/>
      <c r="AD37" s="780"/>
      <c r="AE37" s="893"/>
    </row>
    <row r="38" s="58" customFormat="1" ht="14.1" spans="1:110">
      <c r="A38" s="57"/>
      <c r="B38" s="925"/>
      <c r="C38" s="131" t="s">
        <v>211</v>
      </c>
      <c r="D38" s="130" t="s">
        <v>207</v>
      </c>
      <c r="E38" s="938">
        <f>IFERROR(E37/E25,1)</f>
        <v>1</v>
      </c>
      <c r="F38" s="938"/>
      <c r="G38" s="938">
        <f>IFERROR(G37/G25,1)</f>
        <v>1</v>
      </c>
      <c r="H38" s="938">
        <f>IFERROR(H37/H25,1)</f>
        <v>1</v>
      </c>
      <c r="I38" s="938"/>
      <c r="J38" s="938">
        <f>IFERROR(J37/J25,1)</f>
        <v>1</v>
      </c>
      <c r="K38" s="938">
        <f>IFERROR(K37/K25,1)</f>
        <v>1</v>
      </c>
      <c r="L38" s="938"/>
      <c r="M38" s="938">
        <f>IFERROR(M37/M25,1)</f>
        <v>1</v>
      </c>
      <c r="N38" s="938">
        <f>IFERROR(N37/N25,1)</f>
        <v>1</v>
      </c>
      <c r="O38" s="938"/>
      <c r="P38" s="938">
        <f>IFERROR(P37/P25,1)</f>
        <v>1</v>
      </c>
      <c r="Q38" s="938">
        <f>IFERROR(Q37/Q25,1)</f>
        <v>1</v>
      </c>
      <c r="R38" s="938"/>
      <c r="S38" s="938">
        <f>IFERROR(S37/S25,1)</f>
        <v>1</v>
      </c>
      <c r="T38" s="938">
        <f>IFERROR(T37/T25,1)</f>
        <v>1</v>
      </c>
      <c r="U38" s="938"/>
      <c r="V38" s="938">
        <f>IFERROR(V37/V25,1)</f>
        <v>1</v>
      </c>
      <c r="W38" s="938">
        <f>IFERROR(W37/W25,1)</f>
        <v>1</v>
      </c>
      <c r="X38" s="938"/>
      <c r="Y38" s="938">
        <f>IFERROR(Y37/Y25,1)</f>
        <v>1</v>
      </c>
      <c r="Z38" s="938">
        <f>IFERROR(Z37/Z25,1)</f>
        <v>1</v>
      </c>
      <c r="AA38" s="938">
        <f>IFERROR(AA37/AA25,1)</f>
        <v>1</v>
      </c>
      <c r="AB38" s="938">
        <f>IFERROR(AB37/AB25,1)</f>
        <v>1</v>
      </c>
      <c r="AC38" s="939"/>
      <c r="AD38" s="780"/>
      <c r="AE38" s="893"/>
    </row>
    <row r="39" s="58" customFormat="1" ht="14.65" customHeight="1" spans="1:110">
      <c r="A39" s="57"/>
      <c r="B39" s="925"/>
      <c r="C39" s="131" t="s">
        <v>212</v>
      </c>
      <c r="D39" s="130" t="s">
        <v>205</v>
      </c>
      <c r="E39" s="939">
        <f>E32-E31</f>
        <v>-68138.6899999999</v>
      </c>
      <c r="F39" s="939"/>
      <c r="G39" s="939">
        <f>G32-G31</f>
        <v>-68138.6900000001</v>
      </c>
      <c r="H39" s="939">
        <f>H32-H31</f>
        <v>-156833.48</v>
      </c>
      <c r="I39" s="939"/>
      <c r="J39" s="939">
        <f>J32-J31</f>
        <v>-156833.48</v>
      </c>
      <c r="K39" s="939">
        <f>K32-K31</f>
        <v>-848103.48</v>
      </c>
      <c r="L39" s="939"/>
      <c r="M39" s="939">
        <f>M32-M31</f>
        <v>-848103.48</v>
      </c>
      <c r="N39" s="939">
        <f>N32-N31</f>
        <v>-12231.5</v>
      </c>
      <c r="O39" s="939"/>
      <c r="P39" s="939">
        <f>P32-P31</f>
        <v>-12231.5</v>
      </c>
      <c r="Q39" s="939">
        <f>Q32-Q31</f>
        <v>-56461.3800000001</v>
      </c>
      <c r="R39" s="939"/>
      <c r="S39" s="939">
        <f>S32-S31</f>
        <v>-56461.3800000001</v>
      </c>
      <c r="T39" s="939">
        <f>T32-T31</f>
        <v>0</v>
      </c>
      <c r="U39" s="939"/>
      <c r="V39" s="939">
        <f>V32-V31</f>
        <v>0</v>
      </c>
      <c r="W39" s="939">
        <f>W32-W31</f>
        <v>0</v>
      </c>
      <c r="X39" s="939"/>
      <c r="Y39" s="939">
        <f>Y32-Y31</f>
        <v>0</v>
      </c>
      <c r="Z39" s="939">
        <f>Z32-Z31</f>
        <v>-1141768.53</v>
      </c>
      <c r="AA39" s="939">
        <f>AA32-AA31</f>
        <v>0</v>
      </c>
      <c r="AB39" s="939">
        <f>AB32-AB31</f>
        <v>-1141768.53</v>
      </c>
      <c r="AC39" s="939"/>
      <c r="AD39" s="780"/>
      <c r="AE39" s="893"/>
    </row>
    <row r="40" s="58" customFormat="1" ht="14.65" customHeight="1" spans="1:110">
      <c r="A40" s="57"/>
      <c r="B40" s="940"/>
      <c r="C40" s="131" t="s">
        <v>213</v>
      </c>
      <c r="D40" s="130" t="s">
        <v>207</v>
      </c>
      <c r="E40" s="938">
        <f>IFERROR(E39/E31,1)</f>
        <v>-0.337634782739683</v>
      </c>
      <c r="F40" s="938"/>
      <c r="G40" s="938">
        <f>IFERROR(G39/G31,1)</f>
        <v>-0.645672580472882</v>
      </c>
      <c r="H40" s="938">
        <f>IFERROR(H39/H31,1)</f>
        <v>-0.456894598593222</v>
      </c>
      <c r="I40" s="938"/>
      <c r="J40" s="938">
        <f>IFERROR(J39/J31,1)</f>
        <v>-0.454470446941472</v>
      </c>
      <c r="K40" s="938">
        <f>IFERROR(K39/K31,1)</f>
        <v>-0.199279280221702</v>
      </c>
      <c r="L40" s="938"/>
      <c r="M40" s="938">
        <f>IFERROR(M39/M31,1)</f>
        <v>-0.197748595544075</v>
      </c>
      <c r="N40" s="938">
        <f>IFERROR(N39/N31,1)</f>
        <v>-0.391873357449438</v>
      </c>
      <c r="O40" s="938"/>
      <c r="P40" s="938">
        <f>IFERROR(P39/P31,1)</f>
        <v>-0.366610790576604</v>
      </c>
      <c r="Q40" s="938">
        <f>IFERROR(Q39/Q31,1)</f>
        <v>-0.233257067380065</v>
      </c>
      <c r="R40" s="938"/>
      <c r="S40" s="938">
        <f>IFERROR(S39/S31,1)</f>
        <v>-0.23325699379156</v>
      </c>
      <c r="T40" s="938">
        <f>IFERROR(T39/T31,1)</f>
        <v>1</v>
      </c>
      <c r="U40" s="938"/>
      <c r="V40" s="938">
        <f>IFERROR(V39/V31,1)</f>
        <v>1</v>
      </c>
      <c r="W40" s="938">
        <f>IFERROR(W39/W31,1)</f>
        <v>1</v>
      </c>
      <c r="X40" s="938"/>
      <c r="Y40" s="938">
        <f>IFERROR(Y39/Y31,1)</f>
        <v>1</v>
      </c>
      <c r="Z40" s="938">
        <f>IFERROR(Z39/Z31,1)</f>
        <v>-0.225014729973078</v>
      </c>
      <c r="AA40" s="938">
        <f>IFERROR(AA39/AA31,1)</f>
        <v>0</v>
      </c>
      <c r="AB40" s="938">
        <f>IFERROR(AB39/AB31,1)</f>
        <v>-0.227678018105796</v>
      </c>
      <c r="AC40" s="939"/>
      <c r="AD40" s="780"/>
      <c r="AE40" s="893"/>
    </row>
    <row r="41" s="58" customFormat="1" ht="14.65" customHeight="1" spans="1:110">
      <c r="A41" s="57"/>
      <c r="B41" s="941"/>
      <c r="C41" s="942"/>
      <c r="D41" s="943"/>
      <c r="E41" s="944"/>
      <c r="F41" s="944"/>
      <c r="G41" s="944"/>
      <c r="H41" s="944"/>
      <c r="I41" s="944"/>
      <c r="J41" s="944"/>
      <c r="K41" s="944"/>
      <c r="L41" s="944"/>
      <c r="M41" s="944"/>
      <c r="N41" s="944"/>
      <c r="O41" s="944"/>
      <c r="P41" s="944"/>
      <c r="Q41" s="944"/>
      <c r="R41" s="944"/>
      <c r="S41" s="944"/>
      <c r="T41" s="944"/>
      <c r="U41" s="944"/>
      <c r="V41" s="944"/>
      <c r="W41" s="944"/>
      <c r="X41" s="944"/>
      <c r="Y41" s="944"/>
      <c r="Z41" s="944"/>
      <c r="AA41" s="944"/>
      <c r="AB41" s="944"/>
      <c r="AC41" s="945"/>
      <c r="AD41" s="780"/>
      <c r="AE41" s="893"/>
    </row>
    <row r="42" s="58" customFormat="1" ht="14.55" spans="1:110">
      <c r="A42" s="946"/>
      <c r="B42" s="947" t="s">
        <v>214</v>
      </c>
      <c r="C42" s="948"/>
      <c r="D42" s="948"/>
      <c r="E42" s="949">
        <f>899364.01-200000</f>
        <v>699364.01</v>
      </c>
      <c r="F42" s="950"/>
      <c r="G42" s="950"/>
      <c r="H42" s="949">
        <v>964611.16</v>
      </c>
      <c r="I42" s="950"/>
      <c r="J42" s="948"/>
      <c r="K42" s="949">
        <v>14496928.04</v>
      </c>
      <c r="L42" s="948"/>
      <c r="M42" s="950"/>
      <c r="N42" s="949">
        <v>326588.5</v>
      </c>
      <c r="O42" s="950"/>
      <c r="P42" s="950"/>
      <c r="Q42" s="949">
        <v>1353363.64</v>
      </c>
      <c r="R42" s="950"/>
      <c r="S42" s="948"/>
      <c r="T42" s="949"/>
      <c r="U42" s="951"/>
      <c r="V42" s="951"/>
      <c r="W42" s="949"/>
      <c r="X42" s="951"/>
      <c r="Y42" s="951"/>
      <c r="Z42" s="949">
        <f>SUM(E42,H42,K42,N42,Q42,T42,W42)</f>
        <v>17840855.35</v>
      </c>
      <c r="AA42" s="951"/>
      <c r="AB42" s="952"/>
      <c r="AC42" s="952"/>
      <c r="AD42" s="780"/>
      <c r="AE42" s="893"/>
      <c r="AF42" s="952"/>
      <c r="AG42" s="952"/>
      <c r="AH42" s="952"/>
      <c r="AI42" s="952"/>
      <c r="AJ42" s="952"/>
      <c r="AK42" s="952"/>
      <c r="AL42" s="952"/>
      <c r="AM42" s="952"/>
      <c r="AN42" s="952"/>
      <c r="AO42" s="952"/>
      <c r="AP42" s="952"/>
      <c r="AQ42" s="952"/>
      <c r="AR42" s="952"/>
      <c r="AS42" s="952"/>
      <c r="AT42" s="952"/>
      <c r="AU42" s="952"/>
      <c r="AV42" s="952"/>
      <c r="AW42" s="952"/>
      <c r="AX42" s="952"/>
      <c r="AY42" s="952"/>
      <c r="AZ42" s="952"/>
      <c r="BA42" s="952"/>
      <c r="BB42" s="952"/>
      <c r="BC42" s="952"/>
      <c r="BD42" s="952"/>
      <c r="BE42" s="952"/>
      <c r="BF42" s="952"/>
      <c r="BG42" s="952"/>
      <c r="BH42" s="952"/>
      <c r="BI42" s="952"/>
      <c r="BJ42" s="952"/>
      <c r="BK42" s="952"/>
      <c r="BL42" s="952"/>
      <c r="BM42" s="952"/>
      <c r="BN42" s="952"/>
      <c r="BO42" s="952"/>
      <c r="BP42" s="952"/>
      <c r="BQ42" s="952"/>
      <c r="BR42" s="952"/>
      <c r="BS42" s="952"/>
      <c r="BT42" s="952"/>
      <c r="BU42" s="952"/>
      <c r="BV42" s="952"/>
      <c r="BW42" s="952"/>
      <c r="BX42" s="952"/>
      <c r="BY42" s="952"/>
      <c r="BZ42" s="952"/>
      <c r="CA42" s="952"/>
      <c r="CB42" s="952"/>
      <c r="CC42" s="952"/>
      <c r="CD42" s="952"/>
      <c r="CE42" s="952"/>
      <c r="CF42" s="952"/>
      <c r="CG42" s="952"/>
      <c r="CH42" s="952"/>
      <c r="CI42" s="952"/>
      <c r="CJ42" s="952"/>
      <c r="CK42" s="952"/>
      <c r="CL42" s="952"/>
      <c r="CM42" s="952"/>
      <c r="CN42" s="952"/>
      <c r="CO42" s="952"/>
      <c r="CP42" s="952"/>
      <c r="CQ42" s="952"/>
      <c r="CR42" s="952"/>
      <c r="CS42" s="952"/>
      <c r="CT42" s="952"/>
      <c r="CU42" s="952"/>
      <c r="CV42" s="952"/>
      <c r="CW42" s="952"/>
      <c r="CX42" s="952"/>
      <c r="CY42" s="952"/>
      <c r="CZ42" s="952"/>
      <c r="DA42" s="952"/>
      <c r="DB42" s="952"/>
      <c r="DC42" s="952"/>
      <c r="DD42" s="952"/>
      <c r="DE42" s="952"/>
      <c r="DF42" s="952"/>
    </row>
    <row r="43" s="780" customFormat="1" ht="14.55" spans="1:110">
      <c r="A43" s="953"/>
      <c r="B43" s="947" t="s">
        <v>215</v>
      </c>
      <c r="C43" s="954"/>
      <c r="D43" s="955"/>
      <c r="E43" s="956">
        <f>E18-E42</f>
        <v>200000</v>
      </c>
      <c r="F43" s="956"/>
      <c r="G43" s="956"/>
      <c r="H43" s="956">
        <f>H18-H42</f>
        <v>0</v>
      </c>
      <c r="I43" s="956"/>
      <c r="J43" s="956"/>
      <c r="K43" s="956">
        <f>K18-K42</f>
        <v>0</v>
      </c>
      <c r="L43" s="956"/>
      <c r="M43" s="956"/>
      <c r="N43" s="956">
        <f>N18-N42</f>
        <v>0</v>
      </c>
      <c r="O43" s="956"/>
      <c r="P43" s="956"/>
      <c r="Q43" s="956">
        <f>Q18-Q42</f>
        <v>0</v>
      </c>
      <c r="R43" s="956"/>
      <c r="S43" s="956"/>
      <c r="T43" s="956">
        <f>T18-T42</f>
        <v>0</v>
      </c>
      <c r="U43" s="957"/>
      <c r="V43" s="957"/>
      <c r="W43" s="956">
        <f>W18-W42</f>
        <v>0</v>
      </c>
      <c r="X43" s="957"/>
      <c r="Y43" s="957"/>
      <c r="Z43" s="956">
        <f>Z18-Z42</f>
        <v>200000.000000004</v>
      </c>
      <c r="AA43" s="957"/>
      <c r="AB43" s="958"/>
      <c r="AC43" s="958"/>
      <c r="AE43" s="893"/>
      <c r="AF43" s="959"/>
      <c r="AG43" s="959"/>
      <c r="AH43" s="959"/>
      <c r="AI43" s="959"/>
      <c r="AJ43" s="959"/>
      <c r="AK43" s="959"/>
      <c r="AL43" s="959"/>
      <c r="AM43" s="959"/>
      <c r="AN43" s="959"/>
      <c r="AO43" s="959"/>
      <c r="AP43" s="959"/>
      <c r="AQ43" s="959"/>
      <c r="AR43" s="959"/>
      <c r="AS43" s="959"/>
      <c r="AT43" s="959"/>
      <c r="AU43" s="959"/>
      <c r="AV43" s="959"/>
      <c r="AW43" s="959"/>
      <c r="AX43" s="959"/>
      <c r="AY43" s="959"/>
      <c r="AZ43" s="959"/>
      <c r="BA43" s="959"/>
      <c r="BB43" s="959"/>
      <c r="BC43" s="959"/>
      <c r="BD43" s="959"/>
      <c r="BE43" s="959"/>
      <c r="BF43" s="959"/>
      <c r="BG43" s="959"/>
      <c r="BH43" s="959"/>
      <c r="BI43" s="959"/>
      <c r="BJ43" s="959"/>
      <c r="BK43" s="959"/>
      <c r="BL43" s="959"/>
      <c r="BM43" s="959"/>
      <c r="BN43" s="959"/>
      <c r="BO43" s="959"/>
      <c r="BP43" s="959"/>
      <c r="BQ43" s="959"/>
      <c r="BR43" s="959"/>
      <c r="BS43" s="959"/>
      <c r="BT43" s="959"/>
      <c r="BU43" s="959"/>
      <c r="BV43" s="959"/>
      <c r="BW43" s="959"/>
      <c r="BX43" s="959"/>
      <c r="BY43" s="959"/>
      <c r="BZ43" s="959"/>
      <c r="CA43" s="959"/>
      <c r="CB43" s="959"/>
      <c r="CC43" s="959"/>
      <c r="CD43" s="959"/>
      <c r="CE43" s="959"/>
      <c r="CF43" s="959"/>
      <c r="CG43" s="959"/>
      <c r="CH43" s="959"/>
      <c r="CI43" s="959"/>
      <c r="CJ43" s="959"/>
      <c r="CK43" s="959"/>
      <c r="CL43" s="959"/>
      <c r="CM43" s="959"/>
      <c r="CN43" s="959"/>
      <c r="CO43" s="959"/>
      <c r="CP43" s="959"/>
      <c r="CQ43" s="959"/>
      <c r="CR43" s="959"/>
      <c r="CS43" s="959"/>
      <c r="CT43" s="959"/>
      <c r="CU43" s="959"/>
      <c r="CV43" s="959"/>
      <c r="CW43" s="959"/>
      <c r="CX43" s="959"/>
      <c r="CY43" s="959"/>
      <c r="CZ43" s="959"/>
      <c r="DA43" s="959"/>
      <c r="DB43" s="959"/>
      <c r="DC43" s="959"/>
      <c r="DD43" s="959"/>
      <c r="DE43" s="959"/>
      <c r="DF43" s="959"/>
    </row>
    <row r="44" s="873" customFormat="1" ht="14.55" spans="1:110">
      <c r="A44" s="953"/>
      <c r="B44" s="947" t="s">
        <v>216</v>
      </c>
      <c r="C44" s="954"/>
      <c r="D44" s="955"/>
      <c r="E44" s="949">
        <v>765690.88</v>
      </c>
      <c r="F44" s="950"/>
      <c r="G44" s="950"/>
      <c r="H44" s="949">
        <v>778184.99</v>
      </c>
      <c r="I44" s="950"/>
      <c r="J44" s="948"/>
      <c r="K44" s="949">
        <v>11089177.73</v>
      </c>
      <c r="L44" s="948"/>
      <c r="M44" s="950"/>
      <c r="N44" s="949">
        <v>307607.11</v>
      </c>
      <c r="O44" s="950"/>
      <c r="P44" s="950"/>
      <c r="Q44" s="949">
        <v>1167768.56</v>
      </c>
      <c r="R44" s="956"/>
      <c r="S44" s="956"/>
      <c r="T44" s="949"/>
      <c r="U44" s="957"/>
      <c r="V44" s="957"/>
      <c r="W44" s="949"/>
      <c r="X44" s="957"/>
      <c r="Y44" s="957"/>
      <c r="Z44" s="949">
        <f>SUM(E44,H44,K44,N44,Q44,T44,W44)</f>
        <v>14108429.27</v>
      </c>
      <c r="AA44" s="957"/>
      <c r="AB44" s="958"/>
      <c r="AC44" s="958"/>
      <c r="AD44" s="780"/>
      <c r="AE44" s="893"/>
      <c r="AF44" s="959"/>
      <c r="AG44" s="959"/>
      <c r="AH44" s="959"/>
      <c r="AI44" s="959"/>
      <c r="AJ44" s="959"/>
      <c r="AK44" s="959"/>
      <c r="AL44" s="959"/>
      <c r="AM44" s="959"/>
      <c r="AN44" s="959"/>
      <c r="AO44" s="959"/>
      <c r="AP44" s="959"/>
      <c r="AQ44" s="959"/>
      <c r="AR44" s="959"/>
      <c r="AS44" s="959"/>
      <c r="AT44" s="959"/>
      <c r="AU44" s="959"/>
      <c r="AV44" s="959"/>
      <c r="AW44" s="959"/>
      <c r="AX44" s="959"/>
      <c r="AY44" s="959"/>
      <c r="AZ44" s="959"/>
      <c r="BA44" s="959"/>
      <c r="BB44" s="959"/>
      <c r="BC44" s="959"/>
      <c r="BD44" s="959"/>
      <c r="BE44" s="959"/>
      <c r="BF44" s="959"/>
      <c r="BG44" s="959"/>
      <c r="BH44" s="959"/>
      <c r="BI44" s="959"/>
      <c r="BJ44" s="959"/>
      <c r="BK44" s="959"/>
      <c r="BL44" s="959"/>
      <c r="BM44" s="959"/>
      <c r="BN44" s="959"/>
      <c r="BO44" s="959"/>
      <c r="BP44" s="959"/>
      <c r="BQ44" s="959"/>
      <c r="BR44" s="959"/>
      <c r="BS44" s="959"/>
      <c r="BT44" s="959"/>
      <c r="BU44" s="959"/>
      <c r="BV44" s="959"/>
      <c r="BW44" s="959"/>
      <c r="BX44" s="959"/>
      <c r="BY44" s="959"/>
      <c r="BZ44" s="959"/>
      <c r="CA44" s="959"/>
      <c r="CB44" s="959"/>
      <c r="CC44" s="959"/>
      <c r="CD44" s="959"/>
      <c r="CE44" s="959"/>
      <c r="CF44" s="959"/>
      <c r="CG44" s="959"/>
      <c r="CH44" s="959"/>
      <c r="CI44" s="959"/>
      <c r="CJ44" s="959"/>
      <c r="CK44" s="959"/>
      <c r="CL44" s="959"/>
      <c r="CM44" s="959"/>
      <c r="CN44" s="959"/>
      <c r="CO44" s="959"/>
      <c r="CP44" s="959"/>
      <c r="CQ44" s="959"/>
      <c r="CR44" s="959"/>
      <c r="CS44" s="959"/>
      <c r="CT44" s="959"/>
      <c r="CU44" s="959"/>
      <c r="CV44" s="959"/>
      <c r="CW44" s="959"/>
      <c r="CX44" s="959"/>
      <c r="CY44" s="959"/>
      <c r="CZ44" s="959"/>
      <c r="DA44" s="959"/>
      <c r="DB44" s="959"/>
      <c r="DC44" s="959"/>
      <c r="DD44" s="959"/>
      <c r="DE44" s="959"/>
      <c r="DF44" s="959"/>
    </row>
    <row r="45" s="873" customFormat="1" ht="14.55" spans="1:110">
      <c r="A45" s="953"/>
      <c r="B45" s="947" t="s">
        <v>215</v>
      </c>
      <c r="C45" s="954"/>
      <c r="D45" s="955"/>
      <c r="E45" s="956">
        <f>E24-E44</f>
        <v>0</v>
      </c>
      <c r="F45" s="956"/>
      <c r="G45" s="956"/>
      <c r="H45" s="956">
        <f>H24-H44</f>
        <v>0</v>
      </c>
      <c r="I45" s="956"/>
      <c r="J45" s="956"/>
      <c r="K45" s="956">
        <f>K24-K44</f>
        <v>0</v>
      </c>
      <c r="L45" s="956"/>
      <c r="M45" s="956"/>
      <c r="N45" s="956">
        <f>N24-N44</f>
        <v>0</v>
      </c>
      <c r="O45" s="956"/>
      <c r="P45" s="956"/>
      <c r="Q45" s="956">
        <f>Q24-Q44</f>
        <v>0</v>
      </c>
      <c r="R45" s="956"/>
      <c r="S45" s="956"/>
      <c r="T45" s="956">
        <f>T24-T44</f>
        <v>0</v>
      </c>
      <c r="U45" s="957"/>
      <c r="V45" s="957"/>
      <c r="W45" s="956">
        <f>W24-W44</f>
        <v>0</v>
      </c>
      <c r="X45" s="957"/>
      <c r="Y45" s="957"/>
      <c r="Z45" s="956">
        <f>Z24-Z44</f>
        <v>0</v>
      </c>
      <c r="AA45" s="957"/>
      <c r="AB45" s="958"/>
      <c r="AC45" s="958"/>
      <c r="AD45" s="780"/>
      <c r="AE45" s="893"/>
      <c r="AF45" s="959"/>
      <c r="AG45" s="959"/>
      <c r="AH45" s="959"/>
      <c r="AI45" s="959"/>
      <c r="AJ45" s="959"/>
      <c r="AK45" s="959"/>
      <c r="AL45" s="959"/>
      <c r="AM45" s="959"/>
      <c r="AN45" s="959"/>
      <c r="AO45" s="959"/>
      <c r="AP45" s="959"/>
      <c r="AQ45" s="959"/>
      <c r="AR45" s="959"/>
      <c r="AS45" s="959"/>
      <c r="AT45" s="959"/>
      <c r="AU45" s="959"/>
      <c r="AV45" s="959"/>
      <c r="AW45" s="959"/>
      <c r="AX45" s="959"/>
      <c r="AY45" s="959"/>
      <c r="AZ45" s="959"/>
      <c r="BA45" s="959"/>
      <c r="BB45" s="959"/>
      <c r="BC45" s="959"/>
      <c r="BD45" s="959"/>
      <c r="BE45" s="959"/>
      <c r="BF45" s="959"/>
      <c r="BG45" s="959"/>
      <c r="BH45" s="959"/>
      <c r="BI45" s="959"/>
      <c r="BJ45" s="959"/>
      <c r="BK45" s="959"/>
      <c r="BL45" s="959"/>
      <c r="BM45" s="959"/>
      <c r="BN45" s="959"/>
      <c r="BO45" s="959"/>
      <c r="BP45" s="959"/>
      <c r="BQ45" s="959"/>
      <c r="BR45" s="959"/>
      <c r="BS45" s="959"/>
      <c r="BT45" s="959"/>
      <c r="BU45" s="959"/>
      <c r="BV45" s="959"/>
      <c r="BW45" s="959"/>
      <c r="BX45" s="959"/>
      <c r="BY45" s="959"/>
      <c r="BZ45" s="959"/>
      <c r="CA45" s="959"/>
      <c r="CB45" s="959"/>
      <c r="CC45" s="959"/>
      <c r="CD45" s="959"/>
      <c r="CE45" s="959"/>
      <c r="CF45" s="959"/>
      <c r="CG45" s="959"/>
      <c r="CH45" s="959"/>
      <c r="CI45" s="959"/>
      <c r="CJ45" s="959"/>
      <c r="CK45" s="959"/>
      <c r="CL45" s="959"/>
      <c r="CM45" s="959"/>
      <c r="CN45" s="959"/>
      <c r="CO45" s="959"/>
      <c r="CP45" s="959"/>
      <c r="CQ45" s="959"/>
      <c r="CR45" s="959"/>
      <c r="CS45" s="959"/>
      <c r="CT45" s="959"/>
      <c r="CU45" s="959"/>
      <c r="CV45" s="959"/>
      <c r="CW45" s="959"/>
      <c r="CX45" s="959"/>
      <c r="CY45" s="959"/>
      <c r="CZ45" s="959"/>
      <c r="DA45" s="959"/>
      <c r="DB45" s="959"/>
      <c r="DC45" s="959"/>
      <c r="DD45" s="959"/>
      <c r="DE45" s="959"/>
      <c r="DF45" s="959"/>
    </row>
    <row r="46" s="873" customFormat="1" ht="14.55" spans="1:110">
      <c r="A46" s="953"/>
      <c r="B46" s="947" t="s">
        <v>217</v>
      </c>
      <c r="C46" s="954"/>
      <c r="D46" s="955"/>
      <c r="E46" s="949">
        <v>0</v>
      </c>
      <c r="F46" s="950"/>
      <c r="G46" s="950"/>
      <c r="H46" s="949">
        <v>0</v>
      </c>
      <c r="I46" s="950"/>
      <c r="J46" s="948"/>
      <c r="K46" s="949">
        <v>0</v>
      </c>
      <c r="L46" s="948"/>
      <c r="M46" s="950"/>
      <c r="N46" s="949">
        <v>0</v>
      </c>
      <c r="O46" s="950"/>
      <c r="P46" s="950"/>
      <c r="Q46" s="949">
        <v>0</v>
      </c>
      <c r="R46" s="956"/>
      <c r="S46" s="956"/>
      <c r="T46" s="949"/>
      <c r="U46" s="957"/>
      <c r="V46" s="957"/>
      <c r="W46" s="949"/>
      <c r="X46" s="957"/>
      <c r="Y46" s="957"/>
      <c r="Z46" s="949">
        <f>SUM(E46,H46,K46,N46,Q46,T46,W46)</f>
        <v>0</v>
      </c>
      <c r="AA46" s="957"/>
      <c r="AB46" s="958"/>
      <c r="AC46" s="958"/>
      <c r="AD46" s="780"/>
      <c r="AE46" s="893"/>
      <c r="AF46" s="959"/>
      <c r="AG46" s="959"/>
      <c r="AH46" s="959"/>
      <c r="AI46" s="959"/>
      <c r="AJ46" s="959"/>
      <c r="AK46" s="959"/>
      <c r="AL46" s="959"/>
      <c r="AM46" s="959"/>
      <c r="AN46" s="959"/>
      <c r="AO46" s="959"/>
      <c r="AP46" s="959"/>
      <c r="AQ46" s="959"/>
      <c r="AR46" s="959"/>
      <c r="AS46" s="959"/>
      <c r="AT46" s="959"/>
      <c r="AU46" s="959"/>
      <c r="AV46" s="959"/>
      <c r="AW46" s="959"/>
      <c r="AX46" s="959"/>
      <c r="AY46" s="959"/>
      <c r="AZ46" s="959"/>
      <c r="BA46" s="959"/>
      <c r="BB46" s="959"/>
      <c r="BC46" s="959"/>
      <c r="BD46" s="959"/>
      <c r="BE46" s="959"/>
      <c r="BF46" s="959"/>
      <c r="BG46" s="959"/>
      <c r="BH46" s="959"/>
      <c r="BI46" s="959"/>
      <c r="BJ46" s="959"/>
      <c r="BK46" s="959"/>
      <c r="BL46" s="959"/>
      <c r="BM46" s="959"/>
      <c r="BN46" s="959"/>
      <c r="BO46" s="959"/>
      <c r="BP46" s="959"/>
      <c r="BQ46" s="959"/>
      <c r="BR46" s="959"/>
      <c r="BS46" s="959"/>
      <c r="BT46" s="959"/>
      <c r="BU46" s="959"/>
      <c r="BV46" s="959"/>
      <c r="BW46" s="959"/>
      <c r="BX46" s="959"/>
      <c r="BY46" s="959"/>
      <c r="BZ46" s="959"/>
      <c r="CA46" s="959"/>
      <c r="CB46" s="959"/>
      <c r="CC46" s="959"/>
      <c r="CD46" s="959"/>
      <c r="CE46" s="959"/>
      <c r="CF46" s="959"/>
      <c r="CG46" s="959"/>
      <c r="CH46" s="959"/>
      <c r="CI46" s="959"/>
      <c r="CJ46" s="959"/>
      <c r="CK46" s="959"/>
      <c r="CL46" s="959"/>
      <c r="CM46" s="959"/>
      <c r="CN46" s="959"/>
      <c r="CO46" s="959"/>
      <c r="CP46" s="959"/>
      <c r="CQ46" s="959"/>
      <c r="CR46" s="959"/>
      <c r="CS46" s="959"/>
      <c r="CT46" s="959"/>
      <c r="CU46" s="959"/>
      <c r="CV46" s="959"/>
      <c r="CW46" s="959"/>
      <c r="CX46" s="959"/>
      <c r="CY46" s="959"/>
      <c r="CZ46" s="959"/>
      <c r="DA46" s="959"/>
      <c r="DB46" s="959"/>
      <c r="DC46" s="959"/>
      <c r="DD46" s="959"/>
      <c r="DE46" s="959"/>
      <c r="DF46" s="959"/>
    </row>
    <row r="47" s="873" customFormat="1" ht="14.55" spans="1:110">
      <c r="A47" s="953"/>
      <c r="B47" s="947" t="s">
        <v>215</v>
      </c>
      <c r="C47" s="954"/>
      <c r="D47" s="955"/>
      <c r="E47" s="956">
        <f>E30-E46</f>
        <v>0</v>
      </c>
      <c r="F47" s="956"/>
      <c r="G47" s="956"/>
      <c r="H47" s="956">
        <f>H30-H46</f>
        <v>0</v>
      </c>
      <c r="I47" s="956"/>
      <c r="J47" s="956"/>
      <c r="K47" s="956">
        <f>K30-K46</f>
        <v>0</v>
      </c>
      <c r="L47" s="956"/>
      <c r="M47" s="956"/>
      <c r="N47" s="956">
        <f>N30-N46</f>
        <v>0</v>
      </c>
      <c r="O47" s="956"/>
      <c r="P47" s="956"/>
      <c r="Q47" s="956">
        <f>Q30-Q46</f>
        <v>0</v>
      </c>
      <c r="R47" s="956"/>
      <c r="S47" s="956"/>
      <c r="T47" s="956">
        <f>T30-T46</f>
        <v>0</v>
      </c>
      <c r="U47" s="957"/>
      <c r="V47" s="957"/>
      <c r="W47" s="956">
        <f>W30-W46</f>
        <v>0</v>
      </c>
      <c r="X47" s="957"/>
      <c r="Y47" s="957"/>
      <c r="Z47" s="956">
        <f>Z30-Z46</f>
        <v>0</v>
      </c>
      <c r="AA47" s="957"/>
      <c r="AB47" s="958"/>
      <c r="AC47" s="958"/>
      <c r="AD47" s="780"/>
      <c r="AE47" s="893"/>
      <c r="AF47" s="959"/>
      <c r="AG47" s="959"/>
      <c r="AH47" s="959"/>
      <c r="AI47" s="959"/>
      <c r="AJ47" s="959"/>
      <c r="AK47" s="959"/>
      <c r="AL47" s="959"/>
      <c r="AM47" s="959"/>
      <c r="AN47" s="959"/>
      <c r="AO47" s="959"/>
      <c r="AP47" s="959"/>
      <c r="AQ47" s="959"/>
      <c r="AR47" s="959"/>
      <c r="AS47" s="959"/>
      <c r="AT47" s="959"/>
      <c r="AU47" s="959"/>
      <c r="AV47" s="959"/>
      <c r="AW47" s="959"/>
      <c r="AX47" s="959"/>
      <c r="AY47" s="959"/>
      <c r="AZ47" s="959"/>
      <c r="BA47" s="959"/>
      <c r="BB47" s="959"/>
      <c r="BC47" s="959"/>
      <c r="BD47" s="959"/>
      <c r="BE47" s="959"/>
      <c r="BF47" s="959"/>
      <c r="BG47" s="959"/>
      <c r="BH47" s="959"/>
      <c r="BI47" s="959"/>
      <c r="BJ47" s="959"/>
      <c r="BK47" s="959"/>
      <c r="BL47" s="959"/>
      <c r="BM47" s="959"/>
      <c r="BN47" s="959"/>
      <c r="BO47" s="959"/>
      <c r="BP47" s="959"/>
      <c r="BQ47" s="959"/>
      <c r="BR47" s="959"/>
      <c r="BS47" s="959"/>
      <c r="BT47" s="959"/>
      <c r="BU47" s="959"/>
      <c r="BV47" s="959"/>
      <c r="BW47" s="959"/>
      <c r="BX47" s="959"/>
      <c r="BY47" s="959"/>
      <c r="BZ47" s="959"/>
      <c r="CA47" s="959"/>
      <c r="CB47" s="959"/>
      <c r="CC47" s="959"/>
      <c r="CD47" s="959"/>
      <c r="CE47" s="959"/>
      <c r="CF47" s="959"/>
      <c r="CG47" s="959"/>
      <c r="CH47" s="959"/>
      <c r="CI47" s="959"/>
      <c r="CJ47" s="959"/>
      <c r="CK47" s="959"/>
      <c r="CL47" s="959"/>
      <c r="CM47" s="959"/>
      <c r="CN47" s="959"/>
      <c r="CO47" s="959"/>
      <c r="CP47" s="959"/>
      <c r="CQ47" s="959"/>
      <c r="CR47" s="959"/>
      <c r="CS47" s="959"/>
      <c r="CT47" s="959"/>
      <c r="CU47" s="959"/>
      <c r="CV47" s="959"/>
      <c r="CW47" s="959"/>
      <c r="CX47" s="959"/>
      <c r="CY47" s="959"/>
      <c r="CZ47" s="959"/>
      <c r="DA47" s="959"/>
      <c r="DB47" s="959"/>
      <c r="DC47" s="959"/>
      <c r="DD47" s="959"/>
      <c r="DE47" s="959"/>
      <c r="DF47" s="959"/>
    </row>
    <row r="48" s="873" customFormat="1" ht="14.55" spans="1:110">
      <c r="A48" s="953"/>
      <c r="B48" s="947" t="s">
        <v>218</v>
      </c>
      <c r="C48" s="954"/>
      <c r="D48" s="955"/>
      <c r="E48" s="949">
        <v>133673.13</v>
      </c>
      <c r="F48" s="950"/>
      <c r="G48" s="950"/>
      <c r="H48" s="949">
        <v>186426.17</v>
      </c>
      <c r="I48" s="950"/>
      <c r="J48" s="948"/>
      <c r="K48" s="949">
        <v>3407750.31</v>
      </c>
      <c r="L48" s="948"/>
      <c r="M48" s="950"/>
      <c r="N48" s="949">
        <v>18981.39</v>
      </c>
      <c r="O48" s="950"/>
      <c r="P48" s="950"/>
      <c r="Q48" s="949">
        <v>185595.08</v>
      </c>
      <c r="R48" s="956"/>
      <c r="S48" s="956"/>
      <c r="T48" s="949"/>
      <c r="U48" s="957"/>
      <c r="V48" s="957"/>
      <c r="W48" s="949"/>
      <c r="X48" s="957"/>
      <c r="Y48" s="957"/>
      <c r="Z48" s="949">
        <f>SUM(E48,H48,K48,N48,Q48,T48,W48)</f>
        <v>3932426.08</v>
      </c>
      <c r="AA48" s="957"/>
      <c r="AB48" s="958"/>
      <c r="AC48" s="958"/>
      <c r="AD48" s="780"/>
      <c r="AE48" s="893"/>
      <c r="AF48" s="959"/>
      <c r="AG48" s="959"/>
      <c r="AH48" s="959"/>
      <c r="AI48" s="959"/>
      <c r="AJ48" s="959"/>
      <c r="AK48" s="959"/>
      <c r="AL48" s="959"/>
      <c r="AM48" s="959"/>
      <c r="AN48" s="959"/>
      <c r="AO48" s="959"/>
      <c r="AP48" s="959"/>
      <c r="AQ48" s="959"/>
      <c r="AR48" s="959"/>
      <c r="AS48" s="959"/>
      <c r="AT48" s="959"/>
      <c r="AU48" s="959"/>
      <c r="AV48" s="959"/>
      <c r="AW48" s="959"/>
      <c r="AX48" s="959"/>
      <c r="AY48" s="959"/>
      <c r="AZ48" s="959"/>
      <c r="BA48" s="959"/>
      <c r="BB48" s="959"/>
      <c r="BC48" s="959"/>
      <c r="BD48" s="959"/>
      <c r="BE48" s="959"/>
      <c r="BF48" s="959"/>
      <c r="BG48" s="959"/>
      <c r="BH48" s="959"/>
      <c r="BI48" s="959"/>
      <c r="BJ48" s="959"/>
      <c r="BK48" s="959"/>
      <c r="BL48" s="959"/>
      <c r="BM48" s="959"/>
      <c r="BN48" s="959"/>
      <c r="BO48" s="959"/>
      <c r="BP48" s="959"/>
      <c r="BQ48" s="959"/>
      <c r="BR48" s="959"/>
      <c r="BS48" s="959"/>
      <c r="BT48" s="959"/>
      <c r="BU48" s="959"/>
      <c r="BV48" s="959"/>
      <c r="BW48" s="959"/>
      <c r="BX48" s="959"/>
      <c r="BY48" s="959"/>
      <c r="BZ48" s="959"/>
      <c r="CA48" s="959"/>
      <c r="CB48" s="959"/>
      <c r="CC48" s="959"/>
      <c r="CD48" s="959"/>
      <c r="CE48" s="959"/>
      <c r="CF48" s="959"/>
      <c r="CG48" s="959"/>
      <c r="CH48" s="959"/>
      <c r="CI48" s="959"/>
      <c r="CJ48" s="959"/>
      <c r="CK48" s="959"/>
      <c r="CL48" s="959"/>
      <c r="CM48" s="959"/>
      <c r="CN48" s="959"/>
      <c r="CO48" s="959"/>
      <c r="CP48" s="959"/>
      <c r="CQ48" s="959"/>
      <c r="CR48" s="959"/>
      <c r="CS48" s="959"/>
      <c r="CT48" s="959"/>
      <c r="CU48" s="959"/>
      <c r="CV48" s="959"/>
      <c r="CW48" s="959"/>
      <c r="CX48" s="959"/>
      <c r="CY48" s="959"/>
      <c r="CZ48" s="959"/>
      <c r="DA48" s="959"/>
      <c r="DB48" s="959"/>
      <c r="DC48" s="959"/>
      <c r="DD48" s="959"/>
      <c r="DE48" s="959"/>
      <c r="DF48" s="959"/>
    </row>
    <row r="49" s="873" customFormat="1" ht="14.55" spans="1:110">
      <c r="A49" s="953"/>
      <c r="B49" s="947" t="s">
        <v>215</v>
      </c>
      <c r="C49" s="954"/>
      <c r="D49" s="955"/>
      <c r="E49" s="956">
        <f>E32-E48</f>
        <v>0</v>
      </c>
      <c r="F49" s="956"/>
      <c r="G49" s="956"/>
      <c r="H49" s="956">
        <f>H32-H48</f>
        <v>0</v>
      </c>
      <c r="I49" s="956"/>
      <c r="J49" s="956"/>
      <c r="K49" s="956">
        <f>K32-K48</f>
        <v>0</v>
      </c>
      <c r="L49" s="956"/>
      <c r="M49" s="956"/>
      <c r="N49" s="956">
        <f>N32-N48</f>
        <v>0</v>
      </c>
      <c r="O49" s="956"/>
      <c r="P49" s="956"/>
      <c r="Q49" s="956">
        <f>Q32-Q48</f>
        <v>0</v>
      </c>
      <c r="R49" s="956"/>
      <c r="S49" s="956"/>
      <c r="T49" s="956">
        <f>T32-T48</f>
        <v>0</v>
      </c>
      <c r="U49" s="957"/>
      <c r="V49" s="957"/>
      <c r="W49" s="956">
        <f>W32-W48</f>
        <v>0</v>
      </c>
      <c r="X49" s="957"/>
      <c r="Y49" s="957"/>
      <c r="Z49" s="956">
        <f>Z32-Z48</f>
        <v>0</v>
      </c>
      <c r="AA49" s="957"/>
      <c r="AB49" s="958"/>
      <c r="AC49" s="958"/>
      <c r="AD49" s="780"/>
      <c r="AE49" s="893"/>
      <c r="AF49" s="959"/>
      <c r="AG49" s="959"/>
      <c r="AH49" s="959"/>
      <c r="AI49" s="959"/>
      <c r="AJ49" s="959"/>
      <c r="AK49" s="959"/>
      <c r="AL49" s="959"/>
      <c r="AM49" s="959"/>
      <c r="AN49" s="959"/>
      <c r="AO49" s="959"/>
      <c r="AP49" s="959"/>
      <c r="AQ49" s="959"/>
      <c r="AR49" s="959"/>
      <c r="AS49" s="959"/>
      <c r="AT49" s="959"/>
      <c r="AU49" s="959"/>
      <c r="AV49" s="959"/>
      <c r="AW49" s="959"/>
      <c r="AX49" s="959"/>
      <c r="AY49" s="959"/>
      <c r="AZ49" s="959"/>
      <c r="BA49" s="959"/>
      <c r="BB49" s="959"/>
      <c r="BC49" s="959"/>
      <c r="BD49" s="959"/>
      <c r="BE49" s="959"/>
      <c r="BF49" s="959"/>
      <c r="BG49" s="959"/>
      <c r="BH49" s="959"/>
      <c r="BI49" s="959"/>
      <c r="BJ49" s="959"/>
      <c r="BK49" s="959"/>
      <c r="BL49" s="959"/>
      <c r="BM49" s="959"/>
      <c r="BN49" s="959"/>
      <c r="BO49" s="959"/>
      <c r="BP49" s="959"/>
      <c r="BQ49" s="959"/>
      <c r="BR49" s="959"/>
      <c r="BS49" s="959"/>
      <c r="BT49" s="959"/>
      <c r="BU49" s="959"/>
      <c r="BV49" s="959"/>
      <c r="BW49" s="959"/>
      <c r="BX49" s="959"/>
      <c r="BY49" s="959"/>
      <c r="BZ49" s="959"/>
      <c r="CA49" s="959"/>
      <c r="CB49" s="959"/>
      <c r="CC49" s="959"/>
      <c r="CD49" s="959"/>
      <c r="CE49" s="959"/>
      <c r="CF49" s="959"/>
      <c r="CG49" s="959"/>
      <c r="CH49" s="959"/>
      <c r="CI49" s="959"/>
      <c r="CJ49" s="959"/>
      <c r="CK49" s="959"/>
      <c r="CL49" s="959"/>
      <c r="CM49" s="959"/>
      <c r="CN49" s="959"/>
      <c r="CO49" s="959"/>
      <c r="CP49" s="959"/>
      <c r="CQ49" s="959"/>
      <c r="CR49" s="959"/>
      <c r="CS49" s="959"/>
      <c r="CT49" s="959"/>
      <c r="CU49" s="959"/>
      <c r="CV49" s="959"/>
      <c r="CW49" s="959"/>
      <c r="CX49" s="959"/>
      <c r="CY49" s="959"/>
      <c r="CZ49" s="959"/>
      <c r="DA49" s="959"/>
      <c r="DB49" s="959"/>
      <c r="DC49" s="959"/>
      <c r="DD49" s="959"/>
      <c r="DE49" s="959"/>
      <c r="DF49" s="959"/>
    </row>
    <row r="50" s="873" customFormat="1" ht="14.1" spans="1:110">
      <c r="A50" s="960"/>
      <c r="B50" s="961"/>
      <c r="C50" s="962"/>
      <c r="D50" s="963"/>
      <c r="E50" s="964"/>
      <c r="F50" s="964"/>
      <c r="G50" s="964"/>
      <c r="H50" s="964"/>
      <c r="I50" s="964"/>
      <c r="J50" s="964"/>
      <c r="K50" s="964"/>
      <c r="L50" s="964"/>
      <c r="M50" s="964"/>
      <c r="N50" s="964"/>
      <c r="O50" s="964"/>
      <c r="P50" s="964"/>
      <c r="Q50" s="964"/>
      <c r="R50" s="964"/>
      <c r="S50" s="964"/>
      <c r="T50" s="964"/>
      <c r="U50" s="665"/>
      <c r="V50" s="665"/>
      <c r="W50" s="964"/>
      <c r="X50" s="665"/>
      <c r="Y50" s="665"/>
      <c r="Z50" s="665"/>
      <c r="AA50" s="665"/>
      <c r="AB50" s="665"/>
      <c r="AC50" s="665"/>
      <c r="AD50" s="780"/>
      <c r="AE50" s="893"/>
    </row>
    <row r="51" s="873" customFormat="1" ht="14.55" spans="1:110">
      <c r="A51" s="960"/>
      <c r="B51" s="897" t="s">
        <v>219</v>
      </c>
      <c r="C51" s="962"/>
      <c r="D51" s="963"/>
      <c r="E51" s="964"/>
      <c r="F51" s="964"/>
      <c r="G51" s="964"/>
      <c r="H51" s="964"/>
      <c r="I51" s="964"/>
      <c r="J51" s="964"/>
      <c r="K51" s="964"/>
      <c r="L51" s="964"/>
      <c r="M51" s="964"/>
      <c r="N51" s="964"/>
      <c r="O51" s="964"/>
      <c r="P51" s="964"/>
      <c r="Q51" s="964"/>
      <c r="R51" s="964"/>
      <c r="S51" s="964"/>
      <c r="T51" s="964"/>
      <c r="U51" s="665"/>
      <c r="V51" s="665"/>
      <c r="W51" s="964"/>
      <c r="X51" s="665"/>
      <c r="Y51" s="665"/>
      <c r="Z51" s="665"/>
      <c r="AA51" s="665"/>
      <c r="AB51" s="665"/>
      <c r="AC51" s="665"/>
      <c r="AD51" s="780"/>
      <c r="AE51" s="893"/>
    </row>
    <row r="52" s="873" customFormat="1" ht="14.55" spans="1:110">
      <c r="A52" s="960"/>
      <c r="B52" s="794" t="s">
        <v>220</v>
      </c>
      <c r="C52" s="962"/>
      <c r="D52" s="963"/>
      <c r="E52" s="964"/>
      <c r="F52" s="964"/>
      <c r="H52" s="965" t="s">
        <v>221</v>
      </c>
      <c r="I52" s="964"/>
      <c r="J52" s="964"/>
      <c r="K52" s="964"/>
      <c r="L52" s="964"/>
      <c r="M52" s="964"/>
      <c r="N52" s="964"/>
      <c r="O52" s="964"/>
      <c r="P52" s="964"/>
      <c r="Q52" s="964"/>
      <c r="R52" s="964"/>
      <c r="S52" s="964"/>
      <c r="T52" s="964"/>
      <c r="U52" s="665"/>
      <c r="V52" s="665"/>
      <c r="W52" s="964"/>
      <c r="X52" s="665"/>
      <c r="Y52" s="665"/>
      <c r="Z52" s="665"/>
      <c r="AA52" s="665"/>
      <c r="AB52" s="665"/>
      <c r="AC52" s="665"/>
      <c r="AD52" s="780"/>
      <c r="AE52" s="893"/>
    </row>
    <row r="53" s="780" customFormat="1" ht="15.65" customHeight="1" spans="1:110">
      <c r="A53" s="794"/>
      <c r="B53" s="966"/>
      <c r="C53" s="967"/>
      <c r="D53" s="968" t="s">
        <v>222</v>
      </c>
      <c r="E53" s="967"/>
      <c r="F53" s="969"/>
      <c r="H53" s="970" t="s">
        <v>223</v>
      </c>
      <c r="I53" s="971"/>
      <c r="J53" s="971"/>
      <c r="K53" s="972"/>
      <c r="M53" s="795"/>
      <c r="AE53" s="893"/>
    </row>
    <row r="54" s="780" customFormat="1" ht="14.55" spans="1:110">
      <c r="A54" s="794"/>
      <c r="B54" s="973" t="s">
        <v>224</v>
      </c>
      <c r="C54" s="974" t="s">
        <v>225</v>
      </c>
      <c r="D54" s="974" t="s">
        <v>226</v>
      </c>
      <c r="E54" s="974" t="s">
        <v>227</v>
      </c>
      <c r="F54" s="974" t="s">
        <v>228</v>
      </c>
      <c r="G54" s="975"/>
      <c r="H54" s="974" t="s">
        <v>225</v>
      </c>
      <c r="I54" s="974" t="s">
        <v>226</v>
      </c>
      <c r="J54" s="974" t="s">
        <v>227</v>
      </c>
      <c r="K54" s="974" t="s">
        <v>228</v>
      </c>
      <c r="M54" s="795"/>
      <c r="AE54" s="893"/>
    </row>
    <row r="55" s="780" customFormat="1" ht="15.75" customHeight="1" spans="1:110">
      <c r="A55" s="794"/>
      <c r="B55" s="976" t="str">
        <f>F10</f>
        <v>办公设备</v>
      </c>
      <c r="C55" s="977">
        <f>SUMIFS('K.01.1a FA list'!$L$17:$L$330,'K.01.1a FA list'!$C$17:$C$330,'K.01 Agree SL to GL'!B55)</f>
        <v>899364.01</v>
      </c>
      <c r="D55" s="977">
        <f>SUMIFS('K.01.1a FA list'!M17:M330,'K.01.1a FA list'!C17:C330,'K.01 Agree SL to GL'!B55)</f>
        <v>765690.88</v>
      </c>
      <c r="E55" s="977">
        <v>0</v>
      </c>
      <c r="F55" s="977">
        <f>C55-D55</f>
        <v>133673.13</v>
      </c>
      <c r="H55" s="978">
        <f>C55-E18</f>
        <v>0</v>
      </c>
      <c r="I55" s="978">
        <f>D55-E24</f>
        <v>0</v>
      </c>
      <c r="J55" s="978">
        <f>E55-E30</f>
        <v>0</v>
      </c>
      <c r="K55" s="978">
        <f>F55-E32</f>
        <v>-2.3283064365387e-10</v>
      </c>
      <c r="M55" s="795"/>
      <c r="AE55" s="893"/>
    </row>
    <row r="56" s="780" customFormat="1" ht="15.75" customHeight="1" spans="1:110">
      <c r="A56" s="794"/>
      <c r="B56" s="976" t="str">
        <f>I10</f>
        <v>电子设备</v>
      </c>
      <c r="C56" s="977">
        <f>SUMIFS('K.01.1a FA list'!$L$17:$L$330,'K.01.1a FA list'!$C$17:$C$330,'K.01 Agree SL to GL'!B56)</f>
        <v>964611.16</v>
      </c>
      <c r="D56" s="977">
        <f>SUMIFS('K.01.1a FA list'!$M$17:$M$330,'K.01.1a FA list'!$C$17:$C$330,'K.01 Agree SL to GL'!B56)</f>
        <v>778184.99</v>
      </c>
      <c r="E56" s="977">
        <v>0</v>
      </c>
      <c r="F56" s="977">
        <f t="shared" ref="F56:F59" si="28">C56-D56</f>
        <v>186426.17</v>
      </c>
      <c r="H56" s="978">
        <f>C56-H18</f>
        <v>0</v>
      </c>
      <c r="I56" s="978">
        <f>D56-H24</f>
        <v>0</v>
      </c>
      <c r="J56" s="978">
        <f>E56-H30</f>
        <v>0</v>
      </c>
      <c r="K56" s="978">
        <f>F56-H32</f>
        <v>-2.3283064365387e-10</v>
      </c>
      <c r="M56" s="795"/>
      <c r="AE56" s="893"/>
    </row>
    <row r="57" s="780" customFormat="1" ht="15.75" customHeight="1" spans="1:110">
      <c r="A57" s="794"/>
      <c r="B57" s="976" t="str">
        <f>L10</f>
        <v>仪器设备</v>
      </c>
      <c r="C57" s="977">
        <f>SUMIFS('K.01.1a FA list'!$L$17:$L$330,'K.01.1a FA list'!$C$17:$C$330,'K.01 Agree SL to GL'!B57)-150000</f>
        <v>14346928.04</v>
      </c>
      <c r="D57" s="977">
        <v>11089177.73</v>
      </c>
      <c r="E57" s="977">
        <v>0</v>
      </c>
      <c r="F57" s="977">
        <f t="shared" si="28"/>
        <v>3257750.31</v>
      </c>
      <c r="H57" s="979">
        <f>C57-K18</f>
        <v>-150000</v>
      </c>
      <c r="I57" s="979">
        <f>D57-K24</f>
        <v>0</v>
      </c>
      <c r="J57" s="979">
        <f>E57-K30</f>
        <v>0</v>
      </c>
      <c r="K57" s="979">
        <f>F57-K32</f>
        <v>-150000</v>
      </c>
      <c r="M57" s="795"/>
      <c r="AE57" s="893"/>
    </row>
    <row r="58" s="780" customFormat="1" ht="15.75" customHeight="1" spans="1:110">
      <c r="A58" s="794"/>
      <c r="B58" s="976" t="str">
        <f>O10</f>
        <v>其他设备</v>
      </c>
      <c r="C58" s="977">
        <f>SUMIFS('K.01.1a FA list'!$L$17:$L$330,'K.01.1a FA list'!$C$17:$C$330,'K.01 Agree SL to GL'!B58)</f>
        <v>326588.5</v>
      </c>
      <c r="D58" s="977">
        <f>SUMIFS('K.01.1a FA list'!$M$17:$M$330,'K.01.1a FA list'!$C$17:$C$330,'K.01 Agree SL to GL'!B58)</f>
        <v>307607.11</v>
      </c>
      <c r="E58" s="977">
        <v>0</v>
      </c>
      <c r="F58" s="977">
        <f t="shared" si="28"/>
        <v>18981.39</v>
      </c>
      <c r="H58" s="978">
        <f>C58-N18</f>
        <v>0</v>
      </c>
      <c r="I58" s="978">
        <f>D58-N24</f>
        <v>0</v>
      </c>
      <c r="J58" s="978">
        <f>E58-N30</f>
        <v>0</v>
      </c>
      <c r="K58" s="978">
        <f>F58-N32</f>
        <v>0</v>
      </c>
      <c r="M58" s="795"/>
      <c r="AE58" s="893"/>
    </row>
    <row r="59" s="780" customFormat="1" ht="15.75" customHeight="1" spans="1:110">
      <c r="A59" s="794"/>
      <c r="B59" s="976" t="str">
        <f>R10</f>
        <v>运输工具</v>
      </c>
      <c r="C59" s="977">
        <f>SUMIFS('K.01.1a FA list'!$L$17:$L$330,'K.01.1a FA list'!$C$17:$C$330,'K.01 Agree SL to GL'!B59)</f>
        <v>1353363.64</v>
      </c>
      <c r="D59" s="977">
        <f>SUMIFS('K.01.1a FA list'!$M$17:$M$330,'K.01.1a FA list'!$C$17:$C$330,'K.01 Agree SL to GL'!B59)</f>
        <v>1167768.56</v>
      </c>
      <c r="E59" s="977">
        <v>0</v>
      </c>
      <c r="F59" s="977">
        <f t="shared" si="28"/>
        <v>185595.08</v>
      </c>
      <c r="H59" s="978">
        <f>C59-Q18</f>
        <v>0</v>
      </c>
      <c r="I59" s="978">
        <f>D59-Q24</f>
        <v>0</v>
      </c>
      <c r="J59" s="978">
        <f>E59-Q30</f>
        <v>0</v>
      </c>
      <c r="K59" s="978">
        <f>F59-Q32</f>
        <v>0</v>
      </c>
      <c r="M59" s="795"/>
      <c r="AE59" s="893"/>
    </row>
    <row r="60" s="780" customFormat="1" ht="15.75" hidden="1" customHeight="1" spans="1:110">
      <c r="A60" s="828"/>
      <c r="B60" s="976" t="str">
        <f>U10</f>
        <v>【…】</v>
      </c>
      <c r="C60" s="977"/>
      <c r="D60" s="977"/>
      <c r="E60" s="977"/>
      <c r="F60" s="977"/>
      <c r="G60" s="189"/>
      <c r="H60" s="980">
        <f>C60-T18</f>
        <v>0</v>
      </c>
      <c r="I60" s="980">
        <f>D60-T24</f>
        <v>0</v>
      </c>
      <c r="J60" s="980">
        <f>E60-T30</f>
        <v>0</v>
      </c>
      <c r="K60" s="980">
        <f>F60-T32</f>
        <v>0</v>
      </c>
      <c r="M60" s="817"/>
      <c r="AE60" s="893"/>
    </row>
    <row r="61" s="189" customFormat="1" ht="15.75" hidden="1" customHeight="1" spans="1:110">
      <c r="A61" s="57"/>
      <c r="B61" s="976" t="str">
        <f>X10</f>
        <v>【…】</v>
      </c>
      <c r="C61" s="977"/>
      <c r="D61" s="977"/>
      <c r="E61" s="977"/>
      <c r="F61" s="977"/>
      <c r="H61" s="980">
        <f>C61-W18</f>
        <v>0</v>
      </c>
      <c r="I61" s="980">
        <f>D61-W24</f>
        <v>0</v>
      </c>
      <c r="J61" s="980">
        <f>E61-W30</f>
        <v>0</v>
      </c>
      <c r="K61" s="980">
        <f>F61-W32</f>
        <v>0</v>
      </c>
      <c r="M61" s="817"/>
      <c r="AD61" s="780"/>
      <c r="AE61" s="893"/>
    </row>
    <row r="62" s="780" customFormat="1" ht="15.65" customHeight="1" spans="1:110">
      <c r="A62" s="825"/>
      <c r="B62" s="981" t="s">
        <v>229</v>
      </c>
      <c r="C62" s="982">
        <f>SUM(C55:C61)</f>
        <v>17890855.35</v>
      </c>
      <c r="D62" s="982">
        <f>SUM(D55:D61)</f>
        <v>14108429.27</v>
      </c>
      <c r="E62" s="982">
        <f>SUM(E55:E61)</f>
        <v>0</v>
      </c>
      <c r="F62" s="982">
        <f>SUM(F55:F61)</f>
        <v>3782426.08</v>
      </c>
      <c r="G62" s="821"/>
      <c r="H62" s="132">
        <f>C62-Z18</f>
        <v>-150000.000000004</v>
      </c>
      <c r="I62" s="978">
        <f>D62-Z24</f>
        <v>0</v>
      </c>
      <c r="J62" s="978">
        <f>E62-Z30</f>
        <v>0</v>
      </c>
      <c r="K62" s="978">
        <f>F62-Z32</f>
        <v>-150000.000000004</v>
      </c>
      <c r="M62" s="817"/>
      <c r="AE62" s="893"/>
    </row>
    <row r="63" s="781" customFormat="1" ht="14.1" spans="1:110">
      <c r="A63" s="828"/>
      <c r="C63" s="983" t="s">
        <v>104</v>
      </c>
      <c r="D63" s="983" t="s">
        <v>104</v>
      </c>
      <c r="E63" s="983" t="s">
        <v>104</v>
      </c>
      <c r="F63" s="983" t="s">
        <v>104</v>
      </c>
      <c r="L63" s="829"/>
      <c r="M63" s="829"/>
      <c r="N63" s="829"/>
      <c r="AD63" s="780"/>
      <c r="AE63" s="893"/>
    </row>
    <row r="64" s="781" customFormat="1" ht="14.1" spans="1:110">
      <c r="A64" s="828"/>
      <c r="C64" s="983"/>
      <c r="D64" s="983"/>
      <c r="E64" s="983"/>
      <c r="F64" s="983"/>
      <c r="L64" s="829"/>
      <c r="M64" s="829"/>
      <c r="N64" s="829"/>
      <c r="AD64" s="780"/>
      <c r="AE64" s="893"/>
    </row>
    <row r="65" s="873" customFormat="1" ht="14.1" spans="1:31">
      <c r="A65" s="960"/>
      <c r="B65" s="984" t="s">
        <v>230</v>
      </c>
      <c r="C65" s="985"/>
      <c r="D65" s="986"/>
      <c r="E65" s="986"/>
      <c r="F65" s="986"/>
      <c r="G65" s="986"/>
      <c r="H65" s="986"/>
      <c r="I65" s="986"/>
      <c r="J65" s="986"/>
      <c r="K65" s="987"/>
      <c r="L65" s="986"/>
      <c r="M65" s="987"/>
      <c r="N65" s="987"/>
      <c r="O65" s="986"/>
      <c r="P65" s="986"/>
      <c r="Q65" s="986"/>
      <c r="R65" s="986"/>
      <c r="S65" s="987"/>
      <c r="T65" s="988"/>
      <c r="X65" s="989"/>
      <c r="Y65" s="990"/>
      <c r="AD65" s="780"/>
      <c r="AE65" s="893"/>
    </row>
    <row r="66" s="780" customFormat="1" ht="14.1" spans="1:31">
      <c r="A66" s="794"/>
      <c r="B66" s="991" t="s">
        <v>231</v>
      </c>
      <c r="C66" s="992"/>
      <c r="D66" s="992"/>
      <c r="E66" s="992"/>
      <c r="F66" s="993"/>
      <c r="G66" s="875"/>
      <c r="H66" s="875"/>
      <c r="I66" s="875"/>
      <c r="J66" s="875"/>
      <c r="K66" s="877"/>
      <c r="L66" s="875"/>
      <c r="M66" s="875"/>
      <c r="N66" s="875"/>
      <c r="O66" s="875"/>
      <c r="AE66" s="893"/>
    </row>
    <row r="67" s="780" customFormat="1" ht="14.1" spans="1:31">
      <c r="A67" s="794"/>
      <c r="B67" s="994"/>
      <c r="C67" s="995"/>
      <c r="D67" s="995"/>
      <c r="E67" s="995"/>
      <c r="F67" s="996"/>
      <c r="G67" s="875"/>
      <c r="H67" s="875"/>
      <c r="I67" s="875"/>
      <c r="J67" s="875"/>
      <c r="K67" s="877"/>
      <c r="L67" s="875"/>
      <c r="M67" s="875"/>
      <c r="N67" s="875"/>
      <c r="O67" s="875"/>
      <c r="AE67" s="893"/>
    </row>
    <row r="68" s="780" customFormat="1" ht="14.1" spans="1:31">
      <c r="A68" s="794"/>
      <c r="B68" s="994"/>
      <c r="C68" s="995"/>
      <c r="D68" s="995"/>
      <c r="E68" s="995"/>
      <c r="F68" s="996"/>
      <c r="G68" s="875"/>
      <c r="H68" s="875"/>
      <c r="I68" s="875"/>
      <c r="J68" s="875"/>
      <c r="K68" s="877"/>
      <c r="L68" s="875"/>
      <c r="M68" s="875"/>
      <c r="N68" s="875"/>
      <c r="O68" s="875"/>
      <c r="AE68" s="893"/>
    </row>
    <row r="69" s="780" customFormat="1" ht="14.1" spans="1:31">
      <c r="A69" s="794"/>
      <c r="B69" s="997"/>
      <c r="C69" s="998"/>
      <c r="D69" s="998"/>
      <c r="E69" s="998"/>
      <c r="F69" s="999"/>
      <c r="G69" s="875"/>
      <c r="H69" s="875"/>
      <c r="I69" s="875"/>
      <c r="J69" s="875"/>
      <c r="K69" s="877"/>
      <c r="L69" s="875"/>
      <c r="M69" s="875"/>
      <c r="N69" s="875"/>
      <c r="O69" s="875"/>
      <c r="AE69" s="893"/>
    </row>
    <row r="70" s="780" customFormat="1" ht="14.1" spans="1:31">
      <c r="A70" s="794"/>
      <c r="B70" s="1000"/>
      <c r="C70" s="1000"/>
      <c r="D70" s="1000"/>
      <c r="E70" s="1000"/>
      <c r="F70" s="1000"/>
      <c r="G70" s="875"/>
      <c r="H70" s="875"/>
      <c r="I70" s="875"/>
      <c r="J70" s="875"/>
      <c r="K70" s="877"/>
      <c r="L70" s="875"/>
      <c r="M70" s="875"/>
      <c r="N70" s="875"/>
      <c r="O70" s="875"/>
      <c r="AE70" s="893"/>
    </row>
    <row r="71" s="58" customFormat="1" ht="14.55" spans="1:31">
      <c r="A71" s="57"/>
      <c r="B71" s="1001" t="s">
        <v>232</v>
      </c>
      <c r="D71" s="1002"/>
      <c r="E71" s="1002"/>
      <c r="F71" s="1002"/>
      <c r="G71" s="1003"/>
      <c r="I71" s="1004"/>
      <c r="J71" s="1003"/>
      <c r="K71" s="1003"/>
      <c r="M71" s="1003"/>
      <c r="AE71" s="67"/>
    </row>
    <row r="72" s="58" customFormat="1" ht="14.55" spans="1:31">
      <c r="A72" s="57"/>
      <c r="B72" s="1005" t="s">
        <v>233</v>
      </c>
      <c r="G72" s="59"/>
      <c r="J72" s="60"/>
      <c r="AE72" s="67"/>
    </row>
    <row r="73" s="58" customFormat="1" ht="14.55" spans="1:31">
      <c r="A73" s="794"/>
      <c r="B73" s="899" t="s">
        <v>234</v>
      </c>
      <c r="C73" s="1006"/>
      <c r="D73" s="1006"/>
      <c r="E73" s="1007"/>
      <c r="F73" s="1008"/>
      <c r="G73" s="1009"/>
      <c r="I73" s="875"/>
      <c r="J73" s="875"/>
      <c r="K73" s="875"/>
      <c r="L73" s="780"/>
      <c r="M73" s="877"/>
      <c r="N73" s="875"/>
      <c r="P73" s="780"/>
      <c r="Q73" s="780"/>
      <c r="R73" s="780"/>
      <c r="S73" s="780"/>
      <c r="T73" s="780"/>
      <c r="AE73" s="67"/>
    </row>
    <row r="74" s="58" customFormat="1" ht="14.55" spans="1:31">
      <c r="A74" s="794"/>
      <c r="B74" s="1010" t="s">
        <v>235</v>
      </c>
      <c r="C74" s="898" t="s">
        <v>236</v>
      </c>
      <c r="D74" s="209" t="s">
        <v>237</v>
      </c>
      <c r="E74" s="209" t="s">
        <v>238</v>
      </c>
      <c r="F74" s="898" t="s">
        <v>239</v>
      </c>
      <c r="G74" s="1011"/>
      <c r="I74" s="875"/>
      <c r="J74" s="875"/>
      <c r="K74" s="875"/>
      <c r="L74" s="780"/>
      <c r="M74" s="877"/>
      <c r="N74" s="875"/>
      <c r="P74" s="780"/>
      <c r="Q74" s="780"/>
      <c r="R74" s="780"/>
      <c r="S74" s="780"/>
      <c r="T74" s="780"/>
      <c r="AE74" s="67"/>
    </row>
    <row r="75" s="58" customFormat="1" hidden="1" customHeight="1" spans="1:31">
      <c r="A75" s="794"/>
      <c r="B75" s="1012"/>
      <c r="C75" s="84"/>
      <c r="D75" s="637"/>
      <c r="E75" s="189" t="s">
        <v>240</v>
      </c>
      <c r="F75" s="141"/>
      <c r="G75" s="1011"/>
      <c r="I75" s="875"/>
      <c r="J75" s="875"/>
      <c r="K75" s="875"/>
      <c r="L75" s="780"/>
      <c r="M75" s="877"/>
      <c r="N75" s="875"/>
      <c r="P75" s="780"/>
      <c r="Q75" s="780"/>
      <c r="R75" s="780"/>
      <c r="S75" s="780"/>
      <c r="T75" s="780"/>
      <c r="AE75" s="67"/>
    </row>
    <row r="76" s="58" customFormat="1" customHeight="1" spans="1:31">
      <c r="A76" s="794"/>
      <c r="B76" s="1013" t="s">
        <v>241</v>
      </c>
      <c r="C76" s="84">
        <v>560114</v>
      </c>
      <c r="D76" s="1014" t="s">
        <v>242</v>
      </c>
      <c r="E76" s="58" t="s">
        <v>243</v>
      </c>
      <c r="F76" s="141">
        <v>190840.13</v>
      </c>
      <c r="G76" s="1011"/>
      <c r="I76" s="875"/>
      <c r="J76" s="875"/>
      <c r="K76" s="875"/>
      <c r="L76" s="780"/>
      <c r="M76" s="877"/>
      <c r="N76" s="875"/>
      <c r="P76" s="780"/>
      <c r="Q76" s="780"/>
      <c r="R76" s="780"/>
      <c r="S76" s="780"/>
      <c r="T76" s="780"/>
      <c r="AE76" s="67"/>
    </row>
    <row r="77" s="58" customFormat="1" customHeight="1" spans="1:31">
      <c r="A77" s="794"/>
      <c r="B77" s="1013" t="s">
        <v>241</v>
      </c>
      <c r="C77" s="84">
        <v>560218</v>
      </c>
      <c r="D77" s="1014" t="s">
        <v>242</v>
      </c>
      <c r="E77" s="58" t="s">
        <v>244</v>
      </c>
      <c r="F77" s="141">
        <v>163559.85</v>
      </c>
      <c r="G77" s="1011"/>
      <c r="I77" s="875"/>
      <c r="J77" s="875"/>
      <c r="K77" s="875"/>
      <c r="L77" s="780"/>
      <c r="M77" s="877"/>
      <c r="N77" s="875"/>
      <c r="P77" s="780"/>
      <c r="Q77" s="780"/>
      <c r="R77" s="780"/>
      <c r="S77" s="780"/>
      <c r="T77" s="780"/>
      <c r="AE77" s="67"/>
    </row>
    <row r="78" s="58" customFormat="1" hidden="1" customHeight="1" spans="1:31">
      <c r="A78" s="794"/>
      <c r="B78" s="1012"/>
      <c r="C78" s="84"/>
      <c r="D78" s="1014"/>
      <c r="E78" s="58" t="s">
        <v>245</v>
      </c>
      <c r="F78" s="141"/>
      <c r="G78" s="1011"/>
      <c r="I78" s="875"/>
      <c r="J78" s="875"/>
      <c r="K78" s="875"/>
      <c r="L78" s="780"/>
      <c r="M78" s="877"/>
      <c r="N78" s="875"/>
      <c r="P78" s="780"/>
      <c r="Q78" s="780"/>
      <c r="R78" s="780"/>
      <c r="S78" s="780"/>
      <c r="T78" s="780"/>
      <c r="AE78" s="67"/>
    </row>
    <row r="79" s="58" customFormat="1" customHeight="1" spans="1:31">
      <c r="A79" s="794"/>
      <c r="B79" s="1013" t="s">
        <v>241</v>
      </c>
      <c r="C79" s="84">
        <v>540102</v>
      </c>
      <c r="D79" s="84" t="s">
        <v>246</v>
      </c>
      <c r="E79" s="509" t="s">
        <v>247</v>
      </c>
      <c r="F79" s="141">
        <f>1580467.56-100000</f>
        <v>1480467.56</v>
      </c>
      <c r="G79" s="1011"/>
      <c r="I79" s="875"/>
      <c r="J79" s="875"/>
      <c r="K79" s="875"/>
      <c r="L79" s="780"/>
      <c r="M79" s="877"/>
      <c r="N79" s="875"/>
      <c r="P79" s="780"/>
      <c r="Q79" s="780"/>
      <c r="R79" s="780"/>
      <c r="S79" s="780"/>
      <c r="T79" s="780"/>
      <c r="AE79" s="67"/>
    </row>
    <row r="80" s="58" customFormat="1" customHeight="1" spans="1:31">
      <c r="A80" s="794"/>
      <c r="B80" s="1015"/>
      <c r="E80" s="58" t="s">
        <v>248</v>
      </c>
      <c r="F80" s="1016">
        <f>SUM(F75:F79)</f>
        <v>1834867.54</v>
      </c>
      <c r="G80" s="1011"/>
      <c r="I80" s="875"/>
      <c r="J80" s="875"/>
      <c r="K80" s="875"/>
      <c r="L80" s="780"/>
      <c r="M80" s="877"/>
      <c r="N80" s="875"/>
      <c r="P80" s="780"/>
      <c r="Q80" s="780"/>
      <c r="R80" s="780"/>
      <c r="S80" s="780"/>
      <c r="T80" s="780"/>
      <c r="AE80" s="67"/>
    </row>
    <row r="81" s="58" customFormat="1" customHeight="1" spans="1:31">
      <c r="A81" s="794"/>
      <c r="B81" s="1017" t="s">
        <v>249</v>
      </c>
      <c r="C81" s="57"/>
      <c r="D81" s="794" t="s">
        <v>84</v>
      </c>
      <c r="E81" s="58" t="s">
        <v>250</v>
      </c>
      <c r="F81" s="1018">
        <f>Z20</f>
        <v>1934867.54</v>
      </c>
      <c r="G81" s="1011"/>
      <c r="I81" s="875"/>
      <c r="J81" s="875"/>
      <c r="K81" s="875"/>
      <c r="L81" s="780"/>
      <c r="M81" s="877"/>
      <c r="N81" s="875"/>
      <c r="P81" s="780"/>
      <c r="Q81" s="780"/>
      <c r="R81" s="780"/>
      <c r="S81" s="780"/>
      <c r="T81" s="780"/>
      <c r="AE81" s="67"/>
    </row>
    <row r="82" s="58" customFormat="1" customHeight="1" spans="1:31">
      <c r="A82" s="794"/>
      <c r="B82" s="1015"/>
      <c r="E82" s="58" t="s">
        <v>251</v>
      </c>
      <c r="F82" s="1019">
        <f>F80-F81</f>
        <v>-100000</v>
      </c>
      <c r="G82" s="1011"/>
      <c r="I82" s="875"/>
      <c r="J82" s="875"/>
      <c r="K82" s="875"/>
      <c r="L82" s="780"/>
      <c r="M82" s="877"/>
      <c r="N82" s="875"/>
      <c r="P82" s="780"/>
      <c r="Q82" s="780"/>
      <c r="R82" s="780"/>
      <c r="S82" s="780"/>
      <c r="T82" s="780"/>
      <c r="AE82" s="67"/>
    </row>
    <row r="83" s="58" customFormat="1" customHeight="1" spans="1:31">
      <c r="A83" s="794"/>
      <c r="B83" s="909"/>
      <c r="C83" s="1020"/>
      <c r="D83" s="1020"/>
      <c r="E83" s="1020"/>
      <c r="F83" s="1020"/>
      <c r="G83" s="1021"/>
      <c r="I83" s="875"/>
      <c r="J83" s="875"/>
      <c r="K83" s="875"/>
      <c r="L83" s="780"/>
      <c r="M83" s="877"/>
      <c r="N83" s="875"/>
      <c r="P83" s="780"/>
      <c r="Q83" s="780"/>
      <c r="R83" s="780"/>
      <c r="S83" s="780"/>
      <c r="T83" s="780"/>
      <c r="AE83" s="67"/>
    </row>
    <row r="84" s="58" customFormat="1" customHeight="1" spans="1:31">
      <c r="A84" s="57"/>
      <c r="F84" s="59"/>
      <c r="I84" s="60"/>
      <c r="AE84" s="67"/>
    </row>
    <row r="85" s="58" customFormat="1" customHeight="1" spans="1:31">
      <c r="A85" s="57"/>
      <c r="B85" s="637" t="s">
        <v>151</v>
      </c>
      <c r="C85" s="231"/>
      <c r="D85" s="1022"/>
      <c r="E85" s="1022"/>
      <c r="F85" s="1022"/>
      <c r="G85" s="1022"/>
      <c r="H85" s="1022"/>
      <c r="I85" s="1022"/>
      <c r="J85" s="1023"/>
      <c r="K85" s="1022"/>
      <c r="N85" s="258"/>
      <c r="AE85" s="67"/>
    </row>
    <row r="86" s="58" customFormat="1" customHeight="1" spans="1:31">
      <c r="A86" s="57"/>
      <c r="B86" s="1024" t="s">
        <v>252</v>
      </c>
      <c r="C86" s="1025"/>
      <c r="D86" s="1025"/>
      <c r="E86" s="1025"/>
      <c r="F86" s="1025"/>
      <c r="G86" s="1026"/>
      <c r="H86" s="1022"/>
      <c r="I86" s="57"/>
      <c r="AE86" s="67"/>
    </row>
    <row r="87" s="58" customFormat="1" customHeight="1" spans="1:31">
      <c r="B87" s="1027"/>
      <c r="C87" s="1028"/>
      <c r="D87" s="1028"/>
      <c r="E87" s="1028"/>
      <c r="F87" s="1028"/>
      <c r="G87" s="1029"/>
      <c r="H87" s="1022"/>
      <c r="I87" s="57"/>
      <c r="J87" s="1022"/>
      <c r="K87" s="1022"/>
      <c r="AE87" s="67"/>
    </row>
    <row r="88" s="58" customFormat="1" customHeight="1" spans="1:31">
      <c r="B88" s="1030"/>
      <c r="C88" s="1031"/>
      <c r="D88" s="1031"/>
      <c r="E88" s="1031"/>
      <c r="F88" s="1031"/>
      <c r="G88" s="1032"/>
      <c r="I88" s="60"/>
      <c r="AE88" s="67"/>
    </row>
    <row r="89" s="780" customFormat="1" ht="15" customHeight="1" spans="1:31">
      <c r="A89" s="794"/>
      <c r="B89" s="875"/>
      <c r="C89" s="875"/>
      <c r="D89" s="875"/>
      <c r="E89" s="875"/>
      <c r="F89" s="876"/>
      <c r="G89" s="875"/>
      <c r="H89" s="875"/>
      <c r="I89" s="875"/>
      <c r="J89" s="875"/>
      <c r="K89" s="877"/>
      <c r="L89" s="875"/>
      <c r="M89" s="875"/>
      <c r="N89" s="875"/>
      <c r="O89" s="875"/>
      <c r="AE89" s="893"/>
    </row>
    <row r="90" ht="7.5" customHeight="1" spans="1:31">
      <c r="A90" s="893"/>
      <c r="B90" s="893"/>
      <c r="C90" s="893"/>
      <c r="D90" s="893"/>
      <c r="E90" s="893"/>
      <c r="F90" s="893"/>
      <c r="G90" s="893"/>
      <c r="H90" s="893"/>
      <c r="I90" s="893"/>
      <c r="J90" s="885"/>
      <c r="K90" s="893"/>
      <c r="L90" s="893"/>
      <c r="M90" s="893"/>
      <c r="N90" s="893"/>
      <c r="O90" s="893"/>
      <c r="P90" s="893"/>
      <c r="Q90" s="893"/>
      <c r="R90" s="893"/>
      <c r="S90" s="893"/>
      <c r="T90" s="893"/>
      <c r="U90" s="893"/>
      <c r="V90" s="893"/>
      <c r="W90" s="893"/>
      <c r="X90" s="893"/>
      <c r="Y90" s="893"/>
      <c r="Z90" s="893"/>
      <c r="AA90" s="893"/>
      <c r="AB90" s="893"/>
      <c r="AC90" s="893"/>
      <c r="AD90" s="893"/>
      <c r="AE90" s="893"/>
    </row>
    <row r="91" ht="22.5" customHeight="1"/>
    <row r="94" customHeight="1" spans="1:31">
      <c r="F94" s="1033"/>
    </row>
    <row r="100" customHeight="1" spans="1:16">
      <c r="B100" s="156"/>
      <c r="C100" s="156"/>
      <c r="D100" s="156"/>
      <c r="E100" s="1034"/>
      <c r="F100" s="156"/>
      <c r="G100" s="156"/>
      <c r="H100" s="156"/>
      <c r="I100" s="156"/>
      <c r="J100" s="1035"/>
      <c r="K100" s="156"/>
      <c r="L100" s="156"/>
      <c r="M100" s="156"/>
    </row>
    <row r="101" customHeight="1" spans="1:16">
      <c r="B101" s="156"/>
      <c r="C101" s="156"/>
      <c r="D101" s="156"/>
      <c r="E101" s="1034"/>
      <c r="F101" s="156"/>
      <c r="G101" s="156"/>
      <c r="H101" s="156"/>
      <c r="I101" s="156"/>
      <c r="J101" s="1035"/>
      <c r="K101" s="156"/>
      <c r="L101" s="156"/>
      <c r="M101" s="156"/>
    </row>
    <row r="102" customHeight="1" spans="1:16">
      <c r="B102" s="156"/>
      <c r="C102" s="156"/>
      <c r="D102" s="156"/>
      <c r="E102" s="1034"/>
      <c r="F102" s="156"/>
      <c r="G102" s="156"/>
      <c r="H102" s="156"/>
      <c r="I102" s="156"/>
      <c r="J102" s="1035"/>
      <c r="K102" s="156"/>
      <c r="L102" s="156"/>
      <c r="M102" s="156"/>
    </row>
    <row r="103" customHeight="1" spans="1:16">
      <c r="B103" s="156"/>
      <c r="C103" s="156"/>
      <c r="D103" s="156"/>
      <c r="E103" s="1034"/>
      <c r="F103" s="156"/>
      <c r="G103" s="156"/>
      <c r="H103" s="156"/>
      <c r="I103" s="156"/>
      <c r="J103" s="1035"/>
      <c r="K103" s="156"/>
      <c r="L103" s="156"/>
      <c r="M103" s="156"/>
    </row>
    <row r="104" customHeight="1" spans="1:16">
      <c r="B104" s="156"/>
      <c r="C104" s="156"/>
      <c r="D104" s="156"/>
      <c r="E104" s="1034"/>
      <c r="F104" s="156"/>
      <c r="G104" s="156"/>
      <c r="H104" s="156"/>
      <c r="I104" s="156"/>
      <c r="J104" s="1035"/>
      <c r="K104" s="156"/>
      <c r="L104" s="156"/>
      <c r="M104" s="156"/>
    </row>
    <row r="105" customHeight="1" spans="1:16">
      <c r="B105" s="156"/>
      <c r="C105" s="156"/>
      <c r="D105" s="156"/>
      <c r="E105" s="1034"/>
      <c r="F105" s="156"/>
      <c r="G105" s="156"/>
      <c r="H105" s="156"/>
      <c r="I105" s="156"/>
      <c r="J105" s="1035"/>
      <c r="K105" s="156"/>
      <c r="L105" s="156"/>
      <c r="M105" s="156"/>
    </row>
    <row r="106" customHeight="1" spans="1:16">
      <c r="B106" s="156"/>
      <c r="C106" s="156"/>
      <c r="D106" s="156"/>
      <c r="E106" s="1034"/>
      <c r="F106" s="156"/>
      <c r="G106" s="156"/>
      <c r="H106" s="156"/>
      <c r="I106" s="156"/>
      <c r="J106" s="1035"/>
      <c r="K106" s="156"/>
      <c r="L106" s="156"/>
      <c r="M106" s="156"/>
    </row>
    <row r="107" customHeight="1" spans="1:16">
      <c r="B107" s="156"/>
      <c r="C107" s="156"/>
      <c r="D107" s="156"/>
      <c r="E107" s="1034"/>
      <c r="F107" s="156"/>
      <c r="G107" s="156"/>
      <c r="H107" s="156"/>
      <c r="I107" s="156"/>
      <c r="J107" s="1035"/>
      <c r="K107" s="156"/>
      <c r="L107" s="156"/>
      <c r="M107" s="156"/>
    </row>
    <row r="108" customHeight="1" spans="1:16">
      <c r="B108" s="156"/>
      <c r="C108" s="156"/>
      <c r="D108" s="156"/>
      <c r="E108" s="1034"/>
      <c r="F108" s="156"/>
      <c r="G108" s="156"/>
      <c r="H108" s="156"/>
      <c r="I108" s="156"/>
      <c r="J108" s="1035"/>
      <c r="K108" s="156"/>
      <c r="L108" s="156"/>
      <c r="M108" s="156"/>
    </row>
    <row r="109" customHeight="1" spans="1:16">
      <c r="B109" s="156"/>
      <c r="C109" s="156"/>
      <c r="D109" s="156"/>
      <c r="E109" s="1034"/>
      <c r="F109" s="156"/>
      <c r="G109" s="156"/>
      <c r="H109" s="156"/>
      <c r="I109" s="156"/>
      <c r="J109" s="1035"/>
      <c r="K109" s="156"/>
      <c r="L109" s="156"/>
      <c r="M109" s="156"/>
    </row>
    <row r="110" s="780" customFormat="1" customHeight="1" spans="1:16">
      <c r="A110" s="794"/>
      <c r="B110" s="1036"/>
      <c r="C110" s="156"/>
      <c r="D110" s="156"/>
      <c r="E110" s="156"/>
      <c r="F110" s="1034"/>
      <c r="G110" s="156"/>
      <c r="H110" s="156"/>
      <c r="I110" s="156"/>
      <c r="J110" s="156"/>
      <c r="K110" s="1035"/>
      <c r="L110" s="156"/>
      <c r="M110" s="156"/>
      <c r="N110" s="156"/>
      <c r="P110" s="875"/>
    </row>
    <row r="120" s="780" customFormat="1" customHeight="1" spans="1:16">
      <c r="A120" s="794"/>
      <c r="C120" s="875"/>
      <c r="D120" s="875"/>
      <c r="E120" s="875"/>
      <c r="F120" s="875"/>
      <c r="G120" s="876"/>
      <c r="H120" s="875"/>
      <c r="I120" s="875"/>
      <c r="J120" s="875"/>
      <c r="K120" s="875"/>
      <c r="L120" s="877"/>
      <c r="M120" s="875"/>
      <c r="N120" s="875"/>
      <c r="O120" s="875"/>
      <c r="P120" s="875"/>
    </row>
    <row r="121" s="780" customFormat="1" customHeight="1" spans="1:16">
      <c r="A121" s="794"/>
      <c r="C121" s="875"/>
      <c r="D121" s="875"/>
      <c r="E121" s="875"/>
      <c r="F121" s="875"/>
      <c r="G121" s="876"/>
      <c r="H121" s="875"/>
      <c r="I121" s="875"/>
      <c r="J121" s="875"/>
      <c r="K121" s="875"/>
      <c r="L121" s="877"/>
      <c r="M121" s="875"/>
      <c r="N121" s="875"/>
      <c r="O121" s="875"/>
      <c r="P121" s="875"/>
    </row>
    <row r="122" s="780" customFormat="1" customHeight="1" spans="1:16">
      <c r="A122" s="794"/>
      <c r="C122" s="875"/>
      <c r="D122" s="875"/>
      <c r="E122" s="875"/>
      <c r="F122" s="875"/>
      <c r="G122" s="876"/>
      <c r="H122" s="875"/>
      <c r="I122" s="875"/>
      <c r="J122" s="875"/>
      <c r="K122" s="875"/>
      <c r="L122" s="877"/>
      <c r="M122" s="875"/>
      <c r="N122" s="875"/>
      <c r="O122" s="875"/>
      <c r="P122" s="875"/>
    </row>
    <row r="123" s="780" customFormat="1" customHeight="1" spans="1:16">
      <c r="A123" s="794"/>
      <c r="C123" s="875"/>
      <c r="D123" s="875"/>
      <c r="E123" s="875"/>
      <c r="F123" s="875"/>
      <c r="G123" s="876"/>
      <c r="H123" s="875"/>
      <c r="I123" s="875"/>
      <c r="J123" s="875"/>
      <c r="K123" s="875"/>
      <c r="L123" s="877"/>
      <c r="M123" s="875"/>
      <c r="N123" s="875"/>
      <c r="O123" s="875"/>
      <c r="P123" s="875"/>
    </row>
    <row r="124" s="780" customFormat="1" customHeight="1" spans="1:16">
      <c r="A124" s="794"/>
      <c r="C124" s="875"/>
      <c r="D124" s="875"/>
      <c r="E124" s="875"/>
      <c r="F124" s="875"/>
      <c r="G124" s="876"/>
      <c r="H124" s="875"/>
      <c r="I124" s="875"/>
      <c r="J124" s="875"/>
      <c r="K124" s="875"/>
      <c r="L124" s="877"/>
      <c r="M124" s="875"/>
      <c r="N124" s="875"/>
      <c r="O124" s="875"/>
      <c r="P124" s="875"/>
    </row>
    <row r="125" s="780" customFormat="1" customHeight="1" spans="1:16">
      <c r="A125" s="794"/>
      <c r="C125" s="875"/>
      <c r="D125" s="875"/>
      <c r="E125" s="875"/>
      <c r="F125" s="875"/>
      <c r="G125" s="876"/>
      <c r="H125" s="875"/>
      <c r="I125" s="875"/>
      <c r="J125" s="875"/>
      <c r="K125" s="875"/>
      <c r="L125" s="877"/>
      <c r="M125" s="875"/>
      <c r="N125" s="875"/>
      <c r="O125" s="875"/>
      <c r="P125" s="875"/>
    </row>
    <row r="126" s="780" customFormat="1" customHeight="1" spans="1:16">
      <c r="A126" s="794"/>
      <c r="C126" s="875"/>
      <c r="D126" s="875"/>
      <c r="E126" s="875"/>
      <c r="F126" s="875"/>
      <c r="G126" s="876"/>
      <c r="H126" s="875"/>
      <c r="I126" s="875"/>
      <c r="J126" s="875"/>
      <c r="K126" s="875"/>
      <c r="L126" s="877"/>
      <c r="M126" s="875"/>
      <c r="N126" s="875"/>
      <c r="O126" s="875"/>
      <c r="P126" s="875"/>
    </row>
    <row r="127" s="780" customFormat="1" customHeight="1" spans="1:16">
      <c r="A127" s="794"/>
      <c r="C127" s="875"/>
      <c r="D127" s="875"/>
      <c r="E127" s="875"/>
      <c r="F127" s="875"/>
      <c r="G127" s="876"/>
      <c r="H127" s="875"/>
      <c r="I127" s="875"/>
      <c r="J127" s="875"/>
      <c r="K127" s="875"/>
      <c r="L127" s="877"/>
      <c r="M127" s="875"/>
      <c r="N127" s="875"/>
      <c r="O127" s="875"/>
      <c r="P127" s="875"/>
    </row>
    <row r="128" s="780" customFormat="1" customHeight="1" spans="1:16">
      <c r="A128" s="794"/>
      <c r="C128" s="875"/>
      <c r="D128" s="875"/>
      <c r="E128" s="875"/>
      <c r="F128" s="875"/>
      <c r="G128" s="876"/>
      <c r="H128" s="875"/>
      <c r="I128" s="875"/>
      <c r="J128" s="875"/>
      <c r="K128" s="875"/>
      <c r="L128" s="877"/>
      <c r="M128" s="875"/>
      <c r="N128" s="875"/>
      <c r="O128" s="875"/>
      <c r="P128" s="875"/>
    </row>
    <row r="129" s="780" customFormat="1" customHeight="1" spans="1:16">
      <c r="A129" s="794"/>
      <c r="C129" s="875"/>
      <c r="D129" s="875"/>
      <c r="E129" s="875"/>
      <c r="F129" s="875"/>
      <c r="G129" s="876"/>
      <c r="H129" s="875"/>
      <c r="I129" s="875"/>
      <c r="J129" s="875"/>
      <c r="K129" s="875"/>
      <c r="L129" s="877"/>
      <c r="M129" s="875"/>
      <c r="N129" s="875"/>
      <c r="O129" s="875"/>
      <c r="P129" s="875"/>
    </row>
    <row r="130" s="780" customFormat="1" customHeight="1" spans="1:16">
      <c r="A130" s="794"/>
      <c r="C130" s="875"/>
      <c r="D130" s="875"/>
      <c r="E130" s="875"/>
      <c r="F130" s="875"/>
      <c r="G130" s="876"/>
      <c r="H130" s="875"/>
      <c r="I130" s="875"/>
      <c r="J130" s="875"/>
      <c r="K130" s="875"/>
      <c r="L130" s="877"/>
      <c r="M130" s="875"/>
      <c r="N130" s="875"/>
      <c r="O130" s="875"/>
      <c r="P130" s="875"/>
    </row>
    <row r="131" s="780" customFormat="1" customHeight="1" spans="1:16">
      <c r="A131" s="794"/>
      <c r="C131" s="875"/>
      <c r="D131" s="875"/>
      <c r="E131" s="875"/>
      <c r="F131" s="875"/>
      <c r="G131" s="876"/>
      <c r="H131" s="875"/>
      <c r="I131" s="875"/>
      <c r="J131" s="875"/>
      <c r="K131" s="875"/>
      <c r="L131" s="877"/>
      <c r="M131" s="875"/>
      <c r="N131" s="875"/>
      <c r="O131" s="875"/>
      <c r="P131" s="875"/>
    </row>
    <row r="132" s="780" customFormat="1" customHeight="1" spans="1:16">
      <c r="A132" s="794"/>
      <c r="C132" s="875"/>
      <c r="D132" s="875"/>
      <c r="E132" s="875"/>
      <c r="F132" s="875"/>
      <c r="G132" s="876"/>
      <c r="H132" s="875"/>
      <c r="I132" s="875"/>
      <c r="J132" s="875"/>
      <c r="K132" s="875"/>
      <c r="L132" s="877"/>
      <c r="M132" s="875"/>
      <c r="N132" s="875"/>
      <c r="O132" s="875"/>
      <c r="P132" s="875"/>
    </row>
    <row r="133" s="780" customFormat="1" customHeight="1" spans="1:16">
      <c r="A133" s="794"/>
      <c r="C133" s="875"/>
      <c r="D133" s="875"/>
      <c r="E133" s="875"/>
      <c r="F133" s="875"/>
      <c r="G133" s="876"/>
      <c r="H133" s="875"/>
      <c r="I133" s="875"/>
      <c r="J133" s="875"/>
      <c r="K133" s="875"/>
      <c r="L133" s="877"/>
      <c r="M133" s="875"/>
      <c r="N133" s="875"/>
      <c r="O133" s="875"/>
      <c r="P133" s="875"/>
    </row>
    <row r="134" s="780" customFormat="1" customHeight="1" spans="1:16">
      <c r="A134" s="794"/>
      <c r="C134" s="875"/>
      <c r="D134" s="875"/>
      <c r="E134" s="875"/>
      <c r="F134" s="875"/>
      <c r="G134" s="876"/>
      <c r="H134" s="875"/>
      <c r="I134" s="875"/>
      <c r="J134" s="875"/>
      <c r="K134" s="875"/>
      <c r="L134" s="877"/>
      <c r="M134" s="875"/>
      <c r="N134" s="875"/>
      <c r="O134" s="875"/>
      <c r="P134" s="875"/>
    </row>
    <row r="135" s="780" customFormat="1" customHeight="1" spans="1:16">
      <c r="A135" s="794"/>
      <c r="C135" s="875"/>
      <c r="D135" s="875"/>
      <c r="E135" s="875"/>
      <c r="F135" s="875"/>
      <c r="G135" s="876"/>
      <c r="H135" s="875"/>
      <c r="I135" s="875"/>
      <c r="J135" s="875"/>
      <c r="K135" s="875"/>
      <c r="L135" s="877"/>
      <c r="M135" s="875"/>
      <c r="N135" s="875"/>
      <c r="O135" s="875"/>
      <c r="P135" s="875"/>
    </row>
    <row r="136" s="780" customFormat="1" customHeight="1" spans="1:16">
      <c r="A136" s="794"/>
      <c r="C136" s="875"/>
      <c r="D136" s="875"/>
      <c r="E136" s="875"/>
      <c r="F136" s="875"/>
      <c r="G136" s="876"/>
      <c r="H136" s="875"/>
      <c r="I136" s="875"/>
      <c r="J136" s="875"/>
      <c r="K136" s="875"/>
      <c r="L136" s="877"/>
      <c r="M136" s="875"/>
      <c r="N136" s="875"/>
      <c r="O136" s="875"/>
      <c r="P136" s="875"/>
    </row>
    <row r="137" s="780" customFormat="1" customHeight="1" spans="1:16">
      <c r="A137" s="794"/>
      <c r="C137" s="875"/>
      <c r="D137" s="875"/>
      <c r="E137" s="875"/>
      <c r="F137" s="875"/>
      <c r="G137" s="876"/>
      <c r="H137" s="875"/>
      <c r="I137" s="875"/>
      <c r="J137" s="875"/>
      <c r="K137" s="875"/>
      <c r="L137" s="877"/>
      <c r="M137" s="875"/>
      <c r="N137" s="875"/>
      <c r="O137" s="875"/>
      <c r="P137" s="875"/>
    </row>
    <row r="138" s="780" customFormat="1" customHeight="1" spans="1:16">
      <c r="A138" s="794"/>
      <c r="C138" s="875"/>
      <c r="D138" s="875"/>
      <c r="E138" s="875"/>
      <c r="F138" s="875"/>
      <c r="G138" s="876"/>
      <c r="H138" s="875"/>
      <c r="I138" s="875"/>
      <c r="J138" s="875"/>
      <c r="K138" s="875"/>
      <c r="L138" s="877"/>
      <c r="M138" s="875"/>
      <c r="N138" s="875"/>
      <c r="O138" s="875"/>
      <c r="P138" s="875"/>
    </row>
    <row r="139" s="780" customFormat="1" customHeight="1" spans="1:16">
      <c r="A139" s="794"/>
      <c r="C139" s="875"/>
      <c r="D139" s="875"/>
      <c r="E139" s="875"/>
      <c r="F139" s="875"/>
      <c r="G139" s="876"/>
      <c r="H139" s="875"/>
      <c r="I139" s="875"/>
      <c r="J139" s="875"/>
      <c r="K139" s="875"/>
      <c r="L139" s="877"/>
      <c r="M139" s="875"/>
      <c r="N139" s="875"/>
      <c r="O139" s="875"/>
      <c r="P139" s="875"/>
    </row>
    <row r="140" s="780" customFormat="1" customHeight="1" spans="1:16">
      <c r="A140" s="794"/>
      <c r="C140" s="875"/>
      <c r="D140" s="875"/>
      <c r="E140" s="875"/>
      <c r="F140" s="875"/>
      <c r="G140" s="876"/>
      <c r="H140" s="875"/>
      <c r="I140" s="875"/>
      <c r="J140" s="875"/>
      <c r="K140" s="875"/>
      <c r="L140" s="877"/>
      <c r="M140" s="875"/>
      <c r="N140" s="875"/>
      <c r="O140" s="875"/>
      <c r="P140" s="875"/>
    </row>
    <row r="141" s="780" customFormat="1" customHeight="1" spans="1:16">
      <c r="A141" s="794"/>
      <c r="C141" s="875"/>
      <c r="D141" s="875"/>
      <c r="E141" s="875"/>
      <c r="F141" s="875"/>
      <c r="G141" s="876"/>
      <c r="H141" s="875"/>
      <c r="I141" s="875"/>
      <c r="J141" s="875"/>
      <c r="K141" s="875"/>
      <c r="L141" s="877"/>
      <c r="M141" s="875"/>
      <c r="N141" s="875"/>
      <c r="O141" s="875"/>
      <c r="P141" s="875"/>
    </row>
    <row r="142" s="780" customFormat="1" customHeight="1" spans="1:16">
      <c r="A142" s="794"/>
      <c r="C142" s="875"/>
      <c r="D142" s="875"/>
      <c r="E142" s="875"/>
      <c r="F142" s="875"/>
      <c r="G142" s="876"/>
      <c r="H142" s="875"/>
      <c r="I142" s="875"/>
      <c r="J142" s="875"/>
      <c r="K142" s="875"/>
      <c r="L142" s="877"/>
      <c r="M142" s="875"/>
      <c r="N142" s="875"/>
      <c r="O142" s="875"/>
      <c r="P142" s="875"/>
    </row>
    <row r="143" s="780" customFormat="1" customHeight="1" spans="1:16">
      <c r="A143" s="794"/>
      <c r="C143" s="875"/>
      <c r="D143" s="875"/>
      <c r="E143" s="875"/>
      <c r="F143" s="875"/>
      <c r="G143" s="876"/>
      <c r="H143" s="875"/>
      <c r="I143" s="875"/>
      <c r="J143" s="875"/>
      <c r="K143" s="875"/>
      <c r="L143" s="877"/>
      <c r="M143" s="875"/>
      <c r="N143" s="875"/>
      <c r="O143" s="875"/>
      <c r="P143" s="875"/>
    </row>
    <row r="144" s="780" customFormat="1" customHeight="1" spans="1:16">
      <c r="A144" s="794"/>
      <c r="C144" s="875"/>
      <c r="D144" s="875"/>
      <c r="E144" s="875"/>
      <c r="F144" s="875"/>
      <c r="G144" s="876"/>
      <c r="H144" s="875"/>
      <c r="I144" s="875"/>
      <c r="J144" s="875"/>
      <c r="K144" s="875"/>
      <c r="L144" s="877"/>
      <c r="M144" s="875"/>
      <c r="N144" s="875"/>
      <c r="O144" s="875"/>
      <c r="P144" s="875"/>
    </row>
    <row r="145" s="780" customFormat="1" customHeight="1" spans="1:16">
      <c r="A145" s="794"/>
      <c r="C145" s="875"/>
      <c r="D145" s="875"/>
      <c r="E145" s="875"/>
      <c r="F145" s="875"/>
      <c r="G145" s="876"/>
      <c r="H145" s="875"/>
      <c r="I145" s="875"/>
      <c r="J145" s="875"/>
      <c r="K145" s="875"/>
      <c r="L145" s="877"/>
      <c r="M145" s="875"/>
      <c r="N145" s="875"/>
      <c r="O145" s="875"/>
      <c r="P145" s="875"/>
    </row>
    <row r="146" s="780" customFormat="1" customHeight="1" spans="1:16">
      <c r="A146" s="794"/>
      <c r="C146" s="875"/>
      <c r="D146" s="875"/>
      <c r="E146" s="875"/>
      <c r="F146" s="875"/>
      <c r="G146" s="876"/>
      <c r="H146" s="875"/>
      <c r="I146" s="875"/>
      <c r="J146" s="875"/>
      <c r="K146" s="875"/>
      <c r="L146" s="877"/>
      <c r="M146" s="875"/>
      <c r="N146" s="875"/>
      <c r="O146" s="875"/>
      <c r="P146" s="875"/>
    </row>
    <row r="147" s="780" customFormat="1" customHeight="1" spans="1:16">
      <c r="A147" s="794"/>
      <c r="C147" s="875"/>
      <c r="D147" s="875"/>
      <c r="E147" s="875"/>
      <c r="F147" s="875"/>
      <c r="G147" s="876"/>
      <c r="H147" s="875"/>
      <c r="I147" s="875"/>
      <c r="J147" s="875"/>
      <c r="K147" s="875"/>
      <c r="L147" s="877"/>
      <c r="M147" s="875"/>
      <c r="N147" s="875"/>
      <c r="O147" s="875"/>
      <c r="P147" s="875"/>
    </row>
    <row r="148" s="780" customFormat="1" customHeight="1" spans="1:16">
      <c r="A148" s="794"/>
      <c r="C148" s="875"/>
      <c r="D148" s="875"/>
      <c r="E148" s="875"/>
      <c r="F148" s="875"/>
      <c r="G148" s="876"/>
      <c r="H148" s="875"/>
      <c r="I148" s="875"/>
      <c r="J148" s="875"/>
      <c r="K148" s="875"/>
      <c r="L148" s="877"/>
      <c r="M148" s="875"/>
      <c r="N148" s="875"/>
      <c r="O148" s="875"/>
      <c r="P148" s="875"/>
    </row>
    <row r="149" s="780" customFormat="1" customHeight="1" spans="1:16">
      <c r="A149" s="794"/>
      <c r="C149" s="875"/>
      <c r="D149" s="875"/>
      <c r="E149" s="875"/>
      <c r="F149" s="875"/>
      <c r="G149" s="876"/>
      <c r="H149" s="875"/>
      <c r="I149" s="875"/>
      <c r="J149" s="875"/>
      <c r="K149" s="875"/>
      <c r="L149" s="877"/>
      <c r="M149" s="875"/>
      <c r="N149" s="875"/>
      <c r="O149" s="875"/>
      <c r="P149" s="875"/>
    </row>
    <row r="150" s="780" customFormat="1" customHeight="1" spans="1:16">
      <c r="A150" s="794"/>
      <c r="C150" s="875"/>
      <c r="D150" s="875"/>
      <c r="E150" s="875"/>
      <c r="F150" s="875"/>
      <c r="G150" s="876"/>
      <c r="H150" s="875"/>
      <c r="I150" s="875"/>
      <c r="J150" s="875"/>
      <c r="K150" s="875"/>
      <c r="L150" s="877"/>
      <c r="M150" s="875"/>
      <c r="N150" s="875"/>
      <c r="O150" s="875"/>
      <c r="P150" s="875"/>
    </row>
    <row r="151" s="780" customFormat="1" customHeight="1" spans="1:16">
      <c r="A151" s="794"/>
      <c r="C151" s="875"/>
      <c r="D151" s="875"/>
      <c r="E151" s="875"/>
      <c r="F151" s="875"/>
      <c r="G151" s="876"/>
      <c r="H151" s="875"/>
      <c r="I151" s="875"/>
      <c r="J151" s="875"/>
      <c r="K151" s="875"/>
      <c r="L151" s="877"/>
      <c r="M151" s="875"/>
      <c r="N151" s="875"/>
      <c r="O151" s="875"/>
      <c r="P151" s="875"/>
    </row>
    <row r="152" s="780" customFormat="1" customHeight="1" spans="1:16">
      <c r="A152" s="794"/>
      <c r="C152" s="875"/>
      <c r="D152" s="875"/>
      <c r="E152" s="875"/>
      <c r="F152" s="875"/>
      <c r="G152" s="876"/>
      <c r="H152" s="875"/>
      <c r="I152" s="875"/>
      <c r="J152" s="875"/>
      <c r="K152" s="875"/>
      <c r="L152" s="877"/>
      <c r="M152" s="875"/>
      <c r="N152" s="875"/>
      <c r="O152" s="875"/>
      <c r="P152" s="875"/>
    </row>
    <row r="153" s="780" customFormat="1" customHeight="1" spans="1:16">
      <c r="A153" s="794"/>
      <c r="C153" s="875"/>
      <c r="D153" s="875"/>
      <c r="E153" s="875"/>
      <c r="F153" s="875"/>
      <c r="G153" s="876"/>
      <c r="H153" s="875"/>
      <c r="I153" s="875"/>
      <c r="J153" s="875"/>
      <c r="K153" s="875"/>
      <c r="L153" s="877"/>
      <c r="M153" s="875"/>
      <c r="N153" s="875"/>
      <c r="O153" s="875"/>
      <c r="P153" s="875"/>
    </row>
    <row r="154" s="780" customFormat="1" customHeight="1" spans="1:16">
      <c r="A154" s="794"/>
      <c r="C154" s="875"/>
      <c r="D154" s="875"/>
      <c r="E154" s="875"/>
      <c r="F154" s="875"/>
      <c r="G154" s="876"/>
      <c r="H154" s="875"/>
      <c r="I154" s="875"/>
      <c r="J154" s="875"/>
      <c r="K154" s="875"/>
      <c r="L154" s="877"/>
      <c r="M154" s="875"/>
      <c r="N154" s="875"/>
      <c r="O154" s="875"/>
      <c r="P154" s="875"/>
    </row>
    <row r="155" s="780" customFormat="1" customHeight="1" spans="1:16">
      <c r="A155" s="794"/>
      <c r="C155" s="875"/>
      <c r="D155" s="875"/>
      <c r="E155" s="875"/>
      <c r="F155" s="875"/>
      <c r="G155" s="876"/>
      <c r="H155" s="875"/>
      <c r="I155" s="875"/>
      <c r="J155" s="875"/>
      <c r="K155" s="875"/>
      <c r="L155" s="877"/>
      <c r="M155" s="875"/>
      <c r="N155" s="875"/>
      <c r="O155" s="875"/>
      <c r="P155" s="875"/>
    </row>
    <row r="156" s="780" customFormat="1" customHeight="1" spans="1:16">
      <c r="A156" s="794"/>
      <c r="C156" s="875"/>
      <c r="D156" s="875"/>
      <c r="E156" s="875"/>
      <c r="F156" s="875"/>
      <c r="G156" s="876"/>
      <c r="H156" s="875"/>
      <c r="I156" s="875"/>
      <c r="J156" s="875"/>
      <c r="K156" s="875"/>
      <c r="L156" s="877"/>
      <c r="M156" s="875"/>
      <c r="N156" s="875"/>
      <c r="O156" s="875"/>
      <c r="P156" s="875"/>
    </row>
    <row r="157" s="780" customFormat="1" customHeight="1" spans="1:16">
      <c r="A157" s="794"/>
      <c r="C157" s="875"/>
      <c r="D157" s="875"/>
      <c r="E157" s="875"/>
      <c r="F157" s="875"/>
      <c r="G157" s="876"/>
      <c r="H157" s="875"/>
      <c r="I157" s="875"/>
      <c r="J157" s="875"/>
      <c r="K157" s="875"/>
      <c r="L157" s="877"/>
      <c r="M157" s="875"/>
      <c r="N157" s="875"/>
      <c r="O157" s="875"/>
      <c r="P157" s="875"/>
    </row>
    <row r="158" s="780" customFormat="1" customHeight="1" spans="1:16">
      <c r="A158" s="794"/>
      <c r="C158" s="875"/>
      <c r="D158" s="875"/>
      <c r="E158" s="875"/>
      <c r="F158" s="875"/>
      <c r="G158" s="876"/>
      <c r="H158" s="875"/>
      <c r="I158" s="875"/>
      <c r="J158" s="875"/>
      <c r="K158" s="875"/>
      <c r="L158" s="877"/>
      <c r="M158" s="875"/>
      <c r="N158" s="875"/>
      <c r="O158" s="875"/>
      <c r="P158" s="875"/>
    </row>
    <row r="159" s="780" customFormat="1" customHeight="1" spans="1:16">
      <c r="A159" s="794"/>
      <c r="C159" s="875"/>
      <c r="D159" s="875"/>
      <c r="E159" s="875"/>
      <c r="F159" s="875"/>
      <c r="G159" s="876"/>
      <c r="H159" s="875"/>
      <c r="I159" s="875"/>
      <c r="J159" s="875"/>
      <c r="K159" s="875"/>
      <c r="L159" s="877"/>
      <c r="M159" s="875"/>
      <c r="N159" s="875"/>
      <c r="O159" s="875"/>
      <c r="P159" s="875"/>
    </row>
    <row r="160" s="780" customFormat="1" customHeight="1" spans="1:16">
      <c r="A160" s="794"/>
      <c r="C160" s="875"/>
      <c r="D160" s="875"/>
      <c r="E160" s="875"/>
      <c r="F160" s="875"/>
      <c r="G160" s="876"/>
      <c r="H160" s="875"/>
      <c r="I160" s="875"/>
      <c r="J160" s="875"/>
      <c r="K160" s="875"/>
      <c r="L160" s="877"/>
      <c r="M160" s="875"/>
      <c r="N160" s="875"/>
      <c r="O160" s="875"/>
      <c r="P160" s="875"/>
    </row>
    <row r="161" s="780" customFormat="1" customHeight="1" spans="1:16">
      <c r="A161" s="794"/>
      <c r="C161" s="875"/>
      <c r="D161" s="875"/>
      <c r="E161" s="875"/>
      <c r="F161" s="875"/>
      <c r="G161" s="876"/>
      <c r="H161" s="875"/>
      <c r="I161" s="875"/>
      <c r="J161" s="875"/>
      <c r="K161" s="875"/>
      <c r="L161" s="877"/>
      <c r="M161" s="875"/>
      <c r="N161" s="875"/>
      <c r="O161" s="875"/>
      <c r="P161" s="875"/>
    </row>
    <row r="162" s="780" customFormat="1" customHeight="1" spans="1:16">
      <c r="A162" s="794"/>
      <c r="C162" s="875"/>
      <c r="D162" s="875"/>
      <c r="E162" s="875"/>
      <c r="F162" s="875"/>
      <c r="G162" s="876"/>
      <c r="H162" s="875"/>
      <c r="I162" s="875"/>
      <c r="J162" s="875"/>
      <c r="K162" s="875"/>
      <c r="L162" s="877"/>
      <c r="M162" s="875"/>
      <c r="N162" s="875"/>
      <c r="O162" s="875"/>
      <c r="P162" s="875"/>
    </row>
    <row r="163" s="780" customFormat="1" customHeight="1" spans="1:16">
      <c r="A163" s="794"/>
      <c r="C163" s="875"/>
      <c r="D163" s="875"/>
      <c r="E163" s="875"/>
      <c r="F163" s="875"/>
      <c r="G163" s="876"/>
      <c r="H163" s="875"/>
      <c r="I163" s="875"/>
      <c r="J163" s="875"/>
      <c r="K163" s="875"/>
      <c r="L163" s="877"/>
      <c r="M163" s="875"/>
      <c r="N163" s="875"/>
      <c r="O163" s="875"/>
      <c r="P163" s="875"/>
    </row>
    <row r="164" s="780" customFormat="1" customHeight="1" spans="1:16">
      <c r="A164" s="794"/>
      <c r="C164" s="875"/>
      <c r="D164" s="875"/>
      <c r="E164" s="875"/>
      <c r="F164" s="875"/>
      <c r="G164" s="876"/>
      <c r="H164" s="875"/>
      <c r="I164" s="875"/>
      <c r="J164" s="875"/>
      <c r="K164" s="875"/>
      <c r="L164" s="877"/>
      <c r="M164" s="875"/>
      <c r="N164" s="875"/>
      <c r="O164" s="875"/>
      <c r="P164" s="875"/>
    </row>
    <row r="165" s="780" customFormat="1" customHeight="1" spans="1:16">
      <c r="A165" s="794"/>
      <c r="C165" s="875"/>
      <c r="D165" s="875"/>
      <c r="E165" s="875"/>
      <c r="F165" s="875"/>
      <c r="G165" s="876"/>
      <c r="H165" s="875"/>
      <c r="I165" s="875"/>
      <c r="J165" s="875"/>
      <c r="K165" s="875"/>
      <c r="L165" s="877"/>
      <c r="M165" s="875"/>
      <c r="N165" s="875"/>
      <c r="O165" s="875"/>
      <c r="P165" s="875"/>
    </row>
    <row r="166" s="780" customFormat="1" customHeight="1" spans="1:16">
      <c r="A166" s="794"/>
      <c r="C166" s="875"/>
      <c r="D166" s="875"/>
      <c r="E166" s="875"/>
      <c r="F166" s="875"/>
      <c r="G166" s="876"/>
      <c r="H166" s="875"/>
      <c r="I166" s="875"/>
      <c r="J166" s="875"/>
      <c r="K166" s="875"/>
      <c r="L166" s="877"/>
      <c r="M166" s="875"/>
      <c r="N166" s="875"/>
      <c r="O166" s="875"/>
      <c r="P166" s="875"/>
    </row>
    <row r="167" s="780" customFormat="1" customHeight="1" spans="1:16">
      <c r="A167" s="794"/>
      <c r="C167" s="875"/>
      <c r="D167" s="875"/>
      <c r="E167" s="875"/>
      <c r="F167" s="875"/>
      <c r="G167" s="876"/>
      <c r="H167" s="875"/>
      <c r="I167" s="875"/>
      <c r="J167" s="875"/>
      <c r="K167" s="875"/>
      <c r="L167" s="877"/>
      <c r="M167" s="875"/>
      <c r="N167" s="875"/>
      <c r="O167" s="875"/>
      <c r="P167" s="875"/>
    </row>
    <row r="168" s="780" customFormat="1" customHeight="1" spans="1:16">
      <c r="A168" s="794"/>
      <c r="C168" s="875"/>
      <c r="D168" s="875"/>
      <c r="E168" s="875"/>
      <c r="F168" s="875"/>
      <c r="G168" s="876"/>
      <c r="H168" s="875"/>
      <c r="I168" s="875"/>
      <c r="J168" s="875"/>
      <c r="K168" s="875"/>
      <c r="L168" s="877"/>
      <c r="M168" s="875"/>
      <c r="N168" s="875"/>
      <c r="O168" s="875"/>
      <c r="P168" s="875"/>
    </row>
    <row r="169" s="780" customFormat="1" customHeight="1" spans="1:16">
      <c r="A169" s="794"/>
      <c r="C169" s="875"/>
      <c r="D169" s="875"/>
      <c r="E169" s="875"/>
      <c r="F169" s="875"/>
      <c r="G169" s="876"/>
      <c r="H169" s="875"/>
      <c r="I169" s="875"/>
      <c r="J169" s="875"/>
      <c r="K169" s="875"/>
      <c r="L169" s="877"/>
      <c r="M169" s="875"/>
      <c r="N169" s="875"/>
      <c r="O169" s="875"/>
      <c r="P169" s="875"/>
    </row>
    <row r="170" s="780" customFormat="1" customHeight="1" spans="1:16">
      <c r="A170" s="794"/>
      <c r="C170" s="875"/>
      <c r="D170" s="875"/>
      <c r="E170" s="875"/>
      <c r="F170" s="875"/>
      <c r="G170" s="876"/>
      <c r="H170" s="875"/>
      <c r="I170" s="875"/>
      <c r="J170" s="875"/>
      <c r="K170" s="875"/>
      <c r="L170" s="877"/>
      <c r="M170" s="875"/>
      <c r="N170" s="875"/>
      <c r="O170" s="875"/>
      <c r="P170" s="875"/>
    </row>
    <row r="171" s="780" customFormat="1" customHeight="1" spans="1:16">
      <c r="A171" s="794"/>
      <c r="C171" s="875"/>
      <c r="D171" s="875"/>
      <c r="E171" s="875"/>
      <c r="F171" s="875"/>
      <c r="G171" s="876"/>
      <c r="H171" s="875"/>
      <c r="I171" s="875"/>
      <c r="J171" s="875"/>
      <c r="K171" s="875"/>
      <c r="L171" s="877"/>
      <c r="M171" s="875"/>
      <c r="N171" s="875"/>
      <c r="O171" s="875"/>
      <c r="P171" s="875"/>
    </row>
    <row r="172" s="780" customFormat="1" customHeight="1" spans="1:16">
      <c r="A172" s="794"/>
      <c r="C172" s="875"/>
      <c r="D172" s="875"/>
      <c r="E172" s="875"/>
      <c r="F172" s="875"/>
      <c r="G172" s="876"/>
      <c r="H172" s="875"/>
      <c r="I172" s="875"/>
      <c r="J172" s="875"/>
      <c r="K172" s="875"/>
      <c r="L172" s="877"/>
      <c r="M172" s="875"/>
      <c r="N172" s="875"/>
      <c r="O172" s="875"/>
      <c r="P172" s="875"/>
    </row>
    <row r="173" s="780" customFormat="1" customHeight="1" spans="1:16">
      <c r="A173" s="794"/>
      <c r="C173" s="875"/>
      <c r="D173" s="875"/>
      <c r="E173" s="875"/>
      <c r="F173" s="875"/>
      <c r="G173" s="876"/>
      <c r="H173" s="875"/>
      <c r="I173" s="875"/>
      <c r="J173" s="875"/>
      <c r="K173" s="875"/>
      <c r="L173" s="877"/>
      <c r="M173" s="875"/>
      <c r="N173" s="875"/>
      <c r="O173" s="875"/>
      <c r="P173" s="875"/>
    </row>
    <row r="174" s="780" customFormat="1" customHeight="1" spans="1:16">
      <c r="A174" s="794"/>
      <c r="C174" s="875"/>
      <c r="D174" s="875"/>
      <c r="E174" s="875"/>
      <c r="F174" s="875"/>
      <c r="G174" s="876"/>
      <c r="H174" s="875"/>
      <c r="I174" s="875"/>
      <c r="J174" s="875"/>
      <c r="K174" s="875"/>
      <c r="L174" s="877"/>
      <c r="M174" s="875"/>
      <c r="N174" s="875"/>
      <c r="O174" s="875"/>
      <c r="P174" s="875"/>
    </row>
    <row r="175" s="780" customFormat="1" customHeight="1" spans="1:16">
      <c r="A175" s="794"/>
      <c r="C175" s="875"/>
      <c r="D175" s="875"/>
      <c r="E175" s="875"/>
      <c r="F175" s="875"/>
      <c r="G175" s="876"/>
      <c r="H175" s="875"/>
      <c r="I175" s="875"/>
      <c r="J175" s="875"/>
      <c r="K175" s="875"/>
      <c r="L175" s="877"/>
      <c r="M175" s="875"/>
      <c r="N175" s="875"/>
      <c r="O175" s="875"/>
      <c r="P175" s="875"/>
    </row>
    <row r="176" s="780" customFormat="1" customHeight="1" spans="1:16">
      <c r="A176" s="794"/>
      <c r="C176" s="875"/>
      <c r="D176" s="875"/>
      <c r="E176" s="875"/>
      <c r="F176" s="875"/>
      <c r="G176" s="876"/>
      <c r="H176" s="875"/>
      <c r="I176" s="875"/>
      <c r="J176" s="875"/>
      <c r="K176" s="875"/>
      <c r="L176" s="877"/>
      <c r="M176" s="875"/>
      <c r="N176" s="875"/>
      <c r="O176" s="875"/>
      <c r="P176" s="875"/>
    </row>
    <row r="177" s="780" customFormat="1" customHeight="1" spans="1:19">
      <c r="A177" s="794"/>
      <c r="C177" s="875"/>
      <c r="D177" s="875"/>
      <c r="E177" s="875"/>
      <c r="F177" s="875"/>
      <c r="G177" s="876"/>
      <c r="H177" s="875"/>
      <c r="I177" s="875"/>
      <c r="J177" s="875"/>
      <c r="K177" s="875"/>
      <c r="L177" s="877"/>
      <c r="M177" s="875"/>
      <c r="N177" s="875"/>
      <c r="O177" s="875"/>
      <c r="P177" s="875"/>
    </row>
    <row r="178" s="780" customFormat="1" customHeight="1" spans="1:19">
      <c r="A178" s="794"/>
      <c r="C178" s="875"/>
      <c r="D178" s="875"/>
      <c r="E178" s="875"/>
      <c r="F178" s="875"/>
      <c r="G178" s="876"/>
      <c r="H178" s="875"/>
      <c r="I178" s="875"/>
      <c r="J178" s="875"/>
      <c r="K178" s="875"/>
      <c r="L178" s="877"/>
      <c r="M178" s="875"/>
      <c r="N178" s="875"/>
      <c r="O178" s="875"/>
      <c r="P178" s="875"/>
    </row>
    <row r="179" s="780" customFormat="1" customHeight="1" spans="1:19">
      <c r="A179" s="794"/>
      <c r="C179" s="875"/>
      <c r="D179" s="875"/>
      <c r="E179" s="875"/>
      <c r="F179" s="875"/>
      <c r="G179" s="876"/>
      <c r="H179" s="875"/>
      <c r="I179" s="875"/>
      <c r="J179" s="875"/>
      <c r="K179" s="875"/>
      <c r="L179" s="877"/>
      <c r="M179" s="875"/>
      <c r="N179" s="875"/>
      <c r="O179" s="875"/>
      <c r="P179" s="875"/>
      <c r="Q179" s="875"/>
      <c r="R179" s="875"/>
      <c r="S179" s="875"/>
    </row>
    <row r="180" s="780" customFormat="1" customHeight="1" spans="1:19">
      <c r="A180" s="794"/>
      <c r="C180" s="875"/>
      <c r="D180" s="875"/>
      <c r="E180" s="875"/>
      <c r="F180" s="875"/>
      <c r="G180" s="876"/>
      <c r="H180" s="875"/>
      <c r="I180" s="875"/>
      <c r="J180" s="875"/>
      <c r="K180" s="875"/>
      <c r="L180" s="877"/>
      <c r="M180" s="875"/>
      <c r="N180" s="875"/>
      <c r="O180" s="875"/>
      <c r="P180" s="875"/>
      <c r="Q180" s="875"/>
      <c r="R180" s="875"/>
      <c r="S180" s="875"/>
    </row>
    <row r="181" s="780" customFormat="1" customHeight="1" spans="1:19">
      <c r="A181" s="794"/>
      <c r="C181" s="875"/>
      <c r="D181" s="875"/>
      <c r="E181" s="875"/>
      <c r="F181" s="875"/>
      <c r="G181" s="876"/>
      <c r="H181" s="875"/>
      <c r="I181" s="875"/>
      <c r="J181" s="875"/>
      <c r="K181" s="875"/>
      <c r="L181" s="877"/>
      <c r="M181" s="875"/>
      <c r="N181" s="875"/>
      <c r="O181" s="875"/>
      <c r="P181" s="875"/>
      <c r="Q181" s="875"/>
      <c r="R181" s="875"/>
      <c r="S181" s="875"/>
    </row>
    <row r="182" s="780" customFormat="1" customHeight="1" spans="1:19">
      <c r="A182" s="794"/>
      <c r="B182" s="875"/>
      <c r="C182" s="875"/>
      <c r="D182" s="875"/>
      <c r="E182" s="875"/>
      <c r="F182" s="875"/>
      <c r="G182" s="876"/>
      <c r="H182" s="875"/>
      <c r="I182" s="875"/>
      <c r="J182" s="875"/>
      <c r="K182" s="875"/>
      <c r="L182" s="877"/>
      <c r="M182" s="875"/>
      <c r="N182" s="875"/>
      <c r="O182" s="875"/>
      <c r="P182" s="875"/>
      <c r="Q182" s="875"/>
      <c r="R182" s="875"/>
      <c r="S182" s="875"/>
    </row>
    <row r="183" s="780" customFormat="1" customHeight="1" spans="1:19">
      <c r="A183" s="794"/>
      <c r="B183" s="875"/>
      <c r="C183" s="875"/>
      <c r="D183" s="875"/>
      <c r="E183" s="875"/>
      <c r="F183" s="875"/>
      <c r="G183" s="876"/>
      <c r="H183" s="875"/>
      <c r="I183" s="875"/>
      <c r="J183" s="875"/>
      <c r="K183" s="875"/>
      <c r="L183" s="877"/>
      <c r="M183" s="875"/>
      <c r="N183" s="875"/>
      <c r="O183" s="875"/>
      <c r="P183" s="875"/>
      <c r="Q183" s="875"/>
      <c r="R183" s="875"/>
      <c r="S183" s="875"/>
    </row>
    <row r="184" s="780" customFormat="1" customHeight="1" spans="1:19">
      <c r="A184" s="794"/>
      <c r="B184" s="875"/>
      <c r="C184" s="875"/>
      <c r="D184" s="875"/>
      <c r="E184" s="875"/>
      <c r="F184" s="875"/>
      <c r="G184" s="876"/>
      <c r="H184" s="875"/>
      <c r="I184" s="875"/>
      <c r="J184" s="875"/>
      <c r="K184" s="875"/>
      <c r="L184" s="877"/>
      <c r="M184" s="875"/>
      <c r="N184" s="875"/>
      <c r="O184" s="875"/>
      <c r="P184" s="875"/>
      <c r="Q184" s="875"/>
      <c r="R184" s="875"/>
      <c r="S184" s="875"/>
    </row>
    <row r="185" s="780" customFormat="1" customHeight="1" spans="1:19">
      <c r="A185" s="794"/>
      <c r="B185" s="875"/>
      <c r="C185" s="875"/>
      <c r="D185" s="875"/>
      <c r="E185" s="875"/>
      <c r="F185" s="875"/>
      <c r="G185" s="876"/>
      <c r="H185" s="875"/>
      <c r="I185" s="875"/>
      <c r="J185" s="875"/>
      <c r="K185" s="875"/>
      <c r="L185" s="877"/>
      <c r="M185" s="875"/>
      <c r="N185" s="875"/>
      <c r="O185" s="875"/>
      <c r="P185" s="875"/>
      <c r="Q185" s="875"/>
      <c r="R185" s="875"/>
      <c r="S185" s="875"/>
    </row>
    <row r="186" s="780" customFormat="1" customHeight="1" spans="1:19">
      <c r="A186" s="794"/>
      <c r="B186" s="875"/>
      <c r="C186" s="875"/>
      <c r="D186" s="875"/>
      <c r="E186" s="875"/>
      <c r="F186" s="875"/>
      <c r="G186" s="876"/>
      <c r="H186" s="875"/>
      <c r="I186" s="875"/>
      <c r="J186" s="875"/>
      <c r="K186" s="875"/>
      <c r="L186" s="877"/>
      <c r="M186" s="875"/>
      <c r="N186" s="875"/>
      <c r="O186" s="875"/>
      <c r="P186" s="875"/>
      <c r="Q186" s="875"/>
      <c r="R186" s="875"/>
      <c r="S186" s="875"/>
    </row>
    <row r="187" s="780" customFormat="1" customHeight="1" spans="1:19">
      <c r="A187" s="794"/>
      <c r="B187" s="875"/>
      <c r="C187" s="875"/>
      <c r="D187" s="875"/>
      <c r="E187" s="875"/>
      <c r="F187" s="875"/>
      <c r="G187" s="876"/>
      <c r="H187" s="875"/>
      <c r="I187" s="875"/>
      <c r="J187" s="875"/>
      <c r="K187" s="875"/>
      <c r="L187" s="877"/>
      <c r="M187" s="875"/>
      <c r="N187" s="875"/>
      <c r="O187" s="875"/>
      <c r="P187" s="875"/>
      <c r="Q187" s="875"/>
      <c r="R187" s="875"/>
      <c r="S187" s="875"/>
    </row>
    <row r="188" s="780" customFormat="1" customHeight="1" spans="1:19">
      <c r="A188" s="794"/>
      <c r="B188" s="875"/>
      <c r="C188" s="875"/>
      <c r="D188" s="875"/>
      <c r="E188" s="875"/>
      <c r="F188" s="875"/>
      <c r="G188" s="876"/>
      <c r="H188" s="875"/>
      <c r="I188" s="875"/>
      <c r="J188" s="875"/>
      <c r="K188" s="875"/>
      <c r="L188" s="877"/>
      <c r="M188" s="875"/>
      <c r="N188" s="875"/>
      <c r="O188" s="875"/>
      <c r="P188" s="875"/>
      <c r="Q188" s="875"/>
      <c r="R188" s="875"/>
      <c r="S188" s="875"/>
    </row>
    <row r="189" s="780" customFormat="1" customHeight="1" spans="1:19">
      <c r="A189" s="794"/>
      <c r="B189" s="875"/>
      <c r="C189" s="875"/>
      <c r="D189" s="875"/>
      <c r="E189" s="875"/>
      <c r="F189" s="875"/>
      <c r="G189" s="876"/>
      <c r="H189" s="875"/>
      <c r="I189" s="875"/>
      <c r="J189" s="875"/>
      <c r="K189" s="875"/>
      <c r="L189" s="877"/>
      <c r="M189" s="875"/>
      <c r="N189" s="875"/>
      <c r="O189" s="875"/>
      <c r="P189" s="875"/>
      <c r="Q189" s="875"/>
      <c r="R189" s="875"/>
      <c r="S189" s="875"/>
    </row>
    <row r="190" s="780" customFormat="1" customHeight="1" spans="1:19">
      <c r="A190" s="794"/>
      <c r="B190" s="875"/>
      <c r="C190" s="875"/>
      <c r="D190" s="875"/>
      <c r="E190" s="875"/>
      <c r="F190" s="875"/>
      <c r="G190" s="876"/>
      <c r="H190" s="875"/>
      <c r="I190" s="875"/>
      <c r="J190" s="875"/>
      <c r="K190" s="875"/>
      <c r="L190" s="877"/>
      <c r="M190" s="875"/>
      <c r="N190" s="875"/>
      <c r="O190" s="875"/>
      <c r="P190" s="875"/>
      <c r="Q190" s="875"/>
      <c r="R190" s="875"/>
      <c r="S190" s="875"/>
    </row>
    <row r="191" s="780" customFormat="1" customHeight="1" spans="1:19">
      <c r="A191" s="794"/>
      <c r="B191" s="875"/>
      <c r="C191" s="875"/>
      <c r="D191" s="875"/>
      <c r="E191" s="875"/>
      <c r="F191" s="875"/>
      <c r="G191" s="876"/>
      <c r="H191" s="875"/>
      <c r="I191" s="875"/>
      <c r="J191" s="875"/>
      <c r="K191" s="875"/>
      <c r="L191" s="877"/>
      <c r="M191" s="875"/>
      <c r="N191" s="875"/>
      <c r="O191" s="875"/>
      <c r="P191" s="875"/>
      <c r="Q191" s="875"/>
      <c r="R191" s="875"/>
      <c r="S191" s="875"/>
    </row>
    <row r="192" s="780" customFormat="1" customHeight="1" spans="1:19">
      <c r="A192" s="794"/>
      <c r="B192" s="875"/>
      <c r="C192" s="875"/>
      <c r="D192" s="875"/>
      <c r="E192" s="875"/>
      <c r="F192" s="875"/>
      <c r="G192" s="876"/>
      <c r="H192" s="875"/>
      <c r="I192" s="875"/>
      <c r="J192" s="875"/>
      <c r="K192" s="875"/>
      <c r="L192" s="877"/>
      <c r="M192" s="875"/>
      <c r="N192" s="875"/>
      <c r="O192" s="875"/>
      <c r="P192" s="875"/>
      <c r="Q192" s="875"/>
      <c r="R192" s="875"/>
      <c r="S192" s="875"/>
    </row>
  </sheetData>
  <mergeCells count="5">
    <mergeCell ref="Z9:AB9"/>
    <mergeCell ref="H53:K53"/>
    <mergeCell ref="B33:B40"/>
    <mergeCell ref="B66:F69"/>
    <mergeCell ref="B86:G88"/>
  </mergeCells>
  <conditionalFormatting sqref="E42">
    <cfRule type="containsBlanks" dxfId="1" priority="43">
      <formula>LEN(TRIM(E42))=0</formula>
    </cfRule>
  </conditionalFormatting>
  <conditionalFormatting sqref="H42">
    <cfRule type="containsBlanks" dxfId="1" priority="37">
      <formula>LEN(TRIM(H42))=0</formula>
    </cfRule>
  </conditionalFormatting>
  <conditionalFormatting sqref="K42">
    <cfRule type="containsBlanks" dxfId="1" priority="33">
      <formula>LEN(TRIM(K42))=0</formula>
    </cfRule>
  </conditionalFormatting>
  <conditionalFormatting sqref="N42">
    <cfRule type="containsBlanks" dxfId="1" priority="29">
      <formula>LEN(TRIM(N42))=0</formula>
    </cfRule>
  </conditionalFormatting>
  <conditionalFormatting sqref="Q42">
    <cfRule type="containsBlanks" dxfId="1" priority="25">
      <formula>LEN(TRIM(Q42))=0</formula>
    </cfRule>
  </conditionalFormatting>
  <conditionalFormatting sqref="T42">
    <cfRule type="containsBlanks" dxfId="1" priority="21">
      <formula>LEN(TRIM(T42))=0</formula>
    </cfRule>
  </conditionalFormatting>
  <conditionalFormatting sqref="W42">
    <cfRule type="containsBlanks" dxfId="1" priority="17">
      <formula>LEN(TRIM(W42))=0</formula>
    </cfRule>
  </conditionalFormatting>
  <conditionalFormatting sqref="Z42">
    <cfRule type="containsBlanks" dxfId="1" priority="13">
      <formula>LEN(TRIM(Z42))=0</formula>
    </cfRule>
  </conditionalFormatting>
  <conditionalFormatting sqref="E44">
    <cfRule type="containsBlanks" dxfId="1" priority="40">
      <formula>LEN(TRIM(E44))=0</formula>
    </cfRule>
  </conditionalFormatting>
  <conditionalFormatting sqref="H44">
    <cfRule type="containsBlanks" dxfId="1" priority="36">
      <formula>LEN(TRIM(H44))=0</formula>
    </cfRule>
  </conditionalFormatting>
  <conditionalFormatting sqref="K44">
    <cfRule type="containsBlanks" dxfId="1" priority="32">
      <formula>LEN(TRIM(K44))=0</formula>
    </cfRule>
  </conditionalFormatting>
  <conditionalFormatting sqref="N44">
    <cfRule type="containsBlanks" dxfId="1" priority="28">
      <formula>LEN(TRIM(N44))=0</formula>
    </cfRule>
  </conditionalFormatting>
  <conditionalFormatting sqref="Q44">
    <cfRule type="containsBlanks" dxfId="1" priority="24">
      <formula>LEN(TRIM(Q44))=0</formula>
    </cfRule>
  </conditionalFormatting>
  <conditionalFormatting sqref="T44">
    <cfRule type="containsBlanks" dxfId="1" priority="20">
      <formula>LEN(TRIM(T44))=0</formula>
    </cfRule>
  </conditionalFormatting>
  <conditionalFormatting sqref="W44">
    <cfRule type="containsBlanks" dxfId="1" priority="16">
      <formula>LEN(TRIM(W44))=0</formula>
    </cfRule>
  </conditionalFormatting>
  <conditionalFormatting sqref="Z44">
    <cfRule type="containsBlanks" dxfId="1" priority="9">
      <formula>LEN(TRIM(Z44))=0</formula>
    </cfRule>
  </conditionalFormatting>
  <conditionalFormatting sqref="E46">
    <cfRule type="containsBlanks" dxfId="1" priority="39">
      <formula>LEN(TRIM(E46))=0</formula>
    </cfRule>
  </conditionalFormatting>
  <conditionalFormatting sqref="H46">
    <cfRule type="containsBlanks" dxfId="1" priority="35">
      <formula>LEN(TRIM(H46))=0</formula>
    </cfRule>
  </conditionalFormatting>
  <conditionalFormatting sqref="K46">
    <cfRule type="containsBlanks" dxfId="1" priority="31">
      <formula>LEN(TRIM(K46))=0</formula>
    </cfRule>
  </conditionalFormatting>
  <conditionalFormatting sqref="N46">
    <cfRule type="containsBlanks" dxfId="1" priority="27">
      <formula>LEN(TRIM(N46))=0</formula>
    </cfRule>
  </conditionalFormatting>
  <conditionalFormatting sqref="Q46">
    <cfRule type="containsBlanks" dxfId="1" priority="23">
      <formula>LEN(TRIM(Q46))=0</formula>
    </cfRule>
  </conditionalFormatting>
  <conditionalFormatting sqref="T46">
    <cfRule type="containsBlanks" dxfId="1" priority="19">
      <formula>LEN(TRIM(T46))=0</formula>
    </cfRule>
  </conditionalFormatting>
  <conditionalFormatting sqref="W46">
    <cfRule type="containsBlanks" dxfId="1" priority="15">
      <formula>LEN(TRIM(W46))=0</formula>
    </cfRule>
  </conditionalFormatting>
  <conditionalFormatting sqref="Z46">
    <cfRule type="containsBlanks" dxfId="1" priority="8">
      <formula>LEN(TRIM(Z46))=0</formula>
    </cfRule>
  </conditionalFormatting>
  <conditionalFormatting sqref="E48">
    <cfRule type="containsBlanks" dxfId="1" priority="38">
      <formula>LEN(TRIM(E48))=0</formula>
    </cfRule>
  </conditionalFormatting>
  <conditionalFormatting sqref="H48">
    <cfRule type="containsBlanks" dxfId="1" priority="34">
      <formula>LEN(TRIM(H48))=0</formula>
    </cfRule>
  </conditionalFormatting>
  <conditionalFormatting sqref="K48">
    <cfRule type="containsBlanks" dxfId="1" priority="30">
      <formula>LEN(TRIM(K48))=0</formula>
    </cfRule>
  </conditionalFormatting>
  <conditionalFormatting sqref="N48">
    <cfRule type="containsBlanks" dxfId="1" priority="26">
      <formula>LEN(TRIM(N48))=0</formula>
    </cfRule>
  </conditionalFormatting>
  <conditionalFormatting sqref="Q48">
    <cfRule type="containsBlanks" dxfId="1" priority="22">
      <formula>LEN(TRIM(Q48))=0</formula>
    </cfRule>
  </conditionalFormatting>
  <conditionalFormatting sqref="T48">
    <cfRule type="containsBlanks" dxfId="1" priority="18">
      <formula>LEN(TRIM(T48))=0</formula>
    </cfRule>
  </conditionalFormatting>
  <conditionalFormatting sqref="W48">
    <cfRule type="containsBlanks" dxfId="1" priority="14">
      <formula>LEN(TRIM(W48))=0</formula>
    </cfRule>
  </conditionalFormatting>
  <conditionalFormatting sqref="Z48">
    <cfRule type="containsBlanks" dxfId="1" priority="7">
      <formula>LEN(TRIM(Z48))=0</formula>
    </cfRule>
  </conditionalFormatting>
  <conditionalFormatting sqref="D75:D78">
    <cfRule type="containsBlanks" dxfId="1" priority="1">
      <formula>LEN(TRIM(D75))=0</formula>
    </cfRule>
  </conditionalFormatting>
  <conditionalFormatting sqref="F10 I10 L10 O10 R10 U10 X10">
    <cfRule type="containsBlanks" dxfId="1" priority="44">
      <formula>LEN(TRIM(F10))=0</formula>
    </cfRule>
  </conditionalFormatting>
  <conditionalFormatting sqref="E12:E17 H12:H17 K12:K17 N12:N17 Q12:Q17 T12:T17 W12:W17 E19:E23 H19:H23 K19:K23 N19:N23 Q19:Q23 T19:T23 W19:W23 E25:E29 H25:H29 K25:K29 N25:N29 Q25:Q29 T25:T29 W25:W29">
    <cfRule type="containsBlanks" dxfId="1" priority="45">
      <formula>LEN(TRIM(E12))=0</formula>
    </cfRule>
  </conditionalFormatting>
  <conditionalFormatting sqref="B55:F61">
    <cfRule type="containsBlanks" dxfId="1" priority="3">
      <formula>LEN(TRIM(B55))=0</formula>
    </cfRule>
  </conditionalFormatting>
  <conditionalFormatting sqref="F75:F78 D79:F79 B75:C79">
    <cfRule type="containsBlanks" dxfId="1" priority="2">
      <formula>LEN(TRIM(B75))=0</formula>
    </cfRule>
  </conditionalFormatting>
  <hyperlinks>
    <hyperlink ref="B4" location="'汇总 '!A1" display="返回汇总页"/>
  </hyperlink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367"/>
  <sheetViews>
    <sheetView showGridLines="0" zoomScale="70" zoomScaleNormal="70" zoomScaleSheetLayoutView="70" topLeftCell="C9" workbookViewId="0">
      <selection activeCell="K51" sqref="K51"/>
    </sheetView>
  </sheetViews>
  <sheetFormatPr defaultColWidth="8.09009009009009" defaultRowHeight="12.75" customHeight="1"/>
  <cols>
    <col min="1" max="1" width="9" style="57" customWidth="1"/>
    <col min="2" max="2" width="5.09009009009009" style="58" customWidth="1"/>
    <col min="3" max="3" width="15.3603603603604" style="58" customWidth="1"/>
    <col min="4" max="4" width="16.9099099099099" style="58" customWidth="1"/>
    <col min="5" max="5" width="24.9099099099099" style="58" customWidth="1"/>
    <col min="6" max="6" width="14.4504504504505" style="58" customWidth="1"/>
    <col min="7" max="7" width="17.9099099099099" style="58" customWidth="1"/>
    <col min="8" max="8" width="14" style="58" customWidth="1"/>
    <col min="9" max="9" width="17.0900900900901" style="58" customWidth="1"/>
    <col min="10" max="10" width="18.9099099099099" style="58" customWidth="1"/>
    <col min="11" max="11" width="18.0900900900901" style="58" customWidth="1"/>
    <col min="12" max="12" width="16.6306306306306" style="58" customWidth="1"/>
    <col min="13" max="13" width="19.9099099099099" style="58" customWidth="1"/>
    <col min="14" max="14" width="13.6306306306306" style="58" customWidth="1"/>
    <col min="15" max="15" width="15.4504504504505" style="58" customWidth="1"/>
    <col min="16" max="16" width="11.0900900900901" style="58" customWidth="1"/>
    <col min="17" max="17" width="15.4504504504505" style="58" customWidth="1"/>
    <col min="18" max="18" width="16.0900900900901" style="58" customWidth="1"/>
    <col min="19" max="19" width="15.0900900900901" style="58" customWidth="1"/>
    <col min="20" max="20" width="20.0900900900901" style="58" customWidth="1"/>
    <col min="21" max="21" width="11.3603603603604" style="58" customWidth="1"/>
    <col min="22" max="22" width="20.0900900900901" style="58" customWidth="1"/>
    <col min="23" max="23" width="2.90990990990991" style="58" customWidth="1"/>
    <col min="24" max="24" width="24.6306306306306" style="58" customWidth="1"/>
    <col min="25" max="25" width="18.9099099099099" style="58" customWidth="1"/>
    <col min="26" max="26" width="10.9099099099099" style="58" customWidth="1"/>
    <col min="27" max="27" width="21.4504504504505" style="58" customWidth="1"/>
    <col min="28" max="28" width="11.3603603603604" style="58" customWidth="1"/>
    <col min="29" max="16384" width="8.09009009009009" style="58"/>
  </cols>
  <sheetData>
    <row r="1" s="780" customFormat="1" ht="20.15" customHeight="1" spans="1:39">
      <c r="A1" s="785"/>
      <c r="B1" s="786"/>
      <c r="C1" s="787"/>
      <c r="D1" s="787"/>
      <c r="E1" s="788"/>
      <c r="F1" s="789"/>
      <c r="G1" s="790"/>
      <c r="H1" s="790"/>
      <c r="I1" s="790"/>
      <c r="J1" s="790"/>
      <c r="K1" s="790"/>
      <c r="L1" s="790"/>
      <c r="M1" s="791"/>
      <c r="N1" s="791"/>
      <c r="O1" s="791"/>
      <c r="P1" s="791"/>
      <c r="Q1" s="791"/>
      <c r="R1" s="791"/>
      <c r="S1" s="791"/>
      <c r="T1" s="791"/>
      <c r="U1" s="791"/>
      <c r="V1" s="791"/>
      <c r="W1" s="791"/>
      <c r="X1" s="791"/>
      <c r="Y1" s="791"/>
      <c r="Z1" s="791"/>
      <c r="AA1" s="791"/>
      <c r="AB1" s="791"/>
      <c r="AC1" s="791"/>
      <c r="AD1" s="791"/>
      <c r="AE1" s="791"/>
      <c r="AF1" s="791"/>
      <c r="AG1" s="791"/>
      <c r="AH1" s="791"/>
      <c r="AI1" s="791"/>
      <c r="AJ1" s="791"/>
      <c r="AK1" s="791"/>
      <c r="AL1" s="791"/>
      <c r="AM1" s="791"/>
    </row>
    <row r="2" s="780" customFormat="1" ht="19.5" customHeight="1" spans="1:39">
      <c r="A2" s="785"/>
      <c r="B2" s="786"/>
      <c r="C2" s="792"/>
      <c r="D2" s="787"/>
      <c r="E2" s="788"/>
      <c r="F2" s="789"/>
      <c r="G2" s="790"/>
      <c r="H2" s="790"/>
      <c r="I2" s="790"/>
      <c r="J2" s="790"/>
      <c r="K2" s="790"/>
      <c r="M2" s="791"/>
      <c r="N2" s="791"/>
      <c r="O2" s="793" t="s">
        <v>253</v>
      </c>
      <c r="Q2" s="791"/>
      <c r="R2" s="791"/>
      <c r="S2" s="791"/>
      <c r="T2" s="791"/>
      <c r="U2" s="791"/>
      <c r="V2" s="791"/>
      <c r="W2" s="791"/>
      <c r="X2" s="791"/>
      <c r="Y2" s="791"/>
      <c r="Z2" s="791"/>
      <c r="AA2" s="791"/>
      <c r="AB2" s="791"/>
      <c r="AC2" s="791"/>
      <c r="AD2" s="791"/>
      <c r="AE2" s="791"/>
      <c r="AF2" s="791"/>
      <c r="AG2" s="791"/>
      <c r="AH2" s="791"/>
      <c r="AI2" s="791"/>
      <c r="AJ2" s="791"/>
      <c r="AK2" s="791"/>
      <c r="AL2" s="791"/>
      <c r="AM2" s="791"/>
    </row>
    <row r="3" s="780" customFormat="1" ht="13.15" spans="1:39">
      <c r="A3" s="794"/>
      <c r="Q3" s="795"/>
    </row>
    <row r="4" s="780" customFormat="1" ht="15.3" spans="1:39">
      <c r="A4" s="794"/>
      <c r="Q4" s="795"/>
      <c r="R4" s="796"/>
      <c r="S4" s="797"/>
      <c r="T4" s="798" t="s">
        <v>222</v>
      </c>
      <c r="U4" s="797"/>
      <c r="V4" s="799"/>
      <c r="W4" s="189"/>
      <c r="X4" s="800"/>
      <c r="Y4" s="801" t="s">
        <v>254</v>
      </c>
      <c r="Z4" s="802"/>
      <c r="AA4" s="803"/>
    </row>
    <row r="5" s="780" customFormat="1" ht="14.55" spans="1:39">
      <c r="A5" s="794"/>
      <c r="Q5" s="795"/>
      <c r="R5" s="804" t="s">
        <v>224</v>
      </c>
      <c r="S5" s="805" t="s">
        <v>225</v>
      </c>
      <c r="T5" s="805" t="s">
        <v>226</v>
      </c>
      <c r="U5" s="805" t="s">
        <v>227</v>
      </c>
      <c r="V5" s="806" t="s">
        <v>228</v>
      </c>
      <c r="W5" s="164"/>
      <c r="X5" s="807" t="s">
        <v>225</v>
      </c>
      <c r="Y5" s="805" t="s">
        <v>226</v>
      </c>
      <c r="Z5" s="805" t="s">
        <v>227</v>
      </c>
      <c r="AA5" s="806" t="s">
        <v>228</v>
      </c>
    </row>
    <row r="6" s="780" customFormat="1" ht="12.4" spans="1:39">
      <c r="A6" s="794"/>
      <c r="Q6" s="795"/>
      <c r="R6" s="808" t="str">
        <f>'[7]K.01.1 BKD'!G17</f>
        <v>办公设备</v>
      </c>
      <c r="S6" s="809">
        <f t="shared" ref="S6:V10" si="0">SUMIF($C$16:$C$335,$R6,L$16:L$335)</f>
        <v>899364.01</v>
      </c>
      <c r="T6" s="809">
        <f t="shared" si="0"/>
        <v>765690.88</v>
      </c>
      <c r="U6" s="809">
        <f t="shared" si="0"/>
        <v>0</v>
      </c>
      <c r="V6" s="810">
        <f t="shared" si="0"/>
        <v>133673.13</v>
      </c>
      <c r="X6" s="811">
        <f>S6-'K.01 Agree SL to GL'!E18</f>
        <v>0</v>
      </c>
      <c r="Y6" s="809">
        <f>T6-'K.01 Agree SL to GL'!E24</f>
        <v>0</v>
      </c>
      <c r="Z6" s="809">
        <f>U6-'[7]K.01.1 BKD'!F37</f>
        <v>0</v>
      </c>
      <c r="AA6" s="810">
        <f>V6-'K.01 Agree SL to GL'!E32</f>
        <v>0</v>
      </c>
    </row>
    <row r="7" s="780" customFormat="1" ht="12.4" spans="1:39">
      <c r="A7" s="794"/>
      <c r="Q7" s="795"/>
      <c r="R7" s="808" t="str">
        <f>'[7]K.01.1 BKD'!J17</f>
        <v>电子设备</v>
      </c>
      <c r="S7" s="809">
        <f t="shared" si="0"/>
        <v>964611.16</v>
      </c>
      <c r="T7" s="809">
        <f t="shared" si="0"/>
        <v>778184.99</v>
      </c>
      <c r="U7" s="809">
        <f t="shared" si="0"/>
        <v>0</v>
      </c>
      <c r="V7" s="810">
        <f t="shared" si="0"/>
        <v>186426.17</v>
      </c>
      <c r="X7" s="811">
        <f>S7-'K.01 Agree SL to GL'!H18</f>
        <v>0</v>
      </c>
      <c r="Y7" s="809">
        <f>T7-'K.01 Agree SL to GL'!H24</f>
        <v>0</v>
      </c>
      <c r="Z7" s="809">
        <f>U7-'[7]K.01.1 BKD'!I37</f>
        <v>0</v>
      </c>
      <c r="AA7" s="810">
        <f>V7-'K.01 Agree SL to GL'!H32</f>
        <v>-2.61934474110603e-10</v>
      </c>
    </row>
    <row r="8" s="780" customFormat="1" ht="12.4" spans="1:39">
      <c r="A8" s="794"/>
      <c r="Q8" s="795"/>
      <c r="R8" s="808" t="str">
        <f>'[7]K.01.1 BKD'!M17</f>
        <v>仪器设备</v>
      </c>
      <c r="S8" s="812">
        <f t="shared" si="0"/>
        <v>14496928.04</v>
      </c>
      <c r="T8" s="812">
        <f t="shared" si="0"/>
        <v>11175363.07</v>
      </c>
      <c r="U8" s="812">
        <f t="shared" si="0"/>
        <v>0</v>
      </c>
      <c r="V8" s="813">
        <f t="shared" si="0"/>
        <v>3407750.31</v>
      </c>
      <c r="X8" s="814">
        <f>S8-'K.01 Agree SL to GL'!K18</f>
        <v>0</v>
      </c>
      <c r="Y8" s="812">
        <v>0</v>
      </c>
      <c r="Z8" s="812">
        <f>U8-'[7]K.01.1 BKD'!L37</f>
        <v>0</v>
      </c>
      <c r="AA8" s="813">
        <f>V8-'K.01 Agree SL to GL'!K32</f>
        <v>0</v>
      </c>
    </row>
    <row r="9" s="780" customFormat="1" ht="12.4" spans="1:39">
      <c r="A9" s="794"/>
      <c r="Q9" s="795"/>
      <c r="R9" s="808" t="str">
        <f>'[7]K.01.1 BKD'!P17</f>
        <v>其他设备</v>
      </c>
      <c r="S9" s="809">
        <f t="shared" si="0"/>
        <v>326588.5</v>
      </c>
      <c r="T9" s="809">
        <f t="shared" si="0"/>
        <v>307607.11</v>
      </c>
      <c r="U9" s="809">
        <f t="shared" si="0"/>
        <v>0</v>
      </c>
      <c r="V9" s="810">
        <f t="shared" si="0"/>
        <v>18981.39</v>
      </c>
      <c r="X9" s="811">
        <f>S9-'K.01 Agree SL to GL'!N18</f>
        <v>0</v>
      </c>
      <c r="Y9" s="809">
        <f>T9-'K.01 Agree SL to GL'!N24</f>
        <v>0</v>
      </c>
      <c r="Z9" s="809">
        <f>U9-'[7]K.01.1 BKD'!O37</f>
        <v>0</v>
      </c>
      <c r="AA9" s="810">
        <f>V9-'K.01 Agree SL to GL'!N32</f>
        <v>0</v>
      </c>
    </row>
    <row r="10" s="780" customFormat="1" ht="12.4" spans="1:39">
      <c r="A10" s="794"/>
      <c r="Q10" s="795"/>
      <c r="R10" s="808" t="str">
        <f>'[7]K.01.1 BKD'!S17</f>
        <v>运输工具</v>
      </c>
      <c r="S10" s="809">
        <f t="shared" si="0"/>
        <v>1353363.64</v>
      </c>
      <c r="T10" s="809">
        <f t="shared" si="0"/>
        <v>1167768.56</v>
      </c>
      <c r="U10" s="809">
        <f t="shared" si="0"/>
        <v>0</v>
      </c>
      <c r="V10" s="810">
        <f t="shared" si="0"/>
        <v>185595.08</v>
      </c>
      <c r="X10" s="811">
        <f>S10-'K.01 Agree SL to GL'!Q18</f>
        <v>0</v>
      </c>
      <c r="Y10" s="809">
        <f>T10-'K.01 Agree SL to GL'!Q24</f>
        <v>0</v>
      </c>
      <c r="Z10" s="809">
        <f>U10-'[7]K.01.1 BKD'!R37</f>
        <v>0</v>
      </c>
      <c r="AA10" s="810">
        <f>V10-'K.01 Agree SL to GL'!Q32</f>
        <v>0</v>
      </c>
    </row>
    <row r="11" s="189" customFormat="1" ht="18.3" spans="1:39">
      <c r="A11" s="57"/>
      <c r="B11" s="815"/>
      <c r="C11" s="816" t="s">
        <v>255</v>
      </c>
      <c r="D11" s="816"/>
      <c r="E11" s="816"/>
      <c r="F11" s="816"/>
      <c r="G11" s="816"/>
      <c r="H11" s="816"/>
      <c r="I11" s="816"/>
      <c r="J11" s="816"/>
      <c r="K11" s="816"/>
      <c r="L11" s="816"/>
      <c r="M11" s="816"/>
      <c r="N11" s="816"/>
      <c r="O11" s="816"/>
      <c r="P11" s="816"/>
      <c r="Q11" s="817"/>
      <c r="R11" s="818" t="s">
        <v>229</v>
      </c>
      <c r="S11" s="819">
        <f>SUM(S6:S10)</f>
        <v>18040855.35</v>
      </c>
      <c r="T11" s="819">
        <f>SUM(T6:T10)</f>
        <v>14194614.61</v>
      </c>
      <c r="U11" s="819">
        <f>SUM(U6:U10)</f>
        <v>0</v>
      </c>
      <c r="V11" s="820">
        <f>SUM(V6:V10)</f>
        <v>3932426.08</v>
      </c>
      <c r="W11" s="821"/>
      <c r="X11" s="822"/>
      <c r="Y11" s="823"/>
      <c r="Z11" s="823"/>
      <c r="AA11" s="824"/>
    </row>
    <row r="12" s="780" customFormat="1" ht="17.55" spans="1:39">
      <c r="A12" s="825"/>
      <c r="B12" s="826"/>
      <c r="Q12" s="817"/>
      <c r="R12" s="781"/>
      <c r="S12" s="827" t="s">
        <v>104</v>
      </c>
      <c r="T12" s="827" t="s">
        <v>104</v>
      </c>
      <c r="U12" s="827" t="s">
        <v>104</v>
      </c>
      <c r="V12" s="827" t="s">
        <v>104</v>
      </c>
      <c r="W12" s="781"/>
      <c r="X12" s="781"/>
      <c r="Y12" s="781"/>
      <c r="Z12" s="781"/>
      <c r="AA12" s="781"/>
    </row>
    <row r="13" s="781" customFormat="1" ht="12.4" spans="1:39">
      <c r="A13" s="828"/>
      <c r="D13" s="829"/>
      <c r="E13" s="829"/>
      <c r="F13" s="829"/>
      <c r="G13" s="829"/>
      <c r="H13" s="829"/>
      <c r="I13" s="829"/>
      <c r="J13" s="829"/>
      <c r="K13" s="829"/>
      <c r="L13" s="829"/>
      <c r="M13" s="829"/>
      <c r="N13" s="829"/>
      <c r="O13" s="829"/>
      <c r="P13" s="829"/>
      <c r="Q13" s="829"/>
      <c r="R13" s="829"/>
    </row>
    <row r="14" s="782" customFormat="1" ht="20.15" customHeight="1" spans="1:39">
      <c r="A14" s="828"/>
      <c r="B14" s="781"/>
      <c r="C14" s="829" t="s">
        <v>256</v>
      </c>
      <c r="D14" s="830"/>
      <c r="E14" s="830"/>
      <c r="F14" s="830"/>
      <c r="G14" s="830"/>
      <c r="H14" s="830"/>
      <c r="I14" s="830"/>
      <c r="J14" s="830"/>
      <c r="K14" s="830"/>
      <c r="L14" s="830"/>
      <c r="M14" s="830"/>
      <c r="N14" s="830"/>
      <c r="O14" s="830"/>
      <c r="P14" s="830"/>
      <c r="Q14" s="830"/>
      <c r="R14" s="830"/>
    </row>
    <row r="15" s="781" customFormat="1" ht="15.3" spans="1:39">
      <c r="A15" s="828"/>
      <c r="B15" s="794" t="s">
        <v>174</v>
      </c>
      <c r="C15" s="831" t="s">
        <v>257</v>
      </c>
      <c r="D15" s="832"/>
      <c r="E15" s="832"/>
      <c r="F15" s="833"/>
      <c r="G15" s="833"/>
      <c r="H15" s="832"/>
      <c r="I15" s="832"/>
      <c r="J15" s="832"/>
      <c r="K15" s="832"/>
      <c r="L15" s="832"/>
      <c r="M15" s="834"/>
      <c r="N15" s="834"/>
      <c r="O15" s="834"/>
      <c r="P15" s="835"/>
      <c r="R15" s="836"/>
      <c r="S15" s="836"/>
      <c r="T15" s="836"/>
      <c r="U15" s="836"/>
    </row>
    <row r="16" s="783" customFormat="1" ht="13.7" spans="1:39">
      <c r="A16" s="837"/>
      <c r="C16" s="579" t="s">
        <v>258</v>
      </c>
      <c r="D16" s="580" t="s">
        <v>259</v>
      </c>
      <c r="E16" s="580" t="s">
        <v>260</v>
      </c>
      <c r="F16" s="580" t="s">
        <v>261</v>
      </c>
      <c r="G16" s="580" t="s">
        <v>262</v>
      </c>
      <c r="H16" s="580" t="s">
        <v>263</v>
      </c>
      <c r="I16" s="580" t="s">
        <v>264</v>
      </c>
      <c r="J16" s="580" t="s">
        <v>265</v>
      </c>
      <c r="K16" s="580" t="s">
        <v>266</v>
      </c>
      <c r="L16" s="581" t="s">
        <v>267</v>
      </c>
      <c r="M16" s="581" t="s">
        <v>268</v>
      </c>
      <c r="N16" s="580" t="s">
        <v>269</v>
      </c>
      <c r="O16" s="580" t="s">
        <v>270</v>
      </c>
      <c r="P16" s="582" t="s">
        <v>271</v>
      </c>
      <c r="Q16" s="583"/>
      <c r="R16" s="838"/>
      <c r="S16" s="838"/>
      <c r="T16" s="838"/>
      <c r="U16" s="838"/>
    </row>
    <row r="17" s="781" customFormat="1" ht="12.65" customHeight="1" spans="1:18">
      <c r="A17" s="828"/>
      <c r="C17" s="839" t="s">
        <v>177</v>
      </c>
      <c r="D17" s="840" t="s">
        <v>272</v>
      </c>
      <c r="E17" s="841" t="s">
        <v>273</v>
      </c>
      <c r="F17" s="841" t="s">
        <v>274</v>
      </c>
      <c r="G17" s="841">
        <v>60</v>
      </c>
      <c r="H17" s="842">
        <v>0.05</v>
      </c>
      <c r="I17" s="587">
        <v>7360</v>
      </c>
      <c r="J17" s="587">
        <f>_xlfn.XLOOKUP(D17,'[7]K.01.1a FA list'!$D$22:$D$348,'[7]K.01.1a FA list'!$M$22:$M$348)</f>
        <v>6992</v>
      </c>
      <c r="K17" s="587">
        <f>M17-J17</f>
        <v>0</v>
      </c>
      <c r="L17" s="587">
        <v>7360</v>
      </c>
      <c r="M17" s="587">
        <f>_xlfn.XLOOKUP(D17,[8]新增资产!$C:$C,[8]新增资产!$L:$L)</f>
        <v>6992</v>
      </c>
      <c r="N17" s="587">
        <v>0</v>
      </c>
      <c r="O17" s="843">
        <f>L17-M17</f>
        <v>368</v>
      </c>
      <c r="P17" s="591" t="str">
        <f t="shared" ref="P17:P79" si="1">IF(ROUND(L17*(1-H17),0)=ROUND(M17,0),"是","否")</f>
        <v>是</v>
      </c>
      <c r="Q17" s="592"/>
    </row>
    <row r="18" s="781" customFormat="1" ht="12.45" spans="1:18">
      <c r="A18" s="828"/>
      <c r="C18" s="844" t="s">
        <v>177</v>
      </c>
      <c r="D18" s="845" t="s">
        <v>275</v>
      </c>
      <c r="E18" s="846" t="s">
        <v>276</v>
      </c>
      <c r="F18" s="846" t="s">
        <v>274</v>
      </c>
      <c r="G18" s="846">
        <v>60</v>
      </c>
      <c r="H18" s="847">
        <v>0.05</v>
      </c>
      <c r="I18" s="587">
        <v>4060</v>
      </c>
      <c r="J18" s="587">
        <f>_xlfn.XLOOKUP(D18,'[7]K.01.1a FA list'!$D$22:$D$348,'[7]K.01.1a FA list'!$M$22:$M$348)</f>
        <v>3857</v>
      </c>
      <c r="K18" s="587">
        <f t="shared" ref="K18:K81" si="2">M18-J18</f>
        <v>0</v>
      </c>
      <c r="L18" s="587">
        <v>4060</v>
      </c>
      <c r="M18" s="587">
        <f>_xlfn.XLOOKUP(D18,[8]新增资产!$C:$C,[8]新增资产!$L:$L)</f>
        <v>3857</v>
      </c>
      <c r="N18" s="587">
        <v>0</v>
      </c>
      <c r="O18" s="843">
        <f t="shared" ref="O18:O81" si="3">L18-M18</f>
        <v>203</v>
      </c>
      <c r="P18" s="591" t="str">
        <f t="shared" si="1"/>
        <v>是</v>
      </c>
      <c r="Q18" s="592"/>
    </row>
    <row r="19" s="781" customFormat="1" ht="12.45" spans="1:18">
      <c r="A19" s="828"/>
      <c r="C19" s="844" t="s">
        <v>177</v>
      </c>
      <c r="D19" s="845" t="s">
        <v>277</v>
      </c>
      <c r="E19" s="846" t="s">
        <v>278</v>
      </c>
      <c r="F19" s="846" t="s">
        <v>274</v>
      </c>
      <c r="G19" s="846">
        <v>60</v>
      </c>
      <c r="H19" s="847">
        <v>0.05</v>
      </c>
      <c r="I19" s="587">
        <v>2790</v>
      </c>
      <c r="J19" s="587">
        <f>_xlfn.XLOOKUP(D19,'[7]K.01.1a FA list'!$D$22:$D$348,'[7]K.01.1a FA list'!$M$22:$M$348)</f>
        <v>2650.5</v>
      </c>
      <c r="K19" s="587">
        <f t="shared" si="2"/>
        <v>0</v>
      </c>
      <c r="L19" s="587">
        <v>2790</v>
      </c>
      <c r="M19" s="587">
        <f>_xlfn.XLOOKUP(D19,[8]新增资产!$C:$C,[8]新增资产!$L:$L)</f>
        <v>2650.5</v>
      </c>
      <c r="N19" s="587">
        <v>0</v>
      </c>
      <c r="O19" s="843">
        <f t="shared" si="3"/>
        <v>139.5</v>
      </c>
      <c r="P19" s="591" t="str">
        <f t="shared" si="1"/>
        <v>是</v>
      </c>
      <c r="Q19" s="592"/>
    </row>
    <row r="20" s="781" customFormat="1" ht="12.45" spans="1:18">
      <c r="A20" s="828"/>
      <c r="C20" s="584" t="s">
        <v>177</v>
      </c>
      <c r="D20" s="373" t="s">
        <v>279</v>
      </c>
      <c r="E20" s="374" t="s">
        <v>280</v>
      </c>
      <c r="F20" s="374" t="s">
        <v>274</v>
      </c>
      <c r="G20" s="374">
        <v>60</v>
      </c>
      <c r="H20" s="586">
        <v>0.05</v>
      </c>
      <c r="I20" s="587">
        <v>4000</v>
      </c>
      <c r="J20" s="587">
        <f>_xlfn.XLOOKUP(D20,'[7]K.01.1a FA list'!$D$22:$D$348,'[7]K.01.1a FA list'!$M$22:$M$348)</f>
        <v>3800</v>
      </c>
      <c r="K20" s="587">
        <f t="shared" si="2"/>
        <v>0</v>
      </c>
      <c r="L20" s="587">
        <v>4000</v>
      </c>
      <c r="M20" s="587">
        <f>_xlfn.XLOOKUP(D20,[8]新增资产!$C:$C,[8]新增资产!$L:$L)</f>
        <v>3800</v>
      </c>
      <c r="N20" s="587">
        <v>0</v>
      </c>
      <c r="O20" s="843">
        <f t="shared" si="3"/>
        <v>200</v>
      </c>
      <c r="P20" s="591" t="str">
        <f t="shared" si="1"/>
        <v>是</v>
      </c>
      <c r="Q20" s="592"/>
    </row>
    <row r="21" s="781" customFormat="1" ht="12.45" spans="1:18">
      <c r="A21" s="828"/>
      <c r="C21" s="584" t="s">
        <v>177</v>
      </c>
      <c r="D21" s="373" t="s">
        <v>281</v>
      </c>
      <c r="E21" s="374" t="s">
        <v>282</v>
      </c>
      <c r="F21" s="374" t="s">
        <v>283</v>
      </c>
      <c r="G21" s="374">
        <v>36</v>
      </c>
      <c r="H21" s="586">
        <v>0.05</v>
      </c>
      <c r="I21" s="587">
        <v>14170</v>
      </c>
      <c r="J21" s="587">
        <f>_xlfn.XLOOKUP(D21,'[7]K.01.1a FA list'!$D$22:$D$348,'[7]K.01.1a FA list'!$M$22:$M$348)</f>
        <v>13603.2</v>
      </c>
      <c r="K21" s="587">
        <f t="shared" si="2"/>
        <v>0</v>
      </c>
      <c r="L21" s="587">
        <v>14170</v>
      </c>
      <c r="M21" s="587">
        <f>_xlfn.XLOOKUP(D21,[8]新增资产!$C:$C,[8]新增资产!$L:$L)</f>
        <v>13603.2</v>
      </c>
      <c r="N21" s="587">
        <v>0</v>
      </c>
      <c r="O21" s="843">
        <f t="shared" si="3"/>
        <v>566.799999999999</v>
      </c>
      <c r="P21" s="591" t="str">
        <f t="shared" si="1"/>
        <v>否</v>
      </c>
      <c r="Q21" s="592"/>
    </row>
    <row r="22" s="781" customFormat="1" ht="12.45" spans="1:18">
      <c r="A22" s="828"/>
      <c r="C22" s="584" t="s">
        <v>177</v>
      </c>
      <c r="D22" s="373" t="s">
        <v>284</v>
      </c>
      <c r="E22" s="374" t="s">
        <v>285</v>
      </c>
      <c r="F22" s="374" t="s">
        <v>286</v>
      </c>
      <c r="G22" s="374">
        <v>36</v>
      </c>
      <c r="H22" s="586">
        <v>0.05</v>
      </c>
      <c r="I22" s="587">
        <v>6950</v>
      </c>
      <c r="J22" s="587">
        <f>_xlfn.XLOOKUP(D22,'[7]K.01.1a FA list'!$D$22:$D$348,'[7]K.01.1a FA list'!$M$22:$M$348)</f>
        <v>6672</v>
      </c>
      <c r="K22" s="587">
        <f t="shared" si="2"/>
        <v>0</v>
      </c>
      <c r="L22" s="587">
        <v>6950</v>
      </c>
      <c r="M22" s="587">
        <f>_xlfn.XLOOKUP(D22,[8]新增资产!$C:$C,[8]新增资产!$L:$L)</f>
        <v>6672</v>
      </c>
      <c r="N22" s="587">
        <v>0</v>
      </c>
      <c r="O22" s="843">
        <f t="shared" si="3"/>
        <v>278</v>
      </c>
      <c r="P22" s="591" t="str">
        <f t="shared" si="1"/>
        <v>否</v>
      </c>
      <c r="Q22" s="592"/>
    </row>
    <row r="23" s="781" customFormat="1" ht="12.45" spans="1:18">
      <c r="A23" s="828"/>
      <c r="C23" s="584" t="s">
        <v>177</v>
      </c>
      <c r="D23" s="373" t="s">
        <v>287</v>
      </c>
      <c r="E23" s="374" t="s">
        <v>288</v>
      </c>
      <c r="F23" s="374" t="s">
        <v>289</v>
      </c>
      <c r="G23" s="374">
        <v>36</v>
      </c>
      <c r="H23" s="586">
        <v>0.05</v>
      </c>
      <c r="I23" s="587">
        <v>16000</v>
      </c>
      <c r="J23" s="587">
        <f>_xlfn.XLOOKUP(D23,'[7]K.01.1a FA list'!$D$22:$D$348,'[7]K.01.1a FA list'!$M$22:$M$348)</f>
        <v>15360</v>
      </c>
      <c r="K23" s="587">
        <f t="shared" si="2"/>
        <v>0</v>
      </c>
      <c r="L23" s="587">
        <v>16000</v>
      </c>
      <c r="M23" s="587">
        <f>_xlfn.XLOOKUP(D23,[8]新增资产!$C:$C,[8]新增资产!$L:$L)</f>
        <v>15360</v>
      </c>
      <c r="N23" s="587">
        <v>0</v>
      </c>
      <c r="O23" s="843">
        <f t="shared" si="3"/>
        <v>640</v>
      </c>
      <c r="P23" s="591" t="str">
        <f t="shared" si="1"/>
        <v>否</v>
      </c>
      <c r="Q23" s="592"/>
    </row>
    <row r="24" s="781" customFormat="1" ht="12.45" spans="1:18">
      <c r="A24" s="828"/>
      <c r="C24" s="584" t="s">
        <v>177</v>
      </c>
      <c r="D24" s="373" t="s">
        <v>290</v>
      </c>
      <c r="E24" s="374" t="s">
        <v>291</v>
      </c>
      <c r="F24" s="374" t="s">
        <v>292</v>
      </c>
      <c r="G24" s="374">
        <v>36</v>
      </c>
      <c r="H24" s="586">
        <v>0.05</v>
      </c>
      <c r="I24" s="587">
        <v>8886</v>
      </c>
      <c r="J24" s="587">
        <f>_xlfn.XLOOKUP(D24,'[7]K.01.1a FA list'!$D$22:$D$348,'[7]K.01.1a FA list'!$M$22:$M$348)</f>
        <v>8530.56</v>
      </c>
      <c r="K24" s="587">
        <f t="shared" si="2"/>
        <v>0</v>
      </c>
      <c r="L24" s="587">
        <v>8886</v>
      </c>
      <c r="M24" s="587">
        <f>_xlfn.XLOOKUP(D24,[8]新增资产!$C:$C,[8]新增资产!$L:$L)</f>
        <v>8530.56</v>
      </c>
      <c r="N24" s="587">
        <v>0</v>
      </c>
      <c r="O24" s="843">
        <f t="shared" si="3"/>
        <v>355.440000000001</v>
      </c>
      <c r="P24" s="591" t="str">
        <f t="shared" si="1"/>
        <v>否</v>
      </c>
      <c r="Q24" s="592"/>
    </row>
    <row r="25" s="781" customFormat="1" ht="12.45" spans="1:18">
      <c r="A25" s="828"/>
      <c r="C25" s="584" t="s">
        <v>177</v>
      </c>
      <c r="D25" s="373" t="s">
        <v>293</v>
      </c>
      <c r="E25" s="374" t="s">
        <v>294</v>
      </c>
      <c r="F25" s="374" t="s">
        <v>295</v>
      </c>
      <c r="G25" s="374">
        <v>60</v>
      </c>
      <c r="H25" s="586">
        <v>0.05</v>
      </c>
      <c r="I25" s="587">
        <v>4400</v>
      </c>
      <c r="J25" s="587">
        <f>_xlfn.XLOOKUP(D25,'[7]K.01.1a FA list'!$D$22:$D$348,'[7]K.01.1a FA list'!$M$22:$M$348)</f>
        <v>4224</v>
      </c>
      <c r="K25" s="587">
        <f t="shared" si="2"/>
        <v>0</v>
      </c>
      <c r="L25" s="587">
        <v>4400</v>
      </c>
      <c r="M25" s="587">
        <f>_xlfn.XLOOKUP(D25,[8]新增资产!$C:$C,[8]新增资产!$L:$L)</f>
        <v>4224</v>
      </c>
      <c r="N25" s="587">
        <v>0</v>
      </c>
      <c r="O25" s="843">
        <f t="shared" si="3"/>
        <v>176</v>
      </c>
      <c r="P25" s="591" t="str">
        <f t="shared" si="1"/>
        <v>否</v>
      </c>
      <c r="Q25" s="592"/>
    </row>
    <row r="26" s="781" customFormat="1" ht="12.45" spans="1:18">
      <c r="A26" s="828"/>
      <c r="C26" s="584" t="s">
        <v>177</v>
      </c>
      <c r="D26" s="373" t="s">
        <v>296</v>
      </c>
      <c r="E26" s="374" t="s">
        <v>297</v>
      </c>
      <c r="F26" s="374" t="s">
        <v>298</v>
      </c>
      <c r="G26" s="374">
        <v>36</v>
      </c>
      <c r="H26" s="586">
        <v>0.05</v>
      </c>
      <c r="I26" s="587">
        <v>2400</v>
      </c>
      <c r="J26" s="587">
        <f>_xlfn.XLOOKUP(D26,'[7]K.01.1a FA list'!$D$22:$D$348,'[7]K.01.1a FA list'!$M$22:$M$348)</f>
        <v>2280</v>
      </c>
      <c r="K26" s="587">
        <f t="shared" si="2"/>
        <v>0</v>
      </c>
      <c r="L26" s="587">
        <v>2400</v>
      </c>
      <c r="M26" s="587">
        <f>_xlfn.XLOOKUP(D26,[8]新增资产!$C:$C,[8]新增资产!$L:$L)</f>
        <v>2280</v>
      </c>
      <c r="N26" s="587">
        <v>0</v>
      </c>
      <c r="O26" s="843">
        <f t="shared" si="3"/>
        <v>120</v>
      </c>
      <c r="P26" s="591" t="str">
        <f t="shared" si="1"/>
        <v>是</v>
      </c>
      <c r="Q26" s="592"/>
      <c r="R26" s="848"/>
    </row>
    <row r="27" s="781" customFormat="1" ht="12.45" spans="1:18">
      <c r="A27" s="828"/>
      <c r="C27" s="584" t="s">
        <v>177</v>
      </c>
      <c r="D27" s="373" t="s">
        <v>299</v>
      </c>
      <c r="E27" s="374" t="s">
        <v>297</v>
      </c>
      <c r="F27" s="374" t="s">
        <v>298</v>
      </c>
      <c r="G27" s="374">
        <v>36</v>
      </c>
      <c r="H27" s="586">
        <v>0.05</v>
      </c>
      <c r="I27" s="587">
        <v>2600</v>
      </c>
      <c r="J27" s="587">
        <f>_xlfn.XLOOKUP(D27,'[7]K.01.1a FA list'!$D$22:$D$348,'[7]K.01.1a FA list'!$M$22:$M$348)</f>
        <v>2470</v>
      </c>
      <c r="K27" s="587">
        <f t="shared" si="2"/>
        <v>0</v>
      </c>
      <c r="L27" s="587">
        <v>2600</v>
      </c>
      <c r="M27" s="587">
        <f>_xlfn.XLOOKUP(D27,[8]新增资产!$C:$C,[8]新增资产!$L:$L)</f>
        <v>2470</v>
      </c>
      <c r="N27" s="587">
        <v>0</v>
      </c>
      <c r="O27" s="843">
        <f t="shared" si="3"/>
        <v>130</v>
      </c>
      <c r="P27" s="591" t="str">
        <f t="shared" si="1"/>
        <v>是</v>
      </c>
      <c r="Q27" s="592"/>
      <c r="R27" s="848"/>
    </row>
    <row r="28" s="781" customFormat="1" ht="12.45" spans="1:18">
      <c r="A28" s="828"/>
      <c r="C28" s="584" t="s">
        <v>177</v>
      </c>
      <c r="D28" s="373" t="s">
        <v>300</v>
      </c>
      <c r="E28" s="374" t="s">
        <v>301</v>
      </c>
      <c r="F28" s="374" t="s">
        <v>302</v>
      </c>
      <c r="G28" s="374">
        <v>36</v>
      </c>
      <c r="H28" s="586">
        <v>0.05</v>
      </c>
      <c r="I28" s="587">
        <v>11992</v>
      </c>
      <c r="J28" s="587">
        <f>_xlfn.XLOOKUP(D28,'[7]K.01.1a FA list'!$D$22:$D$348,'[7]K.01.1a FA list'!$M$22:$M$348)</f>
        <v>11512.32</v>
      </c>
      <c r="K28" s="587">
        <f t="shared" si="2"/>
        <v>0</v>
      </c>
      <c r="L28" s="587">
        <v>11992</v>
      </c>
      <c r="M28" s="587">
        <f>_xlfn.XLOOKUP(D28,[8]新增资产!$C:$C,[8]新增资产!$L:$L)</f>
        <v>11512.32</v>
      </c>
      <c r="N28" s="587">
        <v>0</v>
      </c>
      <c r="O28" s="843">
        <f t="shared" si="3"/>
        <v>479.68</v>
      </c>
      <c r="P28" s="591" t="str">
        <f t="shared" si="1"/>
        <v>否</v>
      </c>
      <c r="Q28" s="592"/>
    </row>
    <row r="29" s="781" customFormat="1" ht="12.45" spans="1:18">
      <c r="A29" s="828"/>
      <c r="C29" s="584" t="s">
        <v>177</v>
      </c>
      <c r="D29" s="373" t="s">
        <v>303</v>
      </c>
      <c r="E29" s="374" t="s">
        <v>304</v>
      </c>
      <c r="F29" s="374" t="s">
        <v>302</v>
      </c>
      <c r="G29" s="374">
        <v>36</v>
      </c>
      <c r="H29" s="586">
        <v>0.05</v>
      </c>
      <c r="I29" s="587">
        <v>6597</v>
      </c>
      <c r="J29" s="587">
        <f>_xlfn.XLOOKUP(D29,'[7]K.01.1a FA list'!$D$22:$D$348,'[7]K.01.1a FA list'!$M$22:$M$348)</f>
        <v>6333.12</v>
      </c>
      <c r="K29" s="587">
        <f t="shared" si="2"/>
        <v>0</v>
      </c>
      <c r="L29" s="587">
        <v>6597</v>
      </c>
      <c r="M29" s="587">
        <f>_xlfn.XLOOKUP(D29,[8]新增资产!$C:$C,[8]新增资产!$L:$L)</f>
        <v>6333.12</v>
      </c>
      <c r="N29" s="587">
        <v>0</v>
      </c>
      <c r="O29" s="843">
        <f t="shared" si="3"/>
        <v>263.88</v>
      </c>
      <c r="P29" s="591" t="str">
        <f t="shared" si="1"/>
        <v>否</v>
      </c>
      <c r="Q29" s="592"/>
    </row>
    <row r="30" s="781" customFormat="1" ht="12.45" spans="1:18">
      <c r="A30" s="828"/>
      <c r="C30" s="584" t="s">
        <v>177</v>
      </c>
      <c r="D30" s="373" t="s">
        <v>305</v>
      </c>
      <c r="E30" s="374" t="s">
        <v>304</v>
      </c>
      <c r="F30" s="374" t="s">
        <v>302</v>
      </c>
      <c r="G30" s="374">
        <v>36</v>
      </c>
      <c r="H30" s="586">
        <v>0.05</v>
      </c>
      <c r="I30" s="587">
        <v>1560</v>
      </c>
      <c r="J30" s="587">
        <f>_xlfn.XLOOKUP(D30,'[7]K.01.1a FA list'!$D$22:$D$348,'[7]K.01.1a FA list'!$M$22:$M$348)</f>
        <v>1497.6</v>
      </c>
      <c r="K30" s="587">
        <f t="shared" si="2"/>
        <v>0</v>
      </c>
      <c r="L30" s="587">
        <v>1560</v>
      </c>
      <c r="M30" s="587">
        <f>_xlfn.XLOOKUP(D30,[8]新增资产!$C:$C,[8]新增资产!$L:$L)</f>
        <v>1497.6</v>
      </c>
      <c r="N30" s="587">
        <v>0</v>
      </c>
      <c r="O30" s="843">
        <f t="shared" si="3"/>
        <v>62.4000000000001</v>
      </c>
      <c r="P30" s="591" t="str">
        <f t="shared" si="1"/>
        <v>否</v>
      </c>
      <c r="Q30" s="592"/>
    </row>
    <row r="31" s="781" customFormat="1" ht="12.45" spans="1:18">
      <c r="A31" s="828"/>
      <c r="C31" s="584" t="s">
        <v>177</v>
      </c>
      <c r="D31" s="373" t="s">
        <v>306</v>
      </c>
      <c r="E31" s="374" t="s">
        <v>307</v>
      </c>
      <c r="F31" s="374" t="s">
        <v>308</v>
      </c>
      <c r="G31" s="374">
        <v>36</v>
      </c>
      <c r="H31" s="586">
        <v>0.05</v>
      </c>
      <c r="I31" s="587">
        <v>16793</v>
      </c>
      <c r="J31" s="587">
        <f>_xlfn.XLOOKUP(D31,'[7]K.01.1a FA list'!$D$22:$D$348,'[7]K.01.1a FA list'!$M$22:$M$348)</f>
        <v>16121.28</v>
      </c>
      <c r="K31" s="587">
        <f t="shared" si="2"/>
        <v>0</v>
      </c>
      <c r="L31" s="587">
        <v>16793</v>
      </c>
      <c r="M31" s="587">
        <f>_xlfn.XLOOKUP(D31,[8]新增资产!$C:$C,[8]新增资产!$L:$L)</f>
        <v>16121.28</v>
      </c>
      <c r="N31" s="587">
        <v>0</v>
      </c>
      <c r="O31" s="843">
        <f t="shared" si="3"/>
        <v>671.719999999999</v>
      </c>
      <c r="P31" s="591" t="str">
        <f t="shared" si="1"/>
        <v>否</v>
      </c>
      <c r="Q31" s="592"/>
    </row>
    <row r="32" s="781" customFormat="1" ht="12.45" spans="1:18">
      <c r="A32" s="828"/>
      <c r="C32" s="584" t="s">
        <v>177</v>
      </c>
      <c r="D32" s="373" t="s">
        <v>309</v>
      </c>
      <c r="E32" s="374" t="s">
        <v>310</v>
      </c>
      <c r="F32" s="374" t="s">
        <v>308</v>
      </c>
      <c r="G32" s="374">
        <v>36</v>
      </c>
      <c r="H32" s="586">
        <v>0.05</v>
      </c>
      <c r="I32" s="587">
        <v>1499</v>
      </c>
      <c r="J32" s="587">
        <f>_xlfn.XLOOKUP(D32,'[7]K.01.1a FA list'!$D$22:$D$348,'[7]K.01.1a FA list'!$M$22:$M$348)</f>
        <v>1439.04</v>
      </c>
      <c r="K32" s="587">
        <f t="shared" si="2"/>
        <v>0</v>
      </c>
      <c r="L32" s="587">
        <v>1499</v>
      </c>
      <c r="M32" s="587">
        <f>_xlfn.XLOOKUP(D32,[8]新增资产!$C:$C,[8]新增资产!$L:$L)</f>
        <v>1439.04</v>
      </c>
      <c r="N32" s="587">
        <v>0</v>
      </c>
      <c r="O32" s="843">
        <f t="shared" si="3"/>
        <v>59.96</v>
      </c>
      <c r="P32" s="591" t="str">
        <f t="shared" si="1"/>
        <v>否</v>
      </c>
      <c r="Q32" s="592"/>
    </row>
    <row r="33" s="781" customFormat="1" ht="12.45" spans="1:17">
      <c r="A33" s="828"/>
      <c r="C33" s="584" t="s">
        <v>177</v>
      </c>
      <c r="D33" s="373" t="s">
        <v>311</v>
      </c>
      <c r="E33" s="374" t="s">
        <v>312</v>
      </c>
      <c r="F33" s="374" t="s">
        <v>308</v>
      </c>
      <c r="G33" s="374">
        <v>36</v>
      </c>
      <c r="H33" s="586">
        <v>0.05</v>
      </c>
      <c r="I33" s="587">
        <v>1199</v>
      </c>
      <c r="J33" s="587">
        <f>_xlfn.XLOOKUP(D33,'[7]K.01.1a FA list'!$D$22:$D$348,'[7]K.01.1a FA list'!$M$22:$M$348)</f>
        <v>1151.04</v>
      </c>
      <c r="K33" s="587">
        <f t="shared" si="2"/>
        <v>0</v>
      </c>
      <c r="L33" s="587">
        <v>1199</v>
      </c>
      <c r="M33" s="587">
        <f>_xlfn.XLOOKUP(D33,[8]新增资产!$C:$C,[8]新增资产!$L:$L)</f>
        <v>1151.04</v>
      </c>
      <c r="N33" s="587">
        <v>0</v>
      </c>
      <c r="O33" s="843">
        <f t="shared" si="3"/>
        <v>47.96</v>
      </c>
      <c r="P33" s="591" t="str">
        <f t="shared" si="1"/>
        <v>否</v>
      </c>
      <c r="Q33" s="592"/>
    </row>
    <row r="34" s="781" customFormat="1" ht="12.45" spans="1:17">
      <c r="A34" s="828"/>
      <c r="C34" s="584" t="s">
        <v>177</v>
      </c>
      <c r="D34" s="373" t="s">
        <v>313</v>
      </c>
      <c r="E34" s="374" t="s">
        <v>314</v>
      </c>
      <c r="F34" s="374" t="s">
        <v>308</v>
      </c>
      <c r="G34" s="374">
        <v>36</v>
      </c>
      <c r="H34" s="586">
        <v>0.05</v>
      </c>
      <c r="I34" s="587">
        <v>2036</v>
      </c>
      <c r="J34" s="587">
        <f>_xlfn.XLOOKUP(D34,'[7]K.01.1a FA list'!$D$22:$D$348,'[7]K.01.1a FA list'!$M$22:$M$348)</f>
        <v>1954.56</v>
      </c>
      <c r="K34" s="587">
        <f t="shared" si="2"/>
        <v>0</v>
      </c>
      <c r="L34" s="587">
        <v>2036</v>
      </c>
      <c r="M34" s="587">
        <f>_xlfn.XLOOKUP(D34,[8]新增资产!$C:$C,[8]新增资产!$L:$L)</f>
        <v>1954.56</v>
      </c>
      <c r="N34" s="587">
        <v>0</v>
      </c>
      <c r="O34" s="843">
        <f t="shared" si="3"/>
        <v>81.4400000000001</v>
      </c>
      <c r="P34" s="591" t="str">
        <f t="shared" si="1"/>
        <v>否</v>
      </c>
      <c r="Q34" s="592"/>
    </row>
    <row r="35" s="781" customFormat="1" ht="12.45" spans="1:17">
      <c r="A35" s="828"/>
      <c r="C35" s="584" t="s">
        <v>177</v>
      </c>
      <c r="D35" s="373" t="s">
        <v>315</v>
      </c>
      <c r="E35" s="374" t="s">
        <v>316</v>
      </c>
      <c r="F35" s="374" t="s">
        <v>308</v>
      </c>
      <c r="G35" s="374">
        <v>36</v>
      </c>
      <c r="H35" s="586">
        <v>0.05</v>
      </c>
      <c r="I35" s="587">
        <v>2100</v>
      </c>
      <c r="J35" s="587">
        <f>_xlfn.XLOOKUP(D35,'[7]K.01.1a FA list'!$D$22:$D$348,'[7]K.01.1a FA list'!$M$22:$M$348)</f>
        <v>2016</v>
      </c>
      <c r="K35" s="587">
        <f t="shared" si="2"/>
        <v>0</v>
      </c>
      <c r="L35" s="587">
        <v>2100</v>
      </c>
      <c r="M35" s="587">
        <f>_xlfn.XLOOKUP(D35,[8]新增资产!$C:$C,[8]新增资产!$L:$L)</f>
        <v>2016</v>
      </c>
      <c r="N35" s="587">
        <v>0</v>
      </c>
      <c r="O35" s="843">
        <f t="shared" si="3"/>
        <v>84</v>
      </c>
      <c r="P35" s="591" t="str">
        <f t="shared" si="1"/>
        <v>否</v>
      </c>
      <c r="Q35" s="592"/>
    </row>
    <row r="36" s="781" customFormat="1" ht="12.45" spans="1:17">
      <c r="A36" s="828"/>
      <c r="C36" s="584" t="s">
        <v>177</v>
      </c>
      <c r="D36" s="373" t="s">
        <v>317</v>
      </c>
      <c r="E36" s="374" t="s">
        <v>318</v>
      </c>
      <c r="F36" s="374" t="s">
        <v>308</v>
      </c>
      <c r="G36" s="374">
        <v>36</v>
      </c>
      <c r="H36" s="586">
        <v>0.05</v>
      </c>
      <c r="I36" s="587">
        <v>1950</v>
      </c>
      <c r="J36" s="587">
        <f>_xlfn.XLOOKUP(D36,'[7]K.01.1a FA list'!$D$22:$D$348,'[7]K.01.1a FA list'!$M$22:$M$348)</f>
        <v>1872</v>
      </c>
      <c r="K36" s="587">
        <f t="shared" si="2"/>
        <v>0</v>
      </c>
      <c r="L36" s="587">
        <v>1950</v>
      </c>
      <c r="M36" s="587">
        <f>_xlfn.XLOOKUP(D36,[8]新增资产!$C:$C,[8]新增资产!$L:$L)</f>
        <v>1872</v>
      </c>
      <c r="N36" s="587">
        <v>0</v>
      </c>
      <c r="O36" s="843">
        <f t="shared" si="3"/>
        <v>78</v>
      </c>
      <c r="P36" s="591" t="str">
        <f t="shared" si="1"/>
        <v>否</v>
      </c>
      <c r="Q36" s="592"/>
    </row>
    <row r="37" s="781" customFormat="1" ht="12.45" spans="1:17">
      <c r="A37" s="828"/>
      <c r="C37" s="584" t="s">
        <v>177</v>
      </c>
      <c r="D37" s="373" t="s">
        <v>319</v>
      </c>
      <c r="E37" s="374" t="s">
        <v>320</v>
      </c>
      <c r="F37" s="374" t="s">
        <v>308</v>
      </c>
      <c r="G37" s="374">
        <v>36</v>
      </c>
      <c r="H37" s="586">
        <v>0.05</v>
      </c>
      <c r="I37" s="587">
        <v>7500</v>
      </c>
      <c r="J37" s="587">
        <f>_xlfn.XLOOKUP(D37,'[7]K.01.1a FA list'!$D$22:$D$348,'[7]K.01.1a FA list'!$M$22:$M$348)</f>
        <v>7200</v>
      </c>
      <c r="K37" s="587">
        <f t="shared" si="2"/>
        <v>0</v>
      </c>
      <c r="L37" s="587">
        <v>7500</v>
      </c>
      <c r="M37" s="587">
        <f>_xlfn.XLOOKUP(D37,[8]新增资产!$C:$C,[8]新增资产!$L:$L)</f>
        <v>7200</v>
      </c>
      <c r="N37" s="587">
        <v>0</v>
      </c>
      <c r="O37" s="843">
        <f t="shared" si="3"/>
        <v>300</v>
      </c>
      <c r="P37" s="591" t="str">
        <f t="shared" si="1"/>
        <v>否</v>
      </c>
      <c r="Q37" s="592"/>
    </row>
    <row r="38" s="781" customFormat="1" ht="12.45" spans="1:17">
      <c r="A38" s="828"/>
      <c r="C38" s="584" t="s">
        <v>177</v>
      </c>
      <c r="D38" s="373" t="s">
        <v>321</v>
      </c>
      <c r="E38" s="374" t="s">
        <v>322</v>
      </c>
      <c r="F38" s="374" t="s">
        <v>323</v>
      </c>
      <c r="G38" s="374">
        <v>36</v>
      </c>
      <c r="H38" s="586">
        <v>0.05</v>
      </c>
      <c r="I38" s="587">
        <v>1200</v>
      </c>
      <c r="J38" s="587">
        <f>_xlfn.XLOOKUP(D38,'[7]K.01.1a FA list'!$D$22:$D$348,'[7]K.01.1a FA list'!$M$22:$M$348)</f>
        <v>1152</v>
      </c>
      <c r="K38" s="587">
        <f t="shared" si="2"/>
        <v>0</v>
      </c>
      <c r="L38" s="587">
        <v>1200</v>
      </c>
      <c r="M38" s="587">
        <f>_xlfn.XLOOKUP(D38,[8]新增资产!$C:$C,[8]新增资产!$L:$L)</f>
        <v>1152</v>
      </c>
      <c r="N38" s="587">
        <v>0</v>
      </c>
      <c r="O38" s="843">
        <f t="shared" si="3"/>
        <v>48</v>
      </c>
      <c r="P38" s="591" t="str">
        <f t="shared" si="1"/>
        <v>否</v>
      </c>
      <c r="Q38" s="592"/>
    </row>
    <row r="39" s="781" customFormat="1" ht="12.45" spans="1:17">
      <c r="A39" s="828"/>
      <c r="C39" s="584" t="s">
        <v>177</v>
      </c>
      <c r="D39" s="373" t="s">
        <v>324</v>
      </c>
      <c r="E39" s="374" t="s">
        <v>325</v>
      </c>
      <c r="F39" s="374" t="s">
        <v>326</v>
      </c>
      <c r="G39" s="374">
        <v>48</v>
      </c>
      <c r="H39" s="586">
        <v>0.05</v>
      </c>
      <c r="I39" s="587">
        <v>890</v>
      </c>
      <c r="J39" s="587">
        <f>_xlfn.XLOOKUP(D39,'[7]K.01.1a FA list'!$D$22:$D$348,'[7]K.01.1a FA list'!$M$22:$M$348)</f>
        <v>854.4</v>
      </c>
      <c r="K39" s="587">
        <f t="shared" si="2"/>
        <v>0</v>
      </c>
      <c r="L39" s="587">
        <v>890</v>
      </c>
      <c r="M39" s="587">
        <f>_xlfn.XLOOKUP(D39,[8]新增资产!$C:$C,[8]新增资产!$L:$L)</f>
        <v>854.4</v>
      </c>
      <c r="N39" s="587">
        <v>0</v>
      </c>
      <c r="O39" s="843">
        <f t="shared" si="3"/>
        <v>35.6</v>
      </c>
      <c r="P39" s="591" t="str">
        <f t="shared" si="1"/>
        <v>否</v>
      </c>
      <c r="Q39" s="592"/>
    </row>
    <row r="40" s="781" customFormat="1" ht="12.45" spans="1:17">
      <c r="A40" s="828"/>
      <c r="C40" s="584" t="s">
        <v>177</v>
      </c>
      <c r="D40" s="373" t="s">
        <v>327</v>
      </c>
      <c r="E40" s="374" t="s">
        <v>328</v>
      </c>
      <c r="F40" s="374" t="s">
        <v>326</v>
      </c>
      <c r="G40" s="374">
        <v>48</v>
      </c>
      <c r="H40" s="586">
        <v>0.05</v>
      </c>
      <c r="I40" s="587">
        <v>1670</v>
      </c>
      <c r="J40" s="587">
        <f>_xlfn.XLOOKUP(D40,'[7]K.01.1a FA list'!$D$22:$D$348,'[7]K.01.1a FA list'!$M$22:$M$348)</f>
        <v>1603.2</v>
      </c>
      <c r="K40" s="587">
        <f t="shared" si="2"/>
        <v>0</v>
      </c>
      <c r="L40" s="587">
        <v>1670</v>
      </c>
      <c r="M40" s="587">
        <f>_xlfn.XLOOKUP(D40,[8]新增资产!$C:$C,[8]新增资产!$L:$L)</f>
        <v>1603.2</v>
      </c>
      <c r="N40" s="587">
        <v>0</v>
      </c>
      <c r="O40" s="843">
        <f t="shared" si="3"/>
        <v>66.8</v>
      </c>
      <c r="P40" s="591" t="str">
        <f t="shared" si="1"/>
        <v>否</v>
      </c>
      <c r="Q40" s="592"/>
    </row>
    <row r="41" s="781" customFormat="1" ht="12.45" spans="1:17">
      <c r="A41" s="828"/>
      <c r="C41" s="584" t="s">
        <v>177</v>
      </c>
      <c r="D41" s="373" t="s">
        <v>329</v>
      </c>
      <c r="E41" s="374" t="s">
        <v>325</v>
      </c>
      <c r="F41" s="374" t="s">
        <v>326</v>
      </c>
      <c r="G41" s="374">
        <v>48</v>
      </c>
      <c r="H41" s="586">
        <v>0.05</v>
      </c>
      <c r="I41" s="587">
        <v>890</v>
      </c>
      <c r="J41" s="587">
        <f>_xlfn.XLOOKUP(D41,'[7]K.01.1a FA list'!$D$22:$D$348,'[7]K.01.1a FA list'!$M$22:$M$348)</f>
        <v>854.4</v>
      </c>
      <c r="K41" s="587">
        <f t="shared" si="2"/>
        <v>0</v>
      </c>
      <c r="L41" s="587">
        <v>890</v>
      </c>
      <c r="M41" s="587">
        <f>_xlfn.XLOOKUP(D41,[8]新增资产!$C:$C,[8]新增资产!$L:$L)</f>
        <v>854.4</v>
      </c>
      <c r="N41" s="587">
        <v>0</v>
      </c>
      <c r="O41" s="843">
        <f t="shared" si="3"/>
        <v>35.6</v>
      </c>
      <c r="P41" s="591" t="str">
        <f t="shared" si="1"/>
        <v>否</v>
      </c>
      <c r="Q41" s="592"/>
    </row>
    <row r="42" s="781" customFormat="1" ht="12.45" spans="1:17">
      <c r="A42" s="828"/>
      <c r="C42" s="584" t="s">
        <v>177</v>
      </c>
      <c r="D42" s="373" t="s">
        <v>330</v>
      </c>
      <c r="E42" s="374" t="s">
        <v>331</v>
      </c>
      <c r="F42" s="374" t="s">
        <v>326</v>
      </c>
      <c r="G42" s="374">
        <v>48</v>
      </c>
      <c r="H42" s="586">
        <v>0.05</v>
      </c>
      <c r="I42" s="587">
        <v>1950</v>
      </c>
      <c r="J42" s="587">
        <f>_xlfn.XLOOKUP(D42,'[7]K.01.1a FA list'!$D$22:$D$348,'[7]K.01.1a FA list'!$M$22:$M$348)</f>
        <v>1872</v>
      </c>
      <c r="K42" s="587">
        <f t="shared" si="2"/>
        <v>0</v>
      </c>
      <c r="L42" s="587">
        <v>1950</v>
      </c>
      <c r="M42" s="587">
        <f>_xlfn.XLOOKUP(D42,[8]新增资产!$C:$C,[8]新增资产!$L:$L)</f>
        <v>1872</v>
      </c>
      <c r="N42" s="587">
        <v>0</v>
      </c>
      <c r="O42" s="843">
        <f t="shared" si="3"/>
        <v>78</v>
      </c>
      <c r="P42" s="591" t="str">
        <f t="shared" si="1"/>
        <v>否</v>
      </c>
      <c r="Q42" s="592"/>
    </row>
    <row r="43" s="781" customFormat="1" ht="12.45" spans="1:17">
      <c r="A43" s="828"/>
      <c r="C43" s="584" t="s">
        <v>177</v>
      </c>
      <c r="D43" s="373" t="s">
        <v>332</v>
      </c>
      <c r="E43" s="374" t="s">
        <v>333</v>
      </c>
      <c r="F43" s="374" t="s">
        <v>326</v>
      </c>
      <c r="G43" s="374">
        <v>60</v>
      </c>
      <c r="H43" s="586">
        <v>0.05</v>
      </c>
      <c r="I43" s="587">
        <v>31500</v>
      </c>
      <c r="J43" s="587">
        <f>_xlfn.XLOOKUP(D43,'[7]K.01.1a FA list'!$D$22:$D$348,'[7]K.01.1a FA list'!$M$22:$M$348)</f>
        <v>30240</v>
      </c>
      <c r="K43" s="587">
        <f t="shared" si="2"/>
        <v>0</v>
      </c>
      <c r="L43" s="587">
        <v>31500</v>
      </c>
      <c r="M43" s="587">
        <f>_xlfn.XLOOKUP(D43,[8]新增资产!$C:$C,[8]新增资产!$L:$L)</f>
        <v>30240</v>
      </c>
      <c r="N43" s="587">
        <v>0</v>
      </c>
      <c r="O43" s="843">
        <f t="shared" si="3"/>
        <v>1260</v>
      </c>
      <c r="P43" s="591" t="str">
        <f t="shared" si="1"/>
        <v>否</v>
      </c>
      <c r="Q43" s="592"/>
    </row>
    <row r="44" s="781" customFormat="1" ht="12.45" spans="1:17">
      <c r="A44" s="828"/>
      <c r="C44" s="584" t="s">
        <v>177</v>
      </c>
      <c r="D44" s="373" t="s">
        <v>334</v>
      </c>
      <c r="E44" s="374" t="s">
        <v>333</v>
      </c>
      <c r="F44" s="374" t="s">
        <v>326</v>
      </c>
      <c r="G44" s="374">
        <v>60</v>
      </c>
      <c r="H44" s="586">
        <v>0.05</v>
      </c>
      <c r="I44" s="587">
        <v>2600</v>
      </c>
      <c r="J44" s="587">
        <f>_xlfn.XLOOKUP(D44,'[7]K.01.1a FA list'!$D$22:$D$348,'[7]K.01.1a FA list'!$M$22:$M$348)</f>
        <v>2496</v>
      </c>
      <c r="K44" s="587">
        <f t="shared" si="2"/>
        <v>0</v>
      </c>
      <c r="L44" s="587">
        <v>2600</v>
      </c>
      <c r="M44" s="587">
        <f>_xlfn.XLOOKUP(D44,[8]新增资产!$C:$C,[8]新增资产!$L:$L)</f>
        <v>2496</v>
      </c>
      <c r="N44" s="587">
        <v>0</v>
      </c>
      <c r="O44" s="843">
        <f t="shared" si="3"/>
        <v>104</v>
      </c>
      <c r="P44" s="591" t="str">
        <f t="shared" si="1"/>
        <v>否</v>
      </c>
      <c r="Q44" s="592"/>
    </row>
    <row r="45" s="781" customFormat="1" ht="12.45" spans="1:17">
      <c r="A45" s="828"/>
      <c r="C45" s="584" t="s">
        <v>177</v>
      </c>
      <c r="D45" s="373" t="s">
        <v>335</v>
      </c>
      <c r="E45" s="374" t="s">
        <v>333</v>
      </c>
      <c r="F45" s="374" t="s">
        <v>326</v>
      </c>
      <c r="G45" s="374">
        <v>60</v>
      </c>
      <c r="H45" s="586">
        <v>0.05</v>
      </c>
      <c r="I45" s="587">
        <v>5455</v>
      </c>
      <c r="J45" s="587">
        <f>_xlfn.XLOOKUP(D45,'[7]K.01.1a FA list'!$D$22:$D$348,'[7]K.01.1a FA list'!$M$22:$M$348)</f>
        <v>5236.8</v>
      </c>
      <c r="K45" s="587">
        <f t="shared" si="2"/>
        <v>0</v>
      </c>
      <c r="L45" s="587">
        <v>5455</v>
      </c>
      <c r="M45" s="587">
        <f>_xlfn.XLOOKUP(D45,[8]新增资产!$C:$C,[8]新增资产!$L:$L)</f>
        <v>5236.8</v>
      </c>
      <c r="N45" s="587">
        <v>0</v>
      </c>
      <c r="O45" s="843">
        <f t="shared" si="3"/>
        <v>218.2</v>
      </c>
      <c r="P45" s="591" t="str">
        <f t="shared" si="1"/>
        <v>否</v>
      </c>
      <c r="Q45" s="592"/>
    </row>
    <row r="46" s="781" customFormat="1" ht="12.45" spans="1:17">
      <c r="A46" s="828"/>
      <c r="C46" s="584" t="s">
        <v>177</v>
      </c>
      <c r="D46" s="373" t="s">
        <v>336</v>
      </c>
      <c r="E46" s="374" t="s">
        <v>337</v>
      </c>
      <c r="F46" s="374" t="s">
        <v>338</v>
      </c>
      <c r="G46" s="374">
        <v>36</v>
      </c>
      <c r="H46" s="586">
        <v>0.05</v>
      </c>
      <c r="I46" s="587">
        <v>7400</v>
      </c>
      <c r="J46" s="587">
        <f>_xlfn.XLOOKUP(D46,'[7]K.01.1a FA list'!$D$22:$D$348,'[7]K.01.1a FA list'!$M$22:$M$348)</f>
        <v>7104</v>
      </c>
      <c r="K46" s="587">
        <f t="shared" si="2"/>
        <v>0</v>
      </c>
      <c r="L46" s="587">
        <v>7400</v>
      </c>
      <c r="M46" s="587">
        <f>_xlfn.XLOOKUP(D46,[8]新增资产!$C:$C,[8]新增资产!$L:$L)</f>
        <v>7104</v>
      </c>
      <c r="N46" s="587">
        <v>0</v>
      </c>
      <c r="O46" s="843">
        <f t="shared" si="3"/>
        <v>296</v>
      </c>
      <c r="P46" s="591" t="str">
        <f t="shared" si="1"/>
        <v>否</v>
      </c>
      <c r="Q46" s="592"/>
    </row>
    <row r="47" s="781" customFormat="1" ht="12.45" spans="1:17">
      <c r="A47" s="828"/>
      <c r="C47" s="584" t="s">
        <v>177</v>
      </c>
      <c r="D47" s="373" t="s">
        <v>339</v>
      </c>
      <c r="E47" s="374" t="s">
        <v>340</v>
      </c>
      <c r="F47" s="374" t="s">
        <v>341</v>
      </c>
      <c r="G47" s="374">
        <v>36</v>
      </c>
      <c r="H47" s="586">
        <v>0.05</v>
      </c>
      <c r="I47" s="587">
        <v>2250</v>
      </c>
      <c r="J47" s="587">
        <f>_xlfn.XLOOKUP(D47,'[7]K.01.1a FA list'!$D$22:$D$348,'[7]K.01.1a FA list'!$M$22:$M$348)</f>
        <v>2160</v>
      </c>
      <c r="K47" s="587">
        <f t="shared" si="2"/>
        <v>0</v>
      </c>
      <c r="L47" s="587">
        <v>2250</v>
      </c>
      <c r="M47" s="587">
        <f>_xlfn.XLOOKUP(D47,[8]新增资产!$C:$C,[8]新增资产!$L:$L)</f>
        <v>2160</v>
      </c>
      <c r="N47" s="587">
        <v>0</v>
      </c>
      <c r="O47" s="843">
        <f t="shared" si="3"/>
        <v>90</v>
      </c>
      <c r="P47" s="591" t="str">
        <f t="shared" si="1"/>
        <v>否</v>
      </c>
      <c r="Q47" s="592"/>
    </row>
    <row r="48" s="781" customFormat="1" ht="12.45" spans="1:17">
      <c r="A48" s="828"/>
      <c r="C48" s="584" t="s">
        <v>177</v>
      </c>
      <c r="D48" s="373" t="s">
        <v>342</v>
      </c>
      <c r="E48" s="374" t="s">
        <v>343</v>
      </c>
      <c r="F48" s="374" t="s">
        <v>344</v>
      </c>
      <c r="G48" s="374">
        <v>36</v>
      </c>
      <c r="H48" s="586">
        <v>0.05</v>
      </c>
      <c r="I48" s="587">
        <v>6355</v>
      </c>
      <c r="J48" s="587">
        <f>_xlfn.XLOOKUP(D48,'[7]K.01.1a FA list'!$D$22:$D$348,'[7]K.01.1a FA list'!$M$22:$M$348)</f>
        <v>6100.8</v>
      </c>
      <c r="K48" s="587">
        <f t="shared" si="2"/>
        <v>0</v>
      </c>
      <c r="L48" s="587">
        <v>6355</v>
      </c>
      <c r="M48" s="587">
        <f>_xlfn.XLOOKUP(D48,[8]新增资产!$C:$C,[8]新增资产!$L:$L)</f>
        <v>6100.8</v>
      </c>
      <c r="N48" s="587">
        <v>0</v>
      </c>
      <c r="O48" s="843">
        <f t="shared" si="3"/>
        <v>254.2</v>
      </c>
      <c r="P48" s="591" t="str">
        <f t="shared" si="1"/>
        <v>否</v>
      </c>
      <c r="Q48" s="592"/>
    </row>
    <row r="49" s="781" customFormat="1" ht="12.45" spans="1:18">
      <c r="A49" s="828"/>
      <c r="C49" s="584" t="s">
        <v>177</v>
      </c>
      <c r="D49" s="373" t="s">
        <v>345</v>
      </c>
      <c r="E49" s="374" t="s">
        <v>346</v>
      </c>
      <c r="F49" s="374" t="s">
        <v>283</v>
      </c>
      <c r="G49" s="374">
        <v>36</v>
      </c>
      <c r="H49" s="586">
        <v>0.05</v>
      </c>
      <c r="I49" s="587">
        <v>3399</v>
      </c>
      <c r="J49" s="587">
        <f>_xlfn.XLOOKUP(D49,'[7]K.01.1a FA list'!$D$22:$D$348,'[7]K.01.1a FA list'!$M$22:$M$348)</f>
        <v>3263.04</v>
      </c>
      <c r="K49" s="587">
        <f t="shared" si="2"/>
        <v>0</v>
      </c>
      <c r="L49" s="587">
        <v>3399</v>
      </c>
      <c r="M49" s="587">
        <f>_xlfn.XLOOKUP(D49,[8]新增资产!$C:$C,[8]新增资产!$L:$L)</f>
        <v>3263.04</v>
      </c>
      <c r="N49" s="587">
        <v>0</v>
      </c>
      <c r="O49" s="843">
        <f t="shared" si="3"/>
        <v>135.96</v>
      </c>
      <c r="P49" s="591" t="str">
        <f t="shared" si="1"/>
        <v>否</v>
      </c>
      <c r="Q49" s="592"/>
    </row>
    <row r="50" s="781" customFormat="1" ht="12.45" spans="1:18">
      <c r="A50" s="828"/>
      <c r="C50" s="584" t="s">
        <v>177</v>
      </c>
      <c r="D50" s="373" t="s">
        <v>347</v>
      </c>
      <c r="E50" s="374" t="s">
        <v>348</v>
      </c>
      <c r="F50" s="374" t="s">
        <v>283</v>
      </c>
      <c r="G50" s="374">
        <v>36</v>
      </c>
      <c r="H50" s="586">
        <v>0.05</v>
      </c>
      <c r="I50" s="587">
        <v>8650</v>
      </c>
      <c r="J50" s="587">
        <f>_xlfn.XLOOKUP(D50,'[7]K.01.1a FA list'!$D$22:$D$348,'[7]K.01.1a FA list'!$M$22:$M$348)</f>
        <v>8304</v>
      </c>
      <c r="K50" s="587">
        <f t="shared" si="2"/>
        <v>0</v>
      </c>
      <c r="L50" s="587">
        <v>8650</v>
      </c>
      <c r="M50" s="587">
        <f>_xlfn.XLOOKUP(D50,[8]新增资产!$C:$C,[8]新增资产!$L:$L)</f>
        <v>8304</v>
      </c>
      <c r="N50" s="587">
        <v>0</v>
      </c>
      <c r="O50" s="843">
        <f t="shared" si="3"/>
        <v>346</v>
      </c>
      <c r="P50" s="591" t="str">
        <f t="shared" si="1"/>
        <v>否</v>
      </c>
      <c r="Q50" s="592"/>
    </row>
    <row r="51" s="781" customFormat="1" ht="12.45" spans="1:18">
      <c r="A51" s="828"/>
      <c r="C51" s="584" t="s">
        <v>177</v>
      </c>
      <c r="D51" s="373" t="s">
        <v>349</v>
      </c>
      <c r="E51" s="374" t="s">
        <v>350</v>
      </c>
      <c r="F51" s="374" t="s">
        <v>286</v>
      </c>
      <c r="G51" s="374">
        <v>36</v>
      </c>
      <c r="H51" s="586">
        <v>0.05</v>
      </c>
      <c r="I51" s="587">
        <v>68000</v>
      </c>
      <c r="J51" s="587">
        <f>_xlfn.XLOOKUP(D51,'[7]K.01.1a FA list'!$D$22:$D$348,'[7]K.01.1a FA list'!$M$22:$M$348)</f>
        <v>65280</v>
      </c>
      <c r="K51" s="587">
        <f t="shared" si="2"/>
        <v>0</v>
      </c>
      <c r="L51" s="587">
        <v>68000</v>
      </c>
      <c r="M51" s="587">
        <f>_xlfn.XLOOKUP(D51,[8]新增资产!$C:$C,[8]新增资产!$L:$L)</f>
        <v>65280</v>
      </c>
      <c r="N51" s="587">
        <v>0</v>
      </c>
      <c r="O51" s="843">
        <f t="shared" si="3"/>
        <v>2720</v>
      </c>
      <c r="P51" s="591" t="str">
        <f t="shared" si="1"/>
        <v>否</v>
      </c>
      <c r="Q51" s="592"/>
    </row>
    <row r="52" s="781" customFormat="1" ht="12.45" spans="1:18">
      <c r="A52" s="828"/>
      <c r="C52" s="584" t="s">
        <v>177</v>
      </c>
      <c r="D52" s="373" t="s">
        <v>351</v>
      </c>
      <c r="E52" s="374" t="s">
        <v>352</v>
      </c>
      <c r="F52" s="374" t="s">
        <v>286</v>
      </c>
      <c r="G52" s="374">
        <v>36</v>
      </c>
      <c r="H52" s="586">
        <v>0.05</v>
      </c>
      <c r="I52" s="587">
        <v>58618</v>
      </c>
      <c r="J52" s="587">
        <f>_xlfn.XLOOKUP(D52,'[7]K.01.1a FA list'!$D$22:$D$348,'[7]K.01.1a FA list'!$M$22:$M$348)</f>
        <v>56273.28</v>
      </c>
      <c r="K52" s="587">
        <f t="shared" si="2"/>
        <v>0</v>
      </c>
      <c r="L52" s="587">
        <v>58618</v>
      </c>
      <c r="M52" s="587">
        <f>_xlfn.XLOOKUP(D52,[8]新增资产!$C:$C,[8]新增资产!$L:$L)</f>
        <v>56273.28</v>
      </c>
      <c r="N52" s="587">
        <v>0</v>
      </c>
      <c r="O52" s="843">
        <f t="shared" si="3"/>
        <v>2344.72</v>
      </c>
      <c r="P52" s="591" t="str">
        <f t="shared" si="1"/>
        <v>否</v>
      </c>
      <c r="Q52" s="592"/>
    </row>
    <row r="53" s="781" customFormat="1" ht="12.45" spans="1:18">
      <c r="A53" s="828"/>
      <c r="C53" s="584" t="s">
        <v>177</v>
      </c>
      <c r="D53" s="373" t="s">
        <v>353</v>
      </c>
      <c r="E53" s="374" t="s">
        <v>354</v>
      </c>
      <c r="F53" s="374" t="s">
        <v>355</v>
      </c>
      <c r="G53" s="374">
        <v>36</v>
      </c>
      <c r="H53" s="586">
        <v>0.05</v>
      </c>
      <c r="I53" s="587">
        <v>175000</v>
      </c>
      <c r="J53" s="587">
        <f>_xlfn.XLOOKUP(D53,'[7]K.01.1a FA list'!$D$22:$D$348,'[7]K.01.1a FA list'!$M$22:$M$348)</f>
        <v>168000</v>
      </c>
      <c r="K53" s="587">
        <f t="shared" si="2"/>
        <v>0</v>
      </c>
      <c r="L53" s="587">
        <v>175000</v>
      </c>
      <c r="M53" s="587">
        <f>_xlfn.XLOOKUP(D53,[8]新增资产!$C:$C,[8]新增资产!$L:$L)</f>
        <v>168000</v>
      </c>
      <c r="N53" s="587">
        <v>0</v>
      </c>
      <c r="O53" s="843">
        <f t="shared" si="3"/>
        <v>7000</v>
      </c>
      <c r="P53" s="591" t="str">
        <f t="shared" si="1"/>
        <v>否</v>
      </c>
      <c r="Q53" s="592"/>
    </row>
    <row r="54" s="781" customFormat="1" ht="12.45" spans="1:18">
      <c r="A54" s="828"/>
      <c r="C54" s="584" t="s">
        <v>177</v>
      </c>
      <c r="D54" s="373" t="s">
        <v>356</v>
      </c>
      <c r="E54" s="374" t="s">
        <v>357</v>
      </c>
      <c r="F54" s="374" t="s">
        <v>358</v>
      </c>
      <c r="G54" s="374">
        <v>36</v>
      </c>
      <c r="H54" s="586">
        <v>0.05</v>
      </c>
      <c r="I54" s="587">
        <v>3199</v>
      </c>
      <c r="J54" s="587">
        <f>_xlfn.XLOOKUP(D54,'[7]K.01.1a FA list'!$D$22:$D$348,'[7]K.01.1a FA list'!$M$22:$M$348)</f>
        <v>3071.04</v>
      </c>
      <c r="K54" s="587">
        <f t="shared" si="2"/>
        <v>0</v>
      </c>
      <c r="L54" s="587">
        <v>3199</v>
      </c>
      <c r="M54" s="587">
        <f>_xlfn.XLOOKUP(D54,[8]新增资产!$C:$C,[8]新增资产!$L:$L)</f>
        <v>3071.04</v>
      </c>
      <c r="N54" s="587">
        <v>0</v>
      </c>
      <c r="O54" s="843">
        <f t="shared" si="3"/>
        <v>127.96</v>
      </c>
      <c r="P54" s="591" t="str">
        <f t="shared" si="1"/>
        <v>否</v>
      </c>
      <c r="Q54" s="592"/>
    </row>
    <row r="55" s="781" customFormat="1" ht="12.45" spans="1:18">
      <c r="A55" s="828"/>
      <c r="C55" s="584" t="s">
        <v>177</v>
      </c>
      <c r="D55" s="373" t="s">
        <v>359</v>
      </c>
      <c r="E55" s="374" t="s">
        <v>360</v>
      </c>
      <c r="F55" s="374" t="s">
        <v>295</v>
      </c>
      <c r="G55" s="374">
        <v>36</v>
      </c>
      <c r="H55" s="586">
        <v>0.05</v>
      </c>
      <c r="I55" s="587">
        <v>1688</v>
      </c>
      <c r="J55" s="587">
        <f>_xlfn.XLOOKUP(D55,'[7]K.01.1a FA list'!$D$22:$D$348,'[7]K.01.1a FA list'!$M$22:$M$348)</f>
        <v>1620.48</v>
      </c>
      <c r="K55" s="587">
        <f t="shared" si="2"/>
        <v>0</v>
      </c>
      <c r="L55" s="587">
        <v>1688</v>
      </c>
      <c r="M55" s="587">
        <f>_xlfn.XLOOKUP(D55,[8]新增资产!$C:$C,[8]新增资产!$L:$L)</f>
        <v>1620.48</v>
      </c>
      <c r="N55" s="587">
        <v>0</v>
      </c>
      <c r="O55" s="843">
        <f t="shared" si="3"/>
        <v>67.52</v>
      </c>
      <c r="P55" s="591" t="str">
        <f t="shared" si="1"/>
        <v>否</v>
      </c>
      <c r="Q55" s="592"/>
    </row>
    <row r="56" s="781" customFormat="1" ht="12.45" spans="1:18">
      <c r="A56" s="828"/>
      <c r="C56" s="584" t="s">
        <v>177</v>
      </c>
      <c r="D56" s="373" t="s">
        <v>361</v>
      </c>
      <c r="E56" s="374" t="s">
        <v>362</v>
      </c>
      <c r="F56" s="374" t="s">
        <v>363</v>
      </c>
      <c r="G56" s="374">
        <v>36</v>
      </c>
      <c r="H56" s="586">
        <v>0.05</v>
      </c>
      <c r="I56" s="587">
        <v>2599</v>
      </c>
      <c r="J56" s="587">
        <f>_xlfn.XLOOKUP(D56,'[7]K.01.1a FA list'!$D$22:$D$348,'[7]K.01.1a FA list'!$M$22:$M$348)</f>
        <v>2495.04</v>
      </c>
      <c r="K56" s="587">
        <f t="shared" si="2"/>
        <v>0</v>
      </c>
      <c r="L56" s="587">
        <v>2599</v>
      </c>
      <c r="M56" s="587">
        <f>_xlfn.XLOOKUP(D56,[8]新增资产!$C:$C,[8]新增资产!$L:$L)</f>
        <v>2495.04</v>
      </c>
      <c r="N56" s="587">
        <v>0</v>
      </c>
      <c r="O56" s="843">
        <f t="shared" si="3"/>
        <v>103.96</v>
      </c>
      <c r="P56" s="591" t="str">
        <f t="shared" si="1"/>
        <v>否</v>
      </c>
      <c r="Q56" s="592"/>
    </row>
    <row r="57" s="781" customFormat="1" ht="12.45" spans="1:18">
      <c r="A57" s="828"/>
      <c r="C57" s="584" t="s">
        <v>177</v>
      </c>
      <c r="D57" s="373" t="s">
        <v>364</v>
      </c>
      <c r="E57" s="374" t="s">
        <v>365</v>
      </c>
      <c r="F57" s="374" t="s">
        <v>366</v>
      </c>
      <c r="G57" s="374">
        <v>36</v>
      </c>
      <c r="H57" s="586">
        <v>0.05</v>
      </c>
      <c r="I57" s="587">
        <v>5360</v>
      </c>
      <c r="J57" s="587">
        <f>_xlfn.XLOOKUP(D57,'[7]K.01.1a FA list'!$D$22:$D$348,'[7]K.01.1a FA list'!$M$22:$M$348)</f>
        <v>5145.6</v>
      </c>
      <c r="K57" s="587">
        <f t="shared" si="2"/>
        <v>0</v>
      </c>
      <c r="L57" s="587">
        <v>5360</v>
      </c>
      <c r="M57" s="587">
        <f>_xlfn.XLOOKUP(D57,[8]新增资产!$C:$C,[8]新增资产!$L:$L)</f>
        <v>5145.6</v>
      </c>
      <c r="N57" s="587">
        <v>0</v>
      </c>
      <c r="O57" s="843">
        <f t="shared" si="3"/>
        <v>214.4</v>
      </c>
      <c r="P57" s="591" t="str">
        <f t="shared" si="1"/>
        <v>否</v>
      </c>
      <c r="Q57" s="592"/>
    </row>
    <row r="58" s="781" customFormat="1" ht="12.45" spans="1:18">
      <c r="A58" s="828"/>
      <c r="C58" s="584" t="s">
        <v>177</v>
      </c>
      <c r="D58" s="373" t="s">
        <v>367</v>
      </c>
      <c r="E58" s="374" t="s">
        <v>368</v>
      </c>
      <c r="F58" s="374" t="s">
        <v>298</v>
      </c>
      <c r="G58" s="374">
        <v>36</v>
      </c>
      <c r="H58" s="586">
        <v>0.05</v>
      </c>
      <c r="I58" s="587">
        <v>5300</v>
      </c>
      <c r="J58" s="587">
        <f>_xlfn.XLOOKUP(D58,'[7]K.01.1a FA list'!$D$22:$D$348,'[7]K.01.1a FA list'!$M$22:$M$348)</f>
        <v>5035</v>
      </c>
      <c r="K58" s="587">
        <f t="shared" si="2"/>
        <v>0</v>
      </c>
      <c r="L58" s="587">
        <v>5300</v>
      </c>
      <c r="M58" s="587">
        <f>_xlfn.XLOOKUP(D58,[8]新增资产!$C:$C,[8]新增资产!$L:$L)</f>
        <v>5035</v>
      </c>
      <c r="N58" s="587">
        <v>0</v>
      </c>
      <c r="O58" s="843">
        <f t="shared" si="3"/>
        <v>265</v>
      </c>
      <c r="P58" s="591" t="str">
        <f t="shared" si="1"/>
        <v>是</v>
      </c>
      <c r="Q58" s="592"/>
      <c r="R58" s="848"/>
    </row>
    <row r="59" s="781" customFormat="1" ht="12.45" spans="1:18">
      <c r="A59" s="828"/>
      <c r="C59" s="584" t="s">
        <v>177</v>
      </c>
      <c r="D59" s="373" t="s">
        <v>369</v>
      </c>
      <c r="E59" s="374" t="s">
        <v>370</v>
      </c>
      <c r="F59" s="374" t="s">
        <v>298</v>
      </c>
      <c r="G59" s="374">
        <v>36</v>
      </c>
      <c r="H59" s="586">
        <v>0.05</v>
      </c>
      <c r="I59" s="587">
        <v>6250</v>
      </c>
      <c r="J59" s="587">
        <f>_xlfn.XLOOKUP(D59,'[7]K.01.1a FA list'!$D$22:$D$348,'[7]K.01.1a FA list'!$M$22:$M$348)</f>
        <v>5937.5</v>
      </c>
      <c r="K59" s="587">
        <f t="shared" si="2"/>
        <v>0</v>
      </c>
      <c r="L59" s="587">
        <v>6250</v>
      </c>
      <c r="M59" s="587">
        <f>_xlfn.XLOOKUP(D59,[8]新增资产!$C:$C,[8]新增资产!$L:$L)</f>
        <v>5937.5</v>
      </c>
      <c r="N59" s="587">
        <v>0</v>
      </c>
      <c r="O59" s="843">
        <f t="shared" si="3"/>
        <v>312.5</v>
      </c>
      <c r="P59" s="591" t="str">
        <f t="shared" si="1"/>
        <v>是</v>
      </c>
      <c r="Q59" s="592"/>
      <c r="R59" s="848"/>
    </row>
    <row r="60" s="781" customFormat="1" ht="12.45" spans="1:18">
      <c r="A60" s="828"/>
      <c r="C60" s="584" t="s">
        <v>177</v>
      </c>
      <c r="D60" s="373" t="s">
        <v>371</v>
      </c>
      <c r="E60" s="374" t="s">
        <v>372</v>
      </c>
      <c r="F60" s="374" t="s">
        <v>298</v>
      </c>
      <c r="G60" s="374">
        <v>36</v>
      </c>
      <c r="H60" s="586">
        <v>0.05</v>
      </c>
      <c r="I60" s="587">
        <v>5200</v>
      </c>
      <c r="J60" s="587">
        <f>_xlfn.XLOOKUP(D60,'[7]K.01.1a FA list'!$D$22:$D$348,'[7]K.01.1a FA list'!$M$22:$M$348)</f>
        <v>4940</v>
      </c>
      <c r="K60" s="587">
        <f t="shared" si="2"/>
        <v>0</v>
      </c>
      <c r="L60" s="587">
        <v>5200</v>
      </c>
      <c r="M60" s="587">
        <f>_xlfn.XLOOKUP(D60,[8]新增资产!$C:$C,[8]新增资产!$L:$L)</f>
        <v>4940</v>
      </c>
      <c r="N60" s="587">
        <v>0</v>
      </c>
      <c r="O60" s="843">
        <f t="shared" si="3"/>
        <v>260</v>
      </c>
      <c r="P60" s="591" t="str">
        <f t="shared" si="1"/>
        <v>是</v>
      </c>
      <c r="Q60" s="592"/>
      <c r="R60" s="848"/>
    </row>
    <row r="61" s="781" customFormat="1" ht="12.45" spans="1:18">
      <c r="A61" s="828"/>
      <c r="C61" s="584" t="s">
        <v>177</v>
      </c>
      <c r="D61" s="373" t="s">
        <v>373</v>
      </c>
      <c r="E61" s="374" t="s">
        <v>374</v>
      </c>
      <c r="F61" s="374" t="s">
        <v>375</v>
      </c>
      <c r="G61" s="374">
        <v>36</v>
      </c>
      <c r="H61" s="586">
        <v>0.05</v>
      </c>
      <c r="I61" s="587">
        <v>1850</v>
      </c>
      <c r="J61" s="587">
        <f>_xlfn.XLOOKUP(D61,'[7]K.01.1a FA list'!$D$22:$D$348,'[7]K.01.1a FA list'!$M$22:$M$348)</f>
        <v>1757.5</v>
      </c>
      <c r="K61" s="587">
        <f t="shared" si="2"/>
        <v>0</v>
      </c>
      <c r="L61" s="587">
        <v>1850</v>
      </c>
      <c r="M61" s="587">
        <f>_xlfn.XLOOKUP(D61,[8]新增资产!$C:$C,[8]新增资产!$L:$L)</f>
        <v>1757.5</v>
      </c>
      <c r="N61" s="587">
        <v>0</v>
      </c>
      <c r="O61" s="843">
        <f t="shared" si="3"/>
        <v>92.5</v>
      </c>
      <c r="P61" s="591" t="str">
        <f t="shared" si="1"/>
        <v>是</v>
      </c>
      <c r="Q61" s="592"/>
      <c r="R61" s="848"/>
    </row>
    <row r="62" s="781" customFormat="1" ht="12.45" spans="1:18">
      <c r="A62" s="828"/>
      <c r="C62" s="584" t="s">
        <v>177</v>
      </c>
      <c r="D62" s="373" t="s">
        <v>376</v>
      </c>
      <c r="E62" s="374" t="s">
        <v>377</v>
      </c>
      <c r="F62" s="374" t="s">
        <v>375</v>
      </c>
      <c r="G62" s="374">
        <v>36</v>
      </c>
      <c r="H62" s="586">
        <v>0.05</v>
      </c>
      <c r="I62" s="587">
        <v>1900</v>
      </c>
      <c r="J62" s="587">
        <f>_xlfn.XLOOKUP(D62,'[7]K.01.1a FA list'!$D$22:$D$348,'[7]K.01.1a FA list'!$M$22:$M$348)</f>
        <v>1805</v>
      </c>
      <c r="K62" s="587">
        <f t="shared" si="2"/>
        <v>0</v>
      </c>
      <c r="L62" s="587">
        <v>1900</v>
      </c>
      <c r="M62" s="587">
        <f>_xlfn.XLOOKUP(D62,[8]新增资产!$C:$C,[8]新增资产!$L:$L)</f>
        <v>1805</v>
      </c>
      <c r="N62" s="587">
        <v>0</v>
      </c>
      <c r="O62" s="843">
        <f t="shared" si="3"/>
        <v>95</v>
      </c>
      <c r="P62" s="591" t="str">
        <f t="shared" si="1"/>
        <v>是</v>
      </c>
      <c r="Q62" s="592"/>
      <c r="R62" s="848"/>
    </row>
    <row r="63" s="781" customFormat="1" ht="12.45" spans="1:18">
      <c r="A63" s="828"/>
      <c r="C63" s="584" t="s">
        <v>177</v>
      </c>
      <c r="D63" s="373" t="s">
        <v>378</v>
      </c>
      <c r="E63" s="374" t="s">
        <v>379</v>
      </c>
      <c r="F63" s="374" t="s">
        <v>380</v>
      </c>
      <c r="G63" s="374">
        <v>60</v>
      </c>
      <c r="H63" s="586">
        <v>0.05</v>
      </c>
      <c r="I63" s="587">
        <v>118704</v>
      </c>
      <c r="J63" s="587">
        <f>_xlfn.XLOOKUP(D63,'[7]K.01.1a FA list'!$D$22:$D$348,'[7]K.01.1a FA list'!$M$22:$M$348)</f>
        <v>61302.45</v>
      </c>
      <c r="K63" s="587">
        <f t="shared" si="2"/>
        <v>19922.52</v>
      </c>
      <c r="L63" s="587">
        <v>118704</v>
      </c>
      <c r="M63" s="587">
        <f>_xlfn.XLOOKUP(D63,[8]新增资产!$C:$C,[8]新增资产!$L:$L)</f>
        <v>81224.97</v>
      </c>
      <c r="N63" s="587">
        <v>0</v>
      </c>
      <c r="O63" s="843">
        <f t="shared" si="3"/>
        <v>37479.03</v>
      </c>
      <c r="P63" s="591" t="str">
        <f t="shared" si="1"/>
        <v>否</v>
      </c>
      <c r="Q63" s="592"/>
    </row>
    <row r="64" s="781" customFormat="1" ht="12.45" spans="1:18">
      <c r="A64" s="828"/>
      <c r="C64" s="584" t="s">
        <v>177</v>
      </c>
      <c r="D64" s="373" t="s">
        <v>381</v>
      </c>
      <c r="E64" s="374" t="s">
        <v>382</v>
      </c>
      <c r="F64" s="374" t="s">
        <v>383</v>
      </c>
      <c r="G64" s="374">
        <v>60</v>
      </c>
      <c r="H64" s="586">
        <v>0.05</v>
      </c>
      <c r="I64" s="587">
        <v>45176</v>
      </c>
      <c r="J64" s="587">
        <f>_xlfn.XLOOKUP(D64,'[7]K.01.1a FA list'!$D$22:$D$348,'[7]K.01.1a FA list'!$M$22:$M$348)</f>
        <v>20743.41</v>
      </c>
      <c r="K64" s="587">
        <f t="shared" si="2"/>
        <v>8583.48</v>
      </c>
      <c r="L64" s="587">
        <v>45176</v>
      </c>
      <c r="M64" s="587">
        <f>_xlfn.XLOOKUP(D64,[8]新增资产!$C:$C,[8]新增资产!$L:$L)</f>
        <v>29326.89</v>
      </c>
      <c r="N64" s="587">
        <v>0</v>
      </c>
      <c r="O64" s="843">
        <f t="shared" si="3"/>
        <v>15849.11</v>
      </c>
      <c r="P64" s="591" t="str">
        <f t="shared" si="1"/>
        <v>否</v>
      </c>
      <c r="Q64" s="592"/>
    </row>
    <row r="65" s="781" customFormat="1" ht="12.45" spans="1:17">
      <c r="A65" s="828"/>
      <c r="C65" s="584" t="s">
        <v>177</v>
      </c>
      <c r="D65" s="373" t="s">
        <v>384</v>
      </c>
      <c r="E65" s="374" t="s">
        <v>385</v>
      </c>
      <c r="F65" s="374" t="s">
        <v>386</v>
      </c>
      <c r="G65" s="374">
        <v>60</v>
      </c>
      <c r="H65" s="586">
        <v>0.05</v>
      </c>
      <c r="I65" s="587">
        <v>3190</v>
      </c>
      <c r="J65" s="587">
        <f>_xlfn.XLOOKUP(D65,'[7]K.01.1a FA list'!$D$22:$D$348,'[7]K.01.1a FA list'!$M$22:$M$348)</f>
        <v>1414.28</v>
      </c>
      <c r="K65" s="587">
        <f t="shared" si="2"/>
        <v>606.12</v>
      </c>
      <c r="L65" s="587">
        <v>3190</v>
      </c>
      <c r="M65" s="587">
        <f>_xlfn.XLOOKUP(D65,[8]新增资产!$C:$C,[8]新增资产!$L:$L)</f>
        <v>2020.4</v>
      </c>
      <c r="N65" s="587">
        <v>0</v>
      </c>
      <c r="O65" s="843">
        <f t="shared" si="3"/>
        <v>1169.6</v>
      </c>
      <c r="P65" s="591" t="str">
        <f t="shared" si="1"/>
        <v>否</v>
      </c>
      <c r="Q65" s="592"/>
    </row>
    <row r="66" s="781" customFormat="1" ht="12.45" spans="1:17">
      <c r="A66" s="828"/>
      <c r="C66" s="584" t="s">
        <v>177</v>
      </c>
      <c r="D66" s="373" t="s">
        <v>387</v>
      </c>
      <c r="E66" s="374" t="s">
        <v>388</v>
      </c>
      <c r="F66" s="374" t="s">
        <v>386</v>
      </c>
      <c r="G66" s="374">
        <v>60</v>
      </c>
      <c r="H66" s="586">
        <v>0.05</v>
      </c>
      <c r="I66" s="587">
        <v>1580</v>
      </c>
      <c r="J66" s="587">
        <f>_xlfn.XLOOKUP(D66,'[7]K.01.1a FA list'!$D$22:$D$348,'[7]K.01.1a FA list'!$M$22:$M$348)</f>
        <v>700.56</v>
      </c>
      <c r="K66" s="587">
        <f t="shared" si="2"/>
        <v>300.24</v>
      </c>
      <c r="L66" s="587">
        <v>1580</v>
      </c>
      <c r="M66" s="587">
        <f>_xlfn.XLOOKUP(D66,[8]新增资产!$C:$C,[8]新增资产!$L:$L)</f>
        <v>1000.8</v>
      </c>
      <c r="N66" s="587">
        <v>0</v>
      </c>
      <c r="O66" s="843">
        <f t="shared" si="3"/>
        <v>579.2</v>
      </c>
      <c r="P66" s="591" t="str">
        <f t="shared" si="1"/>
        <v>否</v>
      </c>
      <c r="Q66" s="592"/>
    </row>
    <row r="67" s="781" customFormat="1" ht="12.45" spans="1:17">
      <c r="A67" s="828"/>
      <c r="C67" s="584" t="s">
        <v>177</v>
      </c>
      <c r="D67" s="373" t="s">
        <v>389</v>
      </c>
      <c r="E67" s="374" t="s">
        <v>390</v>
      </c>
      <c r="F67" s="374" t="s">
        <v>386</v>
      </c>
      <c r="G67" s="374">
        <v>60</v>
      </c>
      <c r="H67" s="586">
        <v>0.05</v>
      </c>
      <c r="I67" s="587">
        <v>7857.01</v>
      </c>
      <c r="J67" s="587">
        <f>_xlfn.XLOOKUP(D67,'[7]K.01.1a FA list'!$D$22:$D$348,'[7]K.01.1a FA list'!$M$22:$M$348)</f>
        <v>3483.2</v>
      </c>
      <c r="K67" s="587">
        <f t="shared" si="2"/>
        <v>1492.8</v>
      </c>
      <c r="L67" s="587">
        <v>7857.01</v>
      </c>
      <c r="M67" s="587">
        <f>_xlfn.XLOOKUP(D67,[8]新增资产!$C:$C,[8]新增资产!$L:$L)</f>
        <v>4976</v>
      </c>
      <c r="N67" s="587">
        <v>0</v>
      </c>
      <c r="O67" s="843">
        <f t="shared" si="3"/>
        <v>2881.01</v>
      </c>
      <c r="P67" s="591" t="str">
        <f t="shared" si="1"/>
        <v>否</v>
      </c>
      <c r="Q67" s="592"/>
    </row>
    <row r="68" s="781" customFormat="1" ht="12.45" spans="1:17">
      <c r="A68" s="828"/>
      <c r="C68" s="584" t="s">
        <v>177</v>
      </c>
      <c r="D68" s="373" t="s">
        <v>391</v>
      </c>
      <c r="E68" s="374" t="s">
        <v>392</v>
      </c>
      <c r="F68" s="374" t="s">
        <v>393</v>
      </c>
      <c r="G68" s="374">
        <v>60</v>
      </c>
      <c r="H68" s="586">
        <v>0.05</v>
      </c>
      <c r="I68" s="587">
        <v>4940</v>
      </c>
      <c r="J68" s="587">
        <f>_xlfn.XLOOKUP(D68,'[7]K.01.1a FA list'!$D$22:$D$348,'[7]K.01.1a FA list'!$M$22:$M$348)</f>
        <v>2111.94</v>
      </c>
      <c r="K68" s="587">
        <f t="shared" si="2"/>
        <v>938.64</v>
      </c>
      <c r="L68" s="587">
        <v>4940</v>
      </c>
      <c r="M68" s="587">
        <f>_xlfn.XLOOKUP(D68,[8]新增资产!$C:$C,[8]新增资产!$L:$L)</f>
        <v>3050.58</v>
      </c>
      <c r="N68" s="587">
        <v>0</v>
      </c>
      <c r="O68" s="843">
        <f t="shared" si="3"/>
        <v>1889.42</v>
      </c>
      <c r="P68" s="591" t="str">
        <f t="shared" si="1"/>
        <v>否</v>
      </c>
      <c r="Q68" s="592"/>
    </row>
    <row r="69" s="781" customFormat="1" ht="12.45" spans="1:17">
      <c r="A69" s="828"/>
      <c r="C69" s="584" t="s">
        <v>177</v>
      </c>
      <c r="D69" s="373" t="s">
        <v>394</v>
      </c>
      <c r="E69" s="374" t="s">
        <v>395</v>
      </c>
      <c r="F69" s="374" t="s">
        <v>386</v>
      </c>
      <c r="G69" s="374">
        <v>36</v>
      </c>
      <c r="H69" s="586">
        <v>0.05</v>
      </c>
      <c r="I69" s="587">
        <v>4098</v>
      </c>
      <c r="J69" s="587">
        <f>_xlfn.XLOOKUP(D69,'[7]K.01.1a FA list'!$D$22:$D$348,'[7]K.01.1a FA list'!$M$22:$M$348)</f>
        <v>3027.92</v>
      </c>
      <c r="K69" s="587">
        <f t="shared" si="2"/>
        <v>865.18</v>
      </c>
      <c r="L69" s="587">
        <v>4098</v>
      </c>
      <c r="M69" s="587">
        <f>_xlfn.XLOOKUP(D69,[8]新增资产!$C:$C,[8]新增资产!$L:$L)</f>
        <v>3893.1</v>
      </c>
      <c r="N69" s="587">
        <v>0</v>
      </c>
      <c r="O69" s="843">
        <f t="shared" si="3"/>
        <v>204.9</v>
      </c>
      <c r="P69" s="591" t="str">
        <f t="shared" si="1"/>
        <v>是</v>
      </c>
      <c r="Q69" s="592"/>
    </row>
    <row r="70" s="781" customFormat="1" ht="12.45" spans="1:17">
      <c r="A70" s="828"/>
      <c r="C70" s="584" t="s">
        <v>177</v>
      </c>
      <c r="D70" s="373" t="s">
        <v>396</v>
      </c>
      <c r="E70" s="374" t="s">
        <v>397</v>
      </c>
      <c r="F70" s="374" t="s">
        <v>386</v>
      </c>
      <c r="G70" s="374">
        <v>36</v>
      </c>
      <c r="H70" s="586">
        <v>0.05</v>
      </c>
      <c r="I70" s="587">
        <v>999</v>
      </c>
      <c r="J70" s="587">
        <f>_xlfn.XLOOKUP(D70,'[7]K.01.1a FA list'!$D$22:$D$348,'[7]K.01.1a FA list'!$M$22:$M$348)</f>
        <v>738.08</v>
      </c>
      <c r="K70" s="587">
        <f t="shared" si="2"/>
        <v>210.97</v>
      </c>
      <c r="L70" s="587">
        <v>999</v>
      </c>
      <c r="M70" s="587">
        <f>_xlfn.XLOOKUP(D70,[8]新增资产!$C:$C,[8]新增资产!$L:$L)</f>
        <v>949.05</v>
      </c>
      <c r="N70" s="587">
        <v>0</v>
      </c>
      <c r="O70" s="843">
        <f t="shared" si="3"/>
        <v>49.95</v>
      </c>
      <c r="P70" s="591" t="str">
        <f t="shared" si="1"/>
        <v>是</v>
      </c>
      <c r="Q70" s="592"/>
    </row>
    <row r="71" s="781" customFormat="1" ht="12.45" spans="1:17">
      <c r="A71" s="828"/>
      <c r="C71" s="584" t="s">
        <v>177</v>
      </c>
      <c r="D71" s="373" t="s">
        <v>398</v>
      </c>
      <c r="E71" s="374" t="s">
        <v>399</v>
      </c>
      <c r="F71" s="374" t="s">
        <v>400</v>
      </c>
      <c r="G71" s="374">
        <v>36</v>
      </c>
      <c r="H71" s="586">
        <v>0.05</v>
      </c>
      <c r="I71" s="587">
        <v>55530</v>
      </c>
      <c r="J71" s="587">
        <f>_xlfn.XLOOKUP(D71,'[7]K.01.1a FA list'!$D$22:$D$348,'[7]K.01.1a FA list'!$M$22:$M$348)</f>
        <v>41030.64</v>
      </c>
      <c r="K71" s="587">
        <f t="shared" si="2"/>
        <v>11722.86</v>
      </c>
      <c r="L71" s="587">
        <v>55530</v>
      </c>
      <c r="M71" s="587">
        <f>_xlfn.XLOOKUP(D71,[8]新增资产!$C:$C,[8]新增资产!$L:$L)</f>
        <v>52753.5</v>
      </c>
      <c r="N71" s="587">
        <v>0</v>
      </c>
      <c r="O71" s="843">
        <f t="shared" si="3"/>
        <v>2776.5</v>
      </c>
      <c r="P71" s="591" t="str">
        <f t="shared" si="1"/>
        <v>是</v>
      </c>
      <c r="Q71" s="592"/>
    </row>
    <row r="72" s="781" customFormat="1" ht="12.45" spans="1:17">
      <c r="A72" s="828"/>
      <c r="C72" s="584" t="s">
        <v>177</v>
      </c>
      <c r="D72" s="373" t="s">
        <v>401</v>
      </c>
      <c r="E72" s="374" t="s">
        <v>402</v>
      </c>
      <c r="F72" s="374" t="s">
        <v>403</v>
      </c>
      <c r="G72" s="374">
        <v>60</v>
      </c>
      <c r="H72" s="586">
        <v>0.05</v>
      </c>
      <c r="I72" s="587">
        <v>2088</v>
      </c>
      <c r="J72" s="587">
        <f>_xlfn.XLOOKUP(D72,'[7]K.01.1a FA list'!$D$22:$D$348,'[7]K.01.1a FA list'!$M$22:$M$348)</f>
        <v>1553.82</v>
      </c>
      <c r="K72" s="587">
        <f t="shared" si="2"/>
        <v>396.72</v>
      </c>
      <c r="L72" s="587">
        <v>2088</v>
      </c>
      <c r="M72" s="587">
        <f>_xlfn.XLOOKUP(D72,[8]新增资产!$C:$C,[8]新增资产!$L:$L)</f>
        <v>1950.54</v>
      </c>
      <c r="N72" s="587">
        <v>0</v>
      </c>
      <c r="O72" s="843">
        <f t="shared" si="3"/>
        <v>137.46</v>
      </c>
      <c r="P72" s="591" t="str">
        <f t="shared" si="1"/>
        <v>否</v>
      </c>
      <c r="Q72" s="592"/>
    </row>
    <row r="73" s="781" customFormat="1" ht="12.45" spans="1:17">
      <c r="A73" s="828"/>
      <c r="C73" s="584" t="s">
        <v>177</v>
      </c>
      <c r="D73" s="373" t="s">
        <v>404</v>
      </c>
      <c r="E73" s="374" t="s">
        <v>388</v>
      </c>
      <c r="F73" s="374" t="s">
        <v>405</v>
      </c>
      <c r="G73" s="374">
        <v>60</v>
      </c>
      <c r="H73" s="586">
        <v>0.05</v>
      </c>
      <c r="I73" s="587">
        <v>11888</v>
      </c>
      <c r="J73" s="587">
        <f>_xlfn.XLOOKUP(D73,'[7]K.01.1a FA list'!$D$22:$D$348,'[7]K.01.1a FA list'!$M$22:$M$348)</f>
        <v>4893.98</v>
      </c>
      <c r="K73" s="587">
        <f t="shared" si="2"/>
        <v>2258.76</v>
      </c>
      <c r="L73" s="587">
        <v>11888</v>
      </c>
      <c r="M73" s="587">
        <f>_xlfn.XLOOKUP(D73,[8]新增资产!$C:$C,[8]新增资产!$L:$L)</f>
        <v>7152.74</v>
      </c>
      <c r="N73" s="587">
        <v>0</v>
      </c>
      <c r="O73" s="843">
        <f t="shared" si="3"/>
        <v>4735.26</v>
      </c>
      <c r="P73" s="591" t="str">
        <f t="shared" si="1"/>
        <v>否</v>
      </c>
      <c r="Q73" s="592"/>
    </row>
    <row r="74" s="781" customFormat="1" ht="12.45" spans="1:17">
      <c r="A74" s="828"/>
      <c r="C74" s="584" t="s">
        <v>177</v>
      </c>
      <c r="D74" s="373" t="s">
        <v>406</v>
      </c>
      <c r="E74" s="374" t="s">
        <v>407</v>
      </c>
      <c r="F74" s="374" t="s">
        <v>405</v>
      </c>
      <c r="G74" s="374">
        <v>60</v>
      </c>
      <c r="H74" s="586">
        <v>0.05</v>
      </c>
      <c r="I74" s="587">
        <v>16200</v>
      </c>
      <c r="J74" s="587">
        <f>_xlfn.XLOOKUP(D74,'[7]K.01.1a FA list'!$D$22:$D$348,'[7]K.01.1a FA list'!$M$22:$M$348)</f>
        <v>6669</v>
      </c>
      <c r="K74" s="587">
        <f t="shared" si="2"/>
        <v>3078</v>
      </c>
      <c r="L74" s="587">
        <v>16200</v>
      </c>
      <c r="M74" s="587">
        <f>_xlfn.XLOOKUP(D74,[8]新增资产!$C:$C,[8]新增资产!$L:$L)</f>
        <v>9747</v>
      </c>
      <c r="N74" s="587">
        <v>0</v>
      </c>
      <c r="O74" s="843">
        <f t="shared" si="3"/>
        <v>6453</v>
      </c>
      <c r="P74" s="591" t="str">
        <f t="shared" si="1"/>
        <v>否</v>
      </c>
      <c r="Q74" s="592"/>
    </row>
    <row r="75" s="781" customFormat="1" ht="12.45" spans="1:17">
      <c r="A75" s="828"/>
      <c r="C75" s="584" t="s">
        <v>177</v>
      </c>
      <c r="D75" s="373" t="s">
        <v>408</v>
      </c>
      <c r="E75" s="374" t="s">
        <v>409</v>
      </c>
      <c r="F75" s="374" t="s">
        <v>405</v>
      </c>
      <c r="G75" s="374">
        <v>60</v>
      </c>
      <c r="H75" s="586">
        <v>0.05</v>
      </c>
      <c r="I75" s="587">
        <v>3600</v>
      </c>
      <c r="J75" s="587">
        <f>_xlfn.XLOOKUP(D75,'[7]K.01.1a FA list'!$D$22:$D$348,'[7]K.01.1a FA list'!$M$22:$M$348)</f>
        <v>1482</v>
      </c>
      <c r="K75" s="587">
        <f t="shared" si="2"/>
        <v>684</v>
      </c>
      <c r="L75" s="587">
        <v>3600</v>
      </c>
      <c r="M75" s="587">
        <f>_xlfn.XLOOKUP(D75,[8]新增资产!$C:$C,[8]新增资产!$L:$L)</f>
        <v>2166</v>
      </c>
      <c r="N75" s="587">
        <v>0</v>
      </c>
      <c r="O75" s="843">
        <f t="shared" si="3"/>
        <v>1434</v>
      </c>
      <c r="P75" s="591" t="str">
        <f t="shared" si="1"/>
        <v>否</v>
      </c>
      <c r="Q75" s="592"/>
    </row>
    <row r="76" s="781" customFormat="1" ht="12.45" spans="1:17">
      <c r="A76" s="828"/>
      <c r="C76" s="584" t="s">
        <v>177</v>
      </c>
      <c r="D76" s="373" t="s">
        <v>410</v>
      </c>
      <c r="E76" s="374" t="s">
        <v>411</v>
      </c>
      <c r="F76" s="374" t="s">
        <v>412</v>
      </c>
      <c r="G76" s="374">
        <v>60</v>
      </c>
      <c r="H76" s="586">
        <v>0.05</v>
      </c>
      <c r="I76" s="587">
        <v>25500</v>
      </c>
      <c r="J76" s="587">
        <f>_xlfn.XLOOKUP(D76,'[7]K.01.1a FA list'!$D$22:$D$348,'[7]K.01.1a FA list'!$M$22:$M$348)</f>
        <v>10093.75</v>
      </c>
      <c r="K76" s="587">
        <f t="shared" si="2"/>
        <v>4845</v>
      </c>
      <c r="L76" s="587">
        <v>25500</v>
      </c>
      <c r="M76" s="587">
        <f>_xlfn.XLOOKUP(D76,[8]新增资产!$C:$C,[8]新增资产!$L:$L)</f>
        <v>14938.75</v>
      </c>
      <c r="N76" s="587">
        <v>0</v>
      </c>
      <c r="O76" s="843">
        <f t="shared" si="3"/>
        <v>10561.25</v>
      </c>
      <c r="P76" s="591" t="str">
        <f t="shared" si="1"/>
        <v>否</v>
      </c>
      <c r="Q76" s="592"/>
    </row>
    <row r="77" s="781" customFormat="1" ht="12.45" spans="1:17">
      <c r="A77" s="828"/>
      <c r="C77" s="584" t="s">
        <v>177</v>
      </c>
      <c r="D77" s="373" t="s">
        <v>413</v>
      </c>
      <c r="E77" s="374" t="s">
        <v>414</v>
      </c>
      <c r="F77" s="374" t="s">
        <v>412</v>
      </c>
      <c r="G77" s="374">
        <v>60</v>
      </c>
      <c r="H77" s="586">
        <v>0.05</v>
      </c>
      <c r="I77" s="587">
        <v>6200</v>
      </c>
      <c r="J77" s="587">
        <f>_xlfn.XLOOKUP(D77,'[7]K.01.1a FA list'!$D$22:$D$348,'[7]K.01.1a FA list'!$M$22:$M$348)</f>
        <v>2454.25</v>
      </c>
      <c r="K77" s="587">
        <f t="shared" si="2"/>
        <v>1178.04</v>
      </c>
      <c r="L77" s="587">
        <v>6200</v>
      </c>
      <c r="M77" s="587">
        <f>_xlfn.XLOOKUP(D77,[8]新增资产!$C:$C,[8]新增资产!$L:$L)</f>
        <v>3632.29</v>
      </c>
      <c r="N77" s="587">
        <v>0</v>
      </c>
      <c r="O77" s="843">
        <f t="shared" si="3"/>
        <v>2567.71</v>
      </c>
      <c r="P77" s="591" t="str">
        <f t="shared" si="1"/>
        <v>否</v>
      </c>
      <c r="Q77" s="592"/>
    </row>
    <row r="78" s="781" customFormat="1" ht="12.45" spans="1:17">
      <c r="A78" s="828"/>
      <c r="C78" s="584" t="s">
        <v>177</v>
      </c>
      <c r="D78" s="373" t="s">
        <v>415</v>
      </c>
      <c r="E78" s="374" t="s">
        <v>409</v>
      </c>
      <c r="F78" s="374" t="s">
        <v>412</v>
      </c>
      <c r="G78" s="374">
        <v>60</v>
      </c>
      <c r="H78" s="586">
        <v>0.05</v>
      </c>
      <c r="I78" s="587">
        <v>2900</v>
      </c>
      <c r="J78" s="587">
        <f>_xlfn.XLOOKUP(D78,'[7]K.01.1a FA list'!$D$22:$D$348,'[7]K.01.1a FA list'!$M$22:$M$348)</f>
        <v>1148</v>
      </c>
      <c r="K78" s="587">
        <f t="shared" si="2"/>
        <v>551.04</v>
      </c>
      <c r="L78" s="587">
        <v>2900</v>
      </c>
      <c r="M78" s="587">
        <f>_xlfn.XLOOKUP(D78,[8]新增资产!$C:$C,[8]新增资产!$L:$L)</f>
        <v>1699.04</v>
      </c>
      <c r="N78" s="587">
        <v>0</v>
      </c>
      <c r="O78" s="843">
        <f t="shared" si="3"/>
        <v>1200.96</v>
      </c>
      <c r="P78" s="591" t="str">
        <f t="shared" si="1"/>
        <v>否</v>
      </c>
      <c r="Q78" s="592"/>
    </row>
    <row r="79" s="781" customFormat="1" ht="12.45" spans="1:17">
      <c r="A79" s="828"/>
      <c r="C79" s="584" t="s">
        <v>177</v>
      </c>
      <c r="D79" s="373" t="s">
        <v>416</v>
      </c>
      <c r="E79" s="374" t="s">
        <v>417</v>
      </c>
      <c r="F79" s="374" t="s">
        <v>412</v>
      </c>
      <c r="G79" s="374">
        <v>60</v>
      </c>
      <c r="H79" s="586">
        <v>0.05</v>
      </c>
      <c r="I79" s="587">
        <v>1700</v>
      </c>
      <c r="J79" s="587">
        <f>_xlfn.XLOOKUP(D79,'[7]K.01.1a FA list'!$D$22:$D$348,'[7]K.01.1a FA list'!$M$22:$M$348)</f>
        <v>673</v>
      </c>
      <c r="K79" s="587">
        <f t="shared" si="2"/>
        <v>323.04</v>
      </c>
      <c r="L79" s="587">
        <v>1700</v>
      </c>
      <c r="M79" s="587">
        <f>_xlfn.XLOOKUP(D79,[8]新增资产!$C:$C,[8]新增资产!$L:$L)</f>
        <v>996.04</v>
      </c>
      <c r="N79" s="587">
        <v>0</v>
      </c>
      <c r="O79" s="843">
        <f t="shared" si="3"/>
        <v>703.96</v>
      </c>
      <c r="P79" s="591" t="str">
        <f t="shared" si="1"/>
        <v>否</v>
      </c>
      <c r="Q79" s="592"/>
    </row>
    <row r="80" s="781" customFormat="1" ht="12.45" spans="1:17">
      <c r="A80" s="828"/>
      <c r="C80" s="584" t="s">
        <v>177</v>
      </c>
      <c r="D80" s="373" t="s">
        <v>418</v>
      </c>
      <c r="E80" s="374" t="s">
        <v>417</v>
      </c>
      <c r="F80" s="374" t="s">
        <v>419</v>
      </c>
      <c r="G80" s="374">
        <v>60</v>
      </c>
      <c r="H80" s="586">
        <v>0.05</v>
      </c>
      <c r="I80" s="587">
        <v>1700</v>
      </c>
      <c r="J80" s="587">
        <f>_xlfn.XLOOKUP(D80,'[7]K.01.1a FA list'!$D$22:$D$348,'[7]K.01.1a FA list'!$M$22:$M$348)</f>
        <v>646.08</v>
      </c>
      <c r="K80" s="587">
        <f t="shared" si="2"/>
        <v>323.04</v>
      </c>
      <c r="L80" s="587">
        <v>1700</v>
      </c>
      <c r="M80" s="587">
        <f>_xlfn.XLOOKUP(D80,[8]新增资产!$C:$C,[8]新增资产!$L:$L)</f>
        <v>969.12</v>
      </c>
      <c r="N80" s="587">
        <v>0</v>
      </c>
      <c r="O80" s="843">
        <f t="shared" si="3"/>
        <v>730.88</v>
      </c>
      <c r="P80" s="591" t="str">
        <f t="shared" ref="P80:P141" si="4">IF(ROUND(L80*(1-H80),0)=ROUND(M80,0),"是","否")</f>
        <v>否</v>
      </c>
      <c r="Q80" s="592"/>
    </row>
    <row r="81" s="781" customFormat="1" ht="12.45" spans="1:18">
      <c r="A81" s="828"/>
      <c r="C81" s="584" t="s">
        <v>177</v>
      </c>
      <c r="D81" s="373" t="s">
        <v>420</v>
      </c>
      <c r="E81" s="374" t="s">
        <v>409</v>
      </c>
      <c r="F81" s="374" t="s">
        <v>419</v>
      </c>
      <c r="G81" s="374">
        <v>60</v>
      </c>
      <c r="H81" s="586">
        <v>0.05</v>
      </c>
      <c r="I81" s="587">
        <v>6800</v>
      </c>
      <c r="J81" s="587">
        <f>_xlfn.XLOOKUP(D81,'[7]K.01.1a FA list'!$D$22:$D$348,'[7]K.01.1a FA list'!$M$22:$M$348)</f>
        <v>2584.08</v>
      </c>
      <c r="K81" s="587">
        <f t="shared" si="2"/>
        <v>1292.04</v>
      </c>
      <c r="L81" s="587">
        <v>6800</v>
      </c>
      <c r="M81" s="587">
        <f>_xlfn.XLOOKUP(D81,[8]新增资产!$C:$C,[8]新增资产!$L:$L)</f>
        <v>3876.12</v>
      </c>
      <c r="N81" s="587">
        <v>0</v>
      </c>
      <c r="O81" s="843">
        <f t="shared" si="3"/>
        <v>2923.88</v>
      </c>
      <c r="P81" s="591" t="str">
        <f t="shared" si="4"/>
        <v>否</v>
      </c>
      <c r="Q81" s="592"/>
    </row>
    <row r="82" s="781" customFormat="1" ht="12.45" spans="1:18">
      <c r="A82" s="828"/>
      <c r="C82" s="584" t="s">
        <v>177</v>
      </c>
      <c r="D82" s="373" t="s">
        <v>421</v>
      </c>
      <c r="E82" s="374" t="s">
        <v>417</v>
      </c>
      <c r="F82" s="374" t="s">
        <v>419</v>
      </c>
      <c r="G82" s="374">
        <v>60</v>
      </c>
      <c r="H82" s="586">
        <v>0.05</v>
      </c>
      <c r="I82" s="587">
        <v>12640</v>
      </c>
      <c r="J82" s="587">
        <f>_xlfn.XLOOKUP(D82,'[7]K.01.1a FA list'!$D$22:$D$348,'[7]K.01.1a FA list'!$M$22:$M$348)</f>
        <v>4803.12</v>
      </c>
      <c r="K82" s="587">
        <f t="shared" ref="K82:K145" si="5">M82-J82</f>
        <v>2401.56</v>
      </c>
      <c r="L82" s="587">
        <v>12640</v>
      </c>
      <c r="M82" s="587">
        <f>_xlfn.XLOOKUP(D82,[8]新增资产!$C:$C,[8]新增资产!$L:$L)</f>
        <v>7204.68</v>
      </c>
      <c r="N82" s="587">
        <v>0</v>
      </c>
      <c r="O82" s="843">
        <f t="shared" ref="O82:O145" si="6">L82-M82</f>
        <v>5435.32</v>
      </c>
      <c r="P82" s="591" t="str">
        <f t="shared" si="4"/>
        <v>否</v>
      </c>
      <c r="Q82" s="592"/>
    </row>
    <row r="83" s="781" customFormat="1" ht="12.45" spans="1:18">
      <c r="A83" s="828"/>
      <c r="C83" s="584" t="s">
        <v>177</v>
      </c>
      <c r="D83" s="373" t="s">
        <v>422</v>
      </c>
      <c r="E83" s="374" t="s">
        <v>423</v>
      </c>
      <c r="F83" s="374" t="s">
        <v>419</v>
      </c>
      <c r="G83" s="374">
        <v>60</v>
      </c>
      <c r="H83" s="586">
        <v>0.05</v>
      </c>
      <c r="I83" s="587">
        <v>7380</v>
      </c>
      <c r="J83" s="587">
        <f>_xlfn.XLOOKUP(D83,'[7]K.01.1a FA list'!$D$22:$D$348,'[7]K.01.1a FA list'!$M$22:$M$348)</f>
        <v>2804.4</v>
      </c>
      <c r="K83" s="587">
        <f t="shared" si="5"/>
        <v>1402.2</v>
      </c>
      <c r="L83" s="587">
        <v>7380</v>
      </c>
      <c r="M83" s="587">
        <f>_xlfn.XLOOKUP(D83,[8]新增资产!$C:$C,[8]新增资产!$L:$L)</f>
        <v>4206.6</v>
      </c>
      <c r="N83" s="587">
        <v>0</v>
      </c>
      <c r="O83" s="843">
        <f t="shared" si="6"/>
        <v>3173.4</v>
      </c>
      <c r="P83" s="591" t="str">
        <f t="shared" si="4"/>
        <v>否</v>
      </c>
      <c r="Q83" s="592"/>
    </row>
    <row r="84" s="781" customFormat="1" ht="12.45" spans="1:18">
      <c r="A84" s="828"/>
      <c r="C84" s="584" t="s">
        <v>177</v>
      </c>
      <c r="D84" s="373" t="s">
        <v>424</v>
      </c>
      <c r="E84" s="374" t="s">
        <v>388</v>
      </c>
      <c r="F84" s="374" t="s">
        <v>419</v>
      </c>
      <c r="G84" s="374">
        <v>60</v>
      </c>
      <c r="H84" s="586">
        <v>0.05</v>
      </c>
      <c r="I84" s="587">
        <v>8100</v>
      </c>
      <c r="J84" s="587">
        <f>_xlfn.XLOOKUP(D84,'[7]K.01.1a FA list'!$D$22:$D$348,'[7]K.01.1a FA list'!$M$22:$M$348)</f>
        <v>3078</v>
      </c>
      <c r="K84" s="587">
        <f t="shared" si="5"/>
        <v>1539</v>
      </c>
      <c r="L84" s="587">
        <v>8100</v>
      </c>
      <c r="M84" s="587">
        <f>_xlfn.XLOOKUP(D84,[8]新增资产!$C:$C,[8]新增资产!$L:$L)</f>
        <v>4617</v>
      </c>
      <c r="N84" s="587">
        <v>0</v>
      </c>
      <c r="O84" s="843">
        <f t="shared" si="6"/>
        <v>3483</v>
      </c>
      <c r="P84" s="591" t="str">
        <f t="shared" si="4"/>
        <v>否</v>
      </c>
      <c r="Q84" s="592"/>
    </row>
    <row r="85" s="781" customFormat="1" ht="12.45" spans="1:18">
      <c r="A85" s="828"/>
      <c r="C85" s="584" t="s">
        <v>177</v>
      </c>
      <c r="D85" s="373" t="s">
        <v>425</v>
      </c>
      <c r="E85" s="374" t="s">
        <v>388</v>
      </c>
      <c r="F85" s="374" t="s">
        <v>419</v>
      </c>
      <c r="G85" s="374">
        <v>60</v>
      </c>
      <c r="H85" s="586">
        <v>0.05</v>
      </c>
      <c r="I85" s="587">
        <v>11000</v>
      </c>
      <c r="J85" s="587">
        <f>_xlfn.XLOOKUP(D85,'[7]K.01.1a FA list'!$D$22:$D$348,'[7]K.01.1a FA list'!$M$22:$M$348)</f>
        <v>4180.08</v>
      </c>
      <c r="K85" s="587">
        <f t="shared" si="5"/>
        <v>2090.04</v>
      </c>
      <c r="L85" s="587">
        <v>11000</v>
      </c>
      <c r="M85" s="587">
        <f>_xlfn.XLOOKUP(D85,[8]新增资产!$C:$C,[8]新增资产!$L:$L)</f>
        <v>6270.12</v>
      </c>
      <c r="N85" s="587">
        <v>0</v>
      </c>
      <c r="O85" s="843">
        <f t="shared" si="6"/>
        <v>4729.88</v>
      </c>
      <c r="P85" s="591" t="str">
        <f t="shared" si="4"/>
        <v>否</v>
      </c>
      <c r="Q85" s="592"/>
    </row>
    <row r="86" s="781" customFormat="1" ht="12.45" spans="1:18">
      <c r="A86" s="828"/>
      <c r="C86" s="584" t="s">
        <v>177</v>
      </c>
      <c r="D86" s="373" t="s">
        <v>426</v>
      </c>
      <c r="E86" s="374" t="s">
        <v>427</v>
      </c>
      <c r="F86" s="374" t="s">
        <v>428</v>
      </c>
      <c r="G86" s="374">
        <v>36</v>
      </c>
      <c r="H86" s="586">
        <v>0.05</v>
      </c>
      <c r="I86" s="587">
        <v>2180</v>
      </c>
      <c r="J86" s="587">
        <f>_xlfn.XLOOKUP(D86,'[7]K.01.1a FA list'!$D$22:$D$348,'[7]K.01.1a FA list'!$M$22:$M$348)</f>
        <v>1208.13</v>
      </c>
      <c r="K86" s="587">
        <f t="shared" si="5"/>
        <v>690.36</v>
      </c>
      <c r="L86" s="587">
        <v>2180</v>
      </c>
      <c r="M86" s="587">
        <f>_xlfn.XLOOKUP(D86,[8]新增资产!$C:$C,[8]新增资产!$L:$L)</f>
        <v>1898.49</v>
      </c>
      <c r="N86" s="587">
        <v>0</v>
      </c>
      <c r="O86" s="843">
        <f t="shared" si="6"/>
        <v>281.51</v>
      </c>
      <c r="P86" s="591" t="str">
        <f t="shared" si="4"/>
        <v>否</v>
      </c>
      <c r="Q86" s="592"/>
    </row>
    <row r="87" s="781" customFormat="1" ht="12.45" spans="1:18">
      <c r="A87" s="828"/>
      <c r="C87" s="584" t="s">
        <v>178</v>
      </c>
      <c r="D87" s="373" t="s">
        <v>429</v>
      </c>
      <c r="E87" s="374" t="s">
        <v>333</v>
      </c>
      <c r="F87" s="374" t="s">
        <v>430</v>
      </c>
      <c r="G87" s="374">
        <v>36</v>
      </c>
      <c r="H87" s="586">
        <v>0.04</v>
      </c>
      <c r="I87" s="587">
        <v>6500</v>
      </c>
      <c r="J87" s="587">
        <f>_xlfn.XLOOKUP(D87,'[7]K.01.1a FA list'!$D$22:$D$348,'[7]K.01.1a FA list'!$M$22:$M$348)</f>
        <v>6240</v>
      </c>
      <c r="K87" s="587">
        <f t="shared" si="5"/>
        <v>0</v>
      </c>
      <c r="L87" s="587">
        <v>6500</v>
      </c>
      <c r="M87" s="587">
        <f>_xlfn.XLOOKUP(D87,[8]新增资产!$C:$C,[8]新增资产!$L:$L)</f>
        <v>6240</v>
      </c>
      <c r="N87" s="587">
        <v>0</v>
      </c>
      <c r="O87" s="843">
        <f t="shared" si="6"/>
        <v>260</v>
      </c>
      <c r="P87" s="591" t="str">
        <f t="shared" si="4"/>
        <v>是</v>
      </c>
      <c r="Q87" s="592"/>
      <c r="R87" s="848"/>
    </row>
    <row r="88" s="781" customFormat="1" ht="12.45" spans="1:18">
      <c r="A88" s="828"/>
      <c r="C88" s="584" t="s">
        <v>178</v>
      </c>
      <c r="D88" s="373" t="s">
        <v>431</v>
      </c>
      <c r="E88" s="374" t="s">
        <v>432</v>
      </c>
      <c r="F88" s="374" t="s">
        <v>433</v>
      </c>
      <c r="G88" s="374">
        <v>36</v>
      </c>
      <c r="H88" s="586">
        <v>0.05</v>
      </c>
      <c r="I88" s="587">
        <v>22960</v>
      </c>
      <c r="J88" s="587">
        <f>_xlfn.XLOOKUP(D88,'[7]K.01.1a FA list'!$D$22:$D$348,'[7]K.01.1a FA list'!$M$22:$M$348)</f>
        <v>21812</v>
      </c>
      <c r="K88" s="587">
        <f t="shared" si="5"/>
        <v>0</v>
      </c>
      <c r="L88" s="587">
        <v>22960</v>
      </c>
      <c r="M88" s="587">
        <f>_xlfn.XLOOKUP(D88,[8]新增资产!$C:$C,[8]新增资产!$L:$L)</f>
        <v>21812</v>
      </c>
      <c r="N88" s="587">
        <v>0</v>
      </c>
      <c r="O88" s="843">
        <f t="shared" si="6"/>
        <v>1148</v>
      </c>
      <c r="P88" s="591" t="str">
        <f t="shared" si="4"/>
        <v>是</v>
      </c>
      <c r="Q88" s="592"/>
      <c r="R88" s="848"/>
    </row>
    <row r="89" s="781" customFormat="1" ht="12.45" spans="1:18">
      <c r="A89" s="828"/>
      <c r="C89" s="584" t="s">
        <v>178</v>
      </c>
      <c r="D89" s="373" t="s">
        <v>434</v>
      </c>
      <c r="E89" s="374" t="s">
        <v>435</v>
      </c>
      <c r="F89" s="374" t="s">
        <v>436</v>
      </c>
      <c r="G89" s="374">
        <v>36</v>
      </c>
      <c r="H89" s="586">
        <v>0.05</v>
      </c>
      <c r="I89" s="587">
        <v>5499</v>
      </c>
      <c r="J89" s="587">
        <f>_xlfn.XLOOKUP(D89,'[7]K.01.1a FA list'!$D$22:$D$348,'[7]K.01.1a FA list'!$M$22:$M$348)</f>
        <v>5224.05</v>
      </c>
      <c r="K89" s="587">
        <f t="shared" si="5"/>
        <v>0</v>
      </c>
      <c r="L89" s="587">
        <v>5499</v>
      </c>
      <c r="M89" s="587">
        <f>_xlfn.XLOOKUP(D89,[8]新增资产!$C:$C,[8]新增资产!$L:$L)</f>
        <v>5224.05</v>
      </c>
      <c r="N89" s="587">
        <v>0</v>
      </c>
      <c r="O89" s="843">
        <f t="shared" si="6"/>
        <v>274.95</v>
      </c>
      <c r="P89" s="591" t="str">
        <f t="shared" si="4"/>
        <v>是</v>
      </c>
      <c r="Q89" s="592"/>
      <c r="R89" s="848"/>
    </row>
    <row r="90" s="781" customFormat="1" ht="12.45" spans="1:18">
      <c r="A90" s="828"/>
      <c r="C90" s="584" t="s">
        <v>178</v>
      </c>
      <c r="D90" s="373" t="s">
        <v>437</v>
      </c>
      <c r="E90" s="374" t="s">
        <v>438</v>
      </c>
      <c r="F90" s="374" t="s">
        <v>439</v>
      </c>
      <c r="G90" s="374">
        <v>36</v>
      </c>
      <c r="H90" s="586">
        <v>0.05</v>
      </c>
      <c r="I90" s="587">
        <v>7150</v>
      </c>
      <c r="J90" s="587">
        <f>_xlfn.XLOOKUP(D90,'[7]K.01.1a FA list'!$D$22:$D$348,'[7]K.01.1a FA list'!$M$22:$M$348)</f>
        <v>6792.5</v>
      </c>
      <c r="K90" s="587">
        <f t="shared" si="5"/>
        <v>0</v>
      </c>
      <c r="L90" s="587">
        <v>7150</v>
      </c>
      <c r="M90" s="587">
        <f>_xlfn.XLOOKUP(D90,[8]新增资产!$C:$C,[8]新增资产!$L:$L)</f>
        <v>6792.5</v>
      </c>
      <c r="N90" s="587">
        <v>0</v>
      </c>
      <c r="O90" s="843">
        <f t="shared" si="6"/>
        <v>357.5</v>
      </c>
      <c r="P90" s="591" t="str">
        <f t="shared" si="4"/>
        <v>是</v>
      </c>
      <c r="Q90" s="592"/>
      <c r="R90" s="848"/>
    </row>
    <row r="91" s="781" customFormat="1" ht="12.45" spans="1:18">
      <c r="A91" s="828"/>
      <c r="C91" s="584" t="s">
        <v>178</v>
      </c>
      <c r="D91" s="373" t="s">
        <v>440</v>
      </c>
      <c r="E91" s="374" t="s">
        <v>441</v>
      </c>
      <c r="F91" s="374" t="s">
        <v>439</v>
      </c>
      <c r="G91" s="374">
        <v>36</v>
      </c>
      <c r="H91" s="586">
        <v>0.05</v>
      </c>
      <c r="I91" s="587">
        <v>2800</v>
      </c>
      <c r="J91" s="587">
        <f>_xlfn.XLOOKUP(D91,'[7]K.01.1a FA list'!$D$22:$D$348,'[7]K.01.1a FA list'!$M$22:$M$348)</f>
        <v>2660</v>
      </c>
      <c r="K91" s="587">
        <f t="shared" si="5"/>
        <v>0</v>
      </c>
      <c r="L91" s="587">
        <v>2800</v>
      </c>
      <c r="M91" s="587">
        <f>_xlfn.XLOOKUP(D91,[8]新增资产!$C:$C,[8]新增资产!$L:$L)</f>
        <v>2660</v>
      </c>
      <c r="N91" s="587">
        <v>0</v>
      </c>
      <c r="O91" s="843">
        <f t="shared" si="6"/>
        <v>140</v>
      </c>
      <c r="P91" s="591" t="str">
        <f t="shared" si="4"/>
        <v>是</v>
      </c>
      <c r="Q91" s="592"/>
      <c r="R91" s="848"/>
    </row>
    <row r="92" s="781" customFormat="1" ht="12.45" spans="1:18">
      <c r="A92" s="828"/>
      <c r="C92" s="584" t="s">
        <v>178</v>
      </c>
      <c r="D92" s="373" t="s">
        <v>442</v>
      </c>
      <c r="E92" s="374" t="s">
        <v>443</v>
      </c>
      <c r="F92" s="374" t="s">
        <v>444</v>
      </c>
      <c r="G92" s="374">
        <v>36</v>
      </c>
      <c r="H92" s="586">
        <v>0.05</v>
      </c>
      <c r="I92" s="587">
        <v>3150</v>
      </c>
      <c r="J92" s="587">
        <f>_xlfn.XLOOKUP(D92,'[7]K.01.1a FA list'!$D$22:$D$348,'[7]K.01.1a FA list'!$M$22:$M$348)</f>
        <v>2992.5</v>
      </c>
      <c r="K92" s="587">
        <f t="shared" si="5"/>
        <v>0</v>
      </c>
      <c r="L92" s="587">
        <v>3150</v>
      </c>
      <c r="M92" s="587">
        <f>_xlfn.XLOOKUP(D92,[8]新增资产!$C:$C,[8]新增资产!$L:$L)</f>
        <v>2992.5</v>
      </c>
      <c r="N92" s="587">
        <v>0</v>
      </c>
      <c r="O92" s="843">
        <f t="shared" si="6"/>
        <v>157.5</v>
      </c>
      <c r="P92" s="591" t="str">
        <f t="shared" si="4"/>
        <v>是</v>
      </c>
      <c r="Q92" s="592"/>
      <c r="R92" s="848"/>
    </row>
    <row r="93" s="781" customFormat="1" ht="12.45" spans="1:18">
      <c r="A93" s="828"/>
      <c r="C93" s="584" t="s">
        <v>178</v>
      </c>
      <c r="D93" s="373" t="s">
        <v>445</v>
      </c>
      <c r="E93" s="374" t="s">
        <v>446</v>
      </c>
      <c r="F93" s="374" t="s">
        <v>444</v>
      </c>
      <c r="G93" s="374">
        <v>36</v>
      </c>
      <c r="H93" s="586">
        <v>0.05</v>
      </c>
      <c r="I93" s="587">
        <v>6100</v>
      </c>
      <c r="J93" s="587">
        <f>_xlfn.XLOOKUP(D93,'[7]K.01.1a FA list'!$D$22:$D$348,'[7]K.01.1a FA list'!$M$22:$M$348)</f>
        <v>5795</v>
      </c>
      <c r="K93" s="587">
        <f t="shared" si="5"/>
        <v>0</v>
      </c>
      <c r="L93" s="587">
        <v>6100</v>
      </c>
      <c r="M93" s="587">
        <f>_xlfn.XLOOKUP(D93,[8]新增资产!$C:$C,[8]新增资产!$L:$L)</f>
        <v>5795</v>
      </c>
      <c r="N93" s="587">
        <v>0</v>
      </c>
      <c r="O93" s="843">
        <f t="shared" si="6"/>
        <v>305</v>
      </c>
      <c r="P93" s="591" t="str">
        <f t="shared" si="4"/>
        <v>是</v>
      </c>
      <c r="Q93" s="592"/>
      <c r="R93" s="848"/>
    </row>
    <row r="94" s="781" customFormat="1" ht="12.45" spans="1:18">
      <c r="A94" s="828"/>
      <c r="C94" s="584" t="s">
        <v>178</v>
      </c>
      <c r="D94" s="373" t="s">
        <v>447</v>
      </c>
      <c r="E94" s="374" t="s">
        <v>438</v>
      </c>
      <c r="F94" s="374" t="s">
        <v>448</v>
      </c>
      <c r="G94" s="374">
        <v>36</v>
      </c>
      <c r="H94" s="586">
        <v>0.05</v>
      </c>
      <c r="I94" s="587">
        <v>6800</v>
      </c>
      <c r="J94" s="587">
        <f>_xlfn.XLOOKUP(D94,'[7]K.01.1a FA list'!$D$22:$D$348,'[7]K.01.1a FA list'!$M$22:$M$348)</f>
        <v>6460</v>
      </c>
      <c r="K94" s="587">
        <f t="shared" si="5"/>
        <v>0</v>
      </c>
      <c r="L94" s="587">
        <v>6800</v>
      </c>
      <c r="M94" s="587">
        <f>_xlfn.XLOOKUP(D94,[8]新增资产!$C:$C,[8]新增资产!$L:$L)</f>
        <v>6460</v>
      </c>
      <c r="N94" s="587">
        <v>0</v>
      </c>
      <c r="O94" s="843">
        <f t="shared" si="6"/>
        <v>340</v>
      </c>
      <c r="P94" s="591" t="str">
        <f t="shared" si="4"/>
        <v>是</v>
      </c>
      <c r="Q94" s="592"/>
      <c r="R94" s="848"/>
    </row>
    <row r="95" s="781" customFormat="1" ht="12.45" spans="1:18">
      <c r="A95" s="828"/>
      <c r="C95" s="584" t="s">
        <v>178</v>
      </c>
      <c r="D95" s="373" t="s">
        <v>449</v>
      </c>
      <c r="E95" s="374" t="s">
        <v>450</v>
      </c>
      <c r="F95" s="374" t="s">
        <v>448</v>
      </c>
      <c r="G95" s="374">
        <v>36</v>
      </c>
      <c r="H95" s="586">
        <v>0.05</v>
      </c>
      <c r="I95" s="587">
        <v>3150</v>
      </c>
      <c r="J95" s="587">
        <f>_xlfn.XLOOKUP(D95,'[7]K.01.1a FA list'!$D$22:$D$348,'[7]K.01.1a FA list'!$M$22:$M$348)</f>
        <v>2992.5</v>
      </c>
      <c r="K95" s="587">
        <f t="shared" si="5"/>
        <v>0</v>
      </c>
      <c r="L95" s="587">
        <v>3150</v>
      </c>
      <c r="M95" s="587">
        <f>_xlfn.XLOOKUP(D95,[8]新增资产!$C:$C,[8]新增资产!$L:$L)</f>
        <v>2992.5</v>
      </c>
      <c r="N95" s="587">
        <v>0</v>
      </c>
      <c r="O95" s="843">
        <f t="shared" si="6"/>
        <v>157.5</v>
      </c>
      <c r="P95" s="591" t="str">
        <f t="shared" si="4"/>
        <v>是</v>
      </c>
      <c r="Q95" s="592"/>
      <c r="R95" s="848"/>
    </row>
    <row r="96" s="781" customFormat="1" ht="12.45" spans="1:18">
      <c r="A96" s="828"/>
      <c r="C96" s="584" t="s">
        <v>178</v>
      </c>
      <c r="D96" s="373" t="s">
        <v>451</v>
      </c>
      <c r="E96" s="374" t="s">
        <v>452</v>
      </c>
      <c r="F96" s="374" t="s">
        <v>453</v>
      </c>
      <c r="G96" s="374">
        <v>36</v>
      </c>
      <c r="H96" s="586">
        <v>0.05</v>
      </c>
      <c r="I96" s="587">
        <v>2980</v>
      </c>
      <c r="J96" s="587">
        <f>_xlfn.XLOOKUP(D96,'[7]K.01.1a FA list'!$D$22:$D$348,'[7]K.01.1a FA list'!$M$22:$M$348)</f>
        <v>2831</v>
      </c>
      <c r="K96" s="587">
        <f t="shared" si="5"/>
        <v>0</v>
      </c>
      <c r="L96" s="587">
        <v>2980</v>
      </c>
      <c r="M96" s="587">
        <f>_xlfn.XLOOKUP(D96,[8]新增资产!$C:$C,[8]新增资产!$L:$L)</f>
        <v>2831</v>
      </c>
      <c r="N96" s="587">
        <v>0</v>
      </c>
      <c r="O96" s="843">
        <f t="shared" si="6"/>
        <v>149</v>
      </c>
      <c r="P96" s="591" t="str">
        <f t="shared" si="4"/>
        <v>是</v>
      </c>
      <c r="Q96" s="592"/>
      <c r="R96" s="848"/>
    </row>
    <row r="97" s="781" customFormat="1" ht="12.45" spans="1:18">
      <c r="A97" s="828"/>
      <c r="C97" s="584" t="s">
        <v>178</v>
      </c>
      <c r="D97" s="373" t="s">
        <v>454</v>
      </c>
      <c r="E97" s="374" t="s">
        <v>446</v>
      </c>
      <c r="F97" s="374" t="s">
        <v>453</v>
      </c>
      <c r="G97" s="374">
        <v>36</v>
      </c>
      <c r="H97" s="586">
        <v>0.05</v>
      </c>
      <c r="I97" s="587">
        <v>5600</v>
      </c>
      <c r="J97" s="587">
        <f>_xlfn.XLOOKUP(D97,'[7]K.01.1a FA list'!$D$22:$D$348,'[7]K.01.1a FA list'!$M$22:$M$348)</f>
        <v>5320</v>
      </c>
      <c r="K97" s="587">
        <f t="shared" si="5"/>
        <v>0</v>
      </c>
      <c r="L97" s="587">
        <v>5600</v>
      </c>
      <c r="M97" s="587">
        <f>_xlfn.XLOOKUP(D97,[8]新增资产!$C:$C,[8]新增资产!$L:$L)</f>
        <v>5320</v>
      </c>
      <c r="N97" s="587">
        <v>0</v>
      </c>
      <c r="O97" s="843">
        <f t="shared" si="6"/>
        <v>280</v>
      </c>
      <c r="P97" s="591" t="str">
        <f t="shared" si="4"/>
        <v>是</v>
      </c>
      <c r="Q97" s="592"/>
      <c r="R97" s="848"/>
    </row>
    <row r="98" s="781" customFormat="1" ht="12.45" spans="1:18">
      <c r="A98" s="828"/>
      <c r="C98" s="584" t="s">
        <v>178</v>
      </c>
      <c r="D98" s="373" t="s">
        <v>455</v>
      </c>
      <c r="E98" s="374" t="s">
        <v>456</v>
      </c>
      <c r="F98" s="374" t="s">
        <v>457</v>
      </c>
      <c r="G98" s="374">
        <v>36</v>
      </c>
      <c r="H98" s="586">
        <v>0.05</v>
      </c>
      <c r="I98" s="587">
        <v>5500</v>
      </c>
      <c r="J98" s="587">
        <f>_xlfn.XLOOKUP(D98,'[7]K.01.1a FA list'!$D$22:$D$348,'[7]K.01.1a FA list'!$M$22:$M$348)</f>
        <v>5225</v>
      </c>
      <c r="K98" s="587">
        <f t="shared" si="5"/>
        <v>0</v>
      </c>
      <c r="L98" s="587">
        <v>5500</v>
      </c>
      <c r="M98" s="587">
        <f>_xlfn.XLOOKUP(D98,[8]新增资产!$C:$C,[8]新增资产!$L:$L)</f>
        <v>5225</v>
      </c>
      <c r="N98" s="587">
        <v>0</v>
      </c>
      <c r="O98" s="843">
        <f t="shared" si="6"/>
        <v>275</v>
      </c>
      <c r="P98" s="591" t="str">
        <f t="shared" si="4"/>
        <v>是</v>
      </c>
      <c r="Q98" s="592"/>
      <c r="R98" s="848"/>
    </row>
    <row r="99" s="781" customFormat="1" ht="12.45" spans="1:18">
      <c r="A99" s="828"/>
      <c r="C99" s="584" t="s">
        <v>178</v>
      </c>
      <c r="D99" s="373" t="s">
        <v>458</v>
      </c>
      <c r="E99" s="374" t="s">
        <v>459</v>
      </c>
      <c r="F99" s="374" t="s">
        <v>457</v>
      </c>
      <c r="G99" s="374">
        <v>36</v>
      </c>
      <c r="H99" s="586">
        <v>0.05</v>
      </c>
      <c r="I99" s="587">
        <v>5960</v>
      </c>
      <c r="J99" s="587">
        <f>_xlfn.XLOOKUP(D99,'[7]K.01.1a FA list'!$D$22:$D$348,'[7]K.01.1a FA list'!$M$22:$M$348)</f>
        <v>5662</v>
      </c>
      <c r="K99" s="587">
        <f t="shared" si="5"/>
        <v>0</v>
      </c>
      <c r="L99" s="587">
        <v>5960</v>
      </c>
      <c r="M99" s="587">
        <f>_xlfn.XLOOKUP(D99,[8]新增资产!$C:$C,[8]新增资产!$L:$L)</f>
        <v>5662</v>
      </c>
      <c r="N99" s="587">
        <v>0</v>
      </c>
      <c r="O99" s="843">
        <f t="shared" si="6"/>
        <v>298</v>
      </c>
      <c r="P99" s="591" t="str">
        <f t="shared" si="4"/>
        <v>是</v>
      </c>
      <c r="Q99" s="592"/>
      <c r="R99" s="848"/>
    </row>
    <row r="100" s="781" customFormat="1" ht="12.45" spans="1:18">
      <c r="A100" s="828"/>
      <c r="C100" s="584" t="s">
        <v>178</v>
      </c>
      <c r="D100" s="373" t="s">
        <v>460</v>
      </c>
      <c r="E100" s="374" t="s">
        <v>459</v>
      </c>
      <c r="F100" s="374" t="s">
        <v>457</v>
      </c>
      <c r="G100" s="374">
        <v>36</v>
      </c>
      <c r="H100" s="586">
        <v>0.05</v>
      </c>
      <c r="I100" s="587">
        <v>2800</v>
      </c>
      <c r="J100" s="587">
        <f>_xlfn.XLOOKUP(D100,'[7]K.01.1a FA list'!$D$22:$D$348,'[7]K.01.1a FA list'!$M$22:$M$348)</f>
        <v>2660</v>
      </c>
      <c r="K100" s="587">
        <f t="shared" si="5"/>
        <v>0</v>
      </c>
      <c r="L100" s="587">
        <v>2800</v>
      </c>
      <c r="M100" s="587">
        <f>_xlfn.XLOOKUP(D100,[8]新增资产!$C:$C,[8]新增资产!$L:$L)</f>
        <v>2660</v>
      </c>
      <c r="N100" s="587">
        <v>0</v>
      </c>
      <c r="O100" s="843">
        <f t="shared" si="6"/>
        <v>140</v>
      </c>
      <c r="P100" s="591" t="str">
        <f t="shared" si="4"/>
        <v>是</v>
      </c>
      <c r="Q100" s="592"/>
      <c r="R100" s="848"/>
    </row>
    <row r="101" s="781" customFormat="1" ht="12.45" spans="1:18">
      <c r="A101" s="828"/>
      <c r="C101" s="584" t="s">
        <v>178</v>
      </c>
      <c r="D101" s="373" t="s">
        <v>461</v>
      </c>
      <c r="E101" s="374" t="s">
        <v>459</v>
      </c>
      <c r="F101" s="374" t="s">
        <v>457</v>
      </c>
      <c r="G101" s="374">
        <v>36</v>
      </c>
      <c r="H101" s="586">
        <v>0.05</v>
      </c>
      <c r="I101" s="587">
        <v>2600</v>
      </c>
      <c r="J101" s="587">
        <f>_xlfn.XLOOKUP(D101,'[7]K.01.1a FA list'!$D$22:$D$348,'[7]K.01.1a FA list'!$M$22:$M$348)</f>
        <v>2470</v>
      </c>
      <c r="K101" s="587">
        <f t="shared" si="5"/>
        <v>0</v>
      </c>
      <c r="L101" s="587">
        <v>2600</v>
      </c>
      <c r="M101" s="587">
        <f>_xlfn.XLOOKUP(D101,[8]新增资产!$C:$C,[8]新增资产!$L:$L)</f>
        <v>2470</v>
      </c>
      <c r="N101" s="587">
        <v>0</v>
      </c>
      <c r="O101" s="843">
        <f t="shared" si="6"/>
        <v>130</v>
      </c>
      <c r="P101" s="591" t="str">
        <f t="shared" si="4"/>
        <v>是</v>
      </c>
      <c r="Q101" s="592"/>
      <c r="R101" s="848"/>
    </row>
    <row r="102" s="781" customFormat="1" ht="12.45" spans="1:18">
      <c r="A102" s="828"/>
      <c r="C102" s="584" t="s">
        <v>178</v>
      </c>
      <c r="D102" s="373" t="s">
        <v>462</v>
      </c>
      <c r="E102" s="374" t="s">
        <v>459</v>
      </c>
      <c r="F102" s="374" t="s">
        <v>457</v>
      </c>
      <c r="G102" s="374">
        <v>36</v>
      </c>
      <c r="H102" s="586">
        <v>0.05</v>
      </c>
      <c r="I102" s="587">
        <v>3000</v>
      </c>
      <c r="J102" s="587">
        <f>_xlfn.XLOOKUP(D102,'[7]K.01.1a FA list'!$D$22:$D$348,'[7]K.01.1a FA list'!$M$22:$M$348)</f>
        <v>2850</v>
      </c>
      <c r="K102" s="587">
        <f t="shared" si="5"/>
        <v>0</v>
      </c>
      <c r="L102" s="587">
        <v>3000</v>
      </c>
      <c r="M102" s="587">
        <f>_xlfn.XLOOKUP(D102,[8]新增资产!$C:$C,[8]新增资产!$L:$L)</f>
        <v>2850</v>
      </c>
      <c r="N102" s="587">
        <v>0</v>
      </c>
      <c r="O102" s="843">
        <f t="shared" si="6"/>
        <v>150</v>
      </c>
      <c r="P102" s="591" t="str">
        <f t="shared" si="4"/>
        <v>是</v>
      </c>
      <c r="Q102" s="592"/>
      <c r="R102" s="848"/>
    </row>
    <row r="103" s="781" customFormat="1" ht="12.45" spans="1:18">
      <c r="A103" s="828"/>
      <c r="C103" s="584" t="s">
        <v>178</v>
      </c>
      <c r="D103" s="373" t="s">
        <v>463</v>
      </c>
      <c r="E103" s="374" t="s">
        <v>459</v>
      </c>
      <c r="F103" s="374" t="s">
        <v>457</v>
      </c>
      <c r="G103" s="374">
        <v>36</v>
      </c>
      <c r="H103" s="586">
        <v>0.05</v>
      </c>
      <c r="I103" s="587">
        <v>2800</v>
      </c>
      <c r="J103" s="587">
        <f>_xlfn.XLOOKUP(D103,'[7]K.01.1a FA list'!$D$22:$D$348,'[7]K.01.1a FA list'!$M$22:$M$348)</f>
        <v>2660</v>
      </c>
      <c r="K103" s="587">
        <f t="shared" si="5"/>
        <v>0</v>
      </c>
      <c r="L103" s="587">
        <v>2800</v>
      </c>
      <c r="M103" s="587">
        <f>_xlfn.XLOOKUP(D103,[8]新增资产!$C:$C,[8]新增资产!$L:$L)</f>
        <v>2660</v>
      </c>
      <c r="N103" s="587">
        <v>0</v>
      </c>
      <c r="O103" s="843">
        <f t="shared" si="6"/>
        <v>140</v>
      </c>
      <c r="P103" s="591" t="str">
        <f t="shared" si="4"/>
        <v>是</v>
      </c>
      <c r="Q103" s="592"/>
      <c r="R103" s="848"/>
    </row>
    <row r="104" s="781" customFormat="1" ht="12.45" spans="1:18">
      <c r="A104" s="828"/>
      <c r="C104" s="584" t="s">
        <v>178</v>
      </c>
      <c r="D104" s="373" t="s">
        <v>464</v>
      </c>
      <c r="E104" s="374" t="s">
        <v>465</v>
      </c>
      <c r="F104" s="374" t="s">
        <v>466</v>
      </c>
      <c r="G104" s="374">
        <v>36</v>
      </c>
      <c r="H104" s="586">
        <v>0.05</v>
      </c>
      <c r="I104" s="587">
        <v>3988</v>
      </c>
      <c r="J104" s="587">
        <f>_xlfn.XLOOKUP(D104,'[7]K.01.1a FA list'!$D$22:$D$348,'[7]K.01.1a FA list'!$M$22:$M$348)</f>
        <v>3788.6</v>
      </c>
      <c r="K104" s="587">
        <f t="shared" si="5"/>
        <v>0</v>
      </c>
      <c r="L104" s="587">
        <v>3988</v>
      </c>
      <c r="M104" s="587">
        <f>_xlfn.XLOOKUP(D104,[8]新增资产!$C:$C,[8]新增资产!$L:$L)</f>
        <v>3788.6</v>
      </c>
      <c r="N104" s="587">
        <v>0</v>
      </c>
      <c r="O104" s="843">
        <f t="shared" si="6"/>
        <v>199.4</v>
      </c>
      <c r="P104" s="591" t="str">
        <f t="shared" si="4"/>
        <v>是</v>
      </c>
      <c r="Q104" s="592"/>
      <c r="R104" s="848"/>
    </row>
    <row r="105" s="781" customFormat="1" ht="12.45" spans="1:18">
      <c r="A105" s="828"/>
      <c r="C105" s="584" t="s">
        <v>178</v>
      </c>
      <c r="D105" s="373" t="s">
        <v>467</v>
      </c>
      <c r="E105" s="374" t="s">
        <v>432</v>
      </c>
      <c r="F105" s="374" t="s">
        <v>468</v>
      </c>
      <c r="G105" s="374">
        <v>36</v>
      </c>
      <c r="H105" s="586">
        <v>0.05</v>
      </c>
      <c r="I105" s="587">
        <v>2999</v>
      </c>
      <c r="J105" s="587">
        <f>_xlfn.XLOOKUP(D105,'[7]K.01.1a FA list'!$D$22:$D$348,'[7]K.01.1a FA list'!$M$22:$M$348)</f>
        <v>2849.05</v>
      </c>
      <c r="K105" s="587">
        <f t="shared" si="5"/>
        <v>0</v>
      </c>
      <c r="L105" s="587">
        <v>2999</v>
      </c>
      <c r="M105" s="587">
        <f>_xlfn.XLOOKUP(D105,[8]新增资产!$C:$C,[8]新增资产!$L:$L)</f>
        <v>2849.05</v>
      </c>
      <c r="N105" s="587">
        <v>0</v>
      </c>
      <c r="O105" s="843">
        <f t="shared" si="6"/>
        <v>149.95</v>
      </c>
      <c r="P105" s="591" t="str">
        <f t="shared" si="4"/>
        <v>是</v>
      </c>
      <c r="Q105" s="592"/>
      <c r="R105" s="848"/>
    </row>
    <row r="106" s="781" customFormat="1" ht="12.45" spans="1:18">
      <c r="A106" s="828"/>
      <c r="C106" s="584" t="s">
        <v>178</v>
      </c>
      <c r="D106" s="373" t="s">
        <v>469</v>
      </c>
      <c r="E106" s="374" t="s">
        <v>470</v>
      </c>
      <c r="F106" s="374" t="s">
        <v>471</v>
      </c>
      <c r="G106" s="374">
        <v>36</v>
      </c>
      <c r="H106" s="586">
        <v>0.05</v>
      </c>
      <c r="I106" s="587">
        <v>6100</v>
      </c>
      <c r="J106" s="587">
        <f>_xlfn.XLOOKUP(D106,'[7]K.01.1a FA list'!$D$22:$D$348,'[7]K.01.1a FA list'!$M$22:$M$348)</f>
        <v>5795</v>
      </c>
      <c r="K106" s="587">
        <f t="shared" si="5"/>
        <v>0</v>
      </c>
      <c r="L106" s="587">
        <v>6100</v>
      </c>
      <c r="M106" s="587">
        <f>_xlfn.XLOOKUP(D106,[8]新增资产!$C:$C,[8]新增资产!$L:$L)</f>
        <v>5795</v>
      </c>
      <c r="N106" s="587">
        <v>0</v>
      </c>
      <c r="O106" s="843">
        <f t="shared" si="6"/>
        <v>305</v>
      </c>
      <c r="P106" s="591" t="str">
        <f t="shared" si="4"/>
        <v>是</v>
      </c>
      <c r="Q106" s="592"/>
      <c r="R106" s="848"/>
    </row>
    <row r="107" s="781" customFormat="1" ht="12.45" spans="1:18">
      <c r="A107" s="828"/>
      <c r="C107" s="584" t="s">
        <v>178</v>
      </c>
      <c r="D107" s="373" t="s">
        <v>472</v>
      </c>
      <c r="E107" s="374" t="s">
        <v>473</v>
      </c>
      <c r="F107" s="374" t="s">
        <v>474</v>
      </c>
      <c r="G107" s="374">
        <v>36</v>
      </c>
      <c r="H107" s="586">
        <v>0.0499983306685858</v>
      </c>
      <c r="I107" s="587">
        <v>2695.69</v>
      </c>
      <c r="J107" s="587">
        <f>_xlfn.XLOOKUP(D107,'[7]K.01.1a FA list'!$D$22:$D$348,'[7]K.01.1a FA list'!$M$22:$M$348)</f>
        <v>2560.91</v>
      </c>
      <c r="K107" s="587">
        <f t="shared" si="5"/>
        <v>0</v>
      </c>
      <c r="L107" s="587">
        <v>2695.69</v>
      </c>
      <c r="M107" s="587">
        <f>_xlfn.XLOOKUP(D107,[8]新增资产!$C:$C,[8]新增资产!$L:$L)</f>
        <v>2560.91</v>
      </c>
      <c r="N107" s="587">
        <v>0</v>
      </c>
      <c r="O107" s="843">
        <f t="shared" si="6"/>
        <v>134.78</v>
      </c>
      <c r="P107" s="591" t="str">
        <f t="shared" si="4"/>
        <v>是</v>
      </c>
      <c r="Q107" s="592"/>
      <c r="R107" s="848"/>
    </row>
    <row r="108" s="781" customFormat="1" ht="12.45" spans="1:18">
      <c r="A108" s="828"/>
      <c r="C108" s="584" t="s">
        <v>178</v>
      </c>
      <c r="D108" s="373" t="s">
        <v>475</v>
      </c>
      <c r="E108" s="374" t="s">
        <v>476</v>
      </c>
      <c r="F108" s="374" t="s">
        <v>302</v>
      </c>
      <c r="G108" s="374">
        <v>36</v>
      </c>
      <c r="H108" s="586">
        <v>0.04</v>
      </c>
      <c r="I108" s="587">
        <v>2400</v>
      </c>
      <c r="J108" s="587">
        <f>_xlfn.XLOOKUP(D108,'[7]K.01.1a FA list'!$D$22:$D$348,'[7]K.01.1a FA list'!$M$22:$M$348)</f>
        <v>2304</v>
      </c>
      <c r="K108" s="587">
        <f t="shared" si="5"/>
        <v>0</v>
      </c>
      <c r="L108" s="587">
        <v>2400</v>
      </c>
      <c r="M108" s="587">
        <f>_xlfn.XLOOKUP(D108,[8]新增资产!$C:$C,[8]新增资产!$L:$L)</f>
        <v>2304</v>
      </c>
      <c r="N108" s="587">
        <v>0</v>
      </c>
      <c r="O108" s="843">
        <f t="shared" si="6"/>
        <v>96</v>
      </c>
      <c r="P108" s="591" t="str">
        <f t="shared" si="4"/>
        <v>是</v>
      </c>
      <c r="Q108" s="592"/>
      <c r="R108" s="848"/>
    </row>
    <row r="109" s="781" customFormat="1" ht="12.45" spans="1:18">
      <c r="A109" s="828"/>
      <c r="C109" s="584" t="s">
        <v>178</v>
      </c>
      <c r="D109" s="373" t="s">
        <v>477</v>
      </c>
      <c r="E109" s="374" t="s">
        <v>478</v>
      </c>
      <c r="F109" s="374" t="s">
        <v>308</v>
      </c>
      <c r="G109" s="374">
        <v>36</v>
      </c>
      <c r="H109" s="586">
        <v>0.04</v>
      </c>
      <c r="I109" s="587">
        <v>5400</v>
      </c>
      <c r="J109" s="587">
        <f>_xlfn.XLOOKUP(D109,'[7]K.01.1a FA list'!$D$22:$D$348,'[7]K.01.1a FA list'!$M$22:$M$348)</f>
        <v>5184</v>
      </c>
      <c r="K109" s="587">
        <f t="shared" si="5"/>
        <v>0</v>
      </c>
      <c r="L109" s="587">
        <v>5400</v>
      </c>
      <c r="M109" s="587">
        <f>_xlfn.XLOOKUP(D109,[8]新增资产!$C:$C,[8]新增资产!$L:$L)</f>
        <v>5184</v>
      </c>
      <c r="N109" s="587">
        <v>0</v>
      </c>
      <c r="O109" s="843">
        <f t="shared" si="6"/>
        <v>216</v>
      </c>
      <c r="P109" s="591" t="str">
        <f t="shared" si="4"/>
        <v>是</v>
      </c>
      <c r="Q109" s="592"/>
      <c r="R109" s="848"/>
    </row>
    <row r="110" s="781" customFormat="1" ht="12.45" spans="1:18">
      <c r="A110" s="828"/>
      <c r="C110" s="584" t="s">
        <v>178</v>
      </c>
      <c r="D110" s="373" t="s">
        <v>479</v>
      </c>
      <c r="E110" s="374" t="s">
        <v>480</v>
      </c>
      <c r="F110" s="374" t="s">
        <v>308</v>
      </c>
      <c r="G110" s="374">
        <v>36</v>
      </c>
      <c r="H110" s="586">
        <v>0.04</v>
      </c>
      <c r="I110" s="587">
        <v>46000</v>
      </c>
      <c r="J110" s="587">
        <f>_xlfn.XLOOKUP(D110,'[7]K.01.1a FA list'!$D$22:$D$348,'[7]K.01.1a FA list'!$M$22:$M$348)</f>
        <v>44160</v>
      </c>
      <c r="K110" s="587">
        <f t="shared" si="5"/>
        <v>0</v>
      </c>
      <c r="L110" s="587">
        <v>46000</v>
      </c>
      <c r="M110" s="587">
        <f>_xlfn.XLOOKUP(D110,[8]新增资产!$C:$C,[8]新增资产!$L:$L)</f>
        <v>44160</v>
      </c>
      <c r="N110" s="587">
        <v>0</v>
      </c>
      <c r="O110" s="843">
        <f t="shared" si="6"/>
        <v>1840</v>
      </c>
      <c r="P110" s="591" t="str">
        <f t="shared" si="4"/>
        <v>是</v>
      </c>
      <c r="Q110" s="592"/>
      <c r="R110" s="848"/>
    </row>
    <row r="111" s="781" customFormat="1" ht="12.45" spans="1:18">
      <c r="A111" s="828"/>
      <c r="C111" s="584" t="s">
        <v>178</v>
      </c>
      <c r="D111" s="373" t="s">
        <v>481</v>
      </c>
      <c r="E111" s="374" t="s">
        <v>482</v>
      </c>
      <c r="F111" s="374" t="s">
        <v>323</v>
      </c>
      <c r="G111" s="374">
        <v>36</v>
      </c>
      <c r="H111" s="586">
        <v>0.04</v>
      </c>
      <c r="I111" s="587">
        <v>4700</v>
      </c>
      <c r="J111" s="587">
        <f>_xlfn.XLOOKUP(D111,'[7]K.01.1a FA list'!$D$22:$D$348,'[7]K.01.1a FA list'!$M$22:$M$348)</f>
        <v>4512</v>
      </c>
      <c r="K111" s="587">
        <f t="shared" si="5"/>
        <v>0</v>
      </c>
      <c r="L111" s="587">
        <v>4700</v>
      </c>
      <c r="M111" s="587">
        <f>_xlfn.XLOOKUP(D111,[8]新增资产!$C:$C,[8]新增资产!$L:$L)</f>
        <v>4512</v>
      </c>
      <c r="N111" s="587">
        <v>0</v>
      </c>
      <c r="O111" s="843">
        <f t="shared" si="6"/>
        <v>188</v>
      </c>
      <c r="P111" s="591" t="str">
        <f t="shared" si="4"/>
        <v>是</v>
      </c>
      <c r="Q111" s="592"/>
      <c r="R111" s="848"/>
    </row>
    <row r="112" s="781" customFormat="1" ht="12.45" spans="1:18">
      <c r="A112" s="828"/>
      <c r="C112" s="584" t="s">
        <v>178</v>
      </c>
      <c r="D112" s="373" t="s">
        <v>483</v>
      </c>
      <c r="E112" s="374" t="s">
        <v>484</v>
      </c>
      <c r="F112" s="374" t="s">
        <v>323</v>
      </c>
      <c r="G112" s="374">
        <v>36</v>
      </c>
      <c r="H112" s="586">
        <v>0.04</v>
      </c>
      <c r="I112" s="587">
        <v>3380</v>
      </c>
      <c r="J112" s="587">
        <f>_xlfn.XLOOKUP(D112,'[7]K.01.1a FA list'!$D$22:$D$348,'[7]K.01.1a FA list'!$M$22:$M$348)</f>
        <v>3244.8</v>
      </c>
      <c r="K112" s="587">
        <f t="shared" si="5"/>
        <v>0</v>
      </c>
      <c r="L112" s="587">
        <v>3380</v>
      </c>
      <c r="M112" s="587">
        <f>_xlfn.XLOOKUP(D112,[8]新增资产!$C:$C,[8]新增资产!$L:$L)</f>
        <v>3244.8</v>
      </c>
      <c r="N112" s="587">
        <v>0</v>
      </c>
      <c r="O112" s="843">
        <f t="shared" si="6"/>
        <v>135.2</v>
      </c>
      <c r="P112" s="591" t="str">
        <f t="shared" si="4"/>
        <v>是</v>
      </c>
      <c r="Q112" s="592"/>
      <c r="R112" s="848"/>
    </row>
    <row r="113" s="781" customFormat="1" ht="12.45" spans="1:18">
      <c r="A113" s="828"/>
      <c r="C113" s="584" t="s">
        <v>178</v>
      </c>
      <c r="D113" s="373" t="s">
        <v>485</v>
      </c>
      <c r="E113" s="374" t="s">
        <v>486</v>
      </c>
      <c r="F113" s="374" t="s">
        <v>323</v>
      </c>
      <c r="G113" s="374">
        <v>36</v>
      </c>
      <c r="H113" s="586">
        <v>0.04</v>
      </c>
      <c r="I113" s="587">
        <v>24600</v>
      </c>
      <c r="J113" s="587">
        <f>_xlfn.XLOOKUP(D113,'[7]K.01.1a FA list'!$D$22:$D$348,'[7]K.01.1a FA list'!$M$22:$M$348)</f>
        <v>23616</v>
      </c>
      <c r="K113" s="587">
        <f t="shared" si="5"/>
        <v>0</v>
      </c>
      <c r="L113" s="587">
        <v>24600</v>
      </c>
      <c r="M113" s="587">
        <f>_xlfn.XLOOKUP(D113,[8]新增资产!$C:$C,[8]新增资产!$L:$L)</f>
        <v>23616</v>
      </c>
      <c r="N113" s="587">
        <v>0</v>
      </c>
      <c r="O113" s="843">
        <f t="shared" si="6"/>
        <v>984</v>
      </c>
      <c r="P113" s="591" t="str">
        <f t="shared" si="4"/>
        <v>是</v>
      </c>
      <c r="Q113" s="592"/>
      <c r="R113" s="848"/>
    </row>
    <row r="114" s="781" customFormat="1" ht="12.45" spans="1:18">
      <c r="A114" s="828"/>
      <c r="C114" s="584" t="s">
        <v>178</v>
      </c>
      <c r="D114" s="373" t="s">
        <v>487</v>
      </c>
      <c r="E114" s="374" t="s">
        <v>488</v>
      </c>
      <c r="F114" s="374" t="s">
        <v>326</v>
      </c>
      <c r="G114" s="374">
        <v>48</v>
      </c>
      <c r="H114" s="586">
        <v>0.04</v>
      </c>
      <c r="I114" s="587">
        <v>6400</v>
      </c>
      <c r="J114" s="587">
        <f>_xlfn.XLOOKUP(D114,'[7]K.01.1a FA list'!$D$22:$D$348,'[7]K.01.1a FA list'!$M$22:$M$348)</f>
        <v>6144</v>
      </c>
      <c r="K114" s="587">
        <f t="shared" si="5"/>
        <v>0</v>
      </c>
      <c r="L114" s="587">
        <v>6400</v>
      </c>
      <c r="M114" s="587">
        <f>_xlfn.XLOOKUP(D114,[8]新增资产!$C:$C,[8]新增资产!$L:$L)</f>
        <v>6144</v>
      </c>
      <c r="N114" s="587">
        <v>0</v>
      </c>
      <c r="O114" s="843">
        <f t="shared" si="6"/>
        <v>256</v>
      </c>
      <c r="P114" s="591" t="str">
        <f t="shared" si="4"/>
        <v>是</v>
      </c>
      <c r="Q114" s="592"/>
      <c r="R114" s="848"/>
    </row>
    <row r="115" s="781" customFormat="1" ht="12.45" spans="1:18">
      <c r="A115" s="828"/>
      <c r="C115" s="584" t="s">
        <v>178</v>
      </c>
      <c r="D115" s="373" t="s">
        <v>489</v>
      </c>
      <c r="E115" s="374" t="s">
        <v>490</v>
      </c>
      <c r="F115" s="374" t="s">
        <v>491</v>
      </c>
      <c r="G115" s="374">
        <v>36</v>
      </c>
      <c r="H115" s="586">
        <v>0.04</v>
      </c>
      <c r="I115" s="587">
        <v>23000</v>
      </c>
      <c r="J115" s="587">
        <f>_xlfn.XLOOKUP(D115,'[7]K.01.1a FA list'!$D$22:$D$348,'[7]K.01.1a FA list'!$M$22:$M$348)</f>
        <v>22080</v>
      </c>
      <c r="K115" s="587">
        <f t="shared" si="5"/>
        <v>0</v>
      </c>
      <c r="L115" s="587">
        <v>23000</v>
      </c>
      <c r="M115" s="587">
        <f>_xlfn.XLOOKUP(D115,[8]新增资产!$C:$C,[8]新增资产!$L:$L)</f>
        <v>22080</v>
      </c>
      <c r="N115" s="587">
        <v>0</v>
      </c>
      <c r="O115" s="843">
        <f t="shared" si="6"/>
        <v>920</v>
      </c>
      <c r="P115" s="591" t="str">
        <f t="shared" si="4"/>
        <v>是</v>
      </c>
      <c r="Q115" s="592"/>
      <c r="R115" s="848"/>
    </row>
    <row r="116" s="781" customFormat="1" ht="12.45" spans="1:18">
      <c r="A116" s="828"/>
      <c r="C116" s="584" t="s">
        <v>178</v>
      </c>
      <c r="D116" s="373" t="s">
        <v>492</v>
      </c>
      <c r="E116" s="374" t="s">
        <v>493</v>
      </c>
      <c r="F116" s="374" t="s">
        <v>491</v>
      </c>
      <c r="G116" s="374">
        <v>36</v>
      </c>
      <c r="H116" s="586">
        <v>0.04</v>
      </c>
      <c r="I116" s="587">
        <v>51500</v>
      </c>
      <c r="J116" s="587">
        <f>_xlfn.XLOOKUP(D116,'[7]K.01.1a FA list'!$D$22:$D$348,'[7]K.01.1a FA list'!$M$22:$M$348)</f>
        <v>49440</v>
      </c>
      <c r="K116" s="587">
        <f t="shared" si="5"/>
        <v>0</v>
      </c>
      <c r="L116" s="587">
        <v>51500</v>
      </c>
      <c r="M116" s="587">
        <f>_xlfn.XLOOKUP(D116,[8]新增资产!$C:$C,[8]新增资产!$L:$L)</f>
        <v>49440</v>
      </c>
      <c r="N116" s="587">
        <v>0</v>
      </c>
      <c r="O116" s="843">
        <f t="shared" si="6"/>
        <v>2060</v>
      </c>
      <c r="P116" s="591" t="str">
        <f t="shared" si="4"/>
        <v>是</v>
      </c>
      <c r="Q116" s="592"/>
      <c r="R116" s="848"/>
    </row>
    <row r="117" s="781" customFormat="1" ht="12.45" spans="1:18">
      <c r="A117" s="828"/>
      <c r="C117" s="584" t="s">
        <v>178</v>
      </c>
      <c r="D117" s="373" t="s">
        <v>494</v>
      </c>
      <c r="E117" s="374" t="s">
        <v>495</v>
      </c>
      <c r="F117" s="374" t="s">
        <v>496</v>
      </c>
      <c r="G117" s="374">
        <v>36</v>
      </c>
      <c r="H117" s="586">
        <v>0.04</v>
      </c>
      <c r="I117" s="587">
        <v>9185</v>
      </c>
      <c r="J117" s="587">
        <f>_xlfn.XLOOKUP(D117,'[7]K.01.1a FA list'!$D$22:$D$348,'[7]K.01.1a FA list'!$M$22:$M$348)</f>
        <v>8817.6</v>
      </c>
      <c r="K117" s="587">
        <f t="shared" si="5"/>
        <v>0</v>
      </c>
      <c r="L117" s="587">
        <v>9185</v>
      </c>
      <c r="M117" s="587">
        <f>_xlfn.XLOOKUP(D117,[8]新增资产!$C:$C,[8]新增资产!$L:$L)</f>
        <v>8817.6</v>
      </c>
      <c r="N117" s="587">
        <v>0</v>
      </c>
      <c r="O117" s="843">
        <f t="shared" si="6"/>
        <v>367.4</v>
      </c>
      <c r="P117" s="591" t="str">
        <f t="shared" si="4"/>
        <v>是</v>
      </c>
      <c r="Q117" s="592"/>
      <c r="R117" s="848"/>
    </row>
    <row r="118" s="781" customFormat="1" ht="12.45" spans="1:18">
      <c r="A118" s="828"/>
      <c r="C118" s="584" t="s">
        <v>178</v>
      </c>
      <c r="D118" s="373" t="s">
        <v>497</v>
      </c>
      <c r="E118" s="374" t="s">
        <v>498</v>
      </c>
      <c r="F118" s="374" t="s">
        <v>403</v>
      </c>
      <c r="G118" s="374">
        <v>36</v>
      </c>
      <c r="H118" s="586">
        <v>0.05</v>
      </c>
      <c r="I118" s="587">
        <v>5600</v>
      </c>
      <c r="J118" s="587">
        <f>_xlfn.XLOOKUP(D118,'[7]K.01.1a FA list'!$D$22:$D$348,'[7]K.01.1a FA list'!$M$22:$M$348)</f>
        <v>5320</v>
      </c>
      <c r="K118" s="587">
        <f t="shared" si="5"/>
        <v>0</v>
      </c>
      <c r="L118" s="587">
        <v>5600</v>
      </c>
      <c r="M118" s="587">
        <f>_xlfn.XLOOKUP(D118,[8]新增资产!$C:$C,[8]新增资产!$L:$L)</f>
        <v>5320</v>
      </c>
      <c r="N118" s="587">
        <v>0</v>
      </c>
      <c r="O118" s="843">
        <f t="shared" si="6"/>
        <v>280</v>
      </c>
      <c r="P118" s="591" t="str">
        <f t="shared" si="4"/>
        <v>是</v>
      </c>
      <c r="Q118" s="592"/>
    </row>
    <row r="119" s="781" customFormat="1" ht="12.45" spans="1:18">
      <c r="A119" s="828"/>
      <c r="C119" s="584" t="s">
        <v>178</v>
      </c>
      <c r="D119" s="373" t="s">
        <v>499</v>
      </c>
      <c r="E119" s="374" t="s">
        <v>500</v>
      </c>
      <c r="F119" s="374" t="s">
        <v>501</v>
      </c>
      <c r="G119" s="374">
        <v>36</v>
      </c>
      <c r="H119" s="586">
        <v>0.05</v>
      </c>
      <c r="I119" s="587">
        <v>3288</v>
      </c>
      <c r="J119" s="587">
        <f>_xlfn.XLOOKUP(D119,'[7]K.01.1a FA list'!$D$22:$D$348,'[7]K.01.1a FA list'!$M$22:$M$348)</f>
        <v>3123.6</v>
      </c>
      <c r="K119" s="587">
        <f t="shared" si="5"/>
        <v>0</v>
      </c>
      <c r="L119" s="587">
        <v>3288</v>
      </c>
      <c r="M119" s="587">
        <f>_xlfn.XLOOKUP(D119,[8]新增资产!$C:$C,[8]新增资产!$L:$L)</f>
        <v>3123.6</v>
      </c>
      <c r="N119" s="587">
        <v>0</v>
      </c>
      <c r="O119" s="843">
        <f t="shared" si="6"/>
        <v>164.4</v>
      </c>
      <c r="P119" s="591" t="str">
        <f t="shared" si="4"/>
        <v>是</v>
      </c>
      <c r="Q119" s="592"/>
    </row>
    <row r="120" s="781" customFormat="1" ht="12.45" spans="1:18">
      <c r="A120" s="828"/>
      <c r="C120" s="584" t="s">
        <v>178</v>
      </c>
      <c r="D120" s="373" t="s">
        <v>502</v>
      </c>
      <c r="E120" s="374" t="s">
        <v>503</v>
      </c>
      <c r="F120" s="374" t="s">
        <v>504</v>
      </c>
      <c r="G120" s="374">
        <v>36</v>
      </c>
      <c r="H120" s="586">
        <v>0.05</v>
      </c>
      <c r="I120" s="587">
        <v>9800</v>
      </c>
      <c r="J120" s="587">
        <f>_xlfn.XLOOKUP(D120,'[7]K.01.1a FA list'!$D$22:$D$348,'[7]K.01.1a FA list'!$M$22:$M$348)</f>
        <v>9310</v>
      </c>
      <c r="K120" s="587">
        <f t="shared" si="5"/>
        <v>0</v>
      </c>
      <c r="L120" s="587">
        <v>9800</v>
      </c>
      <c r="M120" s="587">
        <f>_xlfn.XLOOKUP(D120,[8]新增资产!$C:$C,[8]新增资产!$L:$L)</f>
        <v>9310</v>
      </c>
      <c r="N120" s="587">
        <v>0</v>
      </c>
      <c r="O120" s="843">
        <f t="shared" si="6"/>
        <v>490</v>
      </c>
      <c r="P120" s="591" t="str">
        <f t="shared" si="4"/>
        <v>是</v>
      </c>
      <c r="Q120" s="592"/>
    </row>
    <row r="121" s="781" customFormat="1" ht="12.45" spans="1:18">
      <c r="A121" s="828"/>
      <c r="C121" s="584" t="s">
        <v>178</v>
      </c>
      <c r="D121" s="373" t="s">
        <v>505</v>
      </c>
      <c r="E121" s="374" t="s">
        <v>506</v>
      </c>
      <c r="F121" s="374" t="s">
        <v>507</v>
      </c>
      <c r="G121" s="374">
        <v>36</v>
      </c>
      <c r="H121" s="586">
        <v>0.05</v>
      </c>
      <c r="I121" s="587">
        <v>5199</v>
      </c>
      <c r="J121" s="587">
        <f>_xlfn.XLOOKUP(D121,'[7]K.01.1a FA list'!$D$22:$D$348,'[7]K.01.1a FA list'!$M$22:$M$348)</f>
        <v>4939.05</v>
      </c>
      <c r="K121" s="587">
        <f t="shared" si="5"/>
        <v>0</v>
      </c>
      <c r="L121" s="587">
        <v>5199</v>
      </c>
      <c r="M121" s="587">
        <f>_xlfn.XLOOKUP(D121,[8]新增资产!$C:$C,[8]新增资产!$L:$L)</f>
        <v>4939.05</v>
      </c>
      <c r="N121" s="587">
        <v>0</v>
      </c>
      <c r="O121" s="843">
        <f t="shared" si="6"/>
        <v>259.95</v>
      </c>
      <c r="P121" s="591" t="str">
        <f t="shared" si="4"/>
        <v>是</v>
      </c>
      <c r="Q121" s="592"/>
    </row>
    <row r="122" s="781" customFormat="1" ht="12.45" spans="1:18">
      <c r="A122" s="828"/>
      <c r="C122" s="584" t="s">
        <v>178</v>
      </c>
      <c r="D122" s="373" t="s">
        <v>508</v>
      </c>
      <c r="E122" s="374" t="s">
        <v>509</v>
      </c>
      <c r="F122" s="374" t="s">
        <v>510</v>
      </c>
      <c r="G122" s="374">
        <v>36</v>
      </c>
      <c r="H122" s="586">
        <v>0.05</v>
      </c>
      <c r="I122" s="587">
        <v>10700</v>
      </c>
      <c r="J122" s="587">
        <f>_xlfn.XLOOKUP(D122,'[7]K.01.1a FA list'!$D$22:$D$348,'[7]K.01.1a FA list'!$M$22:$M$348)</f>
        <v>9882.6</v>
      </c>
      <c r="K122" s="587">
        <f t="shared" si="5"/>
        <v>282.4</v>
      </c>
      <c r="L122" s="587">
        <v>10700</v>
      </c>
      <c r="M122" s="587">
        <f>_xlfn.XLOOKUP(D122,[8]新增资产!$C:$C,[8]新增资产!$L:$L)</f>
        <v>10165</v>
      </c>
      <c r="N122" s="587">
        <v>0</v>
      </c>
      <c r="O122" s="843">
        <f t="shared" si="6"/>
        <v>535</v>
      </c>
      <c r="P122" s="591" t="str">
        <f t="shared" si="4"/>
        <v>是</v>
      </c>
      <c r="Q122" s="592"/>
    </row>
    <row r="123" s="781" customFormat="1" ht="12.45" spans="1:18">
      <c r="A123" s="828"/>
      <c r="C123" s="584" t="s">
        <v>178</v>
      </c>
      <c r="D123" s="373" t="s">
        <v>511</v>
      </c>
      <c r="E123" s="374" t="s">
        <v>512</v>
      </c>
      <c r="F123" s="374" t="s">
        <v>510</v>
      </c>
      <c r="G123" s="374">
        <v>36</v>
      </c>
      <c r="H123" s="586">
        <v>0.05</v>
      </c>
      <c r="I123" s="587">
        <v>5950</v>
      </c>
      <c r="J123" s="587">
        <f>_xlfn.XLOOKUP(D123,'[7]K.01.1a FA list'!$D$22:$D$348,'[7]K.01.1a FA list'!$M$22:$M$348)</f>
        <v>5495.35</v>
      </c>
      <c r="K123" s="587">
        <f t="shared" si="5"/>
        <v>157.15</v>
      </c>
      <c r="L123" s="587">
        <v>5950</v>
      </c>
      <c r="M123" s="587">
        <f>_xlfn.XLOOKUP(D123,[8]新增资产!$C:$C,[8]新增资产!$L:$L)</f>
        <v>5652.5</v>
      </c>
      <c r="N123" s="587">
        <v>0</v>
      </c>
      <c r="O123" s="843">
        <f t="shared" si="6"/>
        <v>297.5</v>
      </c>
      <c r="P123" s="591" t="str">
        <f t="shared" si="4"/>
        <v>是</v>
      </c>
      <c r="Q123" s="592"/>
    </row>
    <row r="124" s="781" customFormat="1" ht="12.45" spans="1:18">
      <c r="A124" s="828"/>
      <c r="C124" s="584" t="s">
        <v>178</v>
      </c>
      <c r="D124" s="373" t="s">
        <v>513</v>
      </c>
      <c r="E124" s="374" t="s">
        <v>514</v>
      </c>
      <c r="F124" s="374" t="s">
        <v>515</v>
      </c>
      <c r="G124" s="374">
        <v>36</v>
      </c>
      <c r="H124" s="586">
        <v>0.05</v>
      </c>
      <c r="I124" s="587">
        <v>22890</v>
      </c>
      <c r="J124" s="587">
        <f>_xlfn.XLOOKUP(D124,'[7]K.01.1a FA list'!$D$22:$D$348,'[7]K.01.1a FA list'!$M$22:$M$348)</f>
        <v>20537.36</v>
      </c>
      <c r="K124" s="587">
        <f t="shared" si="5"/>
        <v>1208.14</v>
      </c>
      <c r="L124" s="587">
        <v>22890</v>
      </c>
      <c r="M124" s="587">
        <f>_xlfn.XLOOKUP(D124,[8]新增资产!$C:$C,[8]新增资产!$L:$L)</f>
        <v>21745.5</v>
      </c>
      <c r="N124" s="587">
        <v>0</v>
      </c>
      <c r="O124" s="843">
        <f t="shared" si="6"/>
        <v>1144.5</v>
      </c>
      <c r="P124" s="591" t="str">
        <f t="shared" si="4"/>
        <v>是</v>
      </c>
      <c r="Q124" s="592"/>
    </row>
    <row r="125" s="781" customFormat="1" ht="12.45" spans="1:18">
      <c r="A125" s="828"/>
      <c r="C125" s="584" t="s">
        <v>178</v>
      </c>
      <c r="D125" s="373" t="s">
        <v>516</v>
      </c>
      <c r="E125" s="374" t="s">
        <v>514</v>
      </c>
      <c r="F125" s="374" t="s">
        <v>515</v>
      </c>
      <c r="G125" s="374">
        <v>36</v>
      </c>
      <c r="H125" s="586">
        <v>0.05</v>
      </c>
      <c r="I125" s="587">
        <v>13100</v>
      </c>
      <c r="J125" s="587">
        <f>_xlfn.XLOOKUP(D125,'[7]K.01.1a FA list'!$D$22:$D$348,'[7]K.01.1a FA list'!$M$22:$M$348)</f>
        <v>11753.46</v>
      </c>
      <c r="K125" s="587">
        <f t="shared" si="5"/>
        <v>691.540000000001</v>
      </c>
      <c r="L125" s="587">
        <v>13100</v>
      </c>
      <c r="M125" s="587">
        <f>_xlfn.XLOOKUP(D125,[8]新增资产!$C:$C,[8]新增资产!$L:$L)</f>
        <v>12445</v>
      </c>
      <c r="N125" s="587">
        <v>0</v>
      </c>
      <c r="O125" s="843">
        <f t="shared" si="6"/>
        <v>655</v>
      </c>
      <c r="P125" s="591" t="str">
        <f t="shared" si="4"/>
        <v>是</v>
      </c>
      <c r="Q125" s="592"/>
    </row>
    <row r="126" s="781" customFormat="1" ht="12.45" spans="1:18">
      <c r="A126" s="828"/>
      <c r="C126" s="584" t="s">
        <v>178</v>
      </c>
      <c r="D126" s="373" t="s">
        <v>517</v>
      </c>
      <c r="E126" s="374" t="s">
        <v>518</v>
      </c>
      <c r="F126" s="374" t="s">
        <v>386</v>
      </c>
      <c r="G126" s="374">
        <v>36</v>
      </c>
      <c r="H126" s="586">
        <v>0.05</v>
      </c>
      <c r="I126" s="587">
        <v>9300</v>
      </c>
      <c r="J126" s="587">
        <f>_xlfn.XLOOKUP(D126,'[7]K.01.1a FA list'!$D$22:$D$348,'[7]K.01.1a FA list'!$M$22:$M$348)</f>
        <v>6871.76</v>
      </c>
      <c r="K126" s="587">
        <f t="shared" si="5"/>
        <v>1963.24</v>
      </c>
      <c r="L126" s="587">
        <v>9300</v>
      </c>
      <c r="M126" s="587">
        <f>_xlfn.XLOOKUP(D126,[8]新增资产!$C:$C,[8]新增资产!$L:$L)</f>
        <v>8835</v>
      </c>
      <c r="N126" s="587">
        <v>0</v>
      </c>
      <c r="O126" s="843">
        <f t="shared" si="6"/>
        <v>465</v>
      </c>
      <c r="P126" s="591" t="str">
        <f t="shared" si="4"/>
        <v>是</v>
      </c>
      <c r="Q126" s="592"/>
    </row>
    <row r="127" s="781" customFormat="1" ht="12.45" spans="1:18">
      <c r="A127" s="828"/>
      <c r="C127" s="584" t="s">
        <v>178</v>
      </c>
      <c r="D127" s="373" t="s">
        <v>519</v>
      </c>
      <c r="E127" s="374" t="s">
        <v>520</v>
      </c>
      <c r="F127" s="374" t="s">
        <v>386</v>
      </c>
      <c r="G127" s="374">
        <v>36</v>
      </c>
      <c r="H127" s="586">
        <v>0.05</v>
      </c>
      <c r="I127" s="587">
        <v>4500</v>
      </c>
      <c r="J127" s="587">
        <f>_xlfn.XLOOKUP(D127,'[7]K.01.1a FA list'!$D$22:$D$348,'[7]K.01.1a FA list'!$M$22:$M$348)</f>
        <v>3325</v>
      </c>
      <c r="K127" s="587">
        <f t="shared" si="5"/>
        <v>950</v>
      </c>
      <c r="L127" s="587">
        <v>4500</v>
      </c>
      <c r="M127" s="587">
        <f>_xlfn.XLOOKUP(D127,[8]新增资产!$C:$C,[8]新增资产!$L:$L)</f>
        <v>4275</v>
      </c>
      <c r="N127" s="587">
        <v>0</v>
      </c>
      <c r="O127" s="843">
        <f t="shared" si="6"/>
        <v>225</v>
      </c>
      <c r="P127" s="591" t="str">
        <f t="shared" si="4"/>
        <v>是</v>
      </c>
      <c r="Q127" s="592"/>
    </row>
    <row r="128" s="781" customFormat="1" ht="12.45" spans="1:18">
      <c r="A128" s="828"/>
      <c r="C128" s="584" t="s">
        <v>178</v>
      </c>
      <c r="D128" s="373" t="s">
        <v>521</v>
      </c>
      <c r="E128" s="374" t="s">
        <v>520</v>
      </c>
      <c r="F128" s="374" t="s">
        <v>386</v>
      </c>
      <c r="G128" s="374">
        <v>36</v>
      </c>
      <c r="H128" s="586">
        <v>0.05</v>
      </c>
      <c r="I128" s="587">
        <v>4500</v>
      </c>
      <c r="J128" s="587">
        <f>_xlfn.XLOOKUP(D128,'[7]K.01.1a FA list'!$D$22:$D$348,'[7]K.01.1a FA list'!$M$22:$M$348)</f>
        <v>3325</v>
      </c>
      <c r="K128" s="587">
        <f t="shared" si="5"/>
        <v>950</v>
      </c>
      <c r="L128" s="587">
        <v>4500</v>
      </c>
      <c r="M128" s="587">
        <f>_xlfn.XLOOKUP(D128,[8]新增资产!$C:$C,[8]新增资产!$L:$L)</f>
        <v>4275</v>
      </c>
      <c r="N128" s="587">
        <v>0</v>
      </c>
      <c r="O128" s="843">
        <f t="shared" si="6"/>
        <v>225</v>
      </c>
      <c r="P128" s="591" t="str">
        <f t="shared" si="4"/>
        <v>是</v>
      </c>
      <c r="Q128" s="592"/>
    </row>
    <row r="129" s="781" customFormat="1" ht="12.45" spans="1:17">
      <c r="A129" s="828"/>
      <c r="C129" s="584" t="s">
        <v>178</v>
      </c>
      <c r="D129" s="373" t="s">
        <v>522</v>
      </c>
      <c r="E129" s="374" t="s">
        <v>509</v>
      </c>
      <c r="F129" s="374" t="s">
        <v>386</v>
      </c>
      <c r="G129" s="374">
        <v>36</v>
      </c>
      <c r="H129" s="586">
        <v>0.05</v>
      </c>
      <c r="I129" s="587">
        <v>4200</v>
      </c>
      <c r="J129" s="587">
        <f>_xlfn.XLOOKUP(D129,'[7]K.01.1a FA list'!$D$22:$D$348,'[7]K.01.1a FA list'!$M$22:$M$348)</f>
        <v>3103.24</v>
      </c>
      <c r="K129" s="587">
        <f t="shared" si="5"/>
        <v>886.76</v>
      </c>
      <c r="L129" s="587">
        <v>4200</v>
      </c>
      <c r="M129" s="587">
        <f>_xlfn.XLOOKUP(D129,[8]新增资产!$C:$C,[8]新增资产!$L:$L)</f>
        <v>3990</v>
      </c>
      <c r="N129" s="587">
        <v>0</v>
      </c>
      <c r="O129" s="843">
        <f t="shared" si="6"/>
        <v>210</v>
      </c>
      <c r="P129" s="591" t="str">
        <f t="shared" si="4"/>
        <v>是</v>
      </c>
      <c r="Q129" s="592"/>
    </row>
    <row r="130" s="781" customFormat="1" ht="12.45" spans="1:17">
      <c r="A130" s="828"/>
      <c r="C130" s="584" t="s">
        <v>178</v>
      </c>
      <c r="D130" s="373" t="s">
        <v>523</v>
      </c>
      <c r="E130" s="374" t="s">
        <v>524</v>
      </c>
      <c r="F130" s="374" t="s">
        <v>386</v>
      </c>
      <c r="G130" s="374">
        <v>36</v>
      </c>
      <c r="H130" s="586">
        <v>0.05</v>
      </c>
      <c r="I130" s="587">
        <v>2198.8</v>
      </c>
      <c r="J130" s="587">
        <f>_xlfn.XLOOKUP(D130,'[7]K.01.1a FA list'!$D$22:$D$348,'[7]K.01.1a FA list'!$M$22:$M$348)</f>
        <v>1624.56</v>
      </c>
      <c r="K130" s="587">
        <f t="shared" si="5"/>
        <v>464.3</v>
      </c>
      <c r="L130" s="587">
        <v>2198.8</v>
      </c>
      <c r="M130" s="587">
        <f>_xlfn.XLOOKUP(D130,[8]新增资产!$C:$C,[8]新增资产!$L:$L)</f>
        <v>2088.86</v>
      </c>
      <c r="N130" s="587">
        <v>0</v>
      </c>
      <c r="O130" s="843">
        <f t="shared" si="6"/>
        <v>109.94</v>
      </c>
      <c r="P130" s="591" t="str">
        <f t="shared" si="4"/>
        <v>是</v>
      </c>
      <c r="Q130" s="592"/>
    </row>
    <row r="131" s="781" customFormat="1" ht="12.45" spans="1:17">
      <c r="A131" s="828"/>
      <c r="C131" s="584" t="s">
        <v>178</v>
      </c>
      <c r="D131" s="373" t="s">
        <v>525</v>
      </c>
      <c r="E131" s="374" t="s">
        <v>526</v>
      </c>
      <c r="F131" s="374" t="s">
        <v>386</v>
      </c>
      <c r="G131" s="374">
        <v>36</v>
      </c>
      <c r="H131" s="586">
        <v>0.05</v>
      </c>
      <c r="I131" s="587">
        <v>3900</v>
      </c>
      <c r="J131" s="587">
        <f>_xlfn.XLOOKUP(D131,'[7]K.01.1a FA list'!$D$22:$D$348,'[7]K.01.1a FA list'!$M$22:$M$348)</f>
        <v>2881.76</v>
      </c>
      <c r="K131" s="587">
        <f t="shared" si="5"/>
        <v>823.24</v>
      </c>
      <c r="L131" s="587">
        <v>3900</v>
      </c>
      <c r="M131" s="587">
        <f>_xlfn.XLOOKUP(D131,[8]新增资产!$C:$C,[8]新增资产!$L:$L)</f>
        <v>3705</v>
      </c>
      <c r="N131" s="587">
        <v>0</v>
      </c>
      <c r="O131" s="843">
        <f t="shared" si="6"/>
        <v>195</v>
      </c>
      <c r="P131" s="591" t="str">
        <f t="shared" si="4"/>
        <v>是</v>
      </c>
      <c r="Q131" s="592"/>
    </row>
    <row r="132" s="781" customFormat="1" ht="12.45" spans="1:17">
      <c r="A132" s="828"/>
      <c r="C132" s="584" t="s">
        <v>178</v>
      </c>
      <c r="D132" s="373" t="s">
        <v>527</v>
      </c>
      <c r="E132" s="374" t="s">
        <v>528</v>
      </c>
      <c r="F132" s="374" t="s">
        <v>529</v>
      </c>
      <c r="G132" s="374">
        <v>36</v>
      </c>
      <c r="H132" s="586">
        <v>0.05</v>
      </c>
      <c r="I132" s="587">
        <v>1600</v>
      </c>
      <c r="J132" s="587">
        <f>_xlfn.XLOOKUP(D132,'[7]K.01.1a FA list'!$D$22:$D$348,'[7]K.01.1a FA list'!$M$22:$M$348)</f>
        <v>1182.16</v>
      </c>
      <c r="K132" s="587">
        <f t="shared" si="5"/>
        <v>337.84</v>
      </c>
      <c r="L132" s="587">
        <v>1600</v>
      </c>
      <c r="M132" s="587">
        <f>_xlfn.XLOOKUP(D132,[8]新增资产!$C:$C,[8]新增资产!$L:$L)</f>
        <v>1520</v>
      </c>
      <c r="N132" s="587">
        <v>0</v>
      </c>
      <c r="O132" s="843">
        <f t="shared" si="6"/>
        <v>80</v>
      </c>
      <c r="P132" s="591" t="str">
        <f t="shared" si="4"/>
        <v>是</v>
      </c>
      <c r="Q132" s="592"/>
    </row>
    <row r="133" s="781" customFormat="1" ht="12.45" spans="1:17">
      <c r="A133" s="828"/>
      <c r="C133" s="584" t="s">
        <v>178</v>
      </c>
      <c r="D133" s="373" t="s">
        <v>530</v>
      </c>
      <c r="E133" s="374" t="s">
        <v>518</v>
      </c>
      <c r="F133" s="374" t="s">
        <v>531</v>
      </c>
      <c r="G133" s="374">
        <v>36</v>
      </c>
      <c r="H133" s="586">
        <v>0.05</v>
      </c>
      <c r="I133" s="587">
        <v>3100</v>
      </c>
      <c r="J133" s="587">
        <f>_xlfn.XLOOKUP(D133,'[7]K.01.1a FA list'!$D$22:$D$348,'[7]K.01.1a FA list'!$M$22:$M$348)</f>
        <v>2208.87</v>
      </c>
      <c r="K133" s="587">
        <f t="shared" si="5"/>
        <v>736.13</v>
      </c>
      <c r="L133" s="587">
        <v>3100</v>
      </c>
      <c r="M133" s="587">
        <f>_xlfn.XLOOKUP(D133,[8]新增资产!$C:$C,[8]新增资产!$L:$L)</f>
        <v>2945</v>
      </c>
      <c r="N133" s="587">
        <v>0</v>
      </c>
      <c r="O133" s="843">
        <f t="shared" si="6"/>
        <v>155</v>
      </c>
      <c r="P133" s="591" t="str">
        <f t="shared" si="4"/>
        <v>是</v>
      </c>
      <c r="Q133" s="592"/>
    </row>
    <row r="134" s="781" customFormat="1" ht="12.45" spans="1:17">
      <c r="A134" s="828"/>
      <c r="C134" s="584" t="s">
        <v>178</v>
      </c>
      <c r="D134" s="373" t="s">
        <v>532</v>
      </c>
      <c r="E134" s="374" t="s">
        <v>533</v>
      </c>
      <c r="F134" s="374" t="s">
        <v>515</v>
      </c>
      <c r="G134" s="374">
        <v>36</v>
      </c>
      <c r="H134" s="586">
        <v>0.05</v>
      </c>
      <c r="I134" s="587">
        <v>3100</v>
      </c>
      <c r="J134" s="587">
        <f>_xlfn.XLOOKUP(D134,'[7]K.01.1a FA list'!$D$22:$D$348,'[7]K.01.1a FA list'!$M$22:$M$348)</f>
        <v>2781.54</v>
      </c>
      <c r="K134" s="587">
        <f t="shared" si="5"/>
        <v>163.46</v>
      </c>
      <c r="L134" s="587">
        <v>3100</v>
      </c>
      <c r="M134" s="587">
        <f>_xlfn.XLOOKUP(D134,[8]新增资产!$C:$C,[8]新增资产!$L:$L)</f>
        <v>2945</v>
      </c>
      <c r="N134" s="587">
        <v>0</v>
      </c>
      <c r="O134" s="843">
        <f t="shared" si="6"/>
        <v>155</v>
      </c>
      <c r="P134" s="591" t="str">
        <f t="shared" si="4"/>
        <v>是</v>
      </c>
      <c r="Q134" s="592"/>
    </row>
    <row r="135" s="781" customFormat="1" ht="12.45" spans="1:17">
      <c r="A135" s="828"/>
      <c r="C135" s="584" t="s">
        <v>178</v>
      </c>
      <c r="D135" s="373" t="s">
        <v>534</v>
      </c>
      <c r="E135" s="374" t="s">
        <v>535</v>
      </c>
      <c r="F135" s="374" t="s">
        <v>412</v>
      </c>
      <c r="G135" s="374">
        <v>36</v>
      </c>
      <c r="H135" s="586">
        <v>0.05</v>
      </c>
      <c r="I135" s="587">
        <v>3800</v>
      </c>
      <c r="J135" s="587">
        <f>_xlfn.XLOOKUP(D135,'[7]K.01.1a FA list'!$D$22:$D$348,'[7]K.01.1a FA list'!$M$22:$M$348)</f>
        <v>2507</v>
      </c>
      <c r="K135" s="587">
        <f t="shared" si="5"/>
        <v>1103</v>
      </c>
      <c r="L135" s="587">
        <v>3800</v>
      </c>
      <c r="M135" s="587">
        <f>_xlfn.XLOOKUP(D135,[8]新增资产!$C:$C,[8]新增资产!$L:$L)</f>
        <v>3610</v>
      </c>
      <c r="N135" s="587">
        <v>0</v>
      </c>
      <c r="O135" s="843">
        <f t="shared" si="6"/>
        <v>190</v>
      </c>
      <c r="P135" s="591" t="str">
        <f t="shared" si="4"/>
        <v>是</v>
      </c>
      <c r="Q135" s="592"/>
    </row>
    <row r="136" s="781" customFormat="1" ht="12.45" spans="1:17">
      <c r="A136" s="828"/>
      <c r="C136" s="584" t="s">
        <v>178</v>
      </c>
      <c r="D136" s="373" t="s">
        <v>536</v>
      </c>
      <c r="E136" s="374" t="s">
        <v>526</v>
      </c>
      <c r="F136" s="374" t="s">
        <v>412</v>
      </c>
      <c r="G136" s="374">
        <v>36</v>
      </c>
      <c r="H136" s="586">
        <v>0.05</v>
      </c>
      <c r="I136" s="587">
        <v>2150</v>
      </c>
      <c r="J136" s="587">
        <f>_xlfn.XLOOKUP(D136,'[7]K.01.1a FA list'!$D$22:$D$348,'[7]K.01.1a FA list'!$M$22:$M$348)</f>
        <v>1418.5</v>
      </c>
      <c r="K136" s="587">
        <f t="shared" si="5"/>
        <v>624</v>
      </c>
      <c r="L136" s="587">
        <v>2150</v>
      </c>
      <c r="M136" s="587">
        <f>_xlfn.XLOOKUP(D136,[8]新增资产!$C:$C,[8]新增资产!$L:$L)</f>
        <v>2042.5</v>
      </c>
      <c r="N136" s="587">
        <v>0</v>
      </c>
      <c r="O136" s="843">
        <f t="shared" si="6"/>
        <v>107.5</v>
      </c>
      <c r="P136" s="591" t="str">
        <f t="shared" si="4"/>
        <v>是</v>
      </c>
      <c r="Q136" s="592"/>
    </row>
    <row r="137" s="781" customFormat="1" ht="12.45" spans="1:17">
      <c r="A137" s="828"/>
      <c r="C137" s="584" t="s">
        <v>178</v>
      </c>
      <c r="D137" s="373" t="s">
        <v>537</v>
      </c>
      <c r="E137" s="374" t="s">
        <v>538</v>
      </c>
      <c r="F137" s="374" t="s">
        <v>412</v>
      </c>
      <c r="G137" s="374">
        <v>36</v>
      </c>
      <c r="H137" s="586">
        <v>0.05</v>
      </c>
      <c r="I137" s="587">
        <v>1600</v>
      </c>
      <c r="J137" s="587">
        <f>_xlfn.XLOOKUP(D137,'[7]K.01.1a FA list'!$D$22:$D$348,'[7]K.01.1a FA list'!$M$22:$M$348)</f>
        <v>1055.5</v>
      </c>
      <c r="K137" s="587">
        <f t="shared" si="5"/>
        <v>464.5</v>
      </c>
      <c r="L137" s="587">
        <v>1600</v>
      </c>
      <c r="M137" s="587">
        <f>_xlfn.XLOOKUP(D137,[8]新增资产!$C:$C,[8]新增资产!$L:$L)</f>
        <v>1520</v>
      </c>
      <c r="N137" s="587">
        <v>0</v>
      </c>
      <c r="O137" s="843">
        <f t="shared" si="6"/>
        <v>80</v>
      </c>
      <c r="P137" s="591" t="str">
        <f t="shared" si="4"/>
        <v>是</v>
      </c>
      <c r="Q137" s="592"/>
    </row>
    <row r="138" s="781" customFormat="1" ht="12.45" spans="1:17">
      <c r="A138" s="828"/>
      <c r="C138" s="584" t="s">
        <v>178</v>
      </c>
      <c r="D138" s="373" t="s">
        <v>539</v>
      </c>
      <c r="E138" s="374" t="s">
        <v>540</v>
      </c>
      <c r="F138" s="374" t="s">
        <v>412</v>
      </c>
      <c r="G138" s="374">
        <v>36</v>
      </c>
      <c r="H138" s="586">
        <v>0.05</v>
      </c>
      <c r="I138" s="587">
        <v>21400</v>
      </c>
      <c r="J138" s="587">
        <f>_xlfn.XLOOKUP(D138,'[7]K.01.1a FA list'!$D$22:$D$348,'[7]K.01.1a FA list'!$M$22:$M$348)</f>
        <v>14118</v>
      </c>
      <c r="K138" s="587">
        <f t="shared" si="5"/>
        <v>6212</v>
      </c>
      <c r="L138" s="587">
        <v>21400</v>
      </c>
      <c r="M138" s="587">
        <f>_xlfn.XLOOKUP(D138,[8]新增资产!$C:$C,[8]新增资产!$L:$L)</f>
        <v>20330</v>
      </c>
      <c r="N138" s="587">
        <v>0</v>
      </c>
      <c r="O138" s="843">
        <f t="shared" si="6"/>
        <v>1070</v>
      </c>
      <c r="P138" s="591" t="str">
        <f t="shared" si="4"/>
        <v>是</v>
      </c>
      <c r="Q138" s="592"/>
    </row>
    <row r="139" s="781" customFormat="1" ht="12.45" spans="1:17">
      <c r="A139" s="828"/>
      <c r="C139" s="584" t="s">
        <v>178</v>
      </c>
      <c r="D139" s="373" t="s">
        <v>541</v>
      </c>
      <c r="E139" s="374" t="s">
        <v>540</v>
      </c>
      <c r="F139" s="374" t="s">
        <v>412</v>
      </c>
      <c r="G139" s="374">
        <v>36</v>
      </c>
      <c r="H139" s="586">
        <v>0.05</v>
      </c>
      <c r="I139" s="587">
        <v>4280</v>
      </c>
      <c r="J139" s="587">
        <f>_xlfn.XLOOKUP(D139,'[7]K.01.1a FA list'!$D$22:$D$348,'[7]K.01.1a FA list'!$M$22:$M$348)</f>
        <v>2823.5</v>
      </c>
      <c r="K139" s="587">
        <f t="shared" si="5"/>
        <v>1242.5</v>
      </c>
      <c r="L139" s="587">
        <v>4280</v>
      </c>
      <c r="M139" s="587">
        <f>_xlfn.XLOOKUP(D139,[8]新增资产!$C:$C,[8]新增资产!$L:$L)</f>
        <v>4066</v>
      </c>
      <c r="N139" s="587">
        <v>0</v>
      </c>
      <c r="O139" s="843">
        <f t="shared" si="6"/>
        <v>214</v>
      </c>
      <c r="P139" s="591" t="str">
        <f t="shared" si="4"/>
        <v>是</v>
      </c>
      <c r="Q139" s="592"/>
    </row>
    <row r="140" s="781" customFormat="1" ht="12.45" spans="1:17">
      <c r="A140" s="828"/>
      <c r="C140" s="584" t="s">
        <v>178</v>
      </c>
      <c r="D140" s="373" t="s">
        <v>542</v>
      </c>
      <c r="E140" s="374" t="s">
        <v>540</v>
      </c>
      <c r="F140" s="374" t="s">
        <v>412</v>
      </c>
      <c r="G140" s="374">
        <v>36</v>
      </c>
      <c r="H140" s="586">
        <v>0.05</v>
      </c>
      <c r="I140" s="587">
        <v>8560</v>
      </c>
      <c r="J140" s="587">
        <f>_xlfn.XLOOKUP(D140,'[7]K.01.1a FA list'!$D$22:$D$348,'[7]K.01.1a FA list'!$M$22:$M$348)</f>
        <v>5647.25</v>
      </c>
      <c r="K140" s="587">
        <f t="shared" si="5"/>
        <v>2484.75</v>
      </c>
      <c r="L140" s="587">
        <v>8560</v>
      </c>
      <c r="M140" s="587">
        <f>_xlfn.XLOOKUP(D140,[8]新增资产!$C:$C,[8]新增资产!$L:$L)</f>
        <v>8132</v>
      </c>
      <c r="N140" s="587">
        <v>0</v>
      </c>
      <c r="O140" s="843">
        <f t="shared" si="6"/>
        <v>428</v>
      </c>
      <c r="P140" s="591" t="str">
        <f t="shared" si="4"/>
        <v>是</v>
      </c>
      <c r="Q140" s="592"/>
    </row>
    <row r="141" s="781" customFormat="1" ht="12.45" spans="1:17">
      <c r="A141" s="828"/>
      <c r="C141" s="584" t="s">
        <v>178</v>
      </c>
      <c r="D141" s="373" t="s">
        <v>543</v>
      </c>
      <c r="E141" s="374" t="s">
        <v>544</v>
      </c>
      <c r="F141" s="374" t="s">
        <v>419</v>
      </c>
      <c r="G141" s="374">
        <v>36</v>
      </c>
      <c r="H141" s="586">
        <v>0.05</v>
      </c>
      <c r="I141" s="587">
        <v>31000</v>
      </c>
      <c r="J141" s="587">
        <f>_xlfn.XLOOKUP(D141,'[7]K.01.1a FA list'!$D$22:$D$348,'[7]K.01.1a FA list'!$M$22:$M$348)</f>
        <v>19633.44</v>
      </c>
      <c r="K141" s="587">
        <f t="shared" si="5"/>
        <v>9816.56</v>
      </c>
      <c r="L141" s="587">
        <v>31000</v>
      </c>
      <c r="M141" s="587">
        <f>_xlfn.XLOOKUP(D141,[8]新增资产!$C:$C,[8]新增资产!$L:$L)</f>
        <v>29450</v>
      </c>
      <c r="N141" s="587">
        <v>0</v>
      </c>
      <c r="O141" s="843">
        <f t="shared" si="6"/>
        <v>1550</v>
      </c>
      <c r="P141" s="591" t="str">
        <f t="shared" si="4"/>
        <v>是</v>
      </c>
      <c r="Q141" s="592"/>
    </row>
    <row r="142" s="781" customFormat="1" ht="12.45" spans="1:17">
      <c r="A142" s="828"/>
      <c r="C142" s="584" t="s">
        <v>178</v>
      </c>
      <c r="D142" s="373" t="s">
        <v>545</v>
      </c>
      <c r="E142" s="374" t="s">
        <v>546</v>
      </c>
      <c r="F142" s="374" t="s">
        <v>428</v>
      </c>
      <c r="G142" s="374">
        <v>36</v>
      </c>
      <c r="H142" s="586">
        <v>0.05</v>
      </c>
      <c r="I142" s="587">
        <v>2208</v>
      </c>
      <c r="J142" s="587">
        <f>_xlfn.XLOOKUP(D142,'[7]K.01.1a FA list'!$D$22:$D$348,'[7]K.01.1a FA list'!$M$22:$M$348)</f>
        <v>1223.67</v>
      </c>
      <c r="K142" s="587">
        <f t="shared" si="5"/>
        <v>699.24</v>
      </c>
      <c r="L142" s="587">
        <v>2208</v>
      </c>
      <c r="M142" s="587">
        <f>_xlfn.XLOOKUP(D142,[8]新增资产!$C:$C,[8]新增资产!$L:$L)</f>
        <v>1922.91</v>
      </c>
      <c r="N142" s="587">
        <v>0</v>
      </c>
      <c r="O142" s="843">
        <f t="shared" si="6"/>
        <v>285.09</v>
      </c>
      <c r="P142" s="591" t="str">
        <f t="shared" ref="P142:P196" si="7">IF(ROUND(L142*(1-H142),0)=ROUND(M142,0),"是","否")</f>
        <v>否</v>
      </c>
      <c r="Q142" s="592"/>
    </row>
    <row r="143" s="781" customFormat="1" ht="12.45" spans="1:17">
      <c r="A143" s="828"/>
      <c r="C143" s="584" t="s">
        <v>178</v>
      </c>
      <c r="D143" s="373" t="s">
        <v>547</v>
      </c>
      <c r="E143" s="374" t="s">
        <v>548</v>
      </c>
      <c r="F143" s="374" t="s">
        <v>428</v>
      </c>
      <c r="G143" s="374">
        <v>36</v>
      </c>
      <c r="H143" s="586">
        <v>0.05</v>
      </c>
      <c r="I143" s="587">
        <v>2299</v>
      </c>
      <c r="J143" s="587">
        <f>_xlfn.XLOOKUP(D143,'[7]K.01.1a FA list'!$D$22:$D$348,'[7]K.01.1a FA list'!$M$22:$M$348)</f>
        <v>1274.07</v>
      </c>
      <c r="K143" s="587">
        <f t="shared" si="5"/>
        <v>728.04</v>
      </c>
      <c r="L143" s="587">
        <v>2299</v>
      </c>
      <c r="M143" s="587">
        <f>_xlfn.XLOOKUP(D143,[8]新增资产!$C:$C,[8]新增资产!$L:$L)</f>
        <v>2002.11</v>
      </c>
      <c r="N143" s="587">
        <v>0</v>
      </c>
      <c r="O143" s="843">
        <f t="shared" si="6"/>
        <v>296.89</v>
      </c>
      <c r="P143" s="591" t="str">
        <f t="shared" si="7"/>
        <v>否</v>
      </c>
      <c r="Q143" s="592"/>
    </row>
    <row r="144" s="781" customFormat="1" ht="12.45" spans="1:17">
      <c r="A144" s="828"/>
      <c r="C144" s="584" t="s">
        <v>178</v>
      </c>
      <c r="D144" s="373" t="s">
        <v>549</v>
      </c>
      <c r="E144" s="374" t="s">
        <v>550</v>
      </c>
      <c r="F144" s="374" t="s">
        <v>551</v>
      </c>
      <c r="G144" s="374">
        <v>36</v>
      </c>
      <c r="H144" s="586">
        <v>0.05</v>
      </c>
      <c r="I144" s="587">
        <v>15000</v>
      </c>
      <c r="J144" s="587">
        <f>_xlfn.XLOOKUP(D144,'[7]K.01.1a FA list'!$D$22:$D$348,'[7]K.01.1a FA list'!$M$22:$M$348)</f>
        <v>7916.6</v>
      </c>
      <c r="K144" s="587">
        <f t="shared" si="5"/>
        <v>4749.96</v>
      </c>
      <c r="L144" s="587">
        <v>15000</v>
      </c>
      <c r="M144" s="587">
        <f>_xlfn.XLOOKUP(D144,[8]新增资产!$C:$C,[8]新增资产!$L:$L)</f>
        <v>12666.56</v>
      </c>
      <c r="N144" s="587">
        <v>0</v>
      </c>
      <c r="O144" s="843">
        <f t="shared" si="6"/>
        <v>2333.44</v>
      </c>
      <c r="P144" s="591" t="str">
        <f t="shared" si="7"/>
        <v>否</v>
      </c>
      <c r="Q144" s="592"/>
    </row>
    <row r="145" s="781" customFormat="1" ht="12.45" spans="1:18">
      <c r="A145" s="828"/>
      <c r="C145" s="584" t="s">
        <v>178</v>
      </c>
      <c r="D145" s="373" t="s">
        <v>552</v>
      </c>
      <c r="E145" s="374" t="s">
        <v>465</v>
      </c>
      <c r="F145" s="374" t="s">
        <v>551</v>
      </c>
      <c r="G145" s="374">
        <v>36</v>
      </c>
      <c r="H145" s="586">
        <v>0.05</v>
      </c>
      <c r="I145" s="587">
        <v>1779</v>
      </c>
      <c r="J145" s="587">
        <f>_xlfn.XLOOKUP(D145,'[7]K.01.1a FA list'!$D$22:$D$348,'[7]K.01.1a FA list'!$M$22:$M$348)</f>
        <v>939</v>
      </c>
      <c r="K145" s="587">
        <f t="shared" si="5"/>
        <v>563.4</v>
      </c>
      <c r="L145" s="587">
        <v>1779</v>
      </c>
      <c r="M145" s="587">
        <f>_xlfn.XLOOKUP(D145,[8]新增资产!$C:$C,[8]新增资产!$L:$L)</f>
        <v>1502.4</v>
      </c>
      <c r="N145" s="587">
        <v>0</v>
      </c>
      <c r="O145" s="843">
        <f t="shared" si="6"/>
        <v>276.6</v>
      </c>
      <c r="P145" s="591" t="str">
        <f t="shared" si="7"/>
        <v>否</v>
      </c>
      <c r="Q145" s="592"/>
    </row>
    <row r="146" s="781" customFormat="1" ht="12.45" spans="1:18">
      <c r="A146" s="828"/>
      <c r="C146" s="584" t="s">
        <v>178</v>
      </c>
      <c r="D146" s="373" t="s">
        <v>553</v>
      </c>
      <c r="E146" s="374" t="s">
        <v>554</v>
      </c>
      <c r="F146" s="374" t="s">
        <v>555</v>
      </c>
      <c r="G146" s="374">
        <v>36</v>
      </c>
      <c r="H146" s="586">
        <v>0.05</v>
      </c>
      <c r="I146" s="587">
        <v>12800</v>
      </c>
      <c r="J146" s="587">
        <f>_xlfn.XLOOKUP(D146,'[7]K.01.1a FA list'!$D$22:$D$348,'[7]K.01.1a FA list'!$M$22:$M$348)</f>
        <v>6080.04</v>
      </c>
      <c r="K146" s="587">
        <f t="shared" ref="K146:K209" si="8">M146-J146</f>
        <v>4053.36</v>
      </c>
      <c r="L146" s="587">
        <v>12800</v>
      </c>
      <c r="M146" s="587">
        <f>_xlfn.XLOOKUP(D146,[8]新增资产!$C:$C,[8]新增资产!$L:$L)</f>
        <v>10133.4</v>
      </c>
      <c r="N146" s="587">
        <v>0</v>
      </c>
      <c r="O146" s="843">
        <f t="shared" ref="O146:O209" si="9">L146-M146</f>
        <v>2666.6</v>
      </c>
      <c r="P146" s="591" t="str">
        <f t="shared" si="7"/>
        <v>否</v>
      </c>
      <c r="Q146" s="592"/>
    </row>
    <row r="147" s="781" customFormat="1" ht="12.45" spans="1:18">
      <c r="A147" s="828"/>
      <c r="C147" s="584" t="s">
        <v>178</v>
      </c>
      <c r="D147" s="373" t="s">
        <v>556</v>
      </c>
      <c r="E147" s="374" t="s">
        <v>514</v>
      </c>
      <c r="F147" s="374" t="s">
        <v>555</v>
      </c>
      <c r="G147" s="374">
        <v>36</v>
      </c>
      <c r="H147" s="586">
        <v>0.05</v>
      </c>
      <c r="I147" s="587">
        <v>7000</v>
      </c>
      <c r="J147" s="587">
        <f>_xlfn.XLOOKUP(D147,'[7]K.01.1a FA list'!$D$22:$D$348,'[7]K.01.1a FA list'!$M$22:$M$348)</f>
        <v>3324.96</v>
      </c>
      <c r="K147" s="587">
        <f t="shared" si="8"/>
        <v>2216.64</v>
      </c>
      <c r="L147" s="587">
        <v>7000</v>
      </c>
      <c r="M147" s="587">
        <f>_xlfn.XLOOKUP(D147,[8]新增资产!$C:$C,[8]新增资产!$L:$L)</f>
        <v>5541.6</v>
      </c>
      <c r="N147" s="587">
        <v>0</v>
      </c>
      <c r="O147" s="843">
        <f t="shared" si="9"/>
        <v>1458.4</v>
      </c>
      <c r="P147" s="591" t="str">
        <f t="shared" si="7"/>
        <v>否</v>
      </c>
      <c r="Q147" s="592"/>
    </row>
    <row r="148" s="781" customFormat="1" ht="12.45" spans="1:18">
      <c r="A148" s="828"/>
      <c r="C148" s="584" t="s">
        <v>179</v>
      </c>
      <c r="D148" s="373" t="s">
        <v>557</v>
      </c>
      <c r="E148" s="374" t="s">
        <v>558</v>
      </c>
      <c r="F148" s="374" t="s">
        <v>559</v>
      </c>
      <c r="G148" s="374">
        <v>60</v>
      </c>
      <c r="H148" s="586">
        <v>0.05</v>
      </c>
      <c r="I148" s="587">
        <v>43000</v>
      </c>
      <c r="J148" s="587">
        <f>_xlfn.XLOOKUP(D148,'[7]K.01.1a FA list'!$D$22:$D$348,'[7]K.01.1a FA list'!$M$22:$M$348)</f>
        <v>40850</v>
      </c>
      <c r="K148" s="587">
        <f t="shared" si="8"/>
        <v>0</v>
      </c>
      <c r="L148" s="587">
        <v>43000</v>
      </c>
      <c r="M148" s="587">
        <f>_xlfn.XLOOKUP(D148,[8]新增资产!$C:$C,[8]新增资产!$L:$L)</f>
        <v>40850</v>
      </c>
      <c r="N148" s="587">
        <v>0</v>
      </c>
      <c r="O148" s="843">
        <f t="shared" si="9"/>
        <v>2150</v>
      </c>
      <c r="P148" s="591" t="str">
        <f t="shared" si="7"/>
        <v>是</v>
      </c>
      <c r="Q148" s="592"/>
      <c r="R148" s="848"/>
    </row>
    <row r="149" s="781" customFormat="1" ht="12.45" spans="1:18">
      <c r="A149" s="828"/>
      <c r="C149" s="584" t="s">
        <v>179</v>
      </c>
      <c r="D149" s="373" t="s">
        <v>560</v>
      </c>
      <c r="E149" s="374" t="s">
        <v>561</v>
      </c>
      <c r="F149" s="374" t="s">
        <v>559</v>
      </c>
      <c r="G149" s="374">
        <v>60</v>
      </c>
      <c r="H149" s="586">
        <v>0.05</v>
      </c>
      <c r="I149" s="587">
        <v>62000</v>
      </c>
      <c r="J149" s="587">
        <f>_xlfn.XLOOKUP(D149,'[7]K.01.1a FA list'!$D$22:$D$348,'[7]K.01.1a FA list'!$M$22:$M$348)</f>
        <v>58900</v>
      </c>
      <c r="K149" s="587">
        <f t="shared" si="8"/>
        <v>0</v>
      </c>
      <c r="L149" s="587">
        <v>62000</v>
      </c>
      <c r="M149" s="587">
        <f>_xlfn.XLOOKUP(D149,[8]新增资产!$C:$C,[8]新增资产!$L:$L)</f>
        <v>58900</v>
      </c>
      <c r="N149" s="587">
        <v>0</v>
      </c>
      <c r="O149" s="843">
        <f t="shared" si="9"/>
        <v>3100</v>
      </c>
      <c r="P149" s="591" t="str">
        <f t="shared" si="7"/>
        <v>是</v>
      </c>
      <c r="Q149" s="592"/>
      <c r="R149" s="848"/>
    </row>
    <row r="150" s="781" customFormat="1" ht="12.45" spans="1:18">
      <c r="A150" s="828"/>
      <c r="C150" s="584" t="s">
        <v>179</v>
      </c>
      <c r="D150" s="373" t="s">
        <v>562</v>
      </c>
      <c r="E150" s="374" t="s">
        <v>563</v>
      </c>
      <c r="F150" s="374" t="s">
        <v>564</v>
      </c>
      <c r="G150" s="374">
        <v>60</v>
      </c>
      <c r="H150" s="586">
        <v>0.05</v>
      </c>
      <c r="I150" s="587">
        <v>16000</v>
      </c>
      <c r="J150" s="587">
        <f>_xlfn.XLOOKUP(D150,'[7]K.01.1a FA list'!$D$22:$D$348,'[7]K.01.1a FA list'!$M$22:$M$348)</f>
        <v>15200</v>
      </c>
      <c r="K150" s="587">
        <f t="shared" si="8"/>
        <v>0</v>
      </c>
      <c r="L150" s="587">
        <v>16000</v>
      </c>
      <c r="M150" s="587">
        <f>_xlfn.XLOOKUP(D150,[8]新增资产!$C:$C,[8]新增资产!$L:$L)</f>
        <v>15200</v>
      </c>
      <c r="N150" s="587">
        <v>0</v>
      </c>
      <c r="O150" s="843">
        <f t="shared" si="9"/>
        <v>800</v>
      </c>
      <c r="P150" s="591" t="str">
        <f t="shared" si="7"/>
        <v>是</v>
      </c>
      <c r="Q150" s="592"/>
      <c r="R150" s="848"/>
    </row>
    <row r="151" s="781" customFormat="1" ht="12.45" spans="1:18">
      <c r="A151" s="828"/>
      <c r="C151" s="584" t="s">
        <v>179</v>
      </c>
      <c r="D151" s="373" t="s">
        <v>565</v>
      </c>
      <c r="E151" s="374" t="s">
        <v>566</v>
      </c>
      <c r="F151" s="374" t="s">
        <v>564</v>
      </c>
      <c r="G151" s="374">
        <v>60</v>
      </c>
      <c r="H151" s="586">
        <v>0.05</v>
      </c>
      <c r="I151" s="587">
        <v>39000</v>
      </c>
      <c r="J151" s="587">
        <f>_xlfn.XLOOKUP(D151,'[7]K.01.1a FA list'!$D$22:$D$348,'[7]K.01.1a FA list'!$M$22:$M$348)</f>
        <v>37050</v>
      </c>
      <c r="K151" s="587">
        <f t="shared" si="8"/>
        <v>0</v>
      </c>
      <c r="L151" s="587">
        <v>39000</v>
      </c>
      <c r="M151" s="587">
        <f>_xlfn.XLOOKUP(D151,[8]新增资产!$C:$C,[8]新增资产!$L:$L)</f>
        <v>37050</v>
      </c>
      <c r="N151" s="587">
        <v>0</v>
      </c>
      <c r="O151" s="843">
        <f t="shared" si="9"/>
        <v>1950</v>
      </c>
      <c r="P151" s="591" t="str">
        <f t="shared" si="7"/>
        <v>是</v>
      </c>
      <c r="Q151" s="592"/>
      <c r="R151" s="848"/>
    </row>
    <row r="152" s="781" customFormat="1" ht="12.45" spans="1:18">
      <c r="A152" s="828"/>
      <c r="C152" s="584" t="s">
        <v>179</v>
      </c>
      <c r="D152" s="373" t="s">
        <v>567</v>
      </c>
      <c r="E152" s="374" t="s">
        <v>568</v>
      </c>
      <c r="F152" s="374" t="s">
        <v>569</v>
      </c>
      <c r="G152" s="374">
        <v>60</v>
      </c>
      <c r="H152" s="586">
        <v>0.05</v>
      </c>
      <c r="I152" s="587">
        <v>20250</v>
      </c>
      <c r="J152" s="587">
        <f>_xlfn.XLOOKUP(D152,'[7]K.01.1a FA list'!$D$22:$D$348,'[7]K.01.1a FA list'!$M$22:$M$348)</f>
        <v>19237.5</v>
      </c>
      <c r="K152" s="587">
        <f t="shared" si="8"/>
        <v>0</v>
      </c>
      <c r="L152" s="587">
        <v>20250</v>
      </c>
      <c r="M152" s="587">
        <f>_xlfn.XLOOKUP(D152,[8]新增资产!$C:$C,[8]新增资产!$L:$L)</f>
        <v>19237.5</v>
      </c>
      <c r="N152" s="587">
        <v>0</v>
      </c>
      <c r="O152" s="843">
        <f t="shared" si="9"/>
        <v>1012.5</v>
      </c>
      <c r="P152" s="591" t="str">
        <f t="shared" si="7"/>
        <v>是</v>
      </c>
      <c r="Q152" s="592"/>
      <c r="R152" s="848"/>
    </row>
    <row r="153" s="781" customFormat="1" ht="12.45" spans="1:18">
      <c r="A153" s="828"/>
      <c r="C153" s="584" t="s">
        <v>179</v>
      </c>
      <c r="D153" s="373" t="s">
        <v>570</v>
      </c>
      <c r="E153" s="374" t="s">
        <v>571</v>
      </c>
      <c r="F153" s="374" t="s">
        <v>572</v>
      </c>
      <c r="G153" s="374">
        <v>36</v>
      </c>
      <c r="H153" s="586">
        <v>0.05</v>
      </c>
      <c r="I153" s="587">
        <v>47000</v>
      </c>
      <c r="J153" s="587">
        <f>_xlfn.XLOOKUP(D153,'[7]K.01.1a FA list'!$D$22:$D$348,'[7]K.01.1a FA list'!$M$22:$M$348)</f>
        <v>44650</v>
      </c>
      <c r="K153" s="587">
        <f t="shared" si="8"/>
        <v>0</v>
      </c>
      <c r="L153" s="587">
        <v>47000</v>
      </c>
      <c r="M153" s="587">
        <f>_xlfn.XLOOKUP(D153,[8]新增资产!$C:$C,[8]新增资产!$L:$L)</f>
        <v>44650</v>
      </c>
      <c r="N153" s="587">
        <v>0</v>
      </c>
      <c r="O153" s="843">
        <f t="shared" si="9"/>
        <v>2350</v>
      </c>
      <c r="P153" s="591" t="str">
        <f t="shared" si="7"/>
        <v>是</v>
      </c>
      <c r="Q153" s="592"/>
      <c r="R153" s="848"/>
    </row>
    <row r="154" s="781" customFormat="1" ht="12.45" spans="1:18">
      <c r="A154" s="828"/>
      <c r="C154" s="584" t="s">
        <v>179</v>
      </c>
      <c r="D154" s="373" t="s">
        <v>573</v>
      </c>
      <c r="E154" s="374" t="s">
        <v>574</v>
      </c>
      <c r="F154" s="374" t="s">
        <v>575</v>
      </c>
      <c r="G154" s="374">
        <v>60</v>
      </c>
      <c r="H154" s="586">
        <v>0.05</v>
      </c>
      <c r="I154" s="587">
        <v>18000</v>
      </c>
      <c r="J154" s="587">
        <f>_xlfn.XLOOKUP(D154,'[7]K.01.1a FA list'!$D$22:$D$348,'[7]K.01.1a FA list'!$M$22:$M$348)</f>
        <v>17100</v>
      </c>
      <c r="K154" s="587">
        <f t="shared" si="8"/>
        <v>0</v>
      </c>
      <c r="L154" s="587">
        <v>18000</v>
      </c>
      <c r="M154" s="587">
        <f>_xlfn.XLOOKUP(D154,[8]新增资产!$C:$C,[8]新增资产!$L:$L)</f>
        <v>17100</v>
      </c>
      <c r="N154" s="587">
        <v>0</v>
      </c>
      <c r="O154" s="843">
        <f t="shared" si="9"/>
        <v>900</v>
      </c>
      <c r="P154" s="591" t="str">
        <f t="shared" si="7"/>
        <v>是</v>
      </c>
      <c r="Q154" s="592"/>
      <c r="R154" s="848"/>
    </row>
    <row r="155" s="781" customFormat="1" ht="12.45" spans="1:18">
      <c r="A155" s="828"/>
      <c r="C155" s="584" t="s">
        <v>179</v>
      </c>
      <c r="D155" s="373" t="s">
        <v>576</v>
      </c>
      <c r="E155" s="374" t="s">
        <v>577</v>
      </c>
      <c r="F155" s="374" t="s">
        <v>575</v>
      </c>
      <c r="G155" s="374">
        <v>60</v>
      </c>
      <c r="H155" s="586">
        <v>0.05</v>
      </c>
      <c r="I155" s="587">
        <v>6500</v>
      </c>
      <c r="J155" s="587">
        <f>_xlfn.XLOOKUP(D155,'[7]K.01.1a FA list'!$D$22:$D$348,'[7]K.01.1a FA list'!$M$22:$M$348)</f>
        <v>6175</v>
      </c>
      <c r="K155" s="587">
        <f t="shared" si="8"/>
        <v>0</v>
      </c>
      <c r="L155" s="587">
        <v>6500</v>
      </c>
      <c r="M155" s="587">
        <f>_xlfn.XLOOKUP(D155,[8]新增资产!$C:$C,[8]新增资产!$L:$L)</f>
        <v>6175</v>
      </c>
      <c r="N155" s="587">
        <v>0</v>
      </c>
      <c r="O155" s="843">
        <f t="shared" si="9"/>
        <v>325</v>
      </c>
      <c r="P155" s="591" t="str">
        <f t="shared" si="7"/>
        <v>是</v>
      </c>
      <c r="Q155" s="592"/>
      <c r="R155" s="848"/>
    </row>
    <row r="156" s="781" customFormat="1" ht="12.45" spans="1:18">
      <c r="A156" s="828"/>
      <c r="C156" s="584" t="s">
        <v>179</v>
      </c>
      <c r="D156" s="373" t="s">
        <v>578</v>
      </c>
      <c r="E156" s="374" t="s">
        <v>579</v>
      </c>
      <c r="F156" s="374" t="s">
        <v>580</v>
      </c>
      <c r="G156" s="374">
        <v>60</v>
      </c>
      <c r="H156" s="586">
        <v>0.05</v>
      </c>
      <c r="I156" s="587">
        <v>9200</v>
      </c>
      <c r="J156" s="587">
        <f>_xlfn.XLOOKUP(D156,'[7]K.01.1a FA list'!$D$22:$D$348,'[7]K.01.1a FA list'!$M$22:$M$348)</f>
        <v>8740</v>
      </c>
      <c r="K156" s="587">
        <f t="shared" si="8"/>
        <v>0</v>
      </c>
      <c r="L156" s="587">
        <v>9200</v>
      </c>
      <c r="M156" s="587">
        <f>_xlfn.XLOOKUP(D156,[8]新增资产!$C:$C,[8]新增资产!$L:$L)</f>
        <v>8740</v>
      </c>
      <c r="N156" s="587">
        <v>0</v>
      </c>
      <c r="O156" s="843">
        <f t="shared" si="9"/>
        <v>460</v>
      </c>
      <c r="P156" s="591" t="str">
        <f t="shared" si="7"/>
        <v>是</v>
      </c>
      <c r="Q156" s="592"/>
      <c r="R156" s="848"/>
    </row>
    <row r="157" s="781" customFormat="1" ht="12.45" spans="1:18">
      <c r="A157" s="828"/>
      <c r="C157" s="584" t="s">
        <v>179</v>
      </c>
      <c r="D157" s="373" t="s">
        <v>581</v>
      </c>
      <c r="E157" s="374" t="s">
        <v>582</v>
      </c>
      <c r="F157" s="374" t="s">
        <v>583</v>
      </c>
      <c r="G157" s="374">
        <v>60</v>
      </c>
      <c r="H157" s="586">
        <v>0.05</v>
      </c>
      <c r="I157" s="587">
        <v>265000</v>
      </c>
      <c r="J157" s="587">
        <f>_xlfn.XLOOKUP(D157,'[7]K.01.1a FA list'!$D$22:$D$348,'[7]K.01.1a FA list'!$M$22:$M$348)</f>
        <v>251750</v>
      </c>
      <c r="K157" s="587">
        <f t="shared" si="8"/>
        <v>0</v>
      </c>
      <c r="L157" s="587">
        <v>265000</v>
      </c>
      <c r="M157" s="587">
        <f>_xlfn.XLOOKUP(D157,[8]新增资产!$C:$C,[8]新增资产!$L:$L)</f>
        <v>251750</v>
      </c>
      <c r="N157" s="587">
        <v>0</v>
      </c>
      <c r="O157" s="843">
        <f t="shared" si="9"/>
        <v>13250</v>
      </c>
      <c r="P157" s="591" t="str">
        <f t="shared" si="7"/>
        <v>是</v>
      </c>
      <c r="Q157" s="592"/>
      <c r="R157" s="848"/>
    </row>
    <row r="158" s="781" customFormat="1" ht="12.45" spans="1:18">
      <c r="A158" s="828"/>
      <c r="C158" s="584" t="s">
        <v>179</v>
      </c>
      <c r="D158" s="373" t="s">
        <v>584</v>
      </c>
      <c r="E158" s="374" t="s">
        <v>585</v>
      </c>
      <c r="F158" s="374" t="s">
        <v>586</v>
      </c>
      <c r="G158" s="374">
        <v>60</v>
      </c>
      <c r="H158" s="586">
        <v>0.05</v>
      </c>
      <c r="I158" s="587">
        <v>6800</v>
      </c>
      <c r="J158" s="587">
        <f>_xlfn.XLOOKUP(D158,'[7]K.01.1a FA list'!$D$22:$D$348,'[7]K.01.1a FA list'!$M$22:$M$348)</f>
        <v>6460</v>
      </c>
      <c r="K158" s="587">
        <f t="shared" si="8"/>
        <v>0</v>
      </c>
      <c r="L158" s="587">
        <v>6800</v>
      </c>
      <c r="M158" s="587">
        <f>_xlfn.XLOOKUP(D158,[8]新增资产!$C:$C,[8]新增资产!$L:$L)</f>
        <v>6460</v>
      </c>
      <c r="N158" s="587">
        <v>0</v>
      </c>
      <c r="O158" s="843">
        <f t="shared" si="9"/>
        <v>340</v>
      </c>
      <c r="P158" s="591" t="str">
        <f t="shared" si="7"/>
        <v>是</v>
      </c>
      <c r="Q158" s="592"/>
    </row>
    <row r="159" s="781" customFormat="1" ht="12.45" spans="1:18">
      <c r="A159" s="828"/>
      <c r="C159" s="584" t="s">
        <v>179</v>
      </c>
      <c r="D159" s="373" t="s">
        <v>587</v>
      </c>
      <c r="E159" s="374" t="s">
        <v>588</v>
      </c>
      <c r="F159" s="374" t="s">
        <v>586</v>
      </c>
      <c r="G159" s="374">
        <v>60</v>
      </c>
      <c r="H159" s="586">
        <v>0.05</v>
      </c>
      <c r="I159" s="587">
        <v>10000</v>
      </c>
      <c r="J159" s="587">
        <f>_xlfn.XLOOKUP(D159,'[7]K.01.1a FA list'!$D$22:$D$348,'[7]K.01.1a FA list'!$M$22:$M$348)</f>
        <v>9500</v>
      </c>
      <c r="K159" s="587">
        <f t="shared" si="8"/>
        <v>0</v>
      </c>
      <c r="L159" s="587">
        <v>10000</v>
      </c>
      <c r="M159" s="587">
        <f>_xlfn.XLOOKUP(D159,[8]新增资产!$C:$C,[8]新增资产!$L:$L)</f>
        <v>9500</v>
      </c>
      <c r="N159" s="587">
        <v>0</v>
      </c>
      <c r="O159" s="843">
        <f t="shared" si="9"/>
        <v>500</v>
      </c>
      <c r="P159" s="591" t="str">
        <f t="shared" si="7"/>
        <v>是</v>
      </c>
      <c r="Q159" s="592"/>
    </row>
    <row r="160" s="781" customFormat="1" ht="12.45" spans="1:18">
      <c r="A160" s="828"/>
      <c r="C160" s="584" t="s">
        <v>179</v>
      </c>
      <c r="D160" s="373" t="s">
        <v>589</v>
      </c>
      <c r="E160" s="374" t="s">
        <v>590</v>
      </c>
      <c r="F160" s="374" t="s">
        <v>591</v>
      </c>
      <c r="G160" s="374">
        <v>60</v>
      </c>
      <c r="H160" s="586">
        <v>0.05</v>
      </c>
      <c r="I160" s="587">
        <v>15000</v>
      </c>
      <c r="J160" s="587">
        <f>_xlfn.XLOOKUP(D160,'[7]K.01.1a FA list'!$D$22:$D$348,'[7]K.01.1a FA list'!$M$22:$M$348)</f>
        <v>14250</v>
      </c>
      <c r="K160" s="587">
        <f t="shared" si="8"/>
        <v>0</v>
      </c>
      <c r="L160" s="587">
        <v>15000</v>
      </c>
      <c r="M160" s="587">
        <f>_xlfn.XLOOKUP(D160,[8]新增资产!$C:$C,[8]新增资产!$L:$L)</f>
        <v>14250</v>
      </c>
      <c r="N160" s="587">
        <v>0</v>
      </c>
      <c r="O160" s="843">
        <f t="shared" si="9"/>
        <v>750</v>
      </c>
      <c r="P160" s="591" t="str">
        <f t="shared" si="7"/>
        <v>是</v>
      </c>
      <c r="Q160" s="592"/>
    </row>
    <row r="161" s="781" customFormat="1" ht="12.45" spans="1:18">
      <c r="A161" s="828"/>
      <c r="C161" s="584" t="s">
        <v>179</v>
      </c>
      <c r="D161" s="373" t="s">
        <v>592</v>
      </c>
      <c r="E161" s="374" t="s">
        <v>593</v>
      </c>
      <c r="F161" s="374" t="s">
        <v>594</v>
      </c>
      <c r="G161" s="374">
        <v>60</v>
      </c>
      <c r="H161" s="586">
        <v>0.05</v>
      </c>
      <c r="I161" s="587">
        <v>28000</v>
      </c>
      <c r="J161" s="587">
        <f>_xlfn.XLOOKUP(D161,'[7]K.01.1a FA list'!$D$22:$D$348,'[7]K.01.1a FA list'!$M$22:$M$348)</f>
        <v>26600</v>
      </c>
      <c r="K161" s="587">
        <f t="shared" si="8"/>
        <v>0</v>
      </c>
      <c r="L161" s="587">
        <v>28000</v>
      </c>
      <c r="M161" s="587">
        <f>_xlfn.XLOOKUP(D161,[8]新增资产!$C:$C,[8]新增资产!$L:$L)</f>
        <v>26600</v>
      </c>
      <c r="N161" s="587">
        <v>0</v>
      </c>
      <c r="O161" s="843">
        <f t="shared" si="9"/>
        <v>1400</v>
      </c>
      <c r="P161" s="591" t="str">
        <f t="shared" si="7"/>
        <v>是</v>
      </c>
      <c r="Q161" s="592"/>
    </row>
    <row r="162" s="781" customFormat="1" ht="12.45" spans="1:18">
      <c r="A162" s="828"/>
      <c r="C162" s="584" t="s">
        <v>179</v>
      </c>
      <c r="D162" s="373" t="s">
        <v>595</v>
      </c>
      <c r="E162" s="374" t="s">
        <v>596</v>
      </c>
      <c r="F162" s="374" t="s">
        <v>597</v>
      </c>
      <c r="G162" s="374">
        <v>60</v>
      </c>
      <c r="H162" s="586">
        <v>0.05</v>
      </c>
      <c r="I162" s="587">
        <v>700000</v>
      </c>
      <c r="J162" s="587">
        <f>_xlfn.XLOOKUP(D162,'[7]K.01.1a FA list'!$D$22:$D$348,'[7]K.01.1a FA list'!$M$22:$M$348)</f>
        <v>665000</v>
      </c>
      <c r="K162" s="587">
        <f t="shared" si="8"/>
        <v>0</v>
      </c>
      <c r="L162" s="587">
        <v>700000</v>
      </c>
      <c r="M162" s="587">
        <f>_xlfn.XLOOKUP(D162,[8]新增资产!$C:$C,[8]新增资产!$L:$L)</f>
        <v>665000</v>
      </c>
      <c r="N162" s="587">
        <v>0</v>
      </c>
      <c r="O162" s="843">
        <f t="shared" si="9"/>
        <v>35000</v>
      </c>
      <c r="P162" s="591" t="str">
        <f t="shared" si="7"/>
        <v>是</v>
      </c>
      <c r="Q162" s="592"/>
    </row>
    <row r="163" s="781" customFormat="1" ht="12.45" spans="1:18">
      <c r="A163" s="828"/>
      <c r="C163" s="584" t="s">
        <v>179</v>
      </c>
      <c r="D163" s="373" t="s">
        <v>598</v>
      </c>
      <c r="E163" s="374" t="s">
        <v>599</v>
      </c>
      <c r="F163" s="374" t="s">
        <v>600</v>
      </c>
      <c r="G163" s="374">
        <v>60</v>
      </c>
      <c r="H163" s="586">
        <v>0.05</v>
      </c>
      <c r="I163" s="587">
        <v>24000</v>
      </c>
      <c r="J163" s="587">
        <f>_xlfn.XLOOKUP(D163,'[7]K.01.1a FA list'!$D$22:$D$348,'[7]K.01.1a FA list'!$M$22:$M$348)</f>
        <v>22800</v>
      </c>
      <c r="K163" s="587">
        <f t="shared" si="8"/>
        <v>0</v>
      </c>
      <c r="L163" s="587">
        <v>24000</v>
      </c>
      <c r="M163" s="587">
        <f>_xlfn.XLOOKUP(D163,[8]新增资产!$C:$C,[8]新增资产!$L:$L)</f>
        <v>22800</v>
      </c>
      <c r="N163" s="587">
        <v>0</v>
      </c>
      <c r="O163" s="843">
        <f t="shared" si="9"/>
        <v>1200</v>
      </c>
      <c r="P163" s="591" t="str">
        <f t="shared" si="7"/>
        <v>是</v>
      </c>
      <c r="Q163" s="592"/>
    </row>
    <row r="164" s="781" customFormat="1" ht="12.45" spans="1:18">
      <c r="A164" s="828"/>
      <c r="C164" s="584" t="s">
        <v>179</v>
      </c>
      <c r="D164" s="373" t="s">
        <v>601</v>
      </c>
      <c r="E164" s="374" t="s">
        <v>602</v>
      </c>
      <c r="F164" s="374" t="s">
        <v>603</v>
      </c>
      <c r="G164" s="374">
        <v>60</v>
      </c>
      <c r="H164" s="586">
        <v>0.05</v>
      </c>
      <c r="I164" s="587">
        <v>6500</v>
      </c>
      <c r="J164" s="587">
        <f>_xlfn.XLOOKUP(D164,'[7]K.01.1a FA list'!$D$22:$D$348,'[7]K.01.1a FA list'!$M$22:$M$348)</f>
        <v>6175</v>
      </c>
      <c r="K164" s="587">
        <f t="shared" si="8"/>
        <v>0</v>
      </c>
      <c r="L164" s="587">
        <v>6500</v>
      </c>
      <c r="M164" s="587">
        <f>_xlfn.XLOOKUP(D164,[8]新增资产!$C:$C,[8]新增资产!$L:$L)</f>
        <v>6175</v>
      </c>
      <c r="N164" s="587">
        <v>0</v>
      </c>
      <c r="O164" s="843">
        <f t="shared" si="9"/>
        <v>325</v>
      </c>
      <c r="P164" s="591" t="str">
        <f t="shared" si="7"/>
        <v>是</v>
      </c>
      <c r="Q164" s="592"/>
    </row>
    <row r="165" s="781" customFormat="1" ht="12.45" spans="1:18">
      <c r="A165" s="828"/>
      <c r="C165" s="584" t="s">
        <v>179</v>
      </c>
      <c r="D165" s="373" t="s">
        <v>604</v>
      </c>
      <c r="E165" s="374" t="s">
        <v>605</v>
      </c>
      <c r="F165" s="374" t="s">
        <v>603</v>
      </c>
      <c r="G165" s="374">
        <v>60</v>
      </c>
      <c r="H165" s="586">
        <v>0.05</v>
      </c>
      <c r="I165" s="587">
        <v>2000</v>
      </c>
      <c r="J165" s="587">
        <f>_xlfn.XLOOKUP(D165,'[7]K.01.1a FA list'!$D$22:$D$348,'[7]K.01.1a FA list'!$M$22:$M$348)</f>
        <v>1900</v>
      </c>
      <c r="K165" s="587">
        <f t="shared" si="8"/>
        <v>0</v>
      </c>
      <c r="L165" s="587">
        <v>2000</v>
      </c>
      <c r="M165" s="587">
        <f>_xlfn.XLOOKUP(D165,[8]新增资产!$C:$C,[8]新增资产!$L:$L)</f>
        <v>1900</v>
      </c>
      <c r="N165" s="587">
        <v>0</v>
      </c>
      <c r="O165" s="843">
        <f t="shared" si="9"/>
        <v>100</v>
      </c>
      <c r="P165" s="591" t="str">
        <f t="shared" si="7"/>
        <v>是</v>
      </c>
      <c r="Q165" s="592"/>
    </row>
    <row r="166" s="781" customFormat="1" ht="12.45" spans="1:18">
      <c r="A166" s="828"/>
      <c r="C166" s="584" t="s">
        <v>179</v>
      </c>
      <c r="D166" s="373" t="s">
        <v>606</v>
      </c>
      <c r="E166" s="374" t="s">
        <v>607</v>
      </c>
      <c r="F166" s="374" t="s">
        <v>603</v>
      </c>
      <c r="G166" s="374">
        <v>60</v>
      </c>
      <c r="H166" s="586">
        <v>0.05</v>
      </c>
      <c r="I166" s="587">
        <v>11500</v>
      </c>
      <c r="J166" s="587">
        <f>_xlfn.XLOOKUP(D166,'[7]K.01.1a FA list'!$D$22:$D$348,'[7]K.01.1a FA list'!$M$22:$M$348)</f>
        <v>10925</v>
      </c>
      <c r="K166" s="587">
        <f t="shared" si="8"/>
        <v>0</v>
      </c>
      <c r="L166" s="587">
        <v>11500</v>
      </c>
      <c r="M166" s="587">
        <f>_xlfn.XLOOKUP(D166,[8]新增资产!$C:$C,[8]新增资产!$L:$L)</f>
        <v>10925</v>
      </c>
      <c r="N166" s="587">
        <v>0</v>
      </c>
      <c r="O166" s="843">
        <f t="shared" si="9"/>
        <v>575</v>
      </c>
      <c r="P166" s="591" t="str">
        <f t="shared" si="7"/>
        <v>是</v>
      </c>
      <c r="Q166" s="592"/>
    </row>
    <row r="167" s="781" customFormat="1" ht="12.45" spans="1:18">
      <c r="A167" s="828"/>
      <c r="C167" s="584" t="s">
        <v>179</v>
      </c>
      <c r="D167" s="373" t="s">
        <v>608</v>
      </c>
      <c r="E167" s="374" t="s">
        <v>609</v>
      </c>
      <c r="F167" s="374" t="s">
        <v>610</v>
      </c>
      <c r="G167" s="374">
        <v>60</v>
      </c>
      <c r="H167" s="586">
        <v>0.05</v>
      </c>
      <c r="I167" s="587">
        <v>22000</v>
      </c>
      <c r="J167" s="587">
        <f>_xlfn.XLOOKUP(D167,'[7]K.01.1a FA list'!$D$22:$D$348,'[7]K.01.1a FA list'!$M$22:$M$348)</f>
        <v>20900</v>
      </c>
      <c r="K167" s="587">
        <f t="shared" si="8"/>
        <v>0</v>
      </c>
      <c r="L167" s="587">
        <v>22000</v>
      </c>
      <c r="M167" s="587">
        <f>_xlfn.XLOOKUP(D167,[8]新增资产!$C:$C,[8]新增资产!$L:$L)</f>
        <v>20900</v>
      </c>
      <c r="N167" s="587">
        <v>0</v>
      </c>
      <c r="O167" s="843">
        <f t="shared" si="9"/>
        <v>1100</v>
      </c>
      <c r="P167" s="591" t="str">
        <f t="shared" si="7"/>
        <v>是</v>
      </c>
      <c r="Q167" s="592"/>
    </row>
    <row r="168" s="781" customFormat="1" ht="12.45" spans="1:18">
      <c r="A168" s="828"/>
      <c r="C168" s="584" t="s">
        <v>179</v>
      </c>
      <c r="D168" s="373" t="s">
        <v>611</v>
      </c>
      <c r="E168" s="374" t="s">
        <v>612</v>
      </c>
      <c r="F168" s="374" t="s">
        <v>610</v>
      </c>
      <c r="G168" s="374">
        <v>60</v>
      </c>
      <c r="H168" s="586">
        <v>0.05</v>
      </c>
      <c r="I168" s="587">
        <v>53000</v>
      </c>
      <c r="J168" s="587">
        <f>_xlfn.XLOOKUP(D168,'[7]K.01.1a FA list'!$D$22:$D$348,'[7]K.01.1a FA list'!$M$22:$M$348)</f>
        <v>50350</v>
      </c>
      <c r="K168" s="587">
        <f t="shared" si="8"/>
        <v>0</v>
      </c>
      <c r="L168" s="587">
        <v>53000</v>
      </c>
      <c r="M168" s="587">
        <f>_xlfn.XLOOKUP(D168,[8]新增资产!$C:$C,[8]新增资产!$L:$L)</f>
        <v>50350</v>
      </c>
      <c r="N168" s="587">
        <v>0</v>
      </c>
      <c r="O168" s="843">
        <f t="shared" si="9"/>
        <v>2650</v>
      </c>
      <c r="P168" s="591" t="str">
        <f t="shared" si="7"/>
        <v>是</v>
      </c>
      <c r="Q168" s="592"/>
    </row>
    <row r="169" s="781" customFormat="1" ht="12.45" spans="1:18">
      <c r="A169" s="828"/>
      <c r="C169" s="584" t="s">
        <v>179</v>
      </c>
      <c r="D169" s="373" t="s">
        <v>613</v>
      </c>
      <c r="E169" s="374" t="s">
        <v>614</v>
      </c>
      <c r="F169" s="374" t="s">
        <v>610</v>
      </c>
      <c r="G169" s="374">
        <v>60</v>
      </c>
      <c r="H169" s="586">
        <v>0.05</v>
      </c>
      <c r="I169" s="587">
        <v>6000</v>
      </c>
      <c r="J169" s="587">
        <f>_xlfn.XLOOKUP(D169,'[7]K.01.1a FA list'!$D$22:$D$348,'[7]K.01.1a FA list'!$M$22:$M$348)</f>
        <v>5700</v>
      </c>
      <c r="K169" s="587">
        <f t="shared" si="8"/>
        <v>0</v>
      </c>
      <c r="L169" s="587">
        <v>6000</v>
      </c>
      <c r="M169" s="587">
        <f>_xlfn.XLOOKUP(D169,[8]新增资产!$C:$C,[8]新增资产!$L:$L)</f>
        <v>5700</v>
      </c>
      <c r="N169" s="587">
        <v>0</v>
      </c>
      <c r="O169" s="843">
        <f t="shared" si="9"/>
        <v>300</v>
      </c>
      <c r="P169" s="591" t="str">
        <f t="shared" si="7"/>
        <v>是</v>
      </c>
      <c r="Q169" s="592"/>
    </row>
    <row r="170" s="781" customFormat="1" ht="12.45" spans="1:18">
      <c r="A170" s="828"/>
      <c r="C170" s="584" t="s">
        <v>179</v>
      </c>
      <c r="D170" s="373" t="s">
        <v>615</v>
      </c>
      <c r="E170" s="374" t="s">
        <v>616</v>
      </c>
      <c r="F170" s="374" t="s">
        <v>617</v>
      </c>
      <c r="G170" s="374">
        <v>60</v>
      </c>
      <c r="H170" s="586">
        <v>0.05</v>
      </c>
      <c r="I170" s="587">
        <v>20000</v>
      </c>
      <c r="J170" s="587">
        <f>_xlfn.XLOOKUP(D170,'[7]K.01.1a FA list'!$D$22:$D$348,'[7]K.01.1a FA list'!$M$22:$M$348)</f>
        <v>19000</v>
      </c>
      <c r="K170" s="587">
        <f t="shared" si="8"/>
        <v>0</v>
      </c>
      <c r="L170" s="587">
        <v>20000</v>
      </c>
      <c r="M170" s="587">
        <f>_xlfn.XLOOKUP(D170,[8]新增资产!$C:$C,[8]新增资产!$L:$L)</f>
        <v>19000</v>
      </c>
      <c r="N170" s="587">
        <v>0</v>
      </c>
      <c r="O170" s="843">
        <f t="shared" si="9"/>
        <v>1000</v>
      </c>
      <c r="P170" s="591" t="str">
        <f t="shared" si="7"/>
        <v>是</v>
      </c>
      <c r="Q170" s="592"/>
      <c r="R170" s="848"/>
    </row>
    <row r="171" s="781" customFormat="1" ht="12.45" spans="1:18">
      <c r="A171" s="828"/>
      <c r="C171" s="584" t="s">
        <v>179</v>
      </c>
      <c r="D171" s="373" t="s">
        <v>618</v>
      </c>
      <c r="E171" s="374" t="s">
        <v>619</v>
      </c>
      <c r="F171" s="374" t="s">
        <v>617</v>
      </c>
      <c r="G171" s="374">
        <v>60</v>
      </c>
      <c r="H171" s="586">
        <v>0.05</v>
      </c>
      <c r="I171" s="587">
        <v>259800</v>
      </c>
      <c r="J171" s="587">
        <f>_xlfn.XLOOKUP(D171,'[7]K.01.1a FA list'!$D$22:$D$348,'[7]K.01.1a FA list'!$M$22:$M$348)</f>
        <v>246810</v>
      </c>
      <c r="K171" s="587">
        <f t="shared" si="8"/>
        <v>0</v>
      </c>
      <c r="L171" s="587">
        <v>259800</v>
      </c>
      <c r="M171" s="587">
        <f>_xlfn.XLOOKUP(D171,[8]新增资产!$C:$C,[8]新增资产!$L:$L)</f>
        <v>246810</v>
      </c>
      <c r="N171" s="587">
        <v>0</v>
      </c>
      <c r="O171" s="843">
        <f t="shared" si="9"/>
        <v>12990</v>
      </c>
      <c r="P171" s="591" t="str">
        <f t="shared" si="7"/>
        <v>是</v>
      </c>
      <c r="Q171" s="592"/>
    </row>
    <row r="172" s="781" customFormat="1" ht="12.45" spans="1:18">
      <c r="A172" s="828"/>
      <c r="C172" s="584" t="s">
        <v>179</v>
      </c>
      <c r="D172" s="373" t="s">
        <v>620</v>
      </c>
      <c r="E172" s="374" t="s">
        <v>621</v>
      </c>
      <c r="F172" s="374" t="s">
        <v>617</v>
      </c>
      <c r="G172" s="374">
        <v>60</v>
      </c>
      <c r="H172" s="586">
        <v>0.05</v>
      </c>
      <c r="I172" s="587">
        <v>280000</v>
      </c>
      <c r="J172" s="587">
        <f>_xlfn.XLOOKUP(D172,'[7]K.01.1a FA list'!$D$22:$D$348,'[7]K.01.1a FA list'!$M$22:$M$348)</f>
        <v>266000</v>
      </c>
      <c r="K172" s="587">
        <f t="shared" si="8"/>
        <v>0</v>
      </c>
      <c r="L172" s="587">
        <v>280000</v>
      </c>
      <c r="M172" s="587">
        <f>_xlfn.XLOOKUP(D172,[8]新增资产!$C:$C,[8]新增资产!$L:$L)</f>
        <v>266000</v>
      </c>
      <c r="N172" s="587">
        <v>0</v>
      </c>
      <c r="O172" s="843">
        <f t="shared" si="9"/>
        <v>14000</v>
      </c>
      <c r="P172" s="591" t="str">
        <f t="shared" si="7"/>
        <v>是</v>
      </c>
      <c r="Q172" s="592"/>
    </row>
    <row r="173" s="781" customFormat="1" ht="12.45" spans="1:18">
      <c r="A173" s="828"/>
      <c r="C173" s="584" t="s">
        <v>179</v>
      </c>
      <c r="D173" s="373" t="s">
        <v>622</v>
      </c>
      <c r="E173" s="374" t="s">
        <v>623</v>
      </c>
      <c r="F173" s="374" t="s">
        <v>617</v>
      </c>
      <c r="G173" s="374">
        <v>60</v>
      </c>
      <c r="H173" s="586">
        <v>0.05</v>
      </c>
      <c r="I173" s="587">
        <v>600000</v>
      </c>
      <c r="J173" s="587">
        <f>_xlfn.XLOOKUP(D173,'[7]K.01.1a FA list'!$D$22:$D$348,'[7]K.01.1a FA list'!$M$22:$M$348)</f>
        <v>570000</v>
      </c>
      <c r="K173" s="587">
        <f t="shared" si="8"/>
        <v>0</v>
      </c>
      <c r="L173" s="587">
        <v>600000</v>
      </c>
      <c r="M173" s="587">
        <f>_xlfn.XLOOKUP(D173,[8]新增资产!$C:$C,[8]新增资产!$L:$L)</f>
        <v>570000</v>
      </c>
      <c r="N173" s="587">
        <v>0</v>
      </c>
      <c r="O173" s="843">
        <f t="shared" si="9"/>
        <v>30000</v>
      </c>
      <c r="P173" s="591" t="str">
        <f t="shared" si="7"/>
        <v>是</v>
      </c>
      <c r="Q173" s="592"/>
    </row>
    <row r="174" s="781" customFormat="1" ht="12.45" spans="1:18">
      <c r="A174" s="828"/>
      <c r="C174" s="584" t="s">
        <v>179</v>
      </c>
      <c r="D174" s="373" t="s">
        <v>624</v>
      </c>
      <c r="E174" s="374" t="s">
        <v>625</v>
      </c>
      <c r="F174" s="374" t="s">
        <v>617</v>
      </c>
      <c r="G174" s="374">
        <v>60</v>
      </c>
      <c r="H174" s="586">
        <v>0.05</v>
      </c>
      <c r="I174" s="587">
        <v>1050000</v>
      </c>
      <c r="J174" s="587">
        <f>_xlfn.XLOOKUP(D174,'[7]K.01.1a FA list'!$D$22:$D$348,'[7]K.01.1a FA list'!$M$22:$M$348)</f>
        <v>997500</v>
      </c>
      <c r="K174" s="587">
        <f t="shared" si="8"/>
        <v>0</v>
      </c>
      <c r="L174" s="587">
        <v>1050000</v>
      </c>
      <c r="M174" s="587">
        <f>_xlfn.XLOOKUP(D174,[8]新增资产!$C:$C,[8]新增资产!$L:$L)</f>
        <v>997500</v>
      </c>
      <c r="N174" s="587">
        <v>0</v>
      </c>
      <c r="O174" s="843">
        <f t="shared" si="9"/>
        <v>52500</v>
      </c>
      <c r="P174" s="591" t="str">
        <f t="shared" si="7"/>
        <v>是</v>
      </c>
      <c r="Q174" s="592"/>
    </row>
    <row r="175" s="781" customFormat="1" ht="12.45" spans="1:18">
      <c r="A175" s="828"/>
      <c r="C175" s="584" t="s">
        <v>179</v>
      </c>
      <c r="D175" s="373" t="s">
        <v>626</v>
      </c>
      <c r="E175" s="374" t="s">
        <v>627</v>
      </c>
      <c r="F175" s="374" t="s">
        <v>274</v>
      </c>
      <c r="G175" s="374">
        <v>60</v>
      </c>
      <c r="H175" s="586">
        <v>0.05</v>
      </c>
      <c r="I175" s="587">
        <v>130000</v>
      </c>
      <c r="J175" s="587">
        <f>_xlfn.XLOOKUP(D175,'[7]K.01.1a FA list'!$D$22:$D$348,'[7]K.01.1a FA list'!$M$22:$M$348)</f>
        <v>123500</v>
      </c>
      <c r="K175" s="587">
        <f t="shared" si="8"/>
        <v>0</v>
      </c>
      <c r="L175" s="587">
        <v>130000</v>
      </c>
      <c r="M175" s="587">
        <f>_xlfn.XLOOKUP(D175,[8]新增资产!$C:$C,[8]新增资产!$L:$L)</f>
        <v>123500</v>
      </c>
      <c r="N175" s="587">
        <v>0</v>
      </c>
      <c r="O175" s="843">
        <f t="shared" si="9"/>
        <v>6500</v>
      </c>
      <c r="P175" s="591" t="str">
        <f t="shared" si="7"/>
        <v>是</v>
      </c>
      <c r="Q175" s="592"/>
    </row>
    <row r="176" s="781" customFormat="1" ht="12.45" spans="1:18">
      <c r="A176" s="828"/>
      <c r="C176" s="584" t="s">
        <v>179</v>
      </c>
      <c r="D176" s="373" t="s">
        <v>628</v>
      </c>
      <c r="E176" s="374" t="s">
        <v>593</v>
      </c>
      <c r="F176" s="374" t="s">
        <v>629</v>
      </c>
      <c r="G176" s="374">
        <v>60</v>
      </c>
      <c r="H176" s="586">
        <v>0.05</v>
      </c>
      <c r="I176" s="587">
        <v>41000</v>
      </c>
      <c r="J176" s="587">
        <f>_xlfn.XLOOKUP(D176,'[7]K.01.1a FA list'!$D$22:$D$348,'[7]K.01.1a FA list'!$M$22:$M$348)</f>
        <v>38950</v>
      </c>
      <c r="K176" s="587">
        <f t="shared" si="8"/>
        <v>0</v>
      </c>
      <c r="L176" s="587">
        <v>41000</v>
      </c>
      <c r="M176" s="587">
        <f>_xlfn.XLOOKUP(D176,[8]新增资产!$C:$C,[8]新增资产!$L:$L)</f>
        <v>38950</v>
      </c>
      <c r="N176" s="587">
        <v>0</v>
      </c>
      <c r="O176" s="843">
        <f t="shared" si="9"/>
        <v>2050</v>
      </c>
      <c r="P176" s="591" t="str">
        <f t="shared" si="7"/>
        <v>是</v>
      </c>
      <c r="Q176" s="592"/>
    </row>
    <row r="177" s="781" customFormat="1" ht="12.45" spans="1:17">
      <c r="A177" s="828"/>
      <c r="C177" s="584" t="s">
        <v>179</v>
      </c>
      <c r="D177" s="373" t="s">
        <v>630</v>
      </c>
      <c r="E177" s="374" t="s">
        <v>631</v>
      </c>
      <c r="F177" s="374" t="s">
        <v>629</v>
      </c>
      <c r="G177" s="374">
        <v>60</v>
      </c>
      <c r="H177" s="586">
        <v>0.05</v>
      </c>
      <c r="I177" s="587">
        <v>138000</v>
      </c>
      <c r="J177" s="587">
        <f>_xlfn.XLOOKUP(D177,'[7]K.01.1a FA list'!$D$22:$D$348,'[7]K.01.1a FA list'!$M$22:$M$348)</f>
        <v>131100</v>
      </c>
      <c r="K177" s="587">
        <f t="shared" si="8"/>
        <v>0</v>
      </c>
      <c r="L177" s="587">
        <v>138000</v>
      </c>
      <c r="M177" s="587">
        <f>_xlfn.XLOOKUP(D177,[8]新增资产!$C:$C,[8]新增资产!$L:$L)</f>
        <v>131100</v>
      </c>
      <c r="N177" s="587">
        <v>0</v>
      </c>
      <c r="O177" s="843">
        <f t="shared" si="9"/>
        <v>6900</v>
      </c>
      <c r="P177" s="591" t="str">
        <f t="shared" si="7"/>
        <v>是</v>
      </c>
      <c r="Q177" s="592"/>
    </row>
    <row r="178" s="781" customFormat="1" ht="12.45" spans="1:17">
      <c r="A178" s="828"/>
      <c r="C178" s="584" t="s">
        <v>179</v>
      </c>
      <c r="D178" s="373" t="s">
        <v>632</v>
      </c>
      <c r="E178" s="374" t="s">
        <v>633</v>
      </c>
      <c r="F178" s="374" t="s">
        <v>629</v>
      </c>
      <c r="G178" s="374">
        <v>60</v>
      </c>
      <c r="H178" s="586">
        <v>0.05</v>
      </c>
      <c r="I178" s="587">
        <v>8000</v>
      </c>
      <c r="J178" s="587">
        <f>_xlfn.XLOOKUP(D178,'[7]K.01.1a FA list'!$D$22:$D$348,'[7]K.01.1a FA list'!$M$22:$M$348)</f>
        <v>7600</v>
      </c>
      <c r="K178" s="587">
        <f t="shared" si="8"/>
        <v>0</v>
      </c>
      <c r="L178" s="587">
        <v>8000</v>
      </c>
      <c r="M178" s="587">
        <f>_xlfn.XLOOKUP(D178,[8]新增资产!$C:$C,[8]新增资产!$L:$L)</f>
        <v>7600</v>
      </c>
      <c r="N178" s="587">
        <v>0</v>
      </c>
      <c r="O178" s="843">
        <f t="shared" si="9"/>
        <v>400</v>
      </c>
      <c r="P178" s="591" t="str">
        <f t="shared" si="7"/>
        <v>是</v>
      </c>
      <c r="Q178" s="592"/>
    </row>
    <row r="179" s="781" customFormat="1" ht="12.45" spans="1:17">
      <c r="A179" s="828"/>
      <c r="C179" s="584" t="s">
        <v>179</v>
      </c>
      <c r="D179" s="373" t="s">
        <v>634</v>
      </c>
      <c r="E179" s="374" t="s">
        <v>635</v>
      </c>
      <c r="F179" s="374" t="s">
        <v>629</v>
      </c>
      <c r="G179" s="374">
        <v>60</v>
      </c>
      <c r="H179" s="586">
        <v>0.05</v>
      </c>
      <c r="I179" s="587">
        <v>88000</v>
      </c>
      <c r="J179" s="587">
        <f>_xlfn.XLOOKUP(D179,'[7]K.01.1a FA list'!$D$22:$D$348,'[7]K.01.1a FA list'!$M$22:$M$348)</f>
        <v>83600</v>
      </c>
      <c r="K179" s="587">
        <f t="shared" si="8"/>
        <v>0</v>
      </c>
      <c r="L179" s="587">
        <v>88000</v>
      </c>
      <c r="M179" s="587">
        <f>_xlfn.XLOOKUP(D179,[8]新增资产!$C:$C,[8]新增资产!$L:$L)</f>
        <v>83600</v>
      </c>
      <c r="N179" s="587">
        <v>0</v>
      </c>
      <c r="O179" s="843">
        <f t="shared" si="9"/>
        <v>4400</v>
      </c>
      <c r="P179" s="591" t="str">
        <f t="shared" si="7"/>
        <v>是</v>
      </c>
      <c r="Q179" s="592"/>
    </row>
    <row r="180" s="781" customFormat="1" ht="12.45" spans="1:17">
      <c r="A180" s="828"/>
      <c r="C180" s="584" t="s">
        <v>179</v>
      </c>
      <c r="D180" s="373" t="s">
        <v>636</v>
      </c>
      <c r="E180" s="374" t="s">
        <v>637</v>
      </c>
      <c r="F180" s="374" t="s">
        <v>638</v>
      </c>
      <c r="G180" s="374">
        <v>60</v>
      </c>
      <c r="H180" s="586">
        <v>0.05</v>
      </c>
      <c r="I180" s="587">
        <v>36000</v>
      </c>
      <c r="J180" s="587">
        <f>_xlfn.XLOOKUP(D180,'[7]K.01.1a FA list'!$D$22:$D$348,'[7]K.01.1a FA list'!$M$22:$M$348)</f>
        <v>31920</v>
      </c>
      <c r="K180" s="587">
        <f t="shared" si="8"/>
        <v>2280</v>
      </c>
      <c r="L180" s="587">
        <v>36000</v>
      </c>
      <c r="M180" s="587">
        <f>_xlfn.XLOOKUP(D180,[8]新增资产!$C:$C,[8]新增资产!$L:$L)</f>
        <v>34200</v>
      </c>
      <c r="N180" s="587">
        <v>0</v>
      </c>
      <c r="O180" s="843">
        <f t="shared" si="9"/>
        <v>1800</v>
      </c>
      <c r="P180" s="591" t="str">
        <f t="shared" si="7"/>
        <v>是</v>
      </c>
      <c r="Q180" s="592"/>
    </row>
    <row r="181" s="781" customFormat="1" ht="12.45" spans="1:17">
      <c r="A181" s="828"/>
      <c r="C181" s="584" t="s">
        <v>179</v>
      </c>
      <c r="D181" s="373" t="s">
        <v>639</v>
      </c>
      <c r="E181" s="374" t="s">
        <v>640</v>
      </c>
      <c r="F181" s="374" t="s">
        <v>638</v>
      </c>
      <c r="G181" s="374">
        <v>60</v>
      </c>
      <c r="H181" s="586">
        <v>0.05</v>
      </c>
      <c r="I181" s="587">
        <v>125000</v>
      </c>
      <c r="J181" s="587">
        <f>_xlfn.XLOOKUP(D181,'[7]K.01.1a FA list'!$D$22:$D$348,'[7]K.01.1a FA list'!$M$22:$M$348)</f>
        <v>110833.52</v>
      </c>
      <c r="K181" s="587">
        <f t="shared" si="8"/>
        <v>7916.48</v>
      </c>
      <c r="L181" s="587">
        <v>125000</v>
      </c>
      <c r="M181" s="587">
        <f>_xlfn.XLOOKUP(D181,[8]新增资产!$C:$C,[8]新增资产!$L:$L)</f>
        <v>118750</v>
      </c>
      <c r="N181" s="587">
        <v>0</v>
      </c>
      <c r="O181" s="843">
        <f t="shared" si="9"/>
        <v>6250</v>
      </c>
      <c r="P181" s="591" t="str">
        <f t="shared" si="7"/>
        <v>是</v>
      </c>
      <c r="Q181" s="592"/>
    </row>
    <row r="182" s="781" customFormat="1" ht="12.45" spans="1:17">
      <c r="A182" s="828"/>
      <c r="C182" s="584" t="s">
        <v>179</v>
      </c>
      <c r="D182" s="373" t="s">
        <v>641</v>
      </c>
      <c r="E182" s="374" t="s">
        <v>642</v>
      </c>
      <c r="F182" s="374" t="s">
        <v>457</v>
      </c>
      <c r="G182" s="374">
        <v>60</v>
      </c>
      <c r="H182" s="586">
        <v>0.05</v>
      </c>
      <c r="I182" s="587">
        <v>9800</v>
      </c>
      <c r="J182" s="587">
        <f>_xlfn.XLOOKUP(D182,'[7]K.01.1a FA list'!$D$22:$D$348,'[7]K.01.1a FA list'!$M$22:$M$348)</f>
        <v>8844.69</v>
      </c>
      <c r="K182" s="587">
        <f t="shared" si="8"/>
        <v>465.309999999999</v>
      </c>
      <c r="L182" s="587">
        <v>9800</v>
      </c>
      <c r="M182" s="587">
        <f>_xlfn.XLOOKUP(D182,[8]新增资产!$C:$C,[8]新增资产!$L:$L)</f>
        <v>9310</v>
      </c>
      <c r="N182" s="587">
        <v>0</v>
      </c>
      <c r="O182" s="843">
        <f t="shared" si="9"/>
        <v>490</v>
      </c>
      <c r="P182" s="591" t="str">
        <f t="shared" si="7"/>
        <v>是</v>
      </c>
      <c r="Q182" s="592"/>
    </row>
    <row r="183" s="781" customFormat="1" ht="12.45" spans="1:17">
      <c r="A183" s="828"/>
      <c r="C183" s="584" t="s">
        <v>179</v>
      </c>
      <c r="D183" s="373" t="s">
        <v>643</v>
      </c>
      <c r="E183" s="374" t="s">
        <v>644</v>
      </c>
      <c r="F183" s="374" t="s">
        <v>645</v>
      </c>
      <c r="G183" s="374">
        <v>60</v>
      </c>
      <c r="H183" s="586">
        <v>0.05</v>
      </c>
      <c r="I183" s="587">
        <v>3800</v>
      </c>
      <c r="J183" s="587">
        <f>_xlfn.XLOOKUP(D183,'[7]K.01.1a FA list'!$D$22:$D$348,'[7]K.01.1a FA list'!$M$22:$M$348)</f>
        <v>3369.52</v>
      </c>
      <c r="K183" s="587">
        <f t="shared" si="8"/>
        <v>240.48</v>
      </c>
      <c r="L183" s="587">
        <v>3800</v>
      </c>
      <c r="M183" s="587">
        <f>_xlfn.XLOOKUP(D183,[8]新增资产!$C:$C,[8]新增资产!$L:$L)</f>
        <v>3610</v>
      </c>
      <c r="N183" s="587">
        <v>0</v>
      </c>
      <c r="O183" s="843">
        <f t="shared" si="9"/>
        <v>190</v>
      </c>
      <c r="P183" s="591" t="str">
        <f t="shared" si="7"/>
        <v>是</v>
      </c>
      <c r="Q183" s="592"/>
    </row>
    <row r="184" s="781" customFormat="1" ht="12.45" spans="1:17">
      <c r="A184" s="828"/>
      <c r="C184" s="584" t="s">
        <v>179</v>
      </c>
      <c r="D184" s="373" t="s">
        <v>646</v>
      </c>
      <c r="E184" s="374" t="s">
        <v>647</v>
      </c>
      <c r="F184" s="374" t="s">
        <v>645</v>
      </c>
      <c r="G184" s="374">
        <v>60</v>
      </c>
      <c r="H184" s="586">
        <v>0.05</v>
      </c>
      <c r="I184" s="587">
        <v>4000</v>
      </c>
      <c r="J184" s="587">
        <f>_xlfn.XLOOKUP(D184,'[7]K.01.1a FA list'!$D$22:$D$348,'[7]K.01.1a FA list'!$M$22:$M$348)</f>
        <v>3546.48</v>
      </c>
      <c r="K184" s="587">
        <f t="shared" si="8"/>
        <v>253.52</v>
      </c>
      <c r="L184" s="587">
        <v>4000</v>
      </c>
      <c r="M184" s="587">
        <f>_xlfn.XLOOKUP(D184,[8]新增资产!$C:$C,[8]新增资产!$L:$L)</f>
        <v>3800</v>
      </c>
      <c r="N184" s="587">
        <v>0</v>
      </c>
      <c r="O184" s="843">
        <f t="shared" si="9"/>
        <v>200</v>
      </c>
      <c r="P184" s="591" t="str">
        <f t="shared" si="7"/>
        <v>是</v>
      </c>
      <c r="Q184" s="592"/>
    </row>
    <row r="185" s="781" customFormat="1" ht="12.45" spans="1:17">
      <c r="A185" s="828"/>
      <c r="C185" s="584" t="s">
        <v>179</v>
      </c>
      <c r="D185" s="373" t="s">
        <v>648</v>
      </c>
      <c r="E185" s="374" t="s">
        <v>649</v>
      </c>
      <c r="F185" s="374" t="s">
        <v>645</v>
      </c>
      <c r="G185" s="374">
        <v>60</v>
      </c>
      <c r="H185" s="586">
        <v>0.05</v>
      </c>
      <c r="I185" s="587">
        <v>18000</v>
      </c>
      <c r="J185" s="587">
        <f>_xlfn.XLOOKUP(D185,'[7]K.01.1a FA list'!$D$22:$D$348,'[7]K.01.1a FA list'!$M$22:$M$348)</f>
        <v>15960</v>
      </c>
      <c r="K185" s="587">
        <f t="shared" si="8"/>
        <v>1140</v>
      </c>
      <c r="L185" s="587">
        <v>18000</v>
      </c>
      <c r="M185" s="587">
        <f>_xlfn.XLOOKUP(D185,[8]新增资产!$C:$C,[8]新增资产!$L:$L)</f>
        <v>17100</v>
      </c>
      <c r="N185" s="587">
        <v>0</v>
      </c>
      <c r="O185" s="843">
        <f t="shared" si="9"/>
        <v>900</v>
      </c>
      <c r="P185" s="591" t="str">
        <f t="shared" si="7"/>
        <v>是</v>
      </c>
      <c r="Q185" s="592"/>
    </row>
    <row r="186" s="781" customFormat="1" ht="12.45" spans="1:17">
      <c r="A186" s="828"/>
      <c r="C186" s="584" t="s">
        <v>179</v>
      </c>
      <c r="D186" s="373" t="s">
        <v>650</v>
      </c>
      <c r="E186" s="374" t="s">
        <v>651</v>
      </c>
      <c r="F186" s="374" t="s">
        <v>652</v>
      </c>
      <c r="G186" s="374">
        <v>60</v>
      </c>
      <c r="H186" s="586">
        <v>0.05</v>
      </c>
      <c r="I186" s="587">
        <v>600000</v>
      </c>
      <c r="J186" s="587">
        <f>_xlfn.XLOOKUP(D186,'[7]K.01.1a FA list'!$D$22:$D$348,'[7]K.01.1a FA list'!$M$22:$M$348)</f>
        <v>503500</v>
      </c>
      <c r="K186" s="587">
        <f t="shared" si="8"/>
        <v>66500</v>
      </c>
      <c r="L186" s="587">
        <v>600000</v>
      </c>
      <c r="M186" s="587">
        <f>_xlfn.XLOOKUP(D186,[8]新增资产!$C:$C,[8]新增资产!$L:$L)</f>
        <v>570000</v>
      </c>
      <c r="N186" s="587">
        <v>0</v>
      </c>
      <c r="O186" s="843">
        <f t="shared" si="9"/>
        <v>30000</v>
      </c>
      <c r="P186" s="591" t="str">
        <f t="shared" si="7"/>
        <v>是</v>
      </c>
      <c r="Q186" s="592"/>
    </row>
    <row r="187" s="781" customFormat="1" ht="12.45" spans="1:17">
      <c r="A187" s="828"/>
      <c r="C187" s="584" t="s">
        <v>179</v>
      </c>
      <c r="D187" s="373" t="s">
        <v>653</v>
      </c>
      <c r="E187" s="374" t="s">
        <v>571</v>
      </c>
      <c r="F187" s="374" t="s">
        <v>654</v>
      </c>
      <c r="G187" s="374">
        <v>60</v>
      </c>
      <c r="H187" s="586">
        <v>0.05</v>
      </c>
      <c r="I187" s="587">
        <v>47000</v>
      </c>
      <c r="J187" s="587">
        <f>_xlfn.XLOOKUP(D187,'[7]K.01.1a FA list'!$D$22:$D$348,'[7]K.01.1a FA list'!$M$22:$M$348)</f>
        <v>38696.84</v>
      </c>
      <c r="K187" s="587">
        <f t="shared" si="8"/>
        <v>5953.16</v>
      </c>
      <c r="L187" s="587">
        <v>47000</v>
      </c>
      <c r="M187" s="587">
        <f>_xlfn.XLOOKUP(D187,[8]新增资产!$C:$C,[8]新增资产!$L:$L)</f>
        <v>44650</v>
      </c>
      <c r="N187" s="587">
        <v>0</v>
      </c>
      <c r="O187" s="843">
        <f t="shared" si="9"/>
        <v>2350</v>
      </c>
      <c r="P187" s="591" t="str">
        <f t="shared" si="7"/>
        <v>是</v>
      </c>
      <c r="Q187" s="592"/>
    </row>
    <row r="188" s="781" customFormat="1" ht="12.45" spans="1:17">
      <c r="A188" s="828"/>
      <c r="C188" s="584" t="s">
        <v>179</v>
      </c>
      <c r="D188" s="373" t="s">
        <v>655</v>
      </c>
      <c r="E188" s="374" t="s">
        <v>656</v>
      </c>
      <c r="F188" s="374" t="s">
        <v>654</v>
      </c>
      <c r="G188" s="374">
        <v>60</v>
      </c>
      <c r="H188" s="586">
        <v>0.05</v>
      </c>
      <c r="I188" s="587">
        <v>37000</v>
      </c>
      <c r="J188" s="587">
        <f>_xlfn.XLOOKUP(D188,'[7]K.01.1a FA list'!$D$22:$D$348,'[7]K.01.1a FA list'!$M$22:$M$348)</f>
        <v>30463.16</v>
      </c>
      <c r="K188" s="587">
        <f t="shared" si="8"/>
        <v>4686.84</v>
      </c>
      <c r="L188" s="587">
        <v>37000</v>
      </c>
      <c r="M188" s="587">
        <f>_xlfn.XLOOKUP(D188,[8]新增资产!$C:$C,[8]新增资产!$L:$L)</f>
        <v>35150</v>
      </c>
      <c r="N188" s="587">
        <v>0</v>
      </c>
      <c r="O188" s="843">
        <f t="shared" si="9"/>
        <v>1850</v>
      </c>
      <c r="P188" s="591" t="str">
        <f t="shared" si="7"/>
        <v>是</v>
      </c>
      <c r="Q188" s="592"/>
    </row>
    <row r="189" s="781" customFormat="1" ht="12.45" spans="1:17">
      <c r="A189" s="828"/>
      <c r="C189" s="584" t="s">
        <v>179</v>
      </c>
      <c r="D189" s="373" t="s">
        <v>657</v>
      </c>
      <c r="E189" s="374" t="s">
        <v>658</v>
      </c>
      <c r="F189" s="374" t="s">
        <v>659</v>
      </c>
      <c r="G189" s="374">
        <v>60</v>
      </c>
      <c r="H189" s="586">
        <v>0.05</v>
      </c>
      <c r="I189" s="587">
        <v>7500</v>
      </c>
      <c r="J189" s="587">
        <f>_xlfn.XLOOKUP(D189,'[7]K.01.1a FA list'!$D$22:$D$348,'[7]K.01.1a FA list'!$M$22:$M$348)</f>
        <v>6175</v>
      </c>
      <c r="K189" s="587">
        <f t="shared" si="8"/>
        <v>950</v>
      </c>
      <c r="L189" s="587">
        <v>7500</v>
      </c>
      <c r="M189" s="587">
        <f>_xlfn.XLOOKUP(D189,[8]新增资产!$C:$C,[8]新增资产!$L:$L)</f>
        <v>7125</v>
      </c>
      <c r="N189" s="587">
        <v>0</v>
      </c>
      <c r="O189" s="843">
        <f t="shared" si="9"/>
        <v>375</v>
      </c>
      <c r="P189" s="591" t="str">
        <f t="shared" si="7"/>
        <v>是</v>
      </c>
      <c r="Q189" s="592"/>
    </row>
    <row r="190" s="781" customFormat="1" ht="12.45" spans="1:17">
      <c r="A190" s="828"/>
      <c r="C190" s="584" t="s">
        <v>179</v>
      </c>
      <c r="D190" s="373" t="s">
        <v>660</v>
      </c>
      <c r="E190" s="374" t="s">
        <v>596</v>
      </c>
      <c r="F190" s="374" t="s">
        <v>661</v>
      </c>
      <c r="G190" s="374">
        <v>60</v>
      </c>
      <c r="H190" s="586">
        <v>0.05</v>
      </c>
      <c r="I190" s="587">
        <v>120000</v>
      </c>
      <c r="J190" s="587">
        <f>_xlfn.XLOOKUP(D190,'[7]K.01.1a FA list'!$D$22:$D$348,'[7]K.01.1a FA list'!$M$22:$M$348)</f>
        <v>96900</v>
      </c>
      <c r="K190" s="587">
        <f t="shared" si="8"/>
        <v>17100</v>
      </c>
      <c r="L190" s="587">
        <v>120000</v>
      </c>
      <c r="M190" s="587">
        <f>_xlfn.XLOOKUP(D190,[8]新增资产!$C:$C,[8]新增资产!$L:$L)</f>
        <v>114000</v>
      </c>
      <c r="N190" s="587">
        <v>0</v>
      </c>
      <c r="O190" s="843">
        <f t="shared" si="9"/>
        <v>6000</v>
      </c>
      <c r="P190" s="591" t="str">
        <f t="shared" si="7"/>
        <v>是</v>
      </c>
      <c r="Q190" s="592"/>
    </row>
    <row r="191" s="781" customFormat="1" ht="12.45" spans="1:17">
      <c r="A191" s="828"/>
      <c r="C191" s="584" t="s">
        <v>179</v>
      </c>
      <c r="D191" s="373" t="s">
        <v>662</v>
      </c>
      <c r="E191" s="374" t="s">
        <v>663</v>
      </c>
      <c r="F191" s="374" t="s">
        <v>474</v>
      </c>
      <c r="G191" s="374">
        <v>60</v>
      </c>
      <c r="H191" s="586">
        <v>0.05</v>
      </c>
      <c r="I191" s="587">
        <v>136000</v>
      </c>
      <c r="J191" s="587">
        <f>_xlfn.XLOOKUP(D191,'[7]K.01.1a FA list'!$D$22:$D$348,'[7]K.01.1a FA list'!$M$22:$M$348)</f>
        <v>105513.17</v>
      </c>
      <c r="K191" s="587">
        <f t="shared" si="8"/>
        <v>23686.83</v>
      </c>
      <c r="L191" s="587">
        <v>136000</v>
      </c>
      <c r="M191" s="587">
        <f>_xlfn.XLOOKUP(D191,[8]新增资产!$C:$C,[8]新增资产!$L:$L)</f>
        <v>129200</v>
      </c>
      <c r="N191" s="587">
        <v>0</v>
      </c>
      <c r="O191" s="843">
        <f t="shared" si="9"/>
        <v>6800</v>
      </c>
      <c r="P191" s="591" t="str">
        <f t="shared" si="7"/>
        <v>是</v>
      </c>
      <c r="Q191" s="592"/>
    </row>
    <row r="192" s="781" customFormat="1" ht="12.45" spans="1:17">
      <c r="A192" s="828"/>
      <c r="C192" s="584" t="s">
        <v>179</v>
      </c>
      <c r="D192" s="373" t="s">
        <v>664</v>
      </c>
      <c r="E192" s="374" t="s">
        <v>665</v>
      </c>
      <c r="F192" s="374" t="s">
        <v>474</v>
      </c>
      <c r="G192" s="374">
        <v>60</v>
      </c>
      <c r="H192" s="586">
        <v>0.05</v>
      </c>
      <c r="I192" s="587">
        <v>55000</v>
      </c>
      <c r="J192" s="587">
        <f>_xlfn.XLOOKUP(D192,'[7]K.01.1a FA list'!$D$22:$D$348,'[7]K.01.1a FA list'!$M$22:$M$348)</f>
        <v>42670.67</v>
      </c>
      <c r="K192" s="587">
        <f t="shared" si="8"/>
        <v>9579.33</v>
      </c>
      <c r="L192" s="587">
        <v>55000</v>
      </c>
      <c r="M192" s="587">
        <f>_xlfn.XLOOKUP(D192,[8]新增资产!$C:$C,[8]新增资产!$L:$L)</f>
        <v>52250</v>
      </c>
      <c r="N192" s="587">
        <v>0</v>
      </c>
      <c r="O192" s="843">
        <f t="shared" si="9"/>
        <v>2750</v>
      </c>
      <c r="P192" s="591" t="str">
        <f t="shared" si="7"/>
        <v>是</v>
      </c>
      <c r="Q192" s="592"/>
    </row>
    <row r="193" s="781" customFormat="1" ht="12.45" spans="1:18">
      <c r="A193" s="828"/>
      <c r="C193" s="584" t="s">
        <v>179</v>
      </c>
      <c r="D193" s="373" t="s">
        <v>666</v>
      </c>
      <c r="E193" s="374" t="s">
        <v>667</v>
      </c>
      <c r="F193" s="374" t="s">
        <v>474</v>
      </c>
      <c r="G193" s="374">
        <v>60</v>
      </c>
      <c r="H193" s="586">
        <v>0.05</v>
      </c>
      <c r="I193" s="587">
        <v>35000</v>
      </c>
      <c r="J193" s="587">
        <f>_xlfn.XLOOKUP(D193,'[7]K.01.1a FA list'!$D$22:$D$348,'[7]K.01.1a FA list'!$M$22:$M$348)</f>
        <v>27154.33</v>
      </c>
      <c r="K193" s="587">
        <f t="shared" si="8"/>
        <v>6095.67</v>
      </c>
      <c r="L193" s="587">
        <v>35000</v>
      </c>
      <c r="M193" s="587">
        <f>_xlfn.XLOOKUP(D193,[8]新增资产!$C:$C,[8]新增资产!$L:$L)</f>
        <v>33250</v>
      </c>
      <c r="N193" s="587">
        <v>0</v>
      </c>
      <c r="O193" s="843">
        <f t="shared" si="9"/>
        <v>1750</v>
      </c>
      <c r="P193" s="591" t="str">
        <f t="shared" si="7"/>
        <v>是</v>
      </c>
      <c r="Q193" s="592"/>
    </row>
    <row r="194" s="781" customFormat="1" ht="12.45" spans="1:18">
      <c r="A194" s="828"/>
      <c r="C194" s="584" t="s">
        <v>179</v>
      </c>
      <c r="D194" s="373" t="s">
        <v>668</v>
      </c>
      <c r="E194" s="374" t="s">
        <v>669</v>
      </c>
      <c r="F194" s="374" t="s">
        <v>474</v>
      </c>
      <c r="G194" s="374">
        <v>60</v>
      </c>
      <c r="H194" s="586">
        <v>0.05</v>
      </c>
      <c r="I194" s="587">
        <v>800000</v>
      </c>
      <c r="J194" s="587">
        <f>_xlfn.XLOOKUP(D194,'[7]K.01.1a FA list'!$D$22:$D$348,'[7]K.01.1a FA list'!$M$22:$M$348)</f>
        <v>620666.83</v>
      </c>
      <c r="K194" s="587">
        <f t="shared" si="8"/>
        <v>139333.17</v>
      </c>
      <c r="L194" s="587">
        <v>800000</v>
      </c>
      <c r="M194" s="587">
        <f>_xlfn.XLOOKUP(D194,[8]新增资产!$C:$C,[8]新增资产!$L:$L)</f>
        <v>760000</v>
      </c>
      <c r="N194" s="587">
        <v>0</v>
      </c>
      <c r="O194" s="843">
        <f t="shared" si="9"/>
        <v>40000</v>
      </c>
      <c r="P194" s="591" t="str">
        <f t="shared" si="7"/>
        <v>是</v>
      </c>
      <c r="Q194" s="592"/>
    </row>
    <row r="195" s="781" customFormat="1" ht="12.45" spans="1:18">
      <c r="A195" s="828"/>
      <c r="C195" s="584" t="s">
        <v>179</v>
      </c>
      <c r="D195" s="373" t="s">
        <v>670</v>
      </c>
      <c r="E195" s="374" t="s">
        <v>671</v>
      </c>
      <c r="F195" s="374" t="s">
        <v>474</v>
      </c>
      <c r="G195" s="374">
        <v>60</v>
      </c>
      <c r="H195" s="586">
        <v>0.05</v>
      </c>
      <c r="I195" s="587">
        <v>1400000</v>
      </c>
      <c r="J195" s="587">
        <f>_xlfn.XLOOKUP(D195,'[7]K.01.1a FA list'!$D$22:$D$348,'[7]K.01.1a FA list'!$M$22:$M$348)</f>
        <v>1086166.83</v>
      </c>
      <c r="K195" s="587">
        <f t="shared" si="8"/>
        <v>243833.17</v>
      </c>
      <c r="L195" s="587">
        <v>1400000</v>
      </c>
      <c r="M195" s="587">
        <f>_xlfn.XLOOKUP(D195,[8]新增资产!$C:$C,[8]新增资产!$L:$L)</f>
        <v>1330000</v>
      </c>
      <c r="N195" s="587">
        <v>0</v>
      </c>
      <c r="O195" s="843">
        <f t="shared" si="9"/>
        <v>70000</v>
      </c>
      <c r="P195" s="591" t="str">
        <f t="shared" si="7"/>
        <v>是</v>
      </c>
      <c r="Q195" s="592"/>
    </row>
    <row r="196" s="781" customFormat="1" ht="12.45" spans="1:18">
      <c r="A196" s="828"/>
      <c r="C196" s="584" t="s">
        <v>179</v>
      </c>
      <c r="D196" s="373" t="s">
        <v>672</v>
      </c>
      <c r="E196" s="374" t="s">
        <v>673</v>
      </c>
      <c r="F196" s="374" t="s">
        <v>302</v>
      </c>
      <c r="G196" s="374">
        <v>36</v>
      </c>
      <c r="H196" s="586">
        <v>0.04</v>
      </c>
      <c r="I196" s="587">
        <v>9800</v>
      </c>
      <c r="J196" s="587">
        <f>_xlfn.XLOOKUP(D196,'[7]K.01.1a FA list'!$D$22:$D$348,'[7]K.01.1a FA list'!$M$22:$M$348)</f>
        <v>9408</v>
      </c>
      <c r="K196" s="587">
        <f t="shared" si="8"/>
        <v>0</v>
      </c>
      <c r="L196" s="587">
        <v>9800</v>
      </c>
      <c r="M196" s="587">
        <f>_xlfn.XLOOKUP(D196,[8]新增资产!$C:$C,[8]新增资产!$L:$L)</f>
        <v>9408</v>
      </c>
      <c r="N196" s="587">
        <v>0</v>
      </c>
      <c r="O196" s="843">
        <f t="shared" si="9"/>
        <v>392</v>
      </c>
      <c r="P196" s="591" t="str">
        <f t="shared" si="7"/>
        <v>是</v>
      </c>
      <c r="Q196" s="592"/>
      <c r="R196" s="848"/>
    </row>
    <row r="197" s="781" customFormat="1" ht="12.45" spans="1:18">
      <c r="A197" s="828"/>
      <c r="C197" s="584" t="s">
        <v>179</v>
      </c>
      <c r="D197" s="373" t="s">
        <v>674</v>
      </c>
      <c r="E197" s="374" t="s">
        <v>675</v>
      </c>
      <c r="F197" s="374" t="s">
        <v>302</v>
      </c>
      <c r="G197" s="374">
        <v>36</v>
      </c>
      <c r="H197" s="586">
        <v>0.04</v>
      </c>
      <c r="I197" s="587">
        <v>8200</v>
      </c>
      <c r="J197" s="587">
        <f>_xlfn.XLOOKUP(D197,'[7]K.01.1a FA list'!$D$22:$D$348,'[7]K.01.1a FA list'!$M$22:$M$348)</f>
        <v>7872</v>
      </c>
      <c r="K197" s="587">
        <f t="shared" si="8"/>
        <v>0</v>
      </c>
      <c r="L197" s="587">
        <v>8200</v>
      </c>
      <c r="M197" s="587">
        <f>_xlfn.XLOOKUP(D197,[8]新增资产!$C:$C,[8]新增资产!$L:$L)</f>
        <v>7872</v>
      </c>
      <c r="N197" s="587">
        <v>0</v>
      </c>
      <c r="O197" s="843">
        <f t="shared" si="9"/>
        <v>328</v>
      </c>
      <c r="P197" s="591" t="str">
        <f t="shared" ref="P197:P240" si="10">IF(ROUND(L197*(1-H197),0)=ROUND(M197,0),"是","否")</f>
        <v>是</v>
      </c>
      <c r="Q197" s="592"/>
      <c r="R197" s="848"/>
    </row>
    <row r="198" s="781" customFormat="1" ht="12.45" spans="1:18">
      <c r="A198" s="828"/>
      <c r="C198" s="584" t="s">
        <v>179</v>
      </c>
      <c r="D198" s="373" t="s">
        <v>676</v>
      </c>
      <c r="E198" s="374" t="s">
        <v>677</v>
      </c>
      <c r="F198" s="374" t="s">
        <v>302</v>
      </c>
      <c r="G198" s="374">
        <v>36</v>
      </c>
      <c r="H198" s="586">
        <v>0.04</v>
      </c>
      <c r="I198" s="587">
        <v>10000</v>
      </c>
      <c r="J198" s="587">
        <f>_xlfn.XLOOKUP(D198,'[7]K.01.1a FA list'!$D$22:$D$348,'[7]K.01.1a FA list'!$M$22:$M$348)</f>
        <v>9600</v>
      </c>
      <c r="K198" s="587">
        <f t="shared" si="8"/>
        <v>0</v>
      </c>
      <c r="L198" s="587">
        <v>10000</v>
      </c>
      <c r="M198" s="587">
        <f>_xlfn.XLOOKUP(D198,[8]新增资产!$C:$C,[8]新增资产!$L:$L)</f>
        <v>9600</v>
      </c>
      <c r="N198" s="587">
        <v>0</v>
      </c>
      <c r="O198" s="843">
        <f t="shared" si="9"/>
        <v>400</v>
      </c>
      <c r="P198" s="591" t="str">
        <f t="shared" si="10"/>
        <v>是</v>
      </c>
      <c r="Q198" s="592"/>
      <c r="R198" s="848"/>
    </row>
    <row r="199" s="781" customFormat="1" ht="12.45" spans="1:18">
      <c r="A199" s="828"/>
      <c r="C199" s="584" t="s">
        <v>179</v>
      </c>
      <c r="D199" s="373" t="s">
        <v>678</v>
      </c>
      <c r="E199" s="374" t="s">
        <v>574</v>
      </c>
      <c r="F199" s="374" t="s">
        <v>308</v>
      </c>
      <c r="G199" s="374">
        <v>36</v>
      </c>
      <c r="H199" s="586">
        <v>0.04</v>
      </c>
      <c r="I199" s="587">
        <v>18000</v>
      </c>
      <c r="J199" s="587">
        <f>_xlfn.XLOOKUP(D199,'[7]K.01.1a FA list'!$D$22:$D$348,'[7]K.01.1a FA list'!$M$22:$M$348)</f>
        <v>17280</v>
      </c>
      <c r="K199" s="587">
        <f t="shared" si="8"/>
        <v>0</v>
      </c>
      <c r="L199" s="587">
        <v>18000</v>
      </c>
      <c r="M199" s="587">
        <f>_xlfn.XLOOKUP(D199,[8]新增资产!$C:$C,[8]新增资产!$L:$L)</f>
        <v>17280</v>
      </c>
      <c r="N199" s="587">
        <v>0</v>
      </c>
      <c r="O199" s="843">
        <f t="shared" si="9"/>
        <v>720</v>
      </c>
      <c r="P199" s="591" t="str">
        <f t="shared" si="10"/>
        <v>是</v>
      </c>
      <c r="Q199" s="592"/>
      <c r="R199" s="848"/>
    </row>
    <row r="200" s="781" customFormat="1" ht="12.45" spans="1:18">
      <c r="A200" s="828"/>
      <c r="C200" s="584" t="s">
        <v>179</v>
      </c>
      <c r="D200" s="373" t="s">
        <v>679</v>
      </c>
      <c r="E200" s="374" t="s">
        <v>680</v>
      </c>
      <c r="F200" s="374" t="s">
        <v>308</v>
      </c>
      <c r="G200" s="374">
        <v>36</v>
      </c>
      <c r="H200" s="586">
        <v>0.04</v>
      </c>
      <c r="I200" s="587">
        <v>30000</v>
      </c>
      <c r="J200" s="587">
        <f>_xlfn.XLOOKUP(D200,'[7]K.01.1a FA list'!$D$22:$D$348,'[7]K.01.1a FA list'!$M$22:$M$348)</f>
        <v>28800</v>
      </c>
      <c r="K200" s="587">
        <f t="shared" si="8"/>
        <v>0</v>
      </c>
      <c r="L200" s="587">
        <v>30000</v>
      </c>
      <c r="M200" s="587">
        <f>_xlfn.XLOOKUP(D200,[8]新增资产!$C:$C,[8]新增资产!$L:$L)</f>
        <v>28800</v>
      </c>
      <c r="N200" s="587">
        <v>0</v>
      </c>
      <c r="O200" s="843">
        <f t="shared" si="9"/>
        <v>1200</v>
      </c>
      <c r="P200" s="591" t="str">
        <f t="shared" si="10"/>
        <v>是</v>
      </c>
      <c r="Q200" s="592"/>
      <c r="R200" s="848"/>
    </row>
    <row r="201" s="781" customFormat="1" ht="12.45" spans="1:18">
      <c r="A201" s="828"/>
      <c r="C201" s="584" t="s">
        <v>179</v>
      </c>
      <c r="D201" s="373" t="s">
        <v>681</v>
      </c>
      <c r="E201" s="374" t="s">
        <v>682</v>
      </c>
      <c r="F201" s="374" t="s">
        <v>308</v>
      </c>
      <c r="G201" s="374">
        <v>36</v>
      </c>
      <c r="H201" s="586">
        <v>0.04</v>
      </c>
      <c r="I201" s="587">
        <v>6000</v>
      </c>
      <c r="J201" s="587">
        <f>_xlfn.XLOOKUP(D201,'[7]K.01.1a FA list'!$D$22:$D$348,'[7]K.01.1a FA list'!$M$22:$M$348)</f>
        <v>5760</v>
      </c>
      <c r="K201" s="587">
        <f t="shared" si="8"/>
        <v>0</v>
      </c>
      <c r="L201" s="587">
        <v>6000</v>
      </c>
      <c r="M201" s="587">
        <f>_xlfn.XLOOKUP(D201,[8]新增资产!$C:$C,[8]新增资产!$L:$L)</f>
        <v>5760</v>
      </c>
      <c r="N201" s="587">
        <v>0</v>
      </c>
      <c r="O201" s="843">
        <f t="shared" si="9"/>
        <v>240</v>
      </c>
      <c r="P201" s="591" t="str">
        <f t="shared" si="10"/>
        <v>是</v>
      </c>
      <c r="Q201" s="592"/>
      <c r="R201" s="848"/>
    </row>
    <row r="202" s="781" customFormat="1" ht="12.45" spans="1:18">
      <c r="A202" s="828"/>
      <c r="C202" s="584" t="s">
        <v>179</v>
      </c>
      <c r="D202" s="373" t="s">
        <v>683</v>
      </c>
      <c r="E202" s="374" t="s">
        <v>684</v>
      </c>
      <c r="F202" s="374" t="s">
        <v>308</v>
      </c>
      <c r="G202" s="374">
        <v>36</v>
      </c>
      <c r="H202" s="586">
        <v>0.04</v>
      </c>
      <c r="I202" s="587">
        <v>7000</v>
      </c>
      <c r="J202" s="587">
        <f>_xlfn.XLOOKUP(D202,'[7]K.01.1a FA list'!$D$22:$D$348,'[7]K.01.1a FA list'!$M$22:$M$348)</f>
        <v>6720</v>
      </c>
      <c r="K202" s="587">
        <f t="shared" si="8"/>
        <v>0</v>
      </c>
      <c r="L202" s="587">
        <v>7000</v>
      </c>
      <c r="M202" s="587">
        <f>_xlfn.XLOOKUP(D202,[8]新增资产!$C:$C,[8]新增资产!$L:$L)</f>
        <v>6720</v>
      </c>
      <c r="N202" s="587">
        <v>0</v>
      </c>
      <c r="O202" s="843">
        <f t="shared" si="9"/>
        <v>280</v>
      </c>
      <c r="P202" s="591" t="str">
        <f t="shared" si="10"/>
        <v>是</v>
      </c>
      <c r="Q202" s="592"/>
      <c r="R202" s="848"/>
    </row>
    <row r="203" s="781" customFormat="1" ht="12.45" spans="1:18">
      <c r="A203" s="828"/>
      <c r="C203" s="584" t="s">
        <v>179</v>
      </c>
      <c r="D203" s="373" t="s">
        <v>685</v>
      </c>
      <c r="E203" s="374" t="s">
        <v>686</v>
      </c>
      <c r="F203" s="374" t="s">
        <v>308</v>
      </c>
      <c r="G203" s="374">
        <v>36</v>
      </c>
      <c r="H203" s="586">
        <v>0.04</v>
      </c>
      <c r="I203" s="587">
        <v>16660</v>
      </c>
      <c r="J203" s="587">
        <f>_xlfn.XLOOKUP(D203,'[7]K.01.1a FA list'!$D$22:$D$348,'[7]K.01.1a FA list'!$M$22:$M$348)</f>
        <v>15993.6</v>
      </c>
      <c r="K203" s="587">
        <f t="shared" si="8"/>
        <v>0</v>
      </c>
      <c r="L203" s="587">
        <v>16660</v>
      </c>
      <c r="M203" s="587">
        <f>_xlfn.XLOOKUP(D203,[8]新增资产!$C:$C,[8]新增资产!$L:$L)</f>
        <v>15993.6</v>
      </c>
      <c r="N203" s="587">
        <v>0</v>
      </c>
      <c r="O203" s="843">
        <f t="shared" si="9"/>
        <v>666.4</v>
      </c>
      <c r="P203" s="591" t="str">
        <f t="shared" si="10"/>
        <v>是</v>
      </c>
      <c r="Q203" s="592"/>
      <c r="R203" s="848"/>
    </row>
    <row r="204" s="781" customFormat="1" ht="12.45" spans="1:18">
      <c r="A204" s="828"/>
      <c r="C204" s="584" t="s">
        <v>179</v>
      </c>
      <c r="D204" s="373" t="s">
        <v>687</v>
      </c>
      <c r="E204" s="374" t="s">
        <v>688</v>
      </c>
      <c r="F204" s="374" t="s">
        <v>308</v>
      </c>
      <c r="G204" s="374">
        <v>36</v>
      </c>
      <c r="H204" s="586">
        <v>0.04</v>
      </c>
      <c r="I204" s="587">
        <v>14800</v>
      </c>
      <c r="J204" s="587">
        <f>_xlfn.XLOOKUP(D204,'[7]K.01.1a FA list'!$D$22:$D$348,'[7]K.01.1a FA list'!$M$22:$M$348)</f>
        <v>14208</v>
      </c>
      <c r="K204" s="587">
        <f t="shared" si="8"/>
        <v>0</v>
      </c>
      <c r="L204" s="587">
        <v>14800</v>
      </c>
      <c r="M204" s="587">
        <f>_xlfn.XLOOKUP(D204,[8]新增资产!$C:$C,[8]新增资产!$L:$L)</f>
        <v>14208</v>
      </c>
      <c r="N204" s="587">
        <v>0</v>
      </c>
      <c r="O204" s="843">
        <f t="shared" si="9"/>
        <v>592</v>
      </c>
      <c r="P204" s="591" t="str">
        <f t="shared" si="10"/>
        <v>是</v>
      </c>
      <c r="Q204" s="592"/>
      <c r="R204" s="848"/>
    </row>
    <row r="205" s="781" customFormat="1" ht="12.45" spans="1:18">
      <c r="A205" s="828"/>
      <c r="C205" s="584" t="s">
        <v>179</v>
      </c>
      <c r="D205" s="373" t="s">
        <v>689</v>
      </c>
      <c r="E205" s="374" t="s">
        <v>690</v>
      </c>
      <c r="F205" s="374" t="s">
        <v>308</v>
      </c>
      <c r="G205" s="374">
        <v>36</v>
      </c>
      <c r="H205" s="586">
        <v>0.04</v>
      </c>
      <c r="I205" s="587">
        <v>36400</v>
      </c>
      <c r="J205" s="587">
        <f>_xlfn.XLOOKUP(D205,'[7]K.01.1a FA list'!$D$22:$D$348,'[7]K.01.1a FA list'!$M$22:$M$348)</f>
        <v>34944</v>
      </c>
      <c r="K205" s="587">
        <f t="shared" si="8"/>
        <v>0</v>
      </c>
      <c r="L205" s="587">
        <v>36400</v>
      </c>
      <c r="M205" s="587">
        <f>_xlfn.XLOOKUP(D205,[8]新增资产!$C:$C,[8]新增资产!$L:$L)</f>
        <v>34944</v>
      </c>
      <c r="N205" s="587">
        <v>0</v>
      </c>
      <c r="O205" s="843">
        <f t="shared" si="9"/>
        <v>1456</v>
      </c>
      <c r="P205" s="591" t="str">
        <f t="shared" si="10"/>
        <v>是</v>
      </c>
      <c r="Q205" s="592"/>
      <c r="R205" s="848"/>
    </row>
    <row r="206" s="781" customFormat="1" ht="12.45" spans="1:18">
      <c r="A206" s="828"/>
      <c r="C206" s="584" t="s">
        <v>179</v>
      </c>
      <c r="D206" s="373" t="s">
        <v>691</v>
      </c>
      <c r="E206" s="374" t="s">
        <v>692</v>
      </c>
      <c r="F206" s="374" t="s">
        <v>308</v>
      </c>
      <c r="G206" s="374">
        <v>36</v>
      </c>
      <c r="H206" s="586">
        <v>0.04</v>
      </c>
      <c r="I206" s="587">
        <v>21840</v>
      </c>
      <c r="J206" s="587">
        <f>_xlfn.XLOOKUP(D206,'[7]K.01.1a FA list'!$D$22:$D$348,'[7]K.01.1a FA list'!$M$22:$M$348)</f>
        <v>20966.4</v>
      </c>
      <c r="K206" s="587">
        <f t="shared" si="8"/>
        <v>0</v>
      </c>
      <c r="L206" s="587">
        <v>21840</v>
      </c>
      <c r="M206" s="587">
        <f>_xlfn.XLOOKUP(D206,[8]新增资产!$C:$C,[8]新增资产!$L:$L)</f>
        <v>20966.4</v>
      </c>
      <c r="N206" s="587">
        <v>0</v>
      </c>
      <c r="O206" s="843">
        <f t="shared" si="9"/>
        <v>873.599999999999</v>
      </c>
      <c r="P206" s="591" t="str">
        <f t="shared" si="10"/>
        <v>是</v>
      </c>
      <c r="Q206" s="592"/>
      <c r="R206" s="848"/>
    </row>
    <row r="207" s="781" customFormat="1" ht="12.45" spans="1:18">
      <c r="A207" s="828"/>
      <c r="C207" s="584" t="s">
        <v>179</v>
      </c>
      <c r="D207" s="373" t="s">
        <v>693</v>
      </c>
      <c r="E207" s="374" t="s">
        <v>694</v>
      </c>
      <c r="F207" s="374" t="s">
        <v>323</v>
      </c>
      <c r="G207" s="374">
        <v>36</v>
      </c>
      <c r="H207" s="586">
        <v>0.04</v>
      </c>
      <c r="I207" s="587">
        <v>4100</v>
      </c>
      <c r="J207" s="587">
        <f>_xlfn.XLOOKUP(D207,'[7]K.01.1a FA list'!$D$22:$D$348,'[7]K.01.1a FA list'!$M$22:$M$348)</f>
        <v>3936</v>
      </c>
      <c r="K207" s="587">
        <f t="shared" si="8"/>
        <v>0</v>
      </c>
      <c r="L207" s="587">
        <v>4100</v>
      </c>
      <c r="M207" s="587">
        <f>_xlfn.XLOOKUP(D207,[8]新增资产!$C:$C,[8]新增资产!$L:$L)</f>
        <v>3936</v>
      </c>
      <c r="N207" s="587">
        <v>0</v>
      </c>
      <c r="O207" s="843">
        <f t="shared" si="9"/>
        <v>164</v>
      </c>
      <c r="P207" s="591" t="str">
        <f t="shared" si="10"/>
        <v>是</v>
      </c>
      <c r="Q207" s="592"/>
      <c r="R207" s="848"/>
    </row>
    <row r="208" s="781" customFormat="1" ht="12.45" spans="1:18">
      <c r="A208" s="828"/>
      <c r="C208" s="584" t="s">
        <v>179</v>
      </c>
      <c r="D208" s="373" t="s">
        <v>695</v>
      </c>
      <c r="E208" s="374" t="s">
        <v>696</v>
      </c>
      <c r="F208" s="374" t="s">
        <v>323</v>
      </c>
      <c r="G208" s="374">
        <v>60</v>
      </c>
      <c r="H208" s="586">
        <v>0.04</v>
      </c>
      <c r="I208" s="587">
        <v>90000</v>
      </c>
      <c r="J208" s="587">
        <f>_xlfn.XLOOKUP(D208,'[7]K.01.1a FA list'!$D$22:$D$348,'[7]K.01.1a FA list'!$M$22:$M$348)</f>
        <v>86400</v>
      </c>
      <c r="K208" s="587">
        <f t="shared" si="8"/>
        <v>0</v>
      </c>
      <c r="L208" s="587">
        <v>90000</v>
      </c>
      <c r="M208" s="587">
        <f>_xlfn.XLOOKUP(D208,[8]新增资产!$C:$C,[8]新增资产!$L:$L)</f>
        <v>86400</v>
      </c>
      <c r="N208" s="587">
        <v>0</v>
      </c>
      <c r="O208" s="843">
        <f t="shared" si="9"/>
        <v>3600</v>
      </c>
      <c r="P208" s="591" t="str">
        <f t="shared" si="10"/>
        <v>是</v>
      </c>
      <c r="Q208" s="592"/>
      <c r="R208" s="848"/>
    </row>
    <row r="209" s="781" customFormat="1" ht="12.45" spans="1:18">
      <c r="A209" s="828"/>
      <c r="C209" s="584" t="s">
        <v>179</v>
      </c>
      <c r="D209" s="373" t="s">
        <v>697</v>
      </c>
      <c r="E209" s="374" t="s">
        <v>698</v>
      </c>
      <c r="F209" s="374" t="s">
        <v>326</v>
      </c>
      <c r="G209" s="374">
        <v>60</v>
      </c>
      <c r="H209" s="586">
        <v>0.04</v>
      </c>
      <c r="I209" s="587">
        <v>9000</v>
      </c>
      <c r="J209" s="587">
        <f>_xlfn.XLOOKUP(D209,'[7]K.01.1a FA list'!$D$22:$D$348,'[7]K.01.1a FA list'!$M$22:$M$348)</f>
        <v>8640</v>
      </c>
      <c r="K209" s="587">
        <f t="shared" si="8"/>
        <v>0</v>
      </c>
      <c r="L209" s="587">
        <v>9000</v>
      </c>
      <c r="M209" s="587">
        <f>_xlfn.XLOOKUP(D209,[8]新增资产!$C:$C,[8]新增资产!$L:$L)</f>
        <v>8640</v>
      </c>
      <c r="N209" s="587">
        <v>0</v>
      </c>
      <c r="O209" s="843">
        <f t="shared" si="9"/>
        <v>360</v>
      </c>
      <c r="P209" s="591" t="str">
        <f t="shared" si="10"/>
        <v>是</v>
      </c>
      <c r="Q209" s="592"/>
      <c r="R209" s="848"/>
    </row>
    <row r="210" s="781" customFormat="1" ht="12.45" spans="1:18">
      <c r="A210" s="828"/>
      <c r="C210" s="584" t="s">
        <v>179</v>
      </c>
      <c r="D210" s="373" t="s">
        <v>699</v>
      </c>
      <c r="E210" s="374" t="s">
        <v>700</v>
      </c>
      <c r="F210" s="374" t="s">
        <v>326</v>
      </c>
      <c r="G210" s="374">
        <v>60</v>
      </c>
      <c r="H210" s="586">
        <v>0.04</v>
      </c>
      <c r="I210" s="587">
        <v>600000</v>
      </c>
      <c r="J210" s="587">
        <f>_xlfn.XLOOKUP(D210,'[7]K.01.1a FA list'!$D$22:$D$348,'[7]K.01.1a FA list'!$M$22:$M$348)</f>
        <v>576000</v>
      </c>
      <c r="K210" s="587">
        <f t="shared" ref="K210:K273" si="11">M210-J210</f>
        <v>0</v>
      </c>
      <c r="L210" s="587">
        <v>600000</v>
      </c>
      <c r="M210" s="587">
        <f>_xlfn.XLOOKUP(D210,[8]新增资产!$C:$C,[8]新增资产!$L:$L)</f>
        <v>576000</v>
      </c>
      <c r="N210" s="587">
        <v>0</v>
      </c>
      <c r="O210" s="843">
        <f t="shared" ref="O210:O273" si="12">L210-M210</f>
        <v>24000</v>
      </c>
      <c r="P210" s="591" t="str">
        <f t="shared" si="10"/>
        <v>是</v>
      </c>
      <c r="Q210" s="592"/>
      <c r="R210" s="848"/>
    </row>
    <row r="211" s="781" customFormat="1" ht="12.45" spans="1:18">
      <c r="A211" s="828"/>
      <c r="C211" s="584" t="s">
        <v>179</v>
      </c>
      <c r="D211" s="373" t="s">
        <v>701</v>
      </c>
      <c r="E211" s="374" t="s">
        <v>702</v>
      </c>
      <c r="F211" s="374" t="s">
        <v>703</v>
      </c>
      <c r="G211" s="374">
        <v>36</v>
      </c>
      <c r="H211" s="586">
        <v>0.04</v>
      </c>
      <c r="I211" s="587">
        <v>3750</v>
      </c>
      <c r="J211" s="587">
        <f>_xlfn.XLOOKUP(D211,'[7]K.01.1a FA list'!$D$22:$D$348,'[7]K.01.1a FA list'!$M$22:$M$348)</f>
        <v>3600</v>
      </c>
      <c r="K211" s="587">
        <f t="shared" si="11"/>
        <v>0</v>
      </c>
      <c r="L211" s="587">
        <v>3750</v>
      </c>
      <c r="M211" s="587">
        <f>_xlfn.XLOOKUP(D211,[8]新增资产!$C:$C,[8]新增资产!$L:$L)</f>
        <v>3600</v>
      </c>
      <c r="N211" s="587">
        <v>0</v>
      </c>
      <c r="O211" s="843">
        <f t="shared" si="12"/>
        <v>150</v>
      </c>
      <c r="P211" s="591" t="str">
        <f t="shared" si="10"/>
        <v>是</v>
      </c>
      <c r="Q211" s="592"/>
      <c r="R211" s="848"/>
    </row>
    <row r="212" s="781" customFormat="1" ht="12.45" spans="1:18">
      <c r="A212" s="828"/>
      <c r="C212" s="584" t="s">
        <v>179</v>
      </c>
      <c r="D212" s="373" t="s">
        <v>704</v>
      </c>
      <c r="E212" s="374" t="s">
        <v>705</v>
      </c>
      <c r="F212" s="374" t="s">
        <v>703</v>
      </c>
      <c r="G212" s="374">
        <v>36</v>
      </c>
      <c r="H212" s="586">
        <v>0.04</v>
      </c>
      <c r="I212" s="587">
        <v>2700</v>
      </c>
      <c r="J212" s="587">
        <f>_xlfn.XLOOKUP(D212,'[7]K.01.1a FA list'!$D$22:$D$348,'[7]K.01.1a FA list'!$M$22:$M$348)</f>
        <v>2592</v>
      </c>
      <c r="K212" s="587">
        <f t="shared" si="11"/>
        <v>0</v>
      </c>
      <c r="L212" s="587">
        <v>2700</v>
      </c>
      <c r="M212" s="587">
        <f>_xlfn.XLOOKUP(D212,[8]新增资产!$C:$C,[8]新增资产!$L:$L)</f>
        <v>2592</v>
      </c>
      <c r="N212" s="587">
        <v>0</v>
      </c>
      <c r="O212" s="843">
        <f t="shared" si="12"/>
        <v>108</v>
      </c>
      <c r="P212" s="591" t="str">
        <f t="shared" si="10"/>
        <v>是</v>
      </c>
      <c r="Q212" s="592"/>
      <c r="R212" s="848"/>
    </row>
    <row r="213" s="781" customFormat="1" ht="12.45" spans="1:18">
      <c r="A213" s="828"/>
      <c r="C213" s="584" t="s">
        <v>179</v>
      </c>
      <c r="D213" s="373" t="s">
        <v>706</v>
      </c>
      <c r="E213" s="374" t="s">
        <v>707</v>
      </c>
      <c r="F213" s="374" t="s">
        <v>289</v>
      </c>
      <c r="G213" s="374">
        <v>36</v>
      </c>
      <c r="H213" s="586">
        <v>0.04</v>
      </c>
      <c r="I213" s="587">
        <v>39000</v>
      </c>
      <c r="J213" s="587">
        <f>_xlfn.XLOOKUP(D213,'[7]K.01.1a FA list'!$D$22:$D$348,'[7]K.01.1a FA list'!$M$22:$M$348)</f>
        <v>37440</v>
      </c>
      <c r="K213" s="587">
        <f t="shared" si="11"/>
        <v>0</v>
      </c>
      <c r="L213" s="587">
        <v>39000</v>
      </c>
      <c r="M213" s="587">
        <f>_xlfn.XLOOKUP(D213,[8]新增资产!$C:$C,[8]新增资产!$L:$L)</f>
        <v>37440</v>
      </c>
      <c r="N213" s="587">
        <v>0</v>
      </c>
      <c r="O213" s="843">
        <f t="shared" si="12"/>
        <v>1560</v>
      </c>
      <c r="P213" s="591" t="str">
        <f t="shared" si="10"/>
        <v>是</v>
      </c>
      <c r="Q213" s="592"/>
      <c r="R213" s="848"/>
    </row>
    <row r="214" s="781" customFormat="1" ht="12.45" spans="1:18">
      <c r="A214" s="828"/>
      <c r="C214" s="584" t="s">
        <v>179</v>
      </c>
      <c r="D214" s="373" t="s">
        <v>708</v>
      </c>
      <c r="E214" s="374" t="s">
        <v>709</v>
      </c>
      <c r="F214" s="374" t="s">
        <v>710</v>
      </c>
      <c r="G214" s="374">
        <v>36</v>
      </c>
      <c r="H214" s="586">
        <v>0.04</v>
      </c>
      <c r="I214" s="587">
        <v>4250</v>
      </c>
      <c r="J214" s="587">
        <f>_xlfn.XLOOKUP(D214,'[7]K.01.1a FA list'!$D$22:$D$348,'[7]K.01.1a FA list'!$M$22:$M$348)</f>
        <v>4080</v>
      </c>
      <c r="K214" s="587">
        <f t="shared" si="11"/>
        <v>0</v>
      </c>
      <c r="L214" s="587">
        <v>4250</v>
      </c>
      <c r="M214" s="587">
        <f>_xlfn.XLOOKUP(D214,[8]新增资产!$C:$C,[8]新增资产!$L:$L)</f>
        <v>4080</v>
      </c>
      <c r="N214" s="587">
        <v>0</v>
      </c>
      <c r="O214" s="843">
        <f t="shared" si="12"/>
        <v>170</v>
      </c>
      <c r="P214" s="591" t="str">
        <f t="shared" si="10"/>
        <v>是</v>
      </c>
      <c r="Q214" s="592"/>
      <c r="R214" s="848"/>
    </row>
    <row r="215" s="781" customFormat="1" ht="12.45" spans="1:18">
      <c r="A215" s="828"/>
      <c r="C215" s="584" t="s">
        <v>179</v>
      </c>
      <c r="D215" s="373" t="s">
        <v>711</v>
      </c>
      <c r="E215" s="374" t="s">
        <v>712</v>
      </c>
      <c r="F215" s="374" t="s">
        <v>713</v>
      </c>
      <c r="G215" s="374">
        <v>36</v>
      </c>
      <c r="H215" s="586">
        <v>0.04</v>
      </c>
      <c r="I215" s="587">
        <v>6500</v>
      </c>
      <c r="J215" s="587">
        <f>_xlfn.XLOOKUP(D215,'[7]K.01.1a FA list'!$D$22:$D$348,'[7]K.01.1a FA list'!$M$22:$M$348)</f>
        <v>6240</v>
      </c>
      <c r="K215" s="587">
        <f t="shared" si="11"/>
        <v>0</v>
      </c>
      <c r="L215" s="587">
        <v>6500</v>
      </c>
      <c r="M215" s="587">
        <f>_xlfn.XLOOKUP(D215,[8]新增资产!$C:$C,[8]新增资产!$L:$L)</f>
        <v>6240</v>
      </c>
      <c r="N215" s="587">
        <v>0</v>
      </c>
      <c r="O215" s="843">
        <f t="shared" si="12"/>
        <v>260</v>
      </c>
      <c r="P215" s="591" t="str">
        <f t="shared" si="10"/>
        <v>是</v>
      </c>
      <c r="Q215" s="592"/>
      <c r="R215" s="848"/>
    </row>
    <row r="216" s="781" customFormat="1" ht="12.45" spans="1:18">
      <c r="A216" s="828"/>
      <c r="C216" s="584" t="s">
        <v>179</v>
      </c>
      <c r="D216" s="373" t="s">
        <v>714</v>
      </c>
      <c r="E216" s="374" t="s">
        <v>715</v>
      </c>
      <c r="F216" s="374" t="s">
        <v>716</v>
      </c>
      <c r="G216" s="374">
        <v>60</v>
      </c>
      <c r="H216" s="586">
        <v>0.04</v>
      </c>
      <c r="I216" s="587">
        <v>40000</v>
      </c>
      <c r="J216" s="587">
        <f>_xlfn.XLOOKUP(D216,'[7]K.01.1a FA list'!$D$22:$D$348,'[7]K.01.1a FA list'!$M$22:$M$348)</f>
        <v>38400</v>
      </c>
      <c r="K216" s="587">
        <f t="shared" si="11"/>
        <v>0</v>
      </c>
      <c r="L216" s="587">
        <v>40000</v>
      </c>
      <c r="M216" s="587">
        <f>_xlfn.XLOOKUP(D216,[8]新增资产!$C:$C,[8]新增资产!$L:$L)</f>
        <v>38400</v>
      </c>
      <c r="N216" s="587">
        <v>0</v>
      </c>
      <c r="O216" s="843">
        <f t="shared" si="12"/>
        <v>1600</v>
      </c>
      <c r="P216" s="591" t="str">
        <f t="shared" si="10"/>
        <v>是</v>
      </c>
      <c r="Q216" s="592"/>
      <c r="R216" s="848"/>
    </row>
    <row r="217" s="781" customFormat="1" ht="12.45" spans="1:18">
      <c r="A217" s="828"/>
      <c r="C217" s="584" t="s">
        <v>179</v>
      </c>
      <c r="D217" s="373" t="s">
        <v>717</v>
      </c>
      <c r="E217" s="374" t="s">
        <v>718</v>
      </c>
      <c r="F217" s="374" t="s">
        <v>719</v>
      </c>
      <c r="G217" s="374">
        <v>36</v>
      </c>
      <c r="H217" s="586">
        <v>0.04</v>
      </c>
      <c r="I217" s="587">
        <v>9500</v>
      </c>
      <c r="J217" s="587">
        <f>_xlfn.XLOOKUP(D217,'[7]K.01.1a FA list'!$D$22:$D$348,'[7]K.01.1a FA list'!$M$22:$M$348)</f>
        <v>9120</v>
      </c>
      <c r="K217" s="587">
        <f t="shared" si="11"/>
        <v>0</v>
      </c>
      <c r="L217" s="587">
        <v>9500</v>
      </c>
      <c r="M217" s="587">
        <f>_xlfn.XLOOKUP(D217,[8]新增资产!$C:$C,[8]新增资产!$L:$L)</f>
        <v>9120</v>
      </c>
      <c r="N217" s="587">
        <v>0</v>
      </c>
      <c r="O217" s="843">
        <f t="shared" si="12"/>
        <v>380</v>
      </c>
      <c r="P217" s="591" t="str">
        <f t="shared" si="10"/>
        <v>是</v>
      </c>
      <c r="Q217" s="592"/>
      <c r="R217" s="848"/>
    </row>
    <row r="218" s="781" customFormat="1" ht="12.45" spans="1:18">
      <c r="A218" s="828"/>
      <c r="C218" s="584" t="s">
        <v>179</v>
      </c>
      <c r="D218" s="373" t="s">
        <v>720</v>
      </c>
      <c r="E218" s="374" t="s">
        <v>721</v>
      </c>
      <c r="F218" s="374" t="s">
        <v>719</v>
      </c>
      <c r="G218" s="374">
        <v>36</v>
      </c>
      <c r="H218" s="586">
        <v>0.04</v>
      </c>
      <c r="I218" s="587">
        <v>45000</v>
      </c>
      <c r="J218" s="587">
        <f>_xlfn.XLOOKUP(D218,'[7]K.01.1a FA list'!$D$22:$D$348,'[7]K.01.1a FA list'!$M$22:$M$348)</f>
        <v>43200</v>
      </c>
      <c r="K218" s="587">
        <f t="shared" si="11"/>
        <v>0</v>
      </c>
      <c r="L218" s="587">
        <v>45000</v>
      </c>
      <c r="M218" s="587">
        <f>_xlfn.XLOOKUP(D218,[8]新增资产!$C:$C,[8]新增资产!$L:$L)</f>
        <v>43200</v>
      </c>
      <c r="N218" s="587">
        <v>0</v>
      </c>
      <c r="O218" s="843">
        <f t="shared" si="12"/>
        <v>1800</v>
      </c>
      <c r="P218" s="591" t="str">
        <f t="shared" si="10"/>
        <v>是</v>
      </c>
      <c r="Q218" s="592"/>
      <c r="R218" s="848"/>
    </row>
    <row r="219" s="781" customFormat="1" ht="12.45" spans="1:18">
      <c r="A219" s="828"/>
      <c r="C219" s="584" t="s">
        <v>179</v>
      </c>
      <c r="D219" s="373" t="s">
        <v>722</v>
      </c>
      <c r="E219" s="374" t="s">
        <v>723</v>
      </c>
      <c r="F219" s="374" t="s">
        <v>724</v>
      </c>
      <c r="G219" s="374">
        <v>60</v>
      </c>
      <c r="H219" s="586">
        <v>0.04</v>
      </c>
      <c r="I219" s="587">
        <v>30800</v>
      </c>
      <c r="J219" s="587">
        <f>_xlfn.XLOOKUP(D219,'[7]K.01.1a FA list'!$D$22:$D$348,'[7]K.01.1a FA list'!$M$22:$M$348)</f>
        <v>29568</v>
      </c>
      <c r="K219" s="587">
        <f t="shared" si="11"/>
        <v>0</v>
      </c>
      <c r="L219" s="587">
        <v>30800</v>
      </c>
      <c r="M219" s="587">
        <f>_xlfn.XLOOKUP(D219,[8]新增资产!$C:$C,[8]新增资产!$L:$L)</f>
        <v>29568</v>
      </c>
      <c r="N219" s="587">
        <v>0</v>
      </c>
      <c r="O219" s="843">
        <f t="shared" si="12"/>
        <v>1232</v>
      </c>
      <c r="P219" s="591" t="str">
        <f t="shared" si="10"/>
        <v>是</v>
      </c>
      <c r="Q219" s="592"/>
      <c r="R219" s="848"/>
    </row>
    <row r="220" s="781" customFormat="1" ht="12.45" spans="1:18">
      <c r="A220" s="828"/>
      <c r="C220" s="584" t="s">
        <v>179</v>
      </c>
      <c r="D220" s="373" t="s">
        <v>725</v>
      </c>
      <c r="E220" s="374" t="s">
        <v>726</v>
      </c>
      <c r="F220" s="374" t="s">
        <v>727</v>
      </c>
      <c r="G220" s="374">
        <v>36</v>
      </c>
      <c r="H220" s="586">
        <v>0.04</v>
      </c>
      <c r="I220" s="587">
        <v>117760</v>
      </c>
      <c r="J220" s="587">
        <f>_xlfn.XLOOKUP(D220,'[7]K.01.1a FA list'!$D$22:$D$348,'[7]K.01.1a FA list'!$M$22:$M$348)</f>
        <v>113049.6</v>
      </c>
      <c r="K220" s="587">
        <f t="shared" si="11"/>
        <v>0</v>
      </c>
      <c r="L220" s="587">
        <v>117760</v>
      </c>
      <c r="M220" s="587">
        <f>_xlfn.XLOOKUP(D220,[8]新增资产!$C:$C,[8]新增资产!$L:$L)</f>
        <v>113049.6</v>
      </c>
      <c r="N220" s="587">
        <v>0</v>
      </c>
      <c r="O220" s="843">
        <f t="shared" si="12"/>
        <v>4710.39999999999</v>
      </c>
      <c r="P220" s="591" t="str">
        <f t="shared" si="10"/>
        <v>是</v>
      </c>
      <c r="Q220" s="592"/>
      <c r="R220" s="848"/>
    </row>
    <row r="221" s="781" customFormat="1" ht="12.45" spans="1:18">
      <c r="A221" s="828"/>
      <c r="C221" s="584" t="s">
        <v>179</v>
      </c>
      <c r="D221" s="373" t="s">
        <v>728</v>
      </c>
      <c r="E221" s="374" t="s">
        <v>729</v>
      </c>
      <c r="F221" s="374" t="s">
        <v>727</v>
      </c>
      <c r="G221" s="374">
        <v>60</v>
      </c>
      <c r="H221" s="586">
        <v>0.04</v>
      </c>
      <c r="I221" s="587">
        <v>5850</v>
      </c>
      <c r="J221" s="587">
        <f>_xlfn.XLOOKUP(D221,'[7]K.01.1a FA list'!$D$22:$D$348,'[7]K.01.1a FA list'!$M$22:$M$348)</f>
        <v>5616</v>
      </c>
      <c r="K221" s="587">
        <f t="shared" si="11"/>
        <v>0</v>
      </c>
      <c r="L221" s="587">
        <v>5850</v>
      </c>
      <c r="M221" s="587">
        <f>_xlfn.XLOOKUP(D221,[8]新增资产!$C:$C,[8]新增资产!$L:$L)</f>
        <v>5616</v>
      </c>
      <c r="N221" s="587">
        <v>0</v>
      </c>
      <c r="O221" s="843">
        <f t="shared" si="12"/>
        <v>234</v>
      </c>
      <c r="P221" s="591" t="str">
        <f t="shared" si="10"/>
        <v>是</v>
      </c>
      <c r="Q221" s="592"/>
      <c r="R221" s="848"/>
    </row>
    <row r="222" s="781" customFormat="1" ht="12.45" spans="1:18">
      <c r="A222" s="828"/>
      <c r="C222" s="584" t="s">
        <v>179</v>
      </c>
      <c r="D222" s="373" t="s">
        <v>730</v>
      </c>
      <c r="E222" s="374" t="s">
        <v>731</v>
      </c>
      <c r="F222" s="374" t="s">
        <v>295</v>
      </c>
      <c r="G222" s="374">
        <v>60</v>
      </c>
      <c r="H222" s="586">
        <v>0.04</v>
      </c>
      <c r="I222" s="587">
        <v>32000</v>
      </c>
      <c r="J222" s="587">
        <f>_xlfn.XLOOKUP(D222,'[7]K.01.1a FA list'!$D$22:$D$348,'[7]K.01.1a FA list'!$M$22:$M$348)</f>
        <v>30720</v>
      </c>
      <c r="K222" s="587">
        <f t="shared" si="11"/>
        <v>0</v>
      </c>
      <c r="L222" s="587">
        <v>32000</v>
      </c>
      <c r="M222" s="587">
        <f>_xlfn.XLOOKUP(D222,[8]新增资产!$C:$C,[8]新增资产!$L:$L)</f>
        <v>30720</v>
      </c>
      <c r="N222" s="587">
        <v>0</v>
      </c>
      <c r="O222" s="843">
        <f t="shared" si="12"/>
        <v>1280</v>
      </c>
      <c r="P222" s="591" t="str">
        <f t="shared" si="10"/>
        <v>是</v>
      </c>
      <c r="Q222" s="592"/>
      <c r="R222" s="848"/>
    </row>
    <row r="223" s="781" customFormat="1" ht="12.45" spans="1:18">
      <c r="A223" s="828"/>
      <c r="C223" s="584" t="s">
        <v>179</v>
      </c>
      <c r="D223" s="373" t="s">
        <v>732</v>
      </c>
      <c r="E223" s="374" t="s">
        <v>733</v>
      </c>
      <c r="F223" s="374" t="s">
        <v>295</v>
      </c>
      <c r="G223" s="374">
        <v>60</v>
      </c>
      <c r="H223" s="586">
        <v>0.04</v>
      </c>
      <c r="I223" s="587">
        <v>2800</v>
      </c>
      <c r="J223" s="587">
        <f>_xlfn.XLOOKUP(D223,'[7]K.01.1a FA list'!$D$22:$D$348,'[7]K.01.1a FA list'!$M$22:$M$348)</f>
        <v>2688</v>
      </c>
      <c r="K223" s="587">
        <f t="shared" si="11"/>
        <v>0</v>
      </c>
      <c r="L223" s="587">
        <v>2800</v>
      </c>
      <c r="M223" s="587">
        <f>_xlfn.XLOOKUP(D223,[8]新增资产!$C:$C,[8]新增资产!$L:$L)</f>
        <v>2688</v>
      </c>
      <c r="N223" s="587">
        <v>0</v>
      </c>
      <c r="O223" s="843">
        <f t="shared" si="12"/>
        <v>112</v>
      </c>
      <c r="P223" s="591" t="str">
        <f t="shared" si="10"/>
        <v>是</v>
      </c>
      <c r="Q223" s="592"/>
      <c r="R223" s="848"/>
    </row>
    <row r="224" s="781" customFormat="1" ht="12.45" spans="1:18">
      <c r="A224" s="828"/>
      <c r="C224" s="584" t="s">
        <v>179</v>
      </c>
      <c r="D224" s="373" t="s">
        <v>734</v>
      </c>
      <c r="E224" s="374" t="s">
        <v>735</v>
      </c>
      <c r="F224" s="374" t="s">
        <v>363</v>
      </c>
      <c r="G224" s="374">
        <v>60</v>
      </c>
      <c r="H224" s="586">
        <v>0.04</v>
      </c>
      <c r="I224" s="587">
        <v>42500</v>
      </c>
      <c r="J224" s="587">
        <f>_xlfn.XLOOKUP(D224,'[7]K.01.1a FA list'!$D$22:$D$348,'[7]K.01.1a FA list'!$M$22:$M$348)</f>
        <v>40800</v>
      </c>
      <c r="K224" s="587">
        <f t="shared" si="11"/>
        <v>0</v>
      </c>
      <c r="L224" s="587">
        <v>42500</v>
      </c>
      <c r="M224" s="587">
        <f>_xlfn.XLOOKUP(D224,[8]新增资产!$C:$C,[8]新增资产!$L:$L)</f>
        <v>40800</v>
      </c>
      <c r="N224" s="587">
        <v>0</v>
      </c>
      <c r="O224" s="843">
        <f t="shared" si="12"/>
        <v>1700</v>
      </c>
      <c r="P224" s="591" t="str">
        <f t="shared" si="10"/>
        <v>是</v>
      </c>
      <c r="Q224" s="592"/>
      <c r="R224" s="848"/>
    </row>
    <row r="225" s="781" customFormat="1" ht="12.45" spans="1:18">
      <c r="A225" s="828"/>
      <c r="C225" s="584" t="s">
        <v>179</v>
      </c>
      <c r="D225" s="373" t="s">
        <v>736</v>
      </c>
      <c r="E225" s="374" t="s">
        <v>737</v>
      </c>
      <c r="F225" s="374" t="s">
        <v>738</v>
      </c>
      <c r="G225" s="374">
        <v>60</v>
      </c>
      <c r="H225" s="586">
        <v>0.04</v>
      </c>
      <c r="I225" s="587">
        <v>64000</v>
      </c>
      <c r="J225" s="587">
        <f>_xlfn.XLOOKUP(D225,'[7]K.01.1a FA list'!$D$22:$D$348,'[7]K.01.1a FA list'!$M$22:$M$348)</f>
        <v>61440</v>
      </c>
      <c r="K225" s="587">
        <f t="shared" si="11"/>
        <v>0</v>
      </c>
      <c r="L225" s="587">
        <v>64000</v>
      </c>
      <c r="M225" s="587">
        <f>_xlfn.XLOOKUP(D225,[8]新增资产!$C:$C,[8]新增资产!$L:$L)</f>
        <v>61440</v>
      </c>
      <c r="N225" s="587">
        <v>0</v>
      </c>
      <c r="O225" s="843">
        <f t="shared" si="12"/>
        <v>2560</v>
      </c>
      <c r="P225" s="591" t="str">
        <f t="shared" si="10"/>
        <v>是</v>
      </c>
      <c r="Q225" s="592"/>
      <c r="R225" s="848"/>
    </row>
    <row r="226" s="781" customFormat="1" ht="12.45" spans="1:18">
      <c r="A226" s="828"/>
      <c r="C226" s="584" t="s">
        <v>179</v>
      </c>
      <c r="D226" s="373" t="s">
        <v>739</v>
      </c>
      <c r="E226" s="374" t="s">
        <v>740</v>
      </c>
      <c r="F226" s="374" t="s">
        <v>741</v>
      </c>
      <c r="G226" s="374">
        <v>60</v>
      </c>
      <c r="H226" s="586">
        <v>0.05</v>
      </c>
      <c r="I226" s="587">
        <v>520000</v>
      </c>
      <c r="J226" s="587">
        <f>_xlfn.XLOOKUP(D226,'[7]K.01.1a FA list'!$D$22:$D$348,'[7]K.01.1a FA list'!$M$22:$M$348)</f>
        <v>370499.85</v>
      </c>
      <c r="K226" s="587">
        <f t="shared" si="11"/>
        <v>98799.96</v>
      </c>
      <c r="L226" s="587">
        <v>520000</v>
      </c>
      <c r="M226" s="587">
        <f>_xlfn.XLOOKUP(D226,[8]新增资产!$C:$C,[8]新增资产!$L:$L)</f>
        <v>469299.81</v>
      </c>
      <c r="N226" s="587">
        <v>0</v>
      </c>
      <c r="O226" s="843">
        <f t="shared" si="12"/>
        <v>50700.19</v>
      </c>
      <c r="P226" s="591" t="str">
        <f t="shared" si="10"/>
        <v>否</v>
      </c>
      <c r="Q226" s="592"/>
    </row>
    <row r="227" s="781" customFormat="1" ht="12.45" spans="1:18">
      <c r="A227" s="828"/>
      <c r="C227" s="584" t="s">
        <v>179</v>
      </c>
      <c r="D227" s="373" t="s">
        <v>742</v>
      </c>
      <c r="E227" s="374" t="s">
        <v>743</v>
      </c>
      <c r="F227" s="374" t="s">
        <v>741</v>
      </c>
      <c r="G227" s="374">
        <v>60</v>
      </c>
      <c r="H227" s="586">
        <v>0.05</v>
      </c>
      <c r="I227" s="587">
        <v>500000</v>
      </c>
      <c r="J227" s="587">
        <f>_xlfn.XLOOKUP(D227,'[7]K.01.1a FA list'!$D$22:$D$348,'[7]K.01.1a FA list'!$M$22:$M$348)</f>
        <v>356250.15</v>
      </c>
      <c r="K227" s="587">
        <f t="shared" si="11"/>
        <v>95000.04</v>
      </c>
      <c r="L227" s="587">
        <v>500000</v>
      </c>
      <c r="M227" s="587">
        <f>_xlfn.XLOOKUP(D227,[8]新增资产!$C:$C,[8]新增资产!$L:$L)</f>
        <v>451250.19</v>
      </c>
      <c r="N227" s="587">
        <v>0</v>
      </c>
      <c r="O227" s="843">
        <f t="shared" si="12"/>
        <v>48749.81</v>
      </c>
      <c r="P227" s="591" t="str">
        <f t="shared" si="10"/>
        <v>否</v>
      </c>
      <c r="Q227" s="592"/>
    </row>
    <row r="228" s="781" customFormat="1" ht="12.45" spans="1:18">
      <c r="A228" s="828"/>
      <c r="C228" s="584" t="s">
        <v>179</v>
      </c>
      <c r="D228" s="373" t="s">
        <v>744</v>
      </c>
      <c r="E228" s="374" t="s">
        <v>745</v>
      </c>
      <c r="F228" s="374" t="s">
        <v>504</v>
      </c>
      <c r="G228" s="374">
        <v>60</v>
      </c>
      <c r="H228" s="586">
        <v>0.05</v>
      </c>
      <c r="I228" s="587">
        <v>2800</v>
      </c>
      <c r="J228" s="587">
        <f>_xlfn.XLOOKUP(D228,'[7]K.01.1a FA list'!$D$22:$D$348,'[7]K.01.1a FA list'!$M$22:$M$348)</f>
        <v>1906.19</v>
      </c>
      <c r="K228" s="587">
        <f t="shared" si="11"/>
        <v>531.96</v>
      </c>
      <c r="L228" s="587">
        <v>2800</v>
      </c>
      <c r="M228" s="587">
        <f>_xlfn.XLOOKUP(D228,[8]新增资产!$C:$C,[8]新增资产!$L:$L)</f>
        <v>2438.15</v>
      </c>
      <c r="N228" s="587">
        <v>0</v>
      </c>
      <c r="O228" s="843">
        <f t="shared" si="12"/>
        <v>361.85</v>
      </c>
      <c r="P228" s="591" t="str">
        <f t="shared" si="10"/>
        <v>否</v>
      </c>
      <c r="Q228" s="592"/>
    </row>
    <row r="229" s="781" customFormat="1" ht="12.45" spans="1:18">
      <c r="A229" s="828"/>
      <c r="C229" s="584" t="s">
        <v>179</v>
      </c>
      <c r="D229" s="373" t="s">
        <v>746</v>
      </c>
      <c r="E229" s="374" t="s">
        <v>642</v>
      </c>
      <c r="F229" s="374" t="s">
        <v>504</v>
      </c>
      <c r="G229" s="374">
        <v>60</v>
      </c>
      <c r="H229" s="586">
        <v>0.05</v>
      </c>
      <c r="I229" s="587">
        <v>3500</v>
      </c>
      <c r="J229" s="587">
        <f>_xlfn.XLOOKUP(D229,'[7]K.01.1a FA list'!$D$22:$D$348,'[7]K.01.1a FA list'!$M$22:$M$348)</f>
        <v>2383.06</v>
      </c>
      <c r="K229" s="587">
        <f t="shared" si="11"/>
        <v>665.04</v>
      </c>
      <c r="L229" s="587">
        <v>3500</v>
      </c>
      <c r="M229" s="587">
        <f>_xlfn.XLOOKUP(D229,[8]新增资产!$C:$C,[8]新增资产!$L:$L)</f>
        <v>3048.1</v>
      </c>
      <c r="N229" s="587">
        <v>0</v>
      </c>
      <c r="O229" s="843">
        <f t="shared" si="12"/>
        <v>451.9</v>
      </c>
      <c r="P229" s="591" t="str">
        <f t="shared" si="10"/>
        <v>否</v>
      </c>
      <c r="Q229" s="592"/>
    </row>
    <row r="230" s="781" customFormat="1" ht="12.45" spans="1:18">
      <c r="A230" s="828"/>
      <c r="C230" s="584" t="s">
        <v>179</v>
      </c>
      <c r="D230" s="373" t="s">
        <v>747</v>
      </c>
      <c r="E230" s="374" t="s">
        <v>748</v>
      </c>
      <c r="F230" s="374" t="s">
        <v>749</v>
      </c>
      <c r="G230" s="374">
        <v>60</v>
      </c>
      <c r="H230" s="586">
        <v>0.05</v>
      </c>
      <c r="I230" s="587">
        <v>340000</v>
      </c>
      <c r="J230" s="587">
        <f>_xlfn.XLOOKUP(D230,'[7]K.01.1a FA list'!$D$22:$D$348,'[7]K.01.1a FA list'!$M$22:$M$348)</f>
        <v>204566.54</v>
      </c>
      <c r="K230" s="587">
        <f t="shared" si="11"/>
        <v>64599.96</v>
      </c>
      <c r="L230" s="587">
        <v>340000</v>
      </c>
      <c r="M230" s="587">
        <f>_xlfn.XLOOKUP(D230,[8]新增资产!$C:$C,[8]新增资产!$L:$L)</f>
        <v>269166.5</v>
      </c>
      <c r="N230" s="587">
        <v>0</v>
      </c>
      <c r="O230" s="843">
        <f t="shared" si="12"/>
        <v>70833.5</v>
      </c>
      <c r="P230" s="591" t="str">
        <f t="shared" si="10"/>
        <v>否</v>
      </c>
      <c r="Q230" s="592"/>
    </row>
    <row r="231" s="781" customFormat="1" ht="12.45" spans="1:18">
      <c r="A231" s="828"/>
      <c r="C231" s="584" t="s">
        <v>179</v>
      </c>
      <c r="D231" s="373" t="s">
        <v>750</v>
      </c>
      <c r="E231" s="374" t="s">
        <v>751</v>
      </c>
      <c r="F231" s="374" t="s">
        <v>752</v>
      </c>
      <c r="G231" s="374">
        <v>60</v>
      </c>
      <c r="H231" s="586">
        <v>0.05</v>
      </c>
      <c r="I231" s="587">
        <v>48000</v>
      </c>
      <c r="J231" s="587">
        <f>_xlfn.XLOOKUP(D231,'[7]K.01.1a FA list'!$D$22:$D$348,'[7]K.01.1a FA list'!$M$22:$M$348)</f>
        <v>28120</v>
      </c>
      <c r="K231" s="587">
        <f t="shared" si="11"/>
        <v>9120</v>
      </c>
      <c r="L231" s="587">
        <v>48000</v>
      </c>
      <c r="M231" s="587">
        <f>_xlfn.XLOOKUP(D231,[8]新增资产!$C:$C,[8]新增资产!$L:$L)</f>
        <v>37240</v>
      </c>
      <c r="N231" s="587">
        <v>0</v>
      </c>
      <c r="O231" s="843">
        <f t="shared" si="12"/>
        <v>10760</v>
      </c>
      <c r="P231" s="591" t="str">
        <f t="shared" si="10"/>
        <v>否</v>
      </c>
      <c r="Q231" s="592"/>
    </row>
    <row r="232" s="781" customFormat="1" ht="12.45" spans="1:18">
      <c r="A232" s="828"/>
      <c r="C232" s="584" t="s">
        <v>179</v>
      </c>
      <c r="D232" s="373" t="s">
        <v>753</v>
      </c>
      <c r="E232" s="374" t="s">
        <v>644</v>
      </c>
      <c r="F232" s="374" t="s">
        <v>752</v>
      </c>
      <c r="G232" s="374">
        <v>60</v>
      </c>
      <c r="H232" s="586">
        <v>0.05</v>
      </c>
      <c r="I232" s="587">
        <v>26600</v>
      </c>
      <c r="J232" s="587">
        <f>_xlfn.XLOOKUP(D232,'[7]K.01.1a FA list'!$D$22:$D$348,'[7]K.01.1a FA list'!$M$22:$M$348)</f>
        <v>15583.29</v>
      </c>
      <c r="K232" s="587">
        <f t="shared" si="11"/>
        <v>5054.04</v>
      </c>
      <c r="L232" s="587">
        <v>26600</v>
      </c>
      <c r="M232" s="587">
        <f>_xlfn.XLOOKUP(D232,[8]新增资产!$C:$C,[8]新增资产!$L:$L)</f>
        <v>20637.33</v>
      </c>
      <c r="N232" s="587">
        <v>0</v>
      </c>
      <c r="O232" s="843">
        <f t="shared" si="12"/>
        <v>5962.67</v>
      </c>
      <c r="P232" s="591" t="str">
        <f t="shared" si="10"/>
        <v>否</v>
      </c>
      <c r="Q232" s="592"/>
    </row>
    <row r="233" s="781" customFormat="1" ht="12.45" spans="1:18">
      <c r="A233" s="828"/>
      <c r="C233" s="584" t="s">
        <v>179</v>
      </c>
      <c r="D233" s="373" t="s">
        <v>754</v>
      </c>
      <c r="E233" s="374" t="s">
        <v>755</v>
      </c>
      <c r="F233" s="374" t="s">
        <v>507</v>
      </c>
      <c r="G233" s="374">
        <v>60</v>
      </c>
      <c r="H233" s="586">
        <v>0.05</v>
      </c>
      <c r="I233" s="587">
        <v>21680</v>
      </c>
      <c r="J233" s="587">
        <f>_xlfn.XLOOKUP(D233,'[7]K.01.1a FA list'!$D$22:$D$348,'[7]K.01.1a FA list'!$M$22:$M$348)</f>
        <v>12357.72</v>
      </c>
      <c r="K233" s="587">
        <f t="shared" si="11"/>
        <v>4119.24</v>
      </c>
      <c r="L233" s="587">
        <v>21680</v>
      </c>
      <c r="M233" s="587">
        <f>_xlfn.XLOOKUP(D233,[8]新增资产!$C:$C,[8]新增资产!$L:$L)</f>
        <v>16476.96</v>
      </c>
      <c r="N233" s="587">
        <v>0</v>
      </c>
      <c r="O233" s="843">
        <f t="shared" si="12"/>
        <v>5203.04</v>
      </c>
      <c r="P233" s="591" t="str">
        <f t="shared" si="10"/>
        <v>否</v>
      </c>
      <c r="Q233" s="592"/>
    </row>
    <row r="234" s="781" customFormat="1" ht="12.45" spans="1:18">
      <c r="A234" s="828"/>
      <c r="C234" s="584" t="s">
        <v>179</v>
      </c>
      <c r="D234" s="373" t="s">
        <v>756</v>
      </c>
      <c r="E234" s="374" t="s">
        <v>757</v>
      </c>
      <c r="F234" s="374" t="s">
        <v>515</v>
      </c>
      <c r="G234" s="374">
        <v>60</v>
      </c>
      <c r="H234" s="586">
        <v>0.05</v>
      </c>
      <c r="I234" s="587">
        <v>500000</v>
      </c>
      <c r="J234" s="587">
        <f>_xlfn.XLOOKUP(D234,'[7]K.01.1a FA list'!$D$22:$D$348,'[7]K.01.1a FA list'!$M$22:$M$348)</f>
        <v>269166.78</v>
      </c>
      <c r="K234" s="587">
        <f t="shared" si="11"/>
        <v>95000.04</v>
      </c>
      <c r="L234" s="587">
        <v>500000</v>
      </c>
      <c r="M234" s="587">
        <f>_xlfn.XLOOKUP(D234,[8]新增资产!$C:$C,[8]新增资产!$L:$L)</f>
        <v>364166.82</v>
      </c>
      <c r="N234" s="587">
        <v>0</v>
      </c>
      <c r="O234" s="843">
        <f t="shared" si="12"/>
        <v>135833.18</v>
      </c>
      <c r="P234" s="591" t="str">
        <f t="shared" si="10"/>
        <v>否</v>
      </c>
      <c r="Q234" s="592"/>
    </row>
    <row r="235" s="781" customFormat="1" ht="12.45" spans="1:18">
      <c r="A235" s="828"/>
      <c r="C235" s="584" t="s">
        <v>179</v>
      </c>
      <c r="D235" s="373" t="s">
        <v>758</v>
      </c>
      <c r="E235" s="374" t="s">
        <v>759</v>
      </c>
      <c r="F235" s="374" t="s">
        <v>400</v>
      </c>
      <c r="G235" s="374">
        <v>60</v>
      </c>
      <c r="H235" s="586">
        <v>0.05</v>
      </c>
      <c r="I235" s="587">
        <v>115000</v>
      </c>
      <c r="J235" s="587">
        <f>_xlfn.XLOOKUP(D235,'[7]K.01.1a FA list'!$D$22:$D$348,'[7]K.01.1a FA list'!$M$22:$M$348)</f>
        <v>50983.24</v>
      </c>
      <c r="K235" s="587">
        <f t="shared" si="11"/>
        <v>21849.96</v>
      </c>
      <c r="L235" s="587">
        <v>115000</v>
      </c>
      <c r="M235" s="587">
        <f>_xlfn.XLOOKUP(D235,[8]新增资产!$C:$C,[8]新增资产!$L:$L)</f>
        <v>72833.2</v>
      </c>
      <c r="N235" s="587">
        <v>0</v>
      </c>
      <c r="O235" s="843">
        <f t="shared" si="12"/>
        <v>42166.8</v>
      </c>
      <c r="P235" s="591" t="str">
        <f t="shared" si="10"/>
        <v>否</v>
      </c>
      <c r="Q235" s="592"/>
    </row>
    <row r="236" s="781" customFormat="1" ht="12.45" spans="1:18">
      <c r="A236" s="828"/>
      <c r="C236" s="584" t="s">
        <v>179</v>
      </c>
      <c r="D236" s="373" t="s">
        <v>760</v>
      </c>
      <c r="E236" s="374" t="s">
        <v>761</v>
      </c>
      <c r="F236" s="374" t="s">
        <v>762</v>
      </c>
      <c r="G236" s="374">
        <v>60</v>
      </c>
      <c r="H236" s="586">
        <v>0.05</v>
      </c>
      <c r="I236" s="587">
        <v>11500</v>
      </c>
      <c r="J236" s="587">
        <f>_xlfn.XLOOKUP(D236,'[7]K.01.1a FA list'!$D$22:$D$348,'[7]K.01.1a FA list'!$M$22:$M$348)</f>
        <v>4916.16</v>
      </c>
      <c r="K236" s="587">
        <f t="shared" si="11"/>
        <v>2184.96</v>
      </c>
      <c r="L236" s="587">
        <v>11500</v>
      </c>
      <c r="M236" s="587">
        <f>_xlfn.XLOOKUP(D236,[8]新增资产!$C:$C,[8]新增资产!$L:$L)</f>
        <v>7101.12</v>
      </c>
      <c r="N236" s="587">
        <v>0</v>
      </c>
      <c r="O236" s="843">
        <f t="shared" si="12"/>
        <v>4398.88</v>
      </c>
      <c r="P236" s="591" t="str">
        <f t="shared" si="10"/>
        <v>否</v>
      </c>
      <c r="Q236" s="592"/>
    </row>
    <row r="237" s="781" customFormat="1" ht="12.45" spans="1:18">
      <c r="A237" s="828"/>
      <c r="C237" s="584" t="s">
        <v>179</v>
      </c>
      <c r="D237" s="373" t="s">
        <v>763</v>
      </c>
      <c r="E237" s="374" t="s">
        <v>764</v>
      </c>
      <c r="F237" s="374" t="s">
        <v>765</v>
      </c>
      <c r="G237" s="374">
        <v>60</v>
      </c>
      <c r="H237" s="586">
        <v>0.05</v>
      </c>
      <c r="I237" s="587">
        <v>6800</v>
      </c>
      <c r="J237" s="587">
        <f>_xlfn.XLOOKUP(D237,'[7]K.01.1a FA list'!$D$22:$D$348,'[7]K.01.1a FA list'!$M$22:$M$348)</f>
        <v>3337.77</v>
      </c>
      <c r="K237" s="587">
        <f t="shared" si="11"/>
        <v>1292.04</v>
      </c>
      <c r="L237" s="587">
        <v>6800</v>
      </c>
      <c r="M237" s="587">
        <f>_xlfn.XLOOKUP(D237,[8]新增资产!$C:$C,[8]新增资产!$L:$L)</f>
        <v>4629.81</v>
      </c>
      <c r="N237" s="587">
        <v>0</v>
      </c>
      <c r="O237" s="843">
        <f t="shared" si="12"/>
        <v>2170.19</v>
      </c>
      <c r="P237" s="591" t="str">
        <f t="shared" si="10"/>
        <v>否</v>
      </c>
      <c r="Q237" s="592"/>
    </row>
    <row r="238" s="781" customFormat="1" ht="12.45" spans="1:18">
      <c r="A238" s="828"/>
      <c r="C238" s="584" t="s">
        <v>179</v>
      </c>
      <c r="D238" s="373" t="s">
        <v>766</v>
      </c>
      <c r="E238" s="374" t="s">
        <v>644</v>
      </c>
      <c r="F238" s="374" t="s">
        <v>419</v>
      </c>
      <c r="G238" s="374">
        <v>60</v>
      </c>
      <c r="H238" s="586">
        <v>0.05</v>
      </c>
      <c r="I238" s="587">
        <v>12250</v>
      </c>
      <c r="J238" s="587">
        <f>_xlfn.XLOOKUP(D238,'[7]K.01.1a FA list'!$D$22:$D$348,'[7]K.01.1a FA list'!$M$22:$M$348)</f>
        <v>4655.04</v>
      </c>
      <c r="K238" s="587">
        <f t="shared" si="11"/>
        <v>2327.52</v>
      </c>
      <c r="L238" s="587">
        <v>12250</v>
      </c>
      <c r="M238" s="587">
        <f>_xlfn.XLOOKUP(D238,[8]新增资产!$C:$C,[8]新增资产!$L:$L)</f>
        <v>6982.56</v>
      </c>
      <c r="N238" s="587">
        <v>0</v>
      </c>
      <c r="O238" s="843">
        <f t="shared" si="12"/>
        <v>5267.44</v>
      </c>
      <c r="P238" s="591" t="str">
        <f t="shared" si="10"/>
        <v>否</v>
      </c>
      <c r="Q238" s="592"/>
    </row>
    <row r="239" s="781" customFormat="1" ht="12.45" spans="1:18">
      <c r="A239" s="828"/>
      <c r="C239" s="584" t="s">
        <v>179</v>
      </c>
      <c r="D239" s="373" t="s">
        <v>767</v>
      </c>
      <c r="E239" s="374" t="s">
        <v>768</v>
      </c>
      <c r="F239" s="374" t="s">
        <v>419</v>
      </c>
      <c r="G239" s="374">
        <v>60</v>
      </c>
      <c r="H239" s="586">
        <v>0.05</v>
      </c>
      <c r="I239" s="587">
        <v>350000</v>
      </c>
      <c r="J239" s="587">
        <f>_xlfn.XLOOKUP(D239,'[7]K.01.1a FA list'!$D$22:$D$348,'[7]K.01.1a FA list'!$M$22:$M$348)</f>
        <v>133000.08</v>
      </c>
      <c r="K239" s="587">
        <f t="shared" si="11"/>
        <v>66500.04</v>
      </c>
      <c r="L239" s="587">
        <v>350000</v>
      </c>
      <c r="M239" s="587">
        <f>_xlfn.XLOOKUP(D239,[8]新增资产!$C:$C,[8]新增资产!$L:$L)</f>
        <v>199500.12</v>
      </c>
      <c r="N239" s="587">
        <v>0</v>
      </c>
      <c r="O239" s="843">
        <f t="shared" si="12"/>
        <v>150499.88</v>
      </c>
      <c r="P239" s="591" t="str">
        <f t="shared" si="10"/>
        <v>否</v>
      </c>
      <c r="Q239" s="592"/>
    </row>
    <row r="240" s="781" customFormat="1" ht="12.45" spans="1:18">
      <c r="A240" s="828"/>
      <c r="C240" s="584" t="s">
        <v>179</v>
      </c>
      <c r="D240" s="373" t="s">
        <v>769</v>
      </c>
      <c r="E240" s="374" t="s">
        <v>770</v>
      </c>
      <c r="F240" s="374" t="s">
        <v>771</v>
      </c>
      <c r="G240" s="374">
        <v>60</v>
      </c>
      <c r="H240" s="586">
        <v>0.05</v>
      </c>
      <c r="I240" s="587">
        <v>7800</v>
      </c>
      <c r="J240" s="587">
        <f>_xlfn.XLOOKUP(D240,'[7]K.01.1a FA list'!$D$22:$D$348,'[7]K.01.1a FA list'!$M$22:$M$348)</f>
        <v>2717</v>
      </c>
      <c r="K240" s="587">
        <f t="shared" si="11"/>
        <v>1482</v>
      </c>
      <c r="L240" s="587">
        <v>7800</v>
      </c>
      <c r="M240" s="587">
        <f>_xlfn.XLOOKUP(D240,[8]新增资产!$C:$C,[8]新增资产!$L:$L)</f>
        <v>4199</v>
      </c>
      <c r="N240" s="587">
        <v>0</v>
      </c>
      <c r="O240" s="843">
        <f t="shared" si="12"/>
        <v>3601</v>
      </c>
      <c r="P240" s="591" t="str">
        <f t="shared" si="10"/>
        <v>否</v>
      </c>
      <c r="Q240" s="592"/>
    </row>
    <row r="241" s="781" customFormat="1" ht="12.45" spans="1:18">
      <c r="A241" s="828"/>
      <c r="C241" s="584" t="s">
        <v>179</v>
      </c>
      <c r="D241" s="373" t="s">
        <v>772</v>
      </c>
      <c r="E241" s="374" t="s">
        <v>696</v>
      </c>
      <c r="F241" s="374" t="s">
        <v>428</v>
      </c>
      <c r="G241" s="374">
        <v>60</v>
      </c>
      <c r="H241" s="586">
        <v>0.05</v>
      </c>
      <c r="I241" s="587">
        <v>122000</v>
      </c>
      <c r="J241" s="587">
        <f>_xlfn.XLOOKUP(D241,'[7]K.01.1a FA list'!$D$22:$D$348,'[7]K.01.1a FA list'!$M$22:$M$348)</f>
        <v>40565.07</v>
      </c>
      <c r="K241" s="587">
        <f t="shared" si="11"/>
        <v>23180.04</v>
      </c>
      <c r="L241" s="587">
        <v>122000</v>
      </c>
      <c r="M241" s="587">
        <f>_xlfn.XLOOKUP(D241,[8]新增资产!$C:$C,[8]新增资产!$L:$L)</f>
        <v>63745.11</v>
      </c>
      <c r="N241" s="587">
        <v>0</v>
      </c>
      <c r="O241" s="843">
        <f t="shared" si="12"/>
        <v>58254.89</v>
      </c>
      <c r="P241" s="591" t="str">
        <f t="shared" ref="P241:P302" si="13">IF(ROUND(L241*(1-H241),0)=ROUND(M241,0),"是","否")</f>
        <v>否</v>
      </c>
      <c r="Q241" s="592"/>
    </row>
    <row r="242" s="781" customFormat="1" ht="12.45" spans="1:18">
      <c r="A242" s="828"/>
      <c r="C242" s="584" t="s">
        <v>179</v>
      </c>
      <c r="D242" s="373" t="s">
        <v>773</v>
      </c>
      <c r="E242" s="374" t="s">
        <v>774</v>
      </c>
      <c r="F242" s="374" t="s">
        <v>775</v>
      </c>
      <c r="G242" s="374">
        <v>60</v>
      </c>
      <c r="H242" s="586">
        <v>0.05</v>
      </c>
      <c r="I242" s="587">
        <v>20715</v>
      </c>
      <c r="J242" s="587">
        <f>_xlfn.XLOOKUP(D242,'[7]K.01.1a FA list'!$D$22:$D$348,'[7]K.01.1a FA list'!$M$22:$M$348)</f>
        <v>6231.81</v>
      </c>
      <c r="K242" s="587">
        <f t="shared" si="11"/>
        <v>3935.88</v>
      </c>
      <c r="L242" s="587">
        <v>20715</v>
      </c>
      <c r="M242" s="587">
        <f>_xlfn.XLOOKUP(D242,[8]新增资产!$C:$C,[8]新增资产!$L:$L)</f>
        <v>10167.69</v>
      </c>
      <c r="N242" s="587">
        <v>0</v>
      </c>
      <c r="O242" s="843">
        <f t="shared" si="12"/>
        <v>10547.31</v>
      </c>
      <c r="P242" s="591" t="str">
        <f t="shared" si="13"/>
        <v>否</v>
      </c>
      <c r="Q242" s="592"/>
    </row>
    <row r="243" s="781" customFormat="1" ht="12.45" spans="1:18">
      <c r="A243" s="828"/>
      <c r="C243" s="584" t="s">
        <v>180</v>
      </c>
      <c r="D243" s="373" t="s">
        <v>776</v>
      </c>
      <c r="E243" s="374" t="s">
        <v>777</v>
      </c>
      <c r="F243" s="374" t="s">
        <v>575</v>
      </c>
      <c r="G243" s="374">
        <v>36</v>
      </c>
      <c r="H243" s="586">
        <v>0.05</v>
      </c>
      <c r="I243" s="587">
        <v>3000</v>
      </c>
      <c r="J243" s="587">
        <f>_xlfn.XLOOKUP(D243,'[7]K.01.1a FA list'!$D$22:$D$348,'[7]K.01.1a FA list'!$M$22:$M$348)</f>
        <v>2850</v>
      </c>
      <c r="K243" s="587">
        <f t="shared" si="11"/>
        <v>0</v>
      </c>
      <c r="L243" s="587">
        <v>3000</v>
      </c>
      <c r="M243" s="587">
        <f>_xlfn.XLOOKUP(D243,[8]新增资产!$C:$C,[8]新增资产!$L:$L)</f>
        <v>2850</v>
      </c>
      <c r="N243" s="587">
        <v>0</v>
      </c>
      <c r="O243" s="843">
        <f t="shared" si="12"/>
        <v>150</v>
      </c>
      <c r="P243" s="591" t="str">
        <f t="shared" si="13"/>
        <v>是</v>
      </c>
      <c r="Q243" s="592"/>
      <c r="R243" s="848"/>
    </row>
    <row r="244" s="781" customFormat="1" ht="12.45" spans="1:18">
      <c r="A244" s="828"/>
      <c r="C244" s="584" t="s">
        <v>180</v>
      </c>
      <c r="D244" s="373" t="s">
        <v>778</v>
      </c>
      <c r="E244" s="374" t="s">
        <v>779</v>
      </c>
      <c r="F244" s="374" t="s">
        <v>575</v>
      </c>
      <c r="G244" s="374">
        <v>36</v>
      </c>
      <c r="H244" s="586">
        <v>0.05</v>
      </c>
      <c r="I244" s="587">
        <v>2600</v>
      </c>
      <c r="J244" s="587">
        <f>_xlfn.XLOOKUP(D244,'[7]K.01.1a FA list'!$D$22:$D$348,'[7]K.01.1a FA list'!$M$22:$M$348)</f>
        <v>2470</v>
      </c>
      <c r="K244" s="587">
        <f t="shared" si="11"/>
        <v>0</v>
      </c>
      <c r="L244" s="587">
        <v>2600</v>
      </c>
      <c r="M244" s="587">
        <f>_xlfn.XLOOKUP(D244,[8]新增资产!$C:$C,[8]新增资产!$L:$L)</f>
        <v>2470</v>
      </c>
      <c r="N244" s="587">
        <v>0</v>
      </c>
      <c r="O244" s="843">
        <f t="shared" si="12"/>
        <v>130</v>
      </c>
      <c r="P244" s="591" t="str">
        <f t="shared" si="13"/>
        <v>是</v>
      </c>
      <c r="Q244" s="592"/>
      <c r="R244" s="848"/>
    </row>
    <row r="245" s="781" customFormat="1" ht="12.45" spans="1:18">
      <c r="A245" s="828"/>
      <c r="C245" s="584" t="s">
        <v>180</v>
      </c>
      <c r="D245" s="373" t="s">
        <v>780</v>
      </c>
      <c r="E245" s="374" t="s">
        <v>781</v>
      </c>
      <c r="F245" s="374" t="s">
        <v>575</v>
      </c>
      <c r="G245" s="374">
        <v>36</v>
      </c>
      <c r="H245" s="586">
        <v>0.05</v>
      </c>
      <c r="I245" s="587">
        <v>8000</v>
      </c>
      <c r="J245" s="587">
        <f>_xlfn.XLOOKUP(D245,'[7]K.01.1a FA list'!$D$22:$D$348,'[7]K.01.1a FA list'!$M$22:$M$348)</f>
        <v>7600</v>
      </c>
      <c r="K245" s="587">
        <f t="shared" si="11"/>
        <v>0</v>
      </c>
      <c r="L245" s="587">
        <v>8000</v>
      </c>
      <c r="M245" s="587">
        <f>_xlfn.XLOOKUP(D245,[8]新增资产!$C:$C,[8]新增资产!$L:$L)</f>
        <v>7600</v>
      </c>
      <c r="N245" s="587">
        <v>0</v>
      </c>
      <c r="O245" s="843">
        <f t="shared" si="12"/>
        <v>400</v>
      </c>
      <c r="P245" s="591" t="str">
        <f t="shared" si="13"/>
        <v>是</v>
      </c>
      <c r="Q245" s="592"/>
      <c r="R245" s="848"/>
    </row>
    <row r="246" s="781" customFormat="1" ht="12.45" spans="1:18">
      <c r="A246" s="828"/>
      <c r="C246" s="584" t="s">
        <v>180</v>
      </c>
      <c r="D246" s="373" t="s">
        <v>782</v>
      </c>
      <c r="E246" s="374" t="s">
        <v>783</v>
      </c>
      <c r="F246" s="374" t="s">
        <v>784</v>
      </c>
      <c r="G246" s="374">
        <v>36</v>
      </c>
      <c r="H246" s="586">
        <v>0.05</v>
      </c>
      <c r="I246" s="587">
        <v>5600</v>
      </c>
      <c r="J246" s="587">
        <f>_xlfn.XLOOKUP(D246,'[7]K.01.1a FA list'!$D$22:$D$348,'[7]K.01.1a FA list'!$M$22:$M$348)</f>
        <v>5320</v>
      </c>
      <c r="K246" s="587">
        <f t="shared" si="11"/>
        <v>0</v>
      </c>
      <c r="L246" s="587">
        <v>5600</v>
      </c>
      <c r="M246" s="587">
        <f>_xlfn.XLOOKUP(D246,[8]新增资产!$C:$C,[8]新增资产!$L:$L)</f>
        <v>5320</v>
      </c>
      <c r="N246" s="587">
        <v>0</v>
      </c>
      <c r="O246" s="843">
        <f t="shared" si="12"/>
        <v>280</v>
      </c>
      <c r="P246" s="591" t="str">
        <f t="shared" si="13"/>
        <v>是</v>
      </c>
      <c r="Q246" s="592"/>
      <c r="R246" s="848"/>
    </row>
    <row r="247" s="781" customFormat="1" ht="12.45" spans="1:18">
      <c r="A247" s="828"/>
      <c r="C247" s="584" t="s">
        <v>180</v>
      </c>
      <c r="D247" s="373" t="s">
        <v>785</v>
      </c>
      <c r="E247" s="374" t="s">
        <v>647</v>
      </c>
      <c r="F247" s="374" t="s">
        <v>629</v>
      </c>
      <c r="G247" s="374">
        <v>36</v>
      </c>
      <c r="H247" s="586">
        <v>0.05</v>
      </c>
      <c r="I247" s="587">
        <v>3000</v>
      </c>
      <c r="J247" s="587">
        <f>_xlfn.XLOOKUP(D247,'[7]K.01.1a FA list'!$D$22:$D$348,'[7]K.01.1a FA list'!$M$22:$M$348)</f>
        <v>2850</v>
      </c>
      <c r="K247" s="587">
        <f t="shared" si="11"/>
        <v>0</v>
      </c>
      <c r="L247" s="587">
        <v>3000</v>
      </c>
      <c r="M247" s="587">
        <f>_xlfn.XLOOKUP(D247,[8]新增资产!$C:$C,[8]新增资产!$L:$L)</f>
        <v>2850</v>
      </c>
      <c r="N247" s="587">
        <v>0</v>
      </c>
      <c r="O247" s="843">
        <f t="shared" si="12"/>
        <v>150</v>
      </c>
      <c r="P247" s="591" t="str">
        <f t="shared" si="13"/>
        <v>是</v>
      </c>
      <c r="Q247" s="592"/>
      <c r="R247" s="848"/>
    </row>
    <row r="248" s="781" customFormat="1" ht="12.45" spans="1:18">
      <c r="A248" s="828"/>
      <c r="C248" s="584" t="s">
        <v>180</v>
      </c>
      <c r="D248" s="373" t="s">
        <v>786</v>
      </c>
      <c r="E248" s="374" t="s">
        <v>787</v>
      </c>
      <c r="F248" s="374" t="s">
        <v>788</v>
      </c>
      <c r="G248" s="374">
        <v>36</v>
      </c>
      <c r="H248" s="586">
        <v>0.050001620156183</v>
      </c>
      <c r="I248" s="587">
        <v>2777.51</v>
      </c>
      <c r="J248" s="587">
        <f>_xlfn.XLOOKUP(D248,'[7]K.01.1a FA list'!$D$22:$D$348,'[7]K.01.1a FA list'!$M$22:$M$348)</f>
        <v>2638.63</v>
      </c>
      <c r="K248" s="587">
        <f t="shared" si="11"/>
        <v>0</v>
      </c>
      <c r="L248" s="587">
        <v>2777.51</v>
      </c>
      <c r="M248" s="587">
        <f>_xlfn.XLOOKUP(D248,[8]新增资产!$C:$C,[8]新增资产!$L:$L)</f>
        <v>2638.63</v>
      </c>
      <c r="N248" s="587">
        <v>0</v>
      </c>
      <c r="O248" s="843">
        <f t="shared" si="12"/>
        <v>138.88</v>
      </c>
      <c r="P248" s="591" t="str">
        <f t="shared" si="13"/>
        <v>是</v>
      </c>
      <c r="Q248" s="592"/>
      <c r="R248" s="848"/>
    </row>
    <row r="249" s="781" customFormat="1" ht="12.45" spans="1:18">
      <c r="A249" s="828"/>
      <c r="C249" s="584" t="s">
        <v>180</v>
      </c>
      <c r="D249" s="373" t="s">
        <v>789</v>
      </c>
      <c r="E249" s="374" t="s">
        <v>790</v>
      </c>
      <c r="F249" s="374" t="s">
        <v>308</v>
      </c>
      <c r="G249" s="374">
        <v>36</v>
      </c>
      <c r="H249" s="586">
        <v>0.04</v>
      </c>
      <c r="I249" s="587">
        <v>4600</v>
      </c>
      <c r="J249" s="587">
        <f>_xlfn.XLOOKUP(D249,'[7]K.01.1a FA list'!$D$22:$D$348,'[7]K.01.1a FA list'!$M$22:$M$348)</f>
        <v>4416</v>
      </c>
      <c r="K249" s="587">
        <f t="shared" si="11"/>
        <v>0</v>
      </c>
      <c r="L249" s="587">
        <v>4600</v>
      </c>
      <c r="M249" s="587">
        <f>_xlfn.XLOOKUP(D249,[8]新增资产!$C:$C,[8]新增资产!$L:$L)</f>
        <v>4416</v>
      </c>
      <c r="N249" s="587">
        <v>0</v>
      </c>
      <c r="O249" s="843">
        <f t="shared" si="12"/>
        <v>184</v>
      </c>
      <c r="P249" s="591" t="str">
        <f t="shared" si="13"/>
        <v>是</v>
      </c>
      <c r="Q249" s="592"/>
      <c r="R249" s="848"/>
    </row>
    <row r="250" s="781" customFormat="1" ht="12.45" spans="1:18">
      <c r="A250" s="828"/>
      <c r="C250" s="584" t="s">
        <v>180</v>
      </c>
      <c r="D250" s="373" t="s">
        <v>791</v>
      </c>
      <c r="E250" s="374" t="s">
        <v>792</v>
      </c>
      <c r="F250" s="374" t="s">
        <v>323</v>
      </c>
      <c r="G250" s="374">
        <v>36</v>
      </c>
      <c r="H250" s="586">
        <v>0.04</v>
      </c>
      <c r="I250" s="587">
        <v>2480</v>
      </c>
      <c r="J250" s="587">
        <f>_xlfn.XLOOKUP(D250,'[7]K.01.1a FA list'!$D$22:$D$348,'[7]K.01.1a FA list'!$M$22:$M$348)</f>
        <v>2380.8</v>
      </c>
      <c r="K250" s="587">
        <f t="shared" si="11"/>
        <v>0</v>
      </c>
      <c r="L250" s="587">
        <v>2480</v>
      </c>
      <c r="M250" s="587">
        <f>_xlfn.XLOOKUP(D250,[8]新增资产!$C:$C,[8]新增资产!$L:$L)</f>
        <v>2380.8</v>
      </c>
      <c r="N250" s="587">
        <v>0</v>
      </c>
      <c r="O250" s="843">
        <f t="shared" si="12"/>
        <v>99.1999999999998</v>
      </c>
      <c r="P250" s="591" t="str">
        <f t="shared" si="13"/>
        <v>是</v>
      </c>
      <c r="Q250" s="592"/>
      <c r="R250" s="848"/>
    </row>
    <row r="251" s="781" customFormat="1" ht="12.45" spans="1:18">
      <c r="A251" s="828"/>
      <c r="C251" s="584" t="s">
        <v>180</v>
      </c>
      <c r="D251" s="373" t="s">
        <v>793</v>
      </c>
      <c r="E251" s="374" t="s">
        <v>794</v>
      </c>
      <c r="F251" s="374" t="s">
        <v>795</v>
      </c>
      <c r="G251" s="374">
        <v>48</v>
      </c>
      <c r="H251" s="586">
        <v>0.04</v>
      </c>
      <c r="I251" s="587">
        <v>208000</v>
      </c>
      <c r="J251" s="587">
        <f>_xlfn.XLOOKUP(D251,'[7]K.01.1a FA list'!$D$22:$D$348,'[7]K.01.1a FA list'!$M$22:$M$348)</f>
        <v>199680</v>
      </c>
      <c r="K251" s="587">
        <f t="shared" si="11"/>
        <v>0</v>
      </c>
      <c r="L251" s="587">
        <v>208000</v>
      </c>
      <c r="M251" s="587">
        <f>_xlfn.XLOOKUP(D251,[8]新增资产!$C:$C,[8]新增资产!$L:$L)</f>
        <v>199680</v>
      </c>
      <c r="N251" s="587">
        <v>0</v>
      </c>
      <c r="O251" s="843">
        <f t="shared" si="12"/>
        <v>8320</v>
      </c>
      <c r="P251" s="591" t="str">
        <f t="shared" si="13"/>
        <v>是</v>
      </c>
      <c r="Q251" s="592"/>
      <c r="R251" s="848"/>
    </row>
    <row r="252" s="781" customFormat="1" ht="12.45" spans="1:18">
      <c r="A252" s="828"/>
      <c r="C252" s="584" t="s">
        <v>180</v>
      </c>
      <c r="D252" s="373" t="s">
        <v>796</v>
      </c>
      <c r="E252" s="374" t="s">
        <v>797</v>
      </c>
      <c r="F252" s="374" t="s">
        <v>798</v>
      </c>
      <c r="G252" s="374">
        <v>36</v>
      </c>
      <c r="H252" s="586">
        <v>0.050001620156183</v>
      </c>
      <c r="I252" s="587">
        <v>9300</v>
      </c>
      <c r="J252" s="587">
        <f>_xlfn.XLOOKUP(D252,'[7]K.01.1a FA list'!$D$22:$D$348,'[7]K.01.1a FA list'!$M$22:$M$348)</f>
        <v>8098.86</v>
      </c>
      <c r="K252" s="587">
        <f t="shared" si="11"/>
        <v>736.14</v>
      </c>
      <c r="L252" s="587">
        <v>9300</v>
      </c>
      <c r="M252" s="587">
        <f>_xlfn.XLOOKUP(D252,[8]新增资产!$C:$C,[8]新增资产!$L:$L)</f>
        <v>8835</v>
      </c>
      <c r="N252" s="587">
        <v>0</v>
      </c>
      <c r="O252" s="843">
        <f t="shared" si="12"/>
        <v>465</v>
      </c>
      <c r="P252" s="591" t="str">
        <f t="shared" si="13"/>
        <v>是</v>
      </c>
      <c r="Q252" s="592"/>
    </row>
    <row r="253" s="781" customFormat="1" ht="12.45" spans="1:18">
      <c r="A253" s="828"/>
      <c r="C253" s="584" t="s">
        <v>180</v>
      </c>
      <c r="D253" s="373" t="s">
        <v>799</v>
      </c>
      <c r="E253" s="374" t="s">
        <v>800</v>
      </c>
      <c r="F253" s="374" t="s">
        <v>801</v>
      </c>
      <c r="G253" s="374">
        <v>36</v>
      </c>
      <c r="H253" s="586">
        <v>0.050001620156183</v>
      </c>
      <c r="I253" s="587">
        <v>3076.99</v>
      </c>
      <c r="J253" s="587">
        <f>_xlfn.XLOOKUP(D253,'[7]K.01.1a FA list'!$D$22:$D$348,'[7]K.01.1a FA list'!$M$22:$M$348)</f>
        <v>2436</v>
      </c>
      <c r="K253" s="587">
        <f t="shared" si="11"/>
        <v>487.14</v>
      </c>
      <c r="L253" s="587">
        <v>3076.99</v>
      </c>
      <c r="M253" s="587">
        <f>_xlfn.XLOOKUP(D253,[8]新增资产!$C:$C,[8]新增资产!$L:$L)</f>
        <v>2923.14</v>
      </c>
      <c r="N253" s="587">
        <v>0</v>
      </c>
      <c r="O253" s="843">
        <f t="shared" si="12"/>
        <v>153.85</v>
      </c>
      <c r="P253" s="591" t="str">
        <f t="shared" si="13"/>
        <v>是</v>
      </c>
      <c r="Q253" s="592"/>
    </row>
    <row r="254" s="781" customFormat="1" ht="12.45" spans="1:18">
      <c r="A254" s="828"/>
      <c r="C254" s="584" t="s">
        <v>180</v>
      </c>
      <c r="D254" s="373" t="s">
        <v>802</v>
      </c>
      <c r="E254" s="374" t="s">
        <v>803</v>
      </c>
      <c r="F254" s="374" t="s">
        <v>801</v>
      </c>
      <c r="G254" s="374">
        <v>36</v>
      </c>
      <c r="H254" s="586">
        <v>0.050001620156183</v>
      </c>
      <c r="I254" s="587">
        <v>8384</v>
      </c>
      <c r="J254" s="587">
        <f>_xlfn.XLOOKUP(D254,'[7]K.01.1a FA list'!$D$22:$D$348,'[7]K.01.1a FA list'!$M$22:$M$348)</f>
        <v>6637.2</v>
      </c>
      <c r="K254" s="587">
        <f t="shared" si="11"/>
        <v>1327.6</v>
      </c>
      <c r="L254" s="587">
        <v>8384</v>
      </c>
      <c r="M254" s="587">
        <f>_xlfn.XLOOKUP(D254,[8]新增资产!$C:$C,[8]新增资产!$L:$L)</f>
        <v>7964.8</v>
      </c>
      <c r="N254" s="587">
        <v>0</v>
      </c>
      <c r="O254" s="843">
        <f t="shared" si="12"/>
        <v>419.2</v>
      </c>
      <c r="P254" s="591" t="str">
        <f t="shared" si="13"/>
        <v>是</v>
      </c>
      <c r="Q254" s="592"/>
    </row>
    <row r="255" s="781" customFormat="1" ht="12.45" spans="1:18">
      <c r="A255" s="828"/>
      <c r="C255" s="584" t="s">
        <v>180</v>
      </c>
      <c r="D255" s="373" t="s">
        <v>804</v>
      </c>
      <c r="E255" s="374" t="s">
        <v>805</v>
      </c>
      <c r="F255" s="374" t="s">
        <v>400</v>
      </c>
      <c r="G255" s="374">
        <v>36</v>
      </c>
      <c r="H255" s="586">
        <v>0.050001620156183</v>
      </c>
      <c r="I255" s="587">
        <v>30270</v>
      </c>
      <c r="J255" s="587">
        <f>_xlfn.XLOOKUP(D255,'[7]K.01.1a FA list'!$D$22:$D$348,'[7]K.01.1a FA list'!$M$22:$M$348)</f>
        <v>22366.12</v>
      </c>
      <c r="K255" s="587">
        <f t="shared" si="11"/>
        <v>6390.38</v>
      </c>
      <c r="L255" s="587">
        <v>30270</v>
      </c>
      <c r="M255" s="587">
        <f>_xlfn.XLOOKUP(D255,[8]新增资产!$C:$C,[8]新增资产!$L:$L)</f>
        <v>28756.5</v>
      </c>
      <c r="N255" s="587">
        <v>0</v>
      </c>
      <c r="O255" s="843">
        <f t="shared" si="12"/>
        <v>1513.5</v>
      </c>
      <c r="P255" s="591" t="str">
        <f t="shared" si="13"/>
        <v>否</v>
      </c>
      <c r="Q255" s="592"/>
    </row>
    <row r="256" s="781" customFormat="1" ht="12.45" spans="1:18">
      <c r="A256" s="828"/>
      <c r="C256" s="584" t="s">
        <v>180</v>
      </c>
      <c r="D256" s="373" t="s">
        <v>806</v>
      </c>
      <c r="E256" s="374" t="s">
        <v>807</v>
      </c>
      <c r="F256" s="374" t="s">
        <v>412</v>
      </c>
      <c r="G256" s="374">
        <v>36</v>
      </c>
      <c r="H256" s="586">
        <v>0.050001620156183</v>
      </c>
      <c r="I256" s="587">
        <v>29000</v>
      </c>
      <c r="J256" s="587">
        <f>_xlfn.XLOOKUP(D256,'[7]K.01.1a FA list'!$D$22:$D$348,'[7]K.01.1a FA list'!$M$22:$M$348)</f>
        <v>19132</v>
      </c>
      <c r="K256" s="587">
        <f t="shared" si="11"/>
        <v>8418</v>
      </c>
      <c r="L256" s="587">
        <v>29000</v>
      </c>
      <c r="M256" s="587">
        <f>_xlfn.XLOOKUP(D256,[8]新增资产!$C:$C,[8]新增资产!$L:$L)</f>
        <v>27550</v>
      </c>
      <c r="N256" s="587">
        <v>0</v>
      </c>
      <c r="O256" s="843">
        <f t="shared" si="12"/>
        <v>1450</v>
      </c>
      <c r="P256" s="591" t="str">
        <f t="shared" si="13"/>
        <v>是</v>
      </c>
      <c r="Q256" s="592"/>
    </row>
    <row r="257" s="781" customFormat="1" ht="12.45" spans="1:17">
      <c r="A257" s="828"/>
      <c r="C257" s="584" t="s">
        <v>181</v>
      </c>
      <c r="D257" s="373" t="s">
        <v>808</v>
      </c>
      <c r="E257" s="374" t="s">
        <v>809</v>
      </c>
      <c r="F257" s="374" t="s">
        <v>788</v>
      </c>
      <c r="G257" s="374">
        <v>48</v>
      </c>
      <c r="H257" s="586">
        <v>0.05</v>
      </c>
      <c r="I257" s="587">
        <v>848000</v>
      </c>
      <c r="J257" s="587">
        <f>_xlfn.XLOOKUP(D257,'[7]K.01.1a FA list'!$D$22:$D$348,'[7]K.01.1a FA list'!$M$22:$M$348)</f>
        <v>805600</v>
      </c>
      <c r="K257" s="587">
        <f t="shared" si="11"/>
        <v>0</v>
      </c>
      <c r="L257" s="587">
        <v>848000</v>
      </c>
      <c r="M257" s="587">
        <v>805600</v>
      </c>
      <c r="N257" s="587">
        <v>0</v>
      </c>
      <c r="O257" s="843">
        <f t="shared" si="12"/>
        <v>42400</v>
      </c>
      <c r="P257" s="591" t="str">
        <f t="shared" si="13"/>
        <v>是</v>
      </c>
      <c r="Q257" s="592"/>
    </row>
    <row r="258" s="781" customFormat="1" ht="12.45" spans="1:17">
      <c r="A258" s="828"/>
      <c r="C258" s="584" t="s">
        <v>181</v>
      </c>
      <c r="D258" s="373" t="s">
        <v>810</v>
      </c>
      <c r="E258" s="374" t="s">
        <v>811</v>
      </c>
      <c r="F258" s="374" t="s">
        <v>812</v>
      </c>
      <c r="G258" s="374">
        <v>48</v>
      </c>
      <c r="H258" s="586">
        <v>0.05</v>
      </c>
      <c r="I258" s="587">
        <v>404223.01</v>
      </c>
      <c r="J258" s="587">
        <f>_xlfn.XLOOKUP(D258,'[7]K.01.1a FA list'!$D$22:$D$348,'[7]K.01.1a FA list'!$M$22:$M$348)</f>
        <v>240007.5</v>
      </c>
      <c r="K258" s="587">
        <f t="shared" si="11"/>
        <v>96003</v>
      </c>
      <c r="L258" s="587">
        <v>404223.01</v>
      </c>
      <c r="M258" s="587">
        <v>336010.5</v>
      </c>
      <c r="N258" s="587">
        <v>0</v>
      </c>
      <c r="O258" s="843">
        <f t="shared" si="12"/>
        <v>68212.51</v>
      </c>
      <c r="P258" s="591" t="str">
        <f t="shared" si="13"/>
        <v>否</v>
      </c>
      <c r="Q258" s="592"/>
    </row>
    <row r="259" s="781" customFormat="1" ht="12.45" spans="1:17">
      <c r="A259" s="828"/>
      <c r="C259" s="584" t="s">
        <v>177</v>
      </c>
      <c r="D259" s="373" t="s">
        <v>813</v>
      </c>
      <c r="E259" s="374" t="s">
        <v>814</v>
      </c>
      <c r="F259" s="374" t="s">
        <v>815</v>
      </c>
      <c r="G259" s="374">
        <v>36</v>
      </c>
      <c r="H259" s="586">
        <v>0.05</v>
      </c>
      <c r="I259" s="587">
        <v>1399</v>
      </c>
      <c r="J259" s="587">
        <f>_xlfn.XLOOKUP(D259,'[7]K.01.1a FA list'!$D$22:$D$348,'[7]K.01.1a FA list'!$M$22:$M$348)</f>
        <v>590.72</v>
      </c>
      <c r="K259" s="587">
        <f t="shared" si="11"/>
        <v>443.04</v>
      </c>
      <c r="L259" s="587">
        <v>1399</v>
      </c>
      <c r="M259" s="587">
        <f>_xlfn.XLOOKUP(D259,[8]新增资产!$C:$C,[8]新增资产!$L:$L)</f>
        <v>1033.76</v>
      </c>
      <c r="N259" s="587">
        <v>0</v>
      </c>
      <c r="O259" s="843">
        <f t="shared" si="12"/>
        <v>365.24</v>
      </c>
      <c r="P259" s="591" t="str">
        <f t="shared" si="13"/>
        <v>否</v>
      </c>
      <c r="Q259" s="592"/>
    </row>
    <row r="260" s="781" customFormat="1" ht="12.45" spans="1:17">
      <c r="A260" s="828"/>
      <c r="C260" s="584" t="s">
        <v>178</v>
      </c>
      <c r="D260" s="373" t="s">
        <v>816</v>
      </c>
      <c r="E260" s="374" t="s">
        <v>817</v>
      </c>
      <c r="F260" s="374" t="s">
        <v>818</v>
      </c>
      <c r="G260" s="374">
        <v>36</v>
      </c>
      <c r="H260" s="586">
        <v>0.05</v>
      </c>
      <c r="I260" s="587">
        <v>5399</v>
      </c>
      <c r="J260" s="587">
        <f>_xlfn.XLOOKUP(D260,'[7]K.01.1a FA list'!$D$22:$D$348,'[7]K.01.1a FA list'!$M$22:$M$348)</f>
        <v>2279.52</v>
      </c>
      <c r="K260" s="587">
        <f t="shared" si="11"/>
        <v>1709.64</v>
      </c>
      <c r="L260" s="587">
        <v>5399</v>
      </c>
      <c r="M260" s="587">
        <f>_xlfn.XLOOKUP(D260,[8]新增资产!$C:$C,[8]新增资产!$L:$L)</f>
        <v>3989.16</v>
      </c>
      <c r="N260" s="587">
        <v>0</v>
      </c>
      <c r="O260" s="843">
        <f t="shared" si="12"/>
        <v>1409.84</v>
      </c>
      <c r="P260" s="591" t="str">
        <f t="shared" si="13"/>
        <v>否</v>
      </c>
      <c r="Q260" s="592"/>
    </row>
    <row r="261" s="781" customFormat="1" ht="12.45" spans="1:17">
      <c r="A261" s="828"/>
      <c r="C261" s="584" t="s">
        <v>178</v>
      </c>
      <c r="D261" s="373" t="s">
        <v>819</v>
      </c>
      <c r="E261" s="374" t="s">
        <v>820</v>
      </c>
      <c r="F261" s="374" t="s">
        <v>818</v>
      </c>
      <c r="G261" s="374">
        <v>36</v>
      </c>
      <c r="H261" s="586">
        <v>0.05</v>
      </c>
      <c r="I261" s="587">
        <v>13000</v>
      </c>
      <c r="J261" s="587">
        <f>_xlfn.XLOOKUP(D261,'[7]K.01.1a FA list'!$D$22:$D$348,'[7]K.01.1a FA list'!$M$22:$M$348)</f>
        <v>5488.96</v>
      </c>
      <c r="K261" s="587">
        <f t="shared" si="11"/>
        <v>4116.72</v>
      </c>
      <c r="L261" s="587">
        <v>13000</v>
      </c>
      <c r="M261" s="587">
        <f>_xlfn.XLOOKUP(D261,[8]新增资产!$C:$C,[8]新增资产!$L:$L)</f>
        <v>9605.68</v>
      </c>
      <c r="N261" s="587">
        <v>0</v>
      </c>
      <c r="O261" s="843">
        <f t="shared" si="12"/>
        <v>3394.32</v>
      </c>
      <c r="P261" s="591" t="str">
        <f t="shared" si="13"/>
        <v>否</v>
      </c>
      <c r="Q261" s="592"/>
    </row>
    <row r="262" s="781" customFormat="1" ht="12.45" spans="1:17">
      <c r="A262" s="828"/>
      <c r="C262" s="584" t="s">
        <v>178</v>
      </c>
      <c r="D262" s="373" t="s">
        <v>821</v>
      </c>
      <c r="E262" s="374" t="s">
        <v>822</v>
      </c>
      <c r="F262" s="374" t="s">
        <v>823</v>
      </c>
      <c r="G262" s="374">
        <v>36</v>
      </c>
      <c r="H262" s="586">
        <v>0.05</v>
      </c>
      <c r="I262" s="587">
        <v>5199</v>
      </c>
      <c r="J262" s="587">
        <f>_xlfn.XLOOKUP(D262,'[7]K.01.1a FA list'!$D$22:$D$348,'[7]K.01.1a FA list'!$M$22:$M$348)</f>
        <v>2195.2</v>
      </c>
      <c r="K262" s="587">
        <f t="shared" si="11"/>
        <v>1646.4</v>
      </c>
      <c r="L262" s="587">
        <v>5199</v>
      </c>
      <c r="M262" s="587">
        <f>_xlfn.XLOOKUP(D262,[8]新增资产!$C:$C,[8]新增资产!$L:$L)</f>
        <v>3841.6</v>
      </c>
      <c r="N262" s="587">
        <v>0</v>
      </c>
      <c r="O262" s="843">
        <f t="shared" si="12"/>
        <v>1357.4</v>
      </c>
      <c r="P262" s="591" t="str">
        <f t="shared" si="13"/>
        <v>否</v>
      </c>
      <c r="Q262" s="592"/>
    </row>
    <row r="263" s="781" customFormat="1" ht="12.45" spans="1:17">
      <c r="A263" s="828"/>
      <c r="C263" s="584" t="s">
        <v>178</v>
      </c>
      <c r="D263" s="373" t="s">
        <v>824</v>
      </c>
      <c r="E263" s="374" t="s">
        <v>825</v>
      </c>
      <c r="F263" s="374" t="s">
        <v>823</v>
      </c>
      <c r="G263" s="374">
        <v>36</v>
      </c>
      <c r="H263" s="586">
        <v>0.05</v>
      </c>
      <c r="I263" s="587">
        <v>1569</v>
      </c>
      <c r="J263" s="587">
        <f>_xlfn.XLOOKUP(D263,'[7]K.01.1a FA list'!$D$22:$D$348,'[7]K.01.1a FA list'!$M$22:$M$348)</f>
        <v>662.4</v>
      </c>
      <c r="K263" s="587">
        <f t="shared" si="11"/>
        <v>496.8</v>
      </c>
      <c r="L263" s="587">
        <v>1569</v>
      </c>
      <c r="M263" s="587">
        <f>_xlfn.XLOOKUP(D263,[8]新增资产!$C:$C,[8]新增资产!$L:$L)</f>
        <v>1159.2</v>
      </c>
      <c r="N263" s="587">
        <v>0</v>
      </c>
      <c r="O263" s="843">
        <f t="shared" si="12"/>
        <v>409.8</v>
      </c>
      <c r="P263" s="591" t="str">
        <f t="shared" si="13"/>
        <v>否</v>
      </c>
      <c r="Q263" s="592"/>
    </row>
    <row r="264" s="781" customFormat="1" ht="12.45" spans="1:17">
      <c r="A264" s="828"/>
      <c r="C264" s="584" t="s">
        <v>178</v>
      </c>
      <c r="D264" s="373" t="s">
        <v>826</v>
      </c>
      <c r="E264" s="374" t="s">
        <v>827</v>
      </c>
      <c r="F264" s="374" t="s">
        <v>828</v>
      </c>
      <c r="G264" s="374">
        <v>36</v>
      </c>
      <c r="H264" s="586">
        <v>0.05</v>
      </c>
      <c r="I264" s="587">
        <v>6276</v>
      </c>
      <c r="J264" s="587">
        <f>_xlfn.XLOOKUP(D264,'[7]K.01.1a FA list'!$D$22:$D$348,'[7]K.01.1a FA list'!$M$22:$M$348)</f>
        <v>2484.3</v>
      </c>
      <c r="K264" s="587">
        <f t="shared" si="11"/>
        <v>1987.44</v>
      </c>
      <c r="L264" s="587">
        <v>6276</v>
      </c>
      <c r="M264" s="587">
        <f>_xlfn.XLOOKUP(D264,[8]新增资产!$C:$C,[8]新增资产!$L:$L)</f>
        <v>4471.74</v>
      </c>
      <c r="N264" s="587">
        <v>0</v>
      </c>
      <c r="O264" s="843">
        <f t="shared" si="12"/>
        <v>1804.26</v>
      </c>
      <c r="P264" s="591" t="str">
        <f t="shared" si="13"/>
        <v>否</v>
      </c>
      <c r="Q264" s="592"/>
    </row>
    <row r="265" s="781" customFormat="1" ht="12.45" spans="1:17">
      <c r="A265" s="828"/>
      <c r="C265" s="584" t="s">
        <v>178</v>
      </c>
      <c r="D265" s="373" t="s">
        <v>829</v>
      </c>
      <c r="E265" s="374" t="s">
        <v>470</v>
      </c>
      <c r="F265" s="374" t="s">
        <v>830</v>
      </c>
      <c r="G265" s="374">
        <v>36</v>
      </c>
      <c r="H265" s="586">
        <v>0.05</v>
      </c>
      <c r="I265" s="587">
        <v>30000</v>
      </c>
      <c r="J265" s="587">
        <f>_xlfn.XLOOKUP(D265,'[7]K.01.1a FA list'!$D$22:$D$348,'[7]K.01.1a FA list'!$M$22:$M$348)</f>
        <v>11875.05</v>
      </c>
      <c r="K265" s="587">
        <f t="shared" si="11"/>
        <v>9500.04</v>
      </c>
      <c r="L265" s="587">
        <v>30000</v>
      </c>
      <c r="M265" s="587">
        <f>_xlfn.XLOOKUP(D265,[8]新增资产!$C:$C,[8]新增资产!$L:$L)</f>
        <v>21375.09</v>
      </c>
      <c r="N265" s="587">
        <v>0</v>
      </c>
      <c r="O265" s="843">
        <f t="shared" si="12"/>
        <v>8624.91</v>
      </c>
      <c r="P265" s="591" t="str">
        <f t="shared" si="13"/>
        <v>否</v>
      </c>
      <c r="Q265" s="592"/>
    </row>
    <row r="266" s="781" customFormat="1" ht="12.45" spans="1:17">
      <c r="A266" s="828"/>
      <c r="C266" s="584" t="s">
        <v>178</v>
      </c>
      <c r="D266" s="373" t="s">
        <v>831</v>
      </c>
      <c r="E266" s="374" t="s">
        <v>832</v>
      </c>
      <c r="F266" s="374" t="s">
        <v>830</v>
      </c>
      <c r="G266" s="374">
        <v>36</v>
      </c>
      <c r="H266" s="586">
        <v>0.05</v>
      </c>
      <c r="I266" s="587">
        <v>86560</v>
      </c>
      <c r="J266" s="587">
        <f>_xlfn.XLOOKUP(D266,'[7]K.01.1a FA list'!$D$22:$D$348,'[7]K.01.1a FA list'!$M$22:$M$348)</f>
        <v>34263.3</v>
      </c>
      <c r="K266" s="587">
        <f t="shared" si="11"/>
        <v>27410.64</v>
      </c>
      <c r="L266" s="587">
        <v>86560</v>
      </c>
      <c r="M266" s="587">
        <f>_xlfn.XLOOKUP(D266,[8]新增资产!$C:$C,[8]新增资产!$L:$L)</f>
        <v>61673.94</v>
      </c>
      <c r="N266" s="587">
        <v>0</v>
      </c>
      <c r="O266" s="843">
        <f t="shared" si="12"/>
        <v>24886.06</v>
      </c>
      <c r="P266" s="591" t="str">
        <f t="shared" si="13"/>
        <v>否</v>
      </c>
      <c r="Q266" s="592"/>
    </row>
    <row r="267" s="781" customFormat="1" ht="12.45" spans="1:17">
      <c r="A267" s="828"/>
      <c r="C267" s="584" t="s">
        <v>178</v>
      </c>
      <c r="D267" s="373" t="s">
        <v>833</v>
      </c>
      <c r="E267" s="374" t="s">
        <v>834</v>
      </c>
      <c r="F267" s="374" t="s">
        <v>830</v>
      </c>
      <c r="G267" s="374">
        <v>36</v>
      </c>
      <c r="H267" s="586">
        <v>0.05</v>
      </c>
      <c r="I267" s="587">
        <v>29600</v>
      </c>
      <c r="J267" s="587">
        <f>_xlfn.XLOOKUP(D267,'[7]K.01.1a FA list'!$D$22:$D$348,'[7]K.01.1a FA list'!$M$22:$M$348)</f>
        <v>11716.65</v>
      </c>
      <c r="K267" s="587">
        <f t="shared" si="11"/>
        <v>9373.32</v>
      </c>
      <c r="L267" s="587">
        <v>29600</v>
      </c>
      <c r="M267" s="587">
        <f>_xlfn.XLOOKUP(D267,[8]新增资产!$C:$C,[8]新增资产!$L:$L)</f>
        <v>21089.97</v>
      </c>
      <c r="N267" s="587">
        <v>0</v>
      </c>
      <c r="O267" s="843">
        <f t="shared" si="12"/>
        <v>8510.03</v>
      </c>
      <c r="P267" s="591" t="str">
        <f t="shared" si="13"/>
        <v>否</v>
      </c>
      <c r="Q267" s="592"/>
    </row>
    <row r="268" s="781" customFormat="1" ht="12.45" spans="1:17">
      <c r="A268" s="828"/>
      <c r="C268" s="584" t="s">
        <v>178</v>
      </c>
      <c r="D268" s="373" t="s">
        <v>835</v>
      </c>
      <c r="E268" s="374" t="s">
        <v>836</v>
      </c>
      <c r="F268" s="374" t="s">
        <v>830</v>
      </c>
      <c r="G268" s="374">
        <v>36</v>
      </c>
      <c r="H268" s="586">
        <v>0.05</v>
      </c>
      <c r="I268" s="587">
        <v>43534</v>
      </c>
      <c r="J268" s="587">
        <f>_xlfn.XLOOKUP(D268,'[7]K.01.1a FA list'!$D$22:$D$348,'[7]K.01.1a FA list'!$M$22:$M$348)</f>
        <v>17232.15</v>
      </c>
      <c r="K268" s="587">
        <f t="shared" si="11"/>
        <v>13785.72</v>
      </c>
      <c r="L268" s="587">
        <v>43534</v>
      </c>
      <c r="M268" s="587">
        <f>_xlfn.XLOOKUP(D268,[8]新增资产!$C:$C,[8]新增资产!$L:$L)</f>
        <v>31017.87</v>
      </c>
      <c r="N268" s="587">
        <v>0</v>
      </c>
      <c r="O268" s="843">
        <f t="shared" si="12"/>
        <v>12516.13</v>
      </c>
      <c r="P268" s="591" t="str">
        <f t="shared" si="13"/>
        <v>否</v>
      </c>
      <c r="Q268" s="592"/>
    </row>
    <row r="269" s="781" customFormat="1" ht="12.45" spans="1:17">
      <c r="A269" s="828"/>
      <c r="C269" s="584" t="s">
        <v>178</v>
      </c>
      <c r="D269" s="373" t="s">
        <v>837</v>
      </c>
      <c r="E269" s="374" t="s">
        <v>838</v>
      </c>
      <c r="F269" s="374" t="s">
        <v>839</v>
      </c>
      <c r="G269" s="374">
        <v>36</v>
      </c>
      <c r="H269" s="586">
        <v>0.05</v>
      </c>
      <c r="I269" s="587">
        <v>3779</v>
      </c>
      <c r="J269" s="587">
        <f>_xlfn.XLOOKUP(D269,'[7]K.01.1a FA list'!$D$22:$D$348,'[7]K.01.1a FA list'!$M$22:$M$348)</f>
        <v>1495.8</v>
      </c>
      <c r="K269" s="587">
        <f t="shared" si="11"/>
        <v>1196.64</v>
      </c>
      <c r="L269" s="587">
        <v>3779</v>
      </c>
      <c r="M269" s="587">
        <f>_xlfn.XLOOKUP(D269,[8]新增资产!$C:$C,[8]新增资产!$L:$L)</f>
        <v>2692.44</v>
      </c>
      <c r="N269" s="587">
        <v>0</v>
      </c>
      <c r="O269" s="843">
        <f t="shared" si="12"/>
        <v>1086.56</v>
      </c>
      <c r="P269" s="591" t="str">
        <f t="shared" si="13"/>
        <v>否</v>
      </c>
      <c r="Q269" s="592"/>
    </row>
    <row r="270" s="781" customFormat="1" ht="12.45" spans="1:17">
      <c r="A270" s="828"/>
      <c r="C270" s="584" t="s">
        <v>178</v>
      </c>
      <c r="D270" s="373" t="s">
        <v>840</v>
      </c>
      <c r="E270" s="374" t="s">
        <v>841</v>
      </c>
      <c r="F270" s="374" t="s">
        <v>842</v>
      </c>
      <c r="G270" s="374">
        <v>36</v>
      </c>
      <c r="H270" s="586">
        <v>0.05</v>
      </c>
      <c r="I270" s="587">
        <v>17400</v>
      </c>
      <c r="J270" s="587">
        <f>_xlfn.XLOOKUP(D270,'[7]K.01.1a FA list'!$D$22:$D$348,'[7]K.01.1a FA list'!$M$22:$M$348)</f>
        <v>6428.38</v>
      </c>
      <c r="K270" s="587">
        <f t="shared" si="11"/>
        <v>5510.04</v>
      </c>
      <c r="L270" s="587">
        <v>17400</v>
      </c>
      <c r="M270" s="587">
        <f>_xlfn.XLOOKUP(D270,[8]新增资产!$C:$C,[8]新增资产!$L:$L)</f>
        <v>11938.42</v>
      </c>
      <c r="N270" s="587">
        <v>0</v>
      </c>
      <c r="O270" s="843">
        <f t="shared" si="12"/>
        <v>5461.58</v>
      </c>
      <c r="P270" s="591" t="str">
        <f t="shared" si="13"/>
        <v>否</v>
      </c>
      <c r="Q270" s="592"/>
    </row>
    <row r="271" s="781" customFormat="1" ht="12.45" spans="1:17">
      <c r="A271" s="828"/>
      <c r="C271" s="584" t="s">
        <v>178</v>
      </c>
      <c r="D271" s="373" t="s">
        <v>843</v>
      </c>
      <c r="E271" s="374" t="s">
        <v>844</v>
      </c>
      <c r="F271" s="374" t="s">
        <v>842</v>
      </c>
      <c r="G271" s="374">
        <v>36</v>
      </c>
      <c r="H271" s="586">
        <v>0.05</v>
      </c>
      <c r="I271" s="587">
        <v>4398</v>
      </c>
      <c r="J271" s="587">
        <f>_xlfn.XLOOKUP(D271,'[7]K.01.1a FA list'!$D$22:$D$348,'[7]K.01.1a FA list'!$M$22:$M$348)</f>
        <v>1624.84</v>
      </c>
      <c r="K271" s="587">
        <f t="shared" si="11"/>
        <v>1392.72</v>
      </c>
      <c r="L271" s="587">
        <v>4398</v>
      </c>
      <c r="M271" s="587">
        <f>_xlfn.XLOOKUP(D271,[8]新增资产!$C:$C,[8]新增资产!$L:$L)</f>
        <v>3017.56</v>
      </c>
      <c r="N271" s="587">
        <v>0</v>
      </c>
      <c r="O271" s="843">
        <f t="shared" si="12"/>
        <v>1380.44</v>
      </c>
      <c r="P271" s="591" t="str">
        <f t="shared" si="13"/>
        <v>否</v>
      </c>
      <c r="Q271" s="592"/>
    </row>
    <row r="272" s="781" customFormat="1" ht="12.45" spans="1:17">
      <c r="A272" s="828"/>
      <c r="C272" s="584" t="s">
        <v>178</v>
      </c>
      <c r="D272" s="373" t="s">
        <v>845</v>
      </c>
      <c r="E272" s="374" t="s">
        <v>470</v>
      </c>
      <c r="F272" s="374" t="s">
        <v>846</v>
      </c>
      <c r="G272" s="374">
        <v>36</v>
      </c>
      <c r="H272" s="586">
        <v>0.05</v>
      </c>
      <c r="I272" s="587">
        <v>11700</v>
      </c>
      <c r="J272" s="587">
        <f>_xlfn.XLOOKUP(D272,'[7]K.01.1a FA list'!$D$22:$D$348,'[7]K.01.1a FA list'!$M$22:$M$348)</f>
        <v>4013.75</v>
      </c>
      <c r="K272" s="587">
        <f t="shared" si="11"/>
        <v>3705</v>
      </c>
      <c r="L272" s="587">
        <v>11700</v>
      </c>
      <c r="M272" s="587">
        <f>_xlfn.XLOOKUP(D272,[8]新增资产!$C:$C,[8]新增资产!$L:$L)</f>
        <v>7718.75</v>
      </c>
      <c r="N272" s="587">
        <v>0</v>
      </c>
      <c r="O272" s="843">
        <f t="shared" si="12"/>
        <v>3981.25</v>
      </c>
      <c r="P272" s="591" t="str">
        <f t="shared" si="13"/>
        <v>否</v>
      </c>
      <c r="Q272" s="592"/>
    </row>
    <row r="273" s="781" customFormat="1" ht="12.45" spans="1:17">
      <c r="A273" s="828"/>
      <c r="C273" s="584" t="s">
        <v>178</v>
      </c>
      <c r="D273" s="373" t="s">
        <v>847</v>
      </c>
      <c r="E273" s="374" t="s">
        <v>848</v>
      </c>
      <c r="F273" s="374" t="s">
        <v>849</v>
      </c>
      <c r="G273" s="374">
        <v>36</v>
      </c>
      <c r="H273" s="586">
        <v>0.05</v>
      </c>
      <c r="I273" s="587">
        <v>11114</v>
      </c>
      <c r="J273" s="587">
        <f>_xlfn.XLOOKUP(D273,'[7]K.01.1a FA list'!$D$22:$D$348,'[7]K.01.1a FA list'!$M$22:$M$348)</f>
        <v>3812.77</v>
      </c>
      <c r="K273" s="587">
        <f t="shared" si="11"/>
        <v>3519.48</v>
      </c>
      <c r="L273" s="587">
        <v>11114</v>
      </c>
      <c r="M273" s="587">
        <f>_xlfn.XLOOKUP(D273,[8]新增资产!$C:$C,[8]新增资产!$L:$L)</f>
        <v>7332.25</v>
      </c>
      <c r="N273" s="587">
        <v>0</v>
      </c>
      <c r="O273" s="843">
        <f t="shared" si="12"/>
        <v>3781.75</v>
      </c>
      <c r="P273" s="591" t="str">
        <f t="shared" si="13"/>
        <v>否</v>
      </c>
      <c r="Q273" s="592"/>
    </row>
    <row r="274" s="781" customFormat="1" ht="12.45" spans="1:17">
      <c r="A274" s="828"/>
      <c r="C274" s="584" t="s">
        <v>178</v>
      </c>
      <c r="D274" s="373" t="s">
        <v>850</v>
      </c>
      <c r="E274" s="374" t="s">
        <v>848</v>
      </c>
      <c r="F274" s="374" t="s">
        <v>849</v>
      </c>
      <c r="G274" s="374">
        <v>36</v>
      </c>
      <c r="H274" s="586">
        <v>0.05</v>
      </c>
      <c r="I274" s="587">
        <v>2718</v>
      </c>
      <c r="J274" s="587">
        <f>_xlfn.XLOOKUP(D274,'[7]K.01.1a FA list'!$D$22:$D$348,'[7]K.01.1a FA list'!$M$22:$M$348)</f>
        <v>932.49</v>
      </c>
      <c r="K274" s="587">
        <f t="shared" ref="K274:K330" si="14">M274-J274</f>
        <v>860.76</v>
      </c>
      <c r="L274" s="587">
        <v>2718</v>
      </c>
      <c r="M274" s="587">
        <f>_xlfn.XLOOKUP(D274,[8]新增资产!$C:$C,[8]新增资产!$L:$L)</f>
        <v>1793.25</v>
      </c>
      <c r="N274" s="587">
        <v>0</v>
      </c>
      <c r="O274" s="843">
        <f t="shared" ref="O274:O329" si="15">L274-M274</f>
        <v>924.75</v>
      </c>
      <c r="P274" s="591" t="str">
        <f t="shared" si="13"/>
        <v>否</v>
      </c>
      <c r="Q274" s="592"/>
    </row>
    <row r="275" s="781" customFormat="1" ht="12.45" spans="1:17">
      <c r="A275" s="828"/>
      <c r="C275" s="584" t="s">
        <v>178</v>
      </c>
      <c r="D275" s="373" t="s">
        <v>851</v>
      </c>
      <c r="E275" s="374" t="s">
        <v>852</v>
      </c>
      <c r="F275" s="374" t="s">
        <v>849</v>
      </c>
      <c r="G275" s="374">
        <v>36</v>
      </c>
      <c r="H275" s="586">
        <v>0.05</v>
      </c>
      <c r="I275" s="587">
        <v>1765</v>
      </c>
      <c r="J275" s="587">
        <f>_xlfn.XLOOKUP(D275,'[7]K.01.1a FA list'!$D$22:$D$348,'[7]K.01.1a FA list'!$M$22:$M$348)</f>
        <v>605.54</v>
      </c>
      <c r="K275" s="587">
        <f t="shared" si="14"/>
        <v>558.96</v>
      </c>
      <c r="L275" s="587">
        <v>1765</v>
      </c>
      <c r="M275" s="587">
        <f>_xlfn.XLOOKUP(D275,[8]新增资产!$C:$C,[8]新增资产!$L:$L)</f>
        <v>1164.5</v>
      </c>
      <c r="N275" s="587">
        <v>0</v>
      </c>
      <c r="O275" s="843">
        <f t="shared" si="15"/>
        <v>600.5</v>
      </c>
      <c r="P275" s="591" t="str">
        <f t="shared" si="13"/>
        <v>否</v>
      </c>
      <c r="Q275" s="592"/>
    </row>
    <row r="276" s="781" customFormat="1" ht="12.45" spans="1:17">
      <c r="A276" s="828"/>
      <c r="C276" s="584" t="s">
        <v>178</v>
      </c>
      <c r="D276" s="373" t="s">
        <v>853</v>
      </c>
      <c r="E276" s="374" t="s">
        <v>848</v>
      </c>
      <c r="F276" s="374" t="s">
        <v>849</v>
      </c>
      <c r="G276" s="374">
        <v>36</v>
      </c>
      <c r="H276" s="586">
        <v>0.05</v>
      </c>
      <c r="I276" s="587">
        <v>1854</v>
      </c>
      <c r="J276" s="587">
        <f>_xlfn.XLOOKUP(D276,'[7]K.01.1a FA list'!$D$22:$D$348,'[7]K.01.1a FA list'!$M$22:$M$348)</f>
        <v>636.09</v>
      </c>
      <c r="K276" s="587">
        <f t="shared" si="14"/>
        <v>587.16</v>
      </c>
      <c r="L276" s="587">
        <v>1854</v>
      </c>
      <c r="M276" s="587">
        <f>_xlfn.XLOOKUP(D276,[8]新增资产!$C:$C,[8]新增资产!$L:$L)</f>
        <v>1223.25</v>
      </c>
      <c r="N276" s="587">
        <v>0</v>
      </c>
      <c r="O276" s="843">
        <f t="shared" si="15"/>
        <v>630.75</v>
      </c>
      <c r="P276" s="591" t="str">
        <f t="shared" si="13"/>
        <v>否</v>
      </c>
      <c r="Q276" s="592"/>
    </row>
    <row r="277" s="781" customFormat="1" ht="12.45" spans="1:17">
      <c r="A277" s="828"/>
      <c r="C277" s="584" t="s">
        <v>178</v>
      </c>
      <c r="D277" s="373" t="s">
        <v>854</v>
      </c>
      <c r="E277" s="374" t="s">
        <v>855</v>
      </c>
      <c r="F277" s="374" t="s">
        <v>849</v>
      </c>
      <c r="G277" s="374">
        <v>36</v>
      </c>
      <c r="H277" s="586">
        <v>0.05</v>
      </c>
      <c r="I277" s="587">
        <v>5832</v>
      </c>
      <c r="J277" s="587">
        <f>_xlfn.XLOOKUP(D277,'[7]K.01.1a FA list'!$D$22:$D$348,'[7]K.01.1a FA list'!$M$22:$M$348)</f>
        <v>2000.7</v>
      </c>
      <c r="K277" s="587">
        <f t="shared" si="14"/>
        <v>1846.8</v>
      </c>
      <c r="L277" s="587">
        <v>5832</v>
      </c>
      <c r="M277" s="587">
        <f>_xlfn.XLOOKUP(D277,[8]新增资产!$C:$C,[8]新增资产!$L:$L)</f>
        <v>3847.5</v>
      </c>
      <c r="N277" s="587">
        <v>0</v>
      </c>
      <c r="O277" s="843">
        <f t="shared" si="15"/>
        <v>1984.5</v>
      </c>
      <c r="P277" s="591" t="str">
        <f t="shared" si="13"/>
        <v>否</v>
      </c>
      <c r="Q277" s="592"/>
    </row>
    <row r="278" s="781" customFormat="1" ht="12.45" spans="1:17">
      <c r="A278" s="828"/>
      <c r="C278" s="584" t="s">
        <v>178</v>
      </c>
      <c r="D278" s="373" t="s">
        <v>856</v>
      </c>
      <c r="E278" s="374" t="s">
        <v>857</v>
      </c>
      <c r="F278" s="374" t="s">
        <v>858</v>
      </c>
      <c r="G278" s="374">
        <v>36</v>
      </c>
      <c r="H278" s="586">
        <v>0.05</v>
      </c>
      <c r="I278" s="587">
        <v>12840</v>
      </c>
      <c r="J278" s="587">
        <f>_xlfn.XLOOKUP(D278,'[7]K.01.1a FA list'!$D$22:$D$348,'[7]K.01.1a FA list'!$M$22:$M$348)</f>
        <v>4065.96</v>
      </c>
      <c r="K278" s="587">
        <f t="shared" si="14"/>
        <v>4065.96</v>
      </c>
      <c r="L278" s="587">
        <v>12840</v>
      </c>
      <c r="M278" s="587">
        <f>_xlfn.XLOOKUP(D278,[8]新增资产!$C:$C,[8]新增资产!$L:$L)</f>
        <v>8131.92</v>
      </c>
      <c r="N278" s="587">
        <v>0</v>
      </c>
      <c r="O278" s="843">
        <f t="shared" si="15"/>
        <v>4708.08</v>
      </c>
      <c r="P278" s="591" t="str">
        <f t="shared" si="13"/>
        <v>否</v>
      </c>
      <c r="Q278" s="592"/>
    </row>
    <row r="279" s="781" customFormat="1" ht="12.45" spans="1:17">
      <c r="A279" s="828"/>
      <c r="C279" s="584" t="s">
        <v>178</v>
      </c>
      <c r="D279" s="373" t="s">
        <v>859</v>
      </c>
      <c r="E279" s="374" t="s">
        <v>860</v>
      </c>
      <c r="F279" s="374" t="s">
        <v>858</v>
      </c>
      <c r="G279" s="374">
        <v>36</v>
      </c>
      <c r="H279" s="586">
        <v>0.05</v>
      </c>
      <c r="I279" s="587">
        <v>5700</v>
      </c>
      <c r="J279" s="587">
        <f>_xlfn.XLOOKUP(D279,'[7]K.01.1a FA list'!$D$22:$D$348,'[7]K.01.1a FA list'!$M$22:$M$348)</f>
        <v>1805.04</v>
      </c>
      <c r="K279" s="587">
        <f t="shared" si="14"/>
        <v>1805.04</v>
      </c>
      <c r="L279" s="587">
        <v>5700</v>
      </c>
      <c r="M279" s="587">
        <f>_xlfn.XLOOKUP(D279,[8]新增资产!$C:$C,[8]新增资产!$L:$L)</f>
        <v>3610.08</v>
      </c>
      <c r="N279" s="587">
        <v>0</v>
      </c>
      <c r="O279" s="843">
        <f t="shared" si="15"/>
        <v>2089.92</v>
      </c>
      <c r="P279" s="591" t="str">
        <f t="shared" si="13"/>
        <v>否</v>
      </c>
      <c r="Q279" s="592"/>
    </row>
    <row r="280" s="781" customFormat="1" ht="12.45" spans="1:17">
      <c r="A280" s="828"/>
      <c r="C280" s="584" t="s">
        <v>178</v>
      </c>
      <c r="D280" s="373" t="s">
        <v>861</v>
      </c>
      <c r="E280" s="374" t="s">
        <v>862</v>
      </c>
      <c r="F280" s="374" t="s">
        <v>858</v>
      </c>
      <c r="G280" s="374">
        <v>36</v>
      </c>
      <c r="H280" s="586">
        <v>0.05</v>
      </c>
      <c r="I280" s="587">
        <v>33550</v>
      </c>
      <c r="J280" s="587">
        <f>_xlfn.XLOOKUP(D280,'[7]K.01.1a FA list'!$D$22:$D$348,'[7]K.01.1a FA list'!$M$22:$M$348)</f>
        <v>10624.2</v>
      </c>
      <c r="K280" s="587">
        <f t="shared" si="14"/>
        <v>10624.2</v>
      </c>
      <c r="L280" s="587">
        <v>33550</v>
      </c>
      <c r="M280" s="587">
        <f>_xlfn.XLOOKUP(D280,[8]新增资产!$C:$C,[8]新增资产!$L:$L)</f>
        <v>21248.4</v>
      </c>
      <c r="N280" s="587">
        <v>0</v>
      </c>
      <c r="O280" s="843">
        <f t="shared" si="15"/>
        <v>12301.6</v>
      </c>
      <c r="P280" s="591" t="str">
        <f t="shared" si="13"/>
        <v>否</v>
      </c>
      <c r="Q280" s="592"/>
    </row>
    <row r="281" s="781" customFormat="1" ht="12.45" spans="1:17">
      <c r="A281" s="828"/>
      <c r="C281" s="584" t="s">
        <v>178</v>
      </c>
      <c r="D281" s="373" t="s">
        <v>863</v>
      </c>
      <c r="E281" s="374" t="s">
        <v>446</v>
      </c>
      <c r="F281" s="374" t="s">
        <v>858</v>
      </c>
      <c r="G281" s="374">
        <v>36</v>
      </c>
      <c r="H281" s="586">
        <v>0.05</v>
      </c>
      <c r="I281" s="587">
        <v>48900</v>
      </c>
      <c r="J281" s="587">
        <f>_xlfn.XLOOKUP(D281,'[7]K.01.1a FA list'!$D$22:$D$348,'[7]K.01.1a FA list'!$M$22:$M$348)</f>
        <v>15485.04</v>
      </c>
      <c r="K281" s="587">
        <f t="shared" si="14"/>
        <v>15485.04</v>
      </c>
      <c r="L281" s="587">
        <v>48900</v>
      </c>
      <c r="M281" s="587">
        <f>_xlfn.XLOOKUP(D281,[8]新增资产!$C:$C,[8]新增资产!$L:$L)</f>
        <v>30970.08</v>
      </c>
      <c r="N281" s="587">
        <v>0</v>
      </c>
      <c r="O281" s="843">
        <f t="shared" si="15"/>
        <v>17929.92</v>
      </c>
      <c r="P281" s="591" t="str">
        <f t="shared" si="13"/>
        <v>否</v>
      </c>
      <c r="Q281" s="592"/>
    </row>
    <row r="282" s="781" customFormat="1" ht="12.45" spans="1:17">
      <c r="A282" s="828"/>
      <c r="C282" s="584" t="s">
        <v>178</v>
      </c>
      <c r="D282" s="373" t="s">
        <v>864</v>
      </c>
      <c r="E282" s="374" t="s">
        <v>857</v>
      </c>
      <c r="F282" s="374" t="s">
        <v>858</v>
      </c>
      <c r="G282" s="374">
        <v>36</v>
      </c>
      <c r="H282" s="586">
        <v>0.05</v>
      </c>
      <c r="I282" s="587">
        <v>3840</v>
      </c>
      <c r="J282" s="587">
        <f>_xlfn.XLOOKUP(D282,'[7]K.01.1a FA list'!$D$22:$D$348,'[7]K.01.1a FA list'!$M$22:$M$348)</f>
        <v>1215.96</v>
      </c>
      <c r="K282" s="587">
        <f t="shared" si="14"/>
        <v>1215.96</v>
      </c>
      <c r="L282" s="587">
        <v>3840</v>
      </c>
      <c r="M282" s="587">
        <f>_xlfn.XLOOKUP(D282,[8]新增资产!$C:$C,[8]新增资产!$L:$L)</f>
        <v>2431.92</v>
      </c>
      <c r="N282" s="587">
        <v>0</v>
      </c>
      <c r="O282" s="843">
        <f t="shared" si="15"/>
        <v>1408.08</v>
      </c>
      <c r="P282" s="591" t="str">
        <f t="shared" si="13"/>
        <v>否</v>
      </c>
      <c r="Q282" s="592"/>
    </row>
    <row r="283" s="781" customFormat="1" ht="12.45" spans="1:17">
      <c r="A283" s="828"/>
      <c r="C283" s="584" t="s">
        <v>178</v>
      </c>
      <c r="D283" s="373" t="s">
        <v>865</v>
      </c>
      <c r="E283" s="374" t="s">
        <v>866</v>
      </c>
      <c r="F283" s="374" t="s">
        <v>858</v>
      </c>
      <c r="G283" s="374">
        <v>36</v>
      </c>
      <c r="H283" s="586">
        <v>0.05</v>
      </c>
      <c r="I283" s="587">
        <v>34650</v>
      </c>
      <c r="J283" s="587">
        <f>_xlfn.XLOOKUP(D283,'[7]K.01.1a FA list'!$D$22:$D$348,'[7]K.01.1a FA list'!$M$22:$M$348)</f>
        <v>10972.56</v>
      </c>
      <c r="K283" s="587">
        <f t="shared" si="14"/>
        <v>10972.56</v>
      </c>
      <c r="L283" s="587">
        <v>34650</v>
      </c>
      <c r="M283" s="587">
        <f>_xlfn.XLOOKUP(D283,[8]新增资产!$C:$C,[8]新增资产!$L:$L)</f>
        <v>21945.12</v>
      </c>
      <c r="N283" s="587">
        <v>0</v>
      </c>
      <c r="O283" s="843">
        <f t="shared" si="15"/>
        <v>12704.88</v>
      </c>
      <c r="P283" s="591" t="str">
        <f t="shared" si="13"/>
        <v>否</v>
      </c>
      <c r="Q283" s="592"/>
    </row>
    <row r="284" s="781" customFormat="1" ht="12.45" spans="1:17">
      <c r="A284" s="828"/>
      <c r="C284" s="584" t="s">
        <v>178</v>
      </c>
      <c r="D284" s="373" t="s">
        <v>867</v>
      </c>
      <c r="E284" s="374" t="s">
        <v>868</v>
      </c>
      <c r="F284" s="374" t="s">
        <v>869</v>
      </c>
      <c r="G284" s="374">
        <v>36</v>
      </c>
      <c r="H284" s="586">
        <v>0.05</v>
      </c>
      <c r="I284" s="587">
        <v>2040</v>
      </c>
      <c r="J284" s="587">
        <f>_xlfn.XLOOKUP(D284,'[7]K.01.1a FA list'!$D$22:$D$348,'[7]K.01.1a FA list'!$M$22:$M$348)</f>
        <v>645.96</v>
      </c>
      <c r="K284" s="587">
        <f t="shared" si="14"/>
        <v>645.96</v>
      </c>
      <c r="L284" s="587">
        <v>2040</v>
      </c>
      <c r="M284" s="587">
        <f>_xlfn.XLOOKUP(D284,[8]新增资产!$C:$C,[8]新增资产!$L:$L)</f>
        <v>1291.92</v>
      </c>
      <c r="N284" s="587">
        <v>0</v>
      </c>
      <c r="O284" s="843">
        <f t="shared" si="15"/>
        <v>748.08</v>
      </c>
      <c r="P284" s="591" t="str">
        <f t="shared" si="13"/>
        <v>否</v>
      </c>
      <c r="Q284" s="592"/>
    </row>
    <row r="285" s="781" customFormat="1" ht="12.45" spans="1:17">
      <c r="A285" s="828"/>
      <c r="C285" s="584" t="s">
        <v>179</v>
      </c>
      <c r="D285" s="373" t="s">
        <v>870</v>
      </c>
      <c r="E285" s="374" t="s">
        <v>871</v>
      </c>
      <c r="F285" s="374" t="s">
        <v>872</v>
      </c>
      <c r="G285" s="374">
        <v>60</v>
      </c>
      <c r="H285" s="586">
        <v>0.05</v>
      </c>
      <c r="I285" s="587">
        <v>7200</v>
      </c>
      <c r="J285" s="587">
        <f>_xlfn.XLOOKUP(D285,'[7]K.01.1a FA list'!$D$22:$D$348,'[7]K.01.1a FA list'!$M$22:$M$348)</f>
        <v>1938</v>
      </c>
      <c r="K285" s="587">
        <f t="shared" si="14"/>
        <v>1368</v>
      </c>
      <c r="L285" s="587">
        <v>7200</v>
      </c>
      <c r="M285" s="587">
        <f>_xlfn.XLOOKUP(D285,[8]新增资产!$C:$C,[8]新增资产!$L:$L)</f>
        <v>3306</v>
      </c>
      <c r="N285" s="587">
        <v>0</v>
      </c>
      <c r="O285" s="843">
        <f t="shared" si="15"/>
        <v>3894</v>
      </c>
      <c r="P285" s="591" t="str">
        <f t="shared" si="13"/>
        <v>否</v>
      </c>
      <c r="Q285" s="592"/>
    </row>
    <row r="286" s="781" customFormat="1" ht="12.45" spans="1:17">
      <c r="A286" s="828"/>
      <c r="C286" s="584" t="s">
        <v>179</v>
      </c>
      <c r="D286" s="373" t="s">
        <v>873</v>
      </c>
      <c r="E286" s="374" t="s">
        <v>874</v>
      </c>
      <c r="F286" s="374" t="s">
        <v>872</v>
      </c>
      <c r="G286" s="374">
        <v>60</v>
      </c>
      <c r="H286" s="586">
        <v>0.05</v>
      </c>
      <c r="I286" s="587">
        <v>1000</v>
      </c>
      <c r="J286" s="587">
        <f>_xlfn.XLOOKUP(D286,'[7]K.01.1a FA list'!$D$22:$D$348,'[7]K.01.1a FA list'!$M$22:$M$348)</f>
        <v>269.11</v>
      </c>
      <c r="K286" s="587">
        <f t="shared" si="14"/>
        <v>189.96</v>
      </c>
      <c r="L286" s="587">
        <v>1000</v>
      </c>
      <c r="M286" s="587">
        <f>_xlfn.XLOOKUP(D286,[8]新增资产!$C:$C,[8]新增资产!$L:$L)</f>
        <v>459.07</v>
      </c>
      <c r="N286" s="587">
        <v>0</v>
      </c>
      <c r="O286" s="843">
        <f t="shared" si="15"/>
        <v>540.93</v>
      </c>
      <c r="P286" s="591" t="str">
        <f t="shared" si="13"/>
        <v>否</v>
      </c>
      <c r="Q286" s="592"/>
    </row>
    <row r="287" s="781" customFormat="1" ht="12.45" spans="1:17">
      <c r="A287" s="828"/>
      <c r="C287" s="584" t="s">
        <v>179</v>
      </c>
      <c r="D287" s="373" t="s">
        <v>875</v>
      </c>
      <c r="E287" s="374" t="s">
        <v>876</v>
      </c>
      <c r="F287" s="374" t="s">
        <v>872</v>
      </c>
      <c r="G287" s="374">
        <v>60</v>
      </c>
      <c r="H287" s="586">
        <v>0.05</v>
      </c>
      <c r="I287" s="587">
        <v>1000</v>
      </c>
      <c r="J287" s="587">
        <f>_xlfn.XLOOKUP(D287,'[7]K.01.1a FA list'!$D$22:$D$348,'[7]K.01.1a FA list'!$M$22:$M$348)</f>
        <v>269.11</v>
      </c>
      <c r="K287" s="587">
        <f t="shared" si="14"/>
        <v>189.96</v>
      </c>
      <c r="L287" s="587">
        <v>1000</v>
      </c>
      <c r="M287" s="587">
        <f>_xlfn.XLOOKUP(D287,[8]新增资产!$C:$C,[8]新增资产!$L:$L)</f>
        <v>459.07</v>
      </c>
      <c r="N287" s="587">
        <v>0</v>
      </c>
      <c r="O287" s="843">
        <f t="shared" si="15"/>
        <v>540.93</v>
      </c>
      <c r="P287" s="591" t="str">
        <f t="shared" si="13"/>
        <v>否</v>
      </c>
      <c r="Q287" s="592"/>
    </row>
    <row r="288" s="781" customFormat="1" ht="12.45" spans="1:17">
      <c r="A288" s="828"/>
      <c r="C288" s="584" t="s">
        <v>179</v>
      </c>
      <c r="D288" s="373" t="s">
        <v>877</v>
      </c>
      <c r="E288" s="374" t="s">
        <v>770</v>
      </c>
      <c r="F288" s="374" t="s">
        <v>823</v>
      </c>
      <c r="G288" s="374">
        <v>60</v>
      </c>
      <c r="H288" s="586">
        <v>0.05</v>
      </c>
      <c r="I288" s="587">
        <v>5000</v>
      </c>
      <c r="J288" s="587">
        <f>_xlfn.XLOOKUP(D288,'[7]K.01.1a FA list'!$D$22:$D$348,'[7]K.01.1a FA list'!$M$22:$M$348)</f>
        <v>1266.72</v>
      </c>
      <c r="K288" s="587">
        <f t="shared" si="14"/>
        <v>950.04</v>
      </c>
      <c r="L288" s="587">
        <v>5000</v>
      </c>
      <c r="M288" s="587">
        <f>_xlfn.XLOOKUP(D288,[8]新增资产!$C:$C,[8]新增资产!$L:$L)</f>
        <v>2216.76</v>
      </c>
      <c r="N288" s="587">
        <v>0</v>
      </c>
      <c r="O288" s="843">
        <f t="shared" si="15"/>
        <v>2783.24</v>
      </c>
      <c r="P288" s="591" t="str">
        <f t="shared" si="13"/>
        <v>否</v>
      </c>
      <c r="Q288" s="592"/>
    </row>
    <row r="289" s="781" customFormat="1" ht="12.45" spans="1:17">
      <c r="A289" s="828"/>
      <c r="C289" s="584" t="s">
        <v>179</v>
      </c>
      <c r="D289" s="373" t="s">
        <v>878</v>
      </c>
      <c r="E289" s="374" t="s">
        <v>879</v>
      </c>
      <c r="F289" s="374" t="s">
        <v>880</v>
      </c>
      <c r="G289" s="374">
        <v>60</v>
      </c>
      <c r="H289" s="586">
        <v>0.05</v>
      </c>
      <c r="I289" s="587">
        <v>4900</v>
      </c>
      <c r="J289" s="587">
        <f>_xlfn.XLOOKUP(D289,'[7]K.01.1a FA list'!$D$22:$D$348,'[7]K.01.1a FA list'!$M$22:$M$348)</f>
        <v>1086.12</v>
      </c>
      <c r="K289" s="587">
        <f t="shared" si="14"/>
        <v>930.96</v>
      </c>
      <c r="L289" s="587">
        <v>4900</v>
      </c>
      <c r="M289" s="587">
        <f>_xlfn.XLOOKUP(D289,[8]新增资产!$C:$C,[8]新增资产!$L:$L)</f>
        <v>2017.08</v>
      </c>
      <c r="N289" s="587">
        <v>0</v>
      </c>
      <c r="O289" s="843">
        <f t="shared" si="15"/>
        <v>2882.92</v>
      </c>
      <c r="P289" s="591" t="str">
        <f t="shared" si="13"/>
        <v>否</v>
      </c>
      <c r="Q289" s="592"/>
    </row>
    <row r="290" s="781" customFormat="1" ht="12.45" spans="1:17">
      <c r="A290" s="828"/>
      <c r="C290" s="584" t="s">
        <v>179</v>
      </c>
      <c r="D290" s="373" t="s">
        <v>881</v>
      </c>
      <c r="E290" s="374" t="s">
        <v>882</v>
      </c>
      <c r="F290" s="374" t="s">
        <v>880</v>
      </c>
      <c r="G290" s="374">
        <v>60</v>
      </c>
      <c r="H290" s="586">
        <v>0.05</v>
      </c>
      <c r="I290" s="587">
        <v>42936</v>
      </c>
      <c r="J290" s="587">
        <f>_xlfn.XLOOKUP(D290,'[7]K.01.1a FA list'!$D$22:$D$348,'[7]K.01.1a FA list'!$M$22:$M$348)</f>
        <v>9517.48</v>
      </c>
      <c r="K290" s="587">
        <f t="shared" si="14"/>
        <v>8157.84</v>
      </c>
      <c r="L290" s="587">
        <v>42936</v>
      </c>
      <c r="M290" s="587">
        <f>_xlfn.XLOOKUP(D290,[8]新增资产!$C:$C,[8]新增资产!$L:$L)</f>
        <v>17675.32</v>
      </c>
      <c r="N290" s="587">
        <v>0</v>
      </c>
      <c r="O290" s="843">
        <f t="shared" si="15"/>
        <v>25260.68</v>
      </c>
      <c r="P290" s="591" t="str">
        <f t="shared" si="13"/>
        <v>否</v>
      </c>
      <c r="Q290" s="592"/>
    </row>
    <row r="291" s="781" customFormat="1" ht="12.45" spans="1:17">
      <c r="A291" s="828"/>
      <c r="C291" s="584" t="s">
        <v>179</v>
      </c>
      <c r="D291" s="373" t="s">
        <v>883</v>
      </c>
      <c r="E291" s="374" t="s">
        <v>884</v>
      </c>
      <c r="F291" s="374" t="s">
        <v>880</v>
      </c>
      <c r="G291" s="374">
        <v>60</v>
      </c>
      <c r="H291" s="586">
        <v>0.05</v>
      </c>
      <c r="I291" s="587">
        <v>61235</v>
      </c>
      <c r="J291" s="587">
        <f>_xlfn.XLOOKUP(D291,'[7]K.01.1a FA list'!$D$22:$D$348,'[7]K.01.1a FA list'!$M$22:$M$348)</f>
        <v>13573.7</v>
      </c>
      <c r="K291" s="587">
        <f t="shared" si="14"/>
        <v>11634.6</v>
      </c>
      <c r="L291" s="587">
        <v>61235</v>
      </c>
      <c r="M291" s="587">
        <f>_xlfn.XLOOKUP(D291,[8]新增资产!$C:$C,[8]新增资产!$L:$L)</f>
        <v>25208.3</v>
      </c>
      <c r="N291" s="587">
        <v>0</v>
      </c>
      <c r="O291" s="843">
        <f t="shared" si="15"/>
        <v>36026.7</v>
      </c>
      <c r="P291" s="591" t="str">
        <f t="shared" si="13"/>
        <v>否</v>
      </c>
      <c r="Q291" s="592"/>
    </row>
    <row r="292" s="781" customFormat="1" ht="12.45" spans="1:17">
      <c r="A292" s="828"/>
      <c r="C292" s="584" t="s">
        <v>179</v>
      </c>
      <c r="D292" s="373" t="s">
        <v>885</v>
      </c>
      <c r="E292" s="374" t="s">
        <v>748</v>
      </c>
      <c r="F292" s="374" t="s">
        <v>886</v>
      </c>
      <c r="G292" s="374">
        <v>60</v>
      </c>
      <c r="H292" s="586">
        <v>0.05</v>
      </c>
      <c r="I292" s="587">
        <v>400000</v>
      </c>
      <c r="J292" s="587">
        <f>_xlfn.XLOOKUP(D292,'[7]K.01.1a FA list'!$D$22:$D$348,'[7]K.01.1a FA list'!$M$22:$M$348)</f>
        <v>88666.62</v>
      </c>
      <c r="K292" s="587">
        <f t="shared" si="14"/>
        <v>75999.96</v>
      </c>
      <c r="L292" s="587">
        <v>400000</v>
      </c>
      <c r="M292" s="587">
        <f>_xlfn.XLOOKUP(D292,[8]新增资产!$C:$C,[8]新增资产!$L:$L)</f>
        <v>164666.58</v>
      </c>
      <c r="N292" s="587">
        <v>0</v>
      </c>
      <c r="O292" s="843">
        <f t="shared" si="15"/>
        <v>235333.42</v>
      </c>
      <c r="P292" s="591" t="str">
        <f t="shared" si="13"/>
        <v>否</v>
      </c>
      <c r="Q292" s="592"/>
    </row>
    <row r="293" s="781" customFormat="1" ht="12.45" spans="1:17">
      <c r="A293" s="828"/>
      <c r="C293" s="584" t="s">
        <v>178</v>
      </c>
      <c r="D293" s="373" t="s">
        <v>887</v>
      </c>
      <c r="E293" s="374" t="s">
        <v>888</v>
      </c>
      <c r="F293" s="374" t="s">
        <v>889</v>
      </c>
      <c r="G293" s="374">
        <v>36</v>
      </c>
      <c r="H293" s="586">
        <v>0.05</v>
      </c>
      <c r="I293" s="587">
        <v>1149</v>
      </c>
      <c r="J293" s="587">
        <f>_xlfn.XLOOKUP(D293,'[7]K.01.1a FA list'!$D$22:$D$348,'[7]K.01.1a FA list'!$M$22:$M$348)</f>
        <v>272.88</v>
      </c>
      <c r="K293" s="587">
        <f t="shared" si="14"/>
        <v>363.84</v>
      </c>
      <c r="L293" s="587">
        <v>1149</v>
      </c>
      <c r="M293" s="587">
        <f>_xlfn.XLOOKUP(D293,[8]新增资产!$C:$C,[8]新增资产!$L:$L)</f>
        <v>636.72</v>
      </c>
      <c r="N293" s="587">
        <v>0</v>
      </c>
      <c r="O293" s="843">
        <f t="shared" si="15"/>
        <v>512.28</v>
      </c>
      <c r="P293" s="591" t="str">
        <f t="shared" si="13"/>
        <v>否</v>
      </c>
      <c r="Q293" s="592"/>
    </row>
    <row r="294" s="781" customFormat="1" ht="12.45" spans="1:17">
      <c r="A294" s="828"/>
      <c r="C294" s="584" t="s">
        <v>179</v>
      </c>
      <c r="D294" s="373" t="s">
        <v>890</v>
      </c>
      <c r="E294" s="374" t="s">
        <v>882</v>
      </c>
      <c r="F294" s="374" t="s">
        <v>891</v>
      </c>
      <c r="G294" s="374">
        <v>60</v>
      </c>
      <c r="H294" s="586">
        <v>0.05</v>
      </c>
      <c r="I294" s="587">
        <v>29800</v>
      </c>
      <c r="J294" s="587">
        <f>_xlfn.XLOOKUP(D294,'[7]K.01.1a FA list'!$D$22:$D$348,'[7]K.01.1a FA list'!$M$22:$M$348)</f>
        <v>5190.13</v>
      </c>
      <c r="K294" s="587">
        <f t="shared" si="14"/>
        <v>5661.96</v>
      </c>
      <c r="L294" s="587">
        <v>29800</v>
      </c>
      <c r="M294" s="587">
        <f>_xlfn.XLOOKUP(D294,[8]新增资产!$C:$C,[8]新增资产!$L:$L)</f>
        <v>10852.09</v>
      </c>
      <c r="N294" s="587">
        <v>0</v>
      </c>
      <c r="O294" s="843">
        <f t="shared" si="15"/>
        <v>18947.91</v>
      </c>
      <c r="P294" s="591" t="str">
        <f t="shared" si="13"/>
        <v>否</v>
      </c>
      <c r="Q294" s="592"/>
    </row>
    <row r="295" s="781" customFormat="1" ht="12.45" spans="1:17">
      <c r="A295" s="828"/>
      <c r="C295" s="584" t="s">
        <v>179</v>
      </c>
      <c r="D295" s="373" t="s">
        <v>892</v>
      </c>
      <c r="E295" s="374" t="s">
        <v>893</v>
      </c>
      <c r="F295" s="374" t="s">
        <v>894</v>
      </c>
      <c r="G295" s="374">
        <v>60</v>
      </c>
      <c r="H295" s="586">
        <v>0.05</v>
      </c>
      <c r="I295" s="587">
        <v>17000</v>
      </c>
      <c r="J295" s="587">
        <f>_xlfn.XLOOKUP(D295,'[7]K.01.1a FA list'!$D$22:$D$348,'[7]K.01.1a FA list'!$M$22:$M$348)</f>
        <v>2960.87</v>
      </c>
      <c r="K295" s="587">
        <f t="shared" si="14"/>
        <v>3230.04</v>
      </c>
      <c r="L295" s="587">
        <v>17000</v>
      </c>
      <c r="M295" s="587">
        <f>_xlfn.XLOOKUP(D295,[8]新增资产!$C:$C,[8]新增资产!$L:$L)</f>
        <v>6190.91</v>
      </c>
      <c r="N295" s="587">
        <v>0</v>
      </c>
      <c r="O295" s="843">
        <f t="shared" si="15"/>
        <v>10809.09</v>
      </c>
      <c r="P295" s="591" t="str">
        <f t="shared" si="13"/>
        <v>否</v>
      </c>
      <c r="Q295" s="592"/>
    </row>
    <row r="296" s="781" customFormat="1" ht="12.45" spans="1:17">
      <c r="A296" s="828"/>
      <c r="C296" s="584" t="s">
        <v>179</v>
      </c>
      <c r="D296" s="373" t="s">
        <v>895</v>
      </c>
      <c r="E296" s="374" t="s">
        <v>896</v>
      </c>
      <c r="F296" s="374" t="s">
        <v>894</v>
      </c>
      <c r="G296" s="374">
        <v>60</v>
      </c>
      <c r="H296" s="586">
        <v>0.05</v>
      </c>
      <c r="I296" s="587">
        <v>27500</v>
      </c>
      <c r="J296" s="587">
        <f>_xlfn.XLOOKUP(D296,'[7]K.01.1a FA list'!$D$22:$D$348,'[7]K.01.1a FA list'!$M$22:$M$348)</f>
        <v>4789.62</v>
      </c>
      <c r="K296" s="587">
        <f t="shared" si="14"/>
        <v>5225.04</v>
      </c>
      <c r="L296" s="587">
        <v>27500</v>
      </c>
      <c r="M296" s="587">
        <f>_xlfn.XLOOKUP(D296,[8]新增资产!$C:$C,[8]新增资产!$L:$L)</f>
        <v>10014.66</v>
      </c>
      <c r="N296" s="587">
        <v>0</v>
      </c>
      <c r="O296" s="843">
        <f t="shared" si="15"/>
        <v>17485.34</v>
      </c>
      <c r="P296" s="591" t="str">
        <f t="shared" si="13"/>
        <v>否</v>
      </c>
      <c r="Q296" s="592"/>
    </row>
    <row r="297" s="781" customFormat="1" ht="12.45" spans="1:17">
      <c r="A297" s="828"/>
      <c r="C297" s="584" t="s">
        <v>179</v>
      </c>
      <c r="D297" s="373" t="s">
        <v>897</v>
      </c>
      <c r="E297" s="374" t="s">
        <v>898</v>
      </c>
      <c r="F297" s="374" t="s">
        <v>894</v>
      </c>
      <c r="G297" s="374">
        <v>60</v>
      </c>
      <c r="H297" s="586">
        <v>0.05</v>
      </c>
      <c r="I297" s="587">
        <v>15000</v>
      </c>
      <c r="J297" s="587">
        <f>_xlfn.XLOOKUP(D297,'[7]K.01.1a FA list'!$D$22:$D$348,'[7]K.01.1a FA list'!$M$22:$M$348)</f>
        <v>2612.5</v>
      </c>
      <c r="K297" s="587">
        <f t="shared" si="14"/>
        <v>2850</v>
      </c>
      <c r="L297" s="587">
        <v>15000</v>
      </c>
      <c r="M297" s="587">
        <f>_xlfn.XLOOKUP(D297,[8]新增资产!$C:$C,[8]新增资产!$L:$L)</f>
        <v>5462.5</v>
      </c>
      <c r="N297" s="587">
        <v>0</v>
      </c>
      <c r="O297" s="843">
        <f t="shared" si="15"/>
        <v>9537.5</v>
      </c>
      <c r="P297" s="591" t="str">
        <f t="shared" si="13"/>
        <v>否</v>
      </c>
      <c r="Q297" s="592"/>
    </row>
    <row r="298" s="781" customFormat="1" ht="12.45" spans="1:17">
      <c r="A298" s="828"/>
      <c r="C298" s="584" t="s">
        <v>179</v>
      </c>
      <c r="D298" s="373" t="s">
        <v>899</v>
      </c>
      <c r="E298" s="374" t="s">
        <v>900</v>
      </c>
      <c r="F298" s="374" t="s">
        <v>894</v>
      </c>
      <c r="G298" s="374">
        <v>60</v>
      </c>
      <c r="H298" s="586">
        <v>0.05</v>
      </c>
      <c r="I298" s="587">
        <v>41000</v>
      </c>
      <c r="J298" s="587">
        <f>_xlfn.XLOOKUP(D298,'[7]K.01.1a FA list'!$D$22:$D$348,'[7]K.01.1a FA list'!$M$22:$M$348)</f>
        <v>7140.87</v>
      </c>
      <c r="K298" s="587">
        <f t="shared" si="14"/>
        <v>7790.04</v>
      </c>
      <c r="L298" s="587">
        <v>41000</v>
      </c>
      <c r="M298" s="587">
        <f>_xlfn.XLOOKUP(D298,[8]新增资产!$C:$C,[8]新增资产!$L:$L)</f>
        <v>14930.91</v>
      </c>
      <c r="N298" s="587">
        <v>0</v>
      </c>
      <c r="O298" s="843">
        <f t="shared" si="15"/>
        <v>26069.09</v>
      </c>
      <c r="P298" s="591" t="str">
        <f t="shared" si="13"/>
        <v>否</v>
      </c>
      <c r="Q298" s="592"/>
    </row>
    <row r="299" s="781" customFormat="1" ht="12.45" spans="1:17">
      <c r="A299" s="828"/>
      <c r="C299" s="584" t="s">
        <v>179</v>
      </c>
      <c r="D299" s="373" t="s">
        <v>901</v>
      </c>
      <c r="E299" s="374" t="s">
        <v>902</v>
      </c>
      <c r="F299" s="374" t="s">
        <v>894</v>
      </c>
      <c r="G299" s="374">
        <v>60</v>
      </c>
      <c r="H299" s="586">
        <v>0.05</v>
      </c>
      <c r="I299" s="587">
        <v>58600</v>
      </c>
      <c r="J299" s="587">
        <f>_xlfn.XLOOKUP(D299,'[7]K.01.1a FA list'!$D$22:$D$348,'[7]K.01.1a FA list'!$M$22:$M$348)</f>
        <v>10206.13</v>
      </c>
      <c r="K299" s="587">
        <f t="shared" si="14"/>
        <v>11133.96</v>
      </c>
      <c r="L299" s="587">
        <v>58600</v>
      </c>
      <c r="M299" s="587">
        <f>_xlfn.XLOOKUP(D299,[8]新增资产!$C:$C,[8]新增资产!$L:$L)</f>
        <v>21340.09</v>
      </c>
      <c r="N299" s="587">
        <v>0</v>
      </c>
      <c r="O299" s="843">
        <f t="shared" si="15"/>
        <v>37259.91</v>
      </c>
      <c r="P299" s="591" t="str">
        <f t="shared" si="13"/>
        <v>否</v>
      </c>
      <c r="Q299" s="592"/>
    </row>
    <row r="300" s="781" customFormat="1" ht="12.45" spans="1:17">
      <c r="A300" s="828"/>
      <c r="C300" s="584" t="s">
        <v>179</v>
      </c>
      <c r="D300" s="373" t="s">
        <v>903</v>
      </c>
      <c r="E300" s="374" t="s">
        <v>904</v>
      </c>
      <c r="F300" s="374" t="s">
        <v>905</v>
      </c>
      <c r="G300" s="374">
        <v>60</v>
      </c>
      <c r="H300" s="586">
        <v>0.05</v>
      </c>
      <c r="I300" s="587">
        <v>3500</v>
      </c>
      <c r="J300" s="587">
        <f>_xlfn.XLOOKUP(D300,'[7]K.01.1a FA list'!$D$22:$D$348,'[7]K.01.1a FA list'!$M$22:$M$348)</f>
        <v>443.36</v>
      </c>
      <c r="K300" s="587">
        <f t="shared" si="14"/>
        <v>665.04</v>
      </c>
      <c r="L300" s="587">
        <v>3500</v>
      </c>
      <c r="M300" s="587">
        <f>_xlfn.XLOOKUP(D300,[8]新增资产!$C:$C,[8]新增资产!$L:$L)</f>
        <v>1108.4</v>
      </c>
      <c r="N300" s="587">
        <v>0</v>
      </c>
      <c r="O300" s="843">
        <f t="shared" si="15"/>
        <v>2391.6</v>
      </c>
      <c r="P300" s="591" t="str">
        <f t="shared" si="13"/>
        <v>否</v>
      </c>
      <c r="Q300" s="592"/>
    </row>
    <row r="301" s="781" customFormat="1" ht="12.45" spans="1:17">
      <c r="A301" s="828"/>
      <c r="C301" s="584" t="s">
        <v>179</v>
      </c>
      <c r="D301" s="373" t="s">
        <v>906</v>
      </c>
      <c r="E301" s="374" t="s">
        <v>882</v>
      </c>
      <c r="F301" s="374" t="s">
        <v>905</v>
      </c>
      <c r="G301" s="374">
        <v>60</v>
      </c>
      <c r="H301" s="586">
        <v>0.05</v>
      </c>
      <c r="I301" s="587">
        <v>9999</v>
      </c>
      <c r="J301" s="587">
        <f>_xlfn.XLOOKUP(D301,'[7]K.01.1a FA list'!$D$22:$D$348,'[7]K.01.1a FA list'!$M$22:$M$348)</f>
        <v>1266.56</v>
      </c>
      <c r="K301" s="587">
        <f t="shared" si="14"/>
        <v>1899.84</v>
      </c>
      <c r="L301" s="587">
        <v>9999</v>
      </c>
      <c r="M301" s="587">
        <f>_xlfn.XLOOKUP(D301,[8]新增资产!$C:$C,[8]新增资产!$L:$L)</f>
        <v>3166.4</v>
      </c>
      <c r="N301" s="587">
        <v>0</v>
      </c>
      <c r="O301" s="843">
        <f t="shared" si="15"/>
        <v>6832.6</v>
      </c>
      <c r="P301" s="591" t="str">
        <f t="shared" si="13"/>
        <v>否</v>
      </c>
      <c r="Q301" s="592"/>
    </row>
    <row r="302" s="781" customFormat="1" ht="12.45" spans="1:17">
      <c r="A302" s="828"/>
      <c r="C302" s="584" t="s">
        <v>179</v>
      </c>
      <c r="D302" s="373" t="s">
        <v>907</v>
      </c>
      <c r="E302" s="374" t="s">
        <v>908</v>
      </c>
      <c r="F302" s="374" t="s">
        <v>909</v>
      </c>
      <c r="G302" s="374">
        <v>60</v>
      </c>
      <c r="H302" s="586">
        <v>0.05</v>
      </c>
      <c r="I302" s="587">
        <v>363000</v>
      </c>
      <c r="J302" s="587">
        <f>_xlfn.XLOOKUP(D302,'[7]K.01.1a FA list'!$D$22:$D$348,'[7]K.01.1a FA list'!$M$22:$M$348)</f>
        <v>40232.5</v>
      </c>
      <c r="K302" s="587">
        <f t="shared" si="14"/>
        <v>68970</v>
      </c>
      <c r="L302" s="587">
        <v>363000</v>
      </c>
      <c r="M302" s="587">
        <f>_xlfn.XLOOKUP(D302,[8]新增资产!$C:$C,[8]新增资产!$L:$L)</f>
        <v>109202.5</v>
      </c>
      <c r="N302" s="587">
        <v>0</v>
      </c>
      <c r="O302" s="843">
        <f t="shared" si="15"/>
        <v>253797.5</v>
      </c>
      <c r="P302" s="591" t="str">
        <f t="shared" si="13"/>
        <v>否</v>
      </c>
      <c r="Q302" s="592"/>
    </row>
    <row r="303" s="781" customFormat="1" ht="12.45" spans="1:17">
      <c r="A303" s="828"/>
      <c r="C303" s="584" t="s">
        <v>179</v>
      </c>
      <c r="D303" s="373" t="s">
        <v>910</v>
      </c>
      <c r="E303" s="374" t="s">
        <v>911</v>
      </c>
      <c r="F303" s="374" t="s">
        <v>909</v>
      </c>
      <c r="G303" s="374">
        <v>60</v>
      </c>
      <c r="H303" s="586">
        <v>0.05</v>
      </c>
      <c r="I303" s="587">
        <v>90000</v>
      </c>
      <c r="J303" s="587">
        <f>_xlfn.XLOOKUP(D303,'[7]K.01.1a FA list'!$D$22:$D$348,'[7]K.01.1a FA list'!$M$22:$M$348)</f>
        <v>9975</v>
      </c>
      <c r="K303" s="587">
        <f t="shared" si="14"/>
        <v>17100</v>
      </c>
      <c r="L303" s="587">
        <v>90000</v>
      </c>
      <c r="M303" s="587">
        <f>_xlfn.XLOOKUP(D303,[8]新增资产!$C:$C,[8]新增资产!$L:$L)</f>
        <v>27075</v>
      </c>
      <c r="N303" s="587">
        <v>0</v>
      </c>
      <c r="O303" s="843">
        <f t="shared" si="15"/>
        <v>62925</v>
      </c>
      <c r="P303" s="591" t="str">
        <f t="shared" ref="P303:P335" si="16">IF(ROUND(L303*(1-H303),0)=ROUND(M303,0),"是","否")</f>
        <v>否</v>
      </c>
      <c r="Q303" s="592"/>
    </row>
    <row r="304" s="781" customFormat="1" ht="12.45" spans="1:17">
      <c r="A304" s="828"/>
      <c r="C304" s="584" t="s">
        <v>179</v>
      </c>
      <c r="D304" s="373" t="s">
        <v>912</v>
      </c>
      <c r="E304" s="374" t="s">
        <v>913</v>
      </c>
      <c r="F304" s="374" t="s">
        <v>914</v>
      </c>
      <c r="G304" s="374">
        <v>60</v>
      </c>
      <c r="H304" s="586">
        <v>0.05</v>
      </c>
      <c r="I304" s="587">
        <v>9500</v>
      </c>
      <c r="J304" s="587">
        <f>_xlfn.XLOOKUP(D304,'[7]K.01.1a FA list'!$D$22:$D$348,'[7]K.01.1a FA list'!$M$22:$M$348)</f>
        <v>150.42</v>
      </c>
      <c r="K304" s="587">
        <f t="shared" si="14"/>
        <v>1805.04</v>
      </c>
      <c r="L304" s="587">
        <v>9500</v>
      </c>
      <c r="M304" s="587">
        <f>_xlfn.XLOOKUP(D304,[8]新增资产!$C:$C,[8]新增资产!$L:$L)</f>
        <v>1955.46</v>
      </c>
      <c r="N304" s="587">
        <v>0</v>
      </c>
      <c r="O304" s="843">
        <f t="shared" si="15"/>
        <v>7544.54</v>
      </c>
      <c r="P304" s="591" t="str">
        <f t="shared" si="16"/>
        <v>否</v>
      </c>
      <c r="Q304" s="592"/>
    </row>
    <row r="305" s="781" customFormat="1" ht="12.45" spans="1:18">
      <c r="A305" s="828"/>
      <c r="C305" s="584" t="s">
        <v>179</v>
      </c>
      <c r="D305" s="373" t="s">
        <v>915</v>
      </c>
      <c r="E305" s="374" t="s">
        <v>916</v>
      </c>
      <c r="F305" s="374" t="s">
        <v>914</v>
      </c>
      <c r="G305" s="374">
        <v>60</v>
      </c>
      <c r="H305" s="586">
        <v>0.05</v>
      </c>
      <c r="I305" s="587">
        <v>24480</v>
      </c>
      <c r="J305" s="587">
        <f>_xlfn.XLOOKUP(D305,'[7]K.01.1a FA list'!$D$22:$D$348,'[7]K.01.1a FA list'!$M$22:$M$348)</f>
        <v>387.6</v>
      </c>
      <c r="K305" s="587">
        <f t="shared" si="14"/>
        <v>4651.2</v>
      </c>
      <c r="L305" s="587">
        <v>24480</v>
      </c>
      <c r="M305" s="587">
        <f>_xlfn.XLOOKUP(D305,[8]新增资产!$C:$C,[8]新增资产!$L:$L)</f>
        <v>5038.8</v>
      </c>
      <c r="N305" s="587">
        <v>0</v>
      </c>
      <c r="O305" s="843">
        <f t="shared" si="15"/>
        <v>19441.2</v>
      </c>
      <c r="P305" s="591" t="str">
        <f t="shared" si="16"/>
        <v>否</v>
      </c>
      <c r="Q305" s="592"/>
    </row>
    <row r="306" s="781" customFormat="1" ht="12.45" spans="1:18">
      <c r="A306" s="828"/>
      <c r="C306" s="584" t="s">
        <v>179</v>
      </c>
      <c r="D306" s="373" t="s">
        <v>917</v>
      </c>
      <c r="E306" s="374" t="s">
        <v>918</v>
      </c>
      <c r="F306" s="374" t="s">
        <v>914</v>
      </c>
      <c r="G306" s="374">
        <v>60</v>
      </c>
      <c r="H306" s="586">
        <v>0.05</v>
      </c>
      <c r="I306" s="587">
        <v>630000</v>
      </c>
      <c r="J306" s="587">
        <f>_xlfn.XLOOKUP(D306,'[7]K.01.1a FA list'!$D$22:$D$348,'[7]K.01.1a FA list'!$M$22:$M$348)</f>
        <v>9975</v>
      </c>
      <c r="K306" s="587">
        <f t="shared" si="14"/>
        <v>119700</v>
      </c>
      <c r="L306" s="587">
        <v>630000</v>
      </c>
      <c r="M306" s="587">
        <f>_xlfn.XLOOKUP(D306,[8]新增资产!$C:$C,[8]新增资产!$L:$L)</f>
        <v>129675</v>
      </c>
      <c r="N306" s="587">
        <v>0</v>
      </c>
      <c r="O306" s="843">
        <f t="shared" si="15"/>
        <v>500325</v>
      </c>
      <c r="P306" s="591" t="str">
        <f t="shared" si="16"/>
        <v>否</v>
      </c>
      <c r="Q306" s="592"/>
    </row>
    <row r="307" s="781" customFormat="1" ht="12.45" spans="1:18">
      <c r="A307" s="828"/>
      <c r="C307" s="584" t="s">
        <v>179</v>
      </c>
      <c r="D307" s="373" t="s">
        <v>919</v>
      </c>
      <c r="E307" s="374" t="s">
        <v>920</v>
      </c>
      <c r="F307" s="374" t="s">
        <v>921</v>
      </c>
      <c r="G307" s="374">
        <v>60</v>
      </c>
      <c r="H307" s="586">
        <v>0.05</v>
      </c>
      <c r="I307" s="587">
        <v>380000</v>
      </c>
      <c r="J307" s="587">
        <f>_xlfn.XLOOKUP(D307,'[7]K.01.1a FA list'!$D$22:$D$348,'[7]K.01.1a FA list'!$M$22:$M$348)</f>
        <v>0</v>
      </c>
      <c r="K307" s="587">
        <f t="shared" si="14"/>
        <v>72200.04</v>
      </c>
      <c r="L307" s="587">
        <v>380000</v>
      </c>
      <c r="M307" s="587">
        <f>_xlfn.XLOOKUP(D307,[8]新增资产!$C:$C,[8]新增资产!$L:$L)</f>
        <v>72200.04</v>
      </c>
      <c r="N307" s="587">
        <v>0</v>
      </c>
      <c r="O307" s="843">
        <f t="shared" si="15"/>
        <v>307799.96</v>
      </c>
      <c r="P307" s="591" t="str">
        <f t="shared" si="16"/>
        <v>否</v>
      </c>
      <c r="Q307" s="592"/>
    </row>
    <row r="308" s="781" customFormat="1" ht="12.45" spans="1:18">
      <c r="A308" s="828"/>
      <c r="C308" s="584" t="s">
        <v>179</v>
      </c>
      <c r="D308" s="373" t="s">
        <v>922</v>
      </c>
      <c r="E308" s="374" t="s">
        <v>923</v>
      </c>
      <c r="F308" s="374" t="s">
        <v>921</v>
      </c>
      <c r="G308" s="374">
        <v>60</v>
      </c>
      <c r="H308" s="586">
        <v>0.05</v>
      </c>
      <c r="I308" s="587">
        <v>103473.04</v>
      </c>
      <c r="J308" s="587">
        <f>_xlfn.XLOOKUP(D308,'[7]K.01.1a FA list'!$D$22:$D$348,'[7]K.01.1a FA list'!$M$22:$M$348)</f>
        <v>19659.84</v>
      </c>
      <c r="K308" s="587">
        <f t="shared" si="14"/>
        <v>19659.84</v>
      </c>
      <c r="L308" s="587">
        <v>103473.04</v>
      </c>
      <c r="M308" s="587">
        <f>_xlfn.XLOOKUP(D308,[8]新增资产!$C:$C,[8]新增资产!$L:$L)</f>
        <v>39319.68</v>
      </c>
      <c r="N308" s="587">
        <v>0</v>
      </c>
      <c r="O308" s="843">
        <f t="shared" si="15"/>
        <v>64153.36</v>
      </c>
      <c r="P308" s="591" t="str">
        <f t="shared" si="16"/>
        <v>否</v>
      </c>
      <c r="Q308" s="592"/>
      <c r="R308" s="849" t="s">
        <v>924</v>
      </c>
    </row>
    <row r="309" s="781" customFormat="1" ht="12.45" spans="1:18">
      <c r="A309" s="828"/>
      <c r="C309" s="584" t="s">
        <v>181</v>
      </c>
      <c r="D309" s="373" t="s">
        <v>925</v>
      </c>
      <c r="E309" s="374" t="s">
        <v>926</v>
      </c>
      <c r="F309" s="374" t="s">
        <v>909</v>
      </c>
      <c r="G309" s="374">
        <v>48</v>
      </c>
      <c r="H309" s="586">
        <v>0.049999963539693</v>
      </c>
      <c r="I309" s="587">
        <v>41140.63</v>
      </c>
      <c r="J309" s="587">
        <f>_xlfn.XLOOKUP(D309,'[7]K.01.1a FA list'!$D$22:$D$348,'[7]K.01.1a FA list'!$M$22:$M$348)</f>
        <v>5699.68</v>
      </c>
      <c r="K309" s="587">
        <f t="shared" si="14"/>
        <v>9770.88</v>
      </c>
      <c r="L309" s="587">
        <v>41140.63</v>
      </c>
      <c r="M309" s="587">
        <v>15470.56</v>
      </c>
      <c r="N309" s="587">
        <v>0</v>
      </c>
      <c r="O309" s="843">
        <f t="shared" si="15"/>
        <v>25670.07</v>
      </c>
      <c r="P309" s="591" t="str">
        <f t="shared" ref="P309:P334" si="17">IF(ROUND(L309*(1-H309),0)=ROUND(M309,0),"是","否")</f>
        <v>否</v>
      </c>
      <c r="Q309" s="592"/>
    </row>
    <row r="310" s="781" customFormat="1" ht="12.45" spans="1:18">
      <c r="A310" s="828"/>
      <c r="C310" s="584" t="s">
        <v>178</v>
      </c>
      <c r="D310" s="373" t="s">
        <v>927</v>
      </c>
      <c r="E310" s="374" t="s">
        <v>928</v>
      </c>
      <c r="F310" s="374" t="s">
        <v>929</v>
      </c>
      <c r="G310" s="374">
        <v>36</v>
      </c>
      <c r="H310" s="586">
        <v>0.05</v>
      </c>
      <c r="I310" s="587">
        <v>0</v>
      </c>
      <c r="J310" s="587">
        <v>0</v>
      </c>
      <c r="K310" s="587">
        <f t="shared" si="14"/>
        <v>382.4</v>
      </c>
      <c r="L310" s="587">
        <v>1449</v>
      </c>
      <c r="M310" s="587">
        <f>_xlfn.XLOOKUP(D310,[8]新增资产!$C:$C,[8]新增资产!$L:$L)</f>
        <v>382.4</v>
      </c>
      <c r="N310" s="587">
        <v>0</v>
      </c>
      <c r="O310" s="843">
        <f t="shared" si="15"/>
        <v>1066.6</v>
      </c>
      <c r="P310" s="591" t="str">
        <f t="shared" si="17"/>
        <v>否</v>
      </c>
      <c r="Q310" s="592"/>
    </row>
    <row r="311" s="781" customFormat="1" ht="12.45" spans="1:18">
      <c r="A311" s="828"/>
      <c r="C311" s="584" t="s">
        <v>178</v>
      </c>
      <c r="D311" s="373" t="s">
        <v>930</v>
      </c>
      <c r="E311" s="374" t="s">
        <v>432</v>
      </c>
      <c r="F311" s="374" t="s">
        <v>931</v>
      </c>
      <c r="G311" s="374">
        <v>36</v>
      </c>
      <c r="H311" s="586">
        <v>0.05</v>
      </c>
      <c r="I311" s="587">
        <v>0</v>
      </c>
      <c r="J311" s="587">
        <v>0</v>
      </c>
      <c r="K311" s="587">
        <f t="shared" si="14"/>
        <v>499.5</v>
      </c>
      <c r="L311" s="587">
        <v>2103</v>
      </c>
      <c r="M311" s="587">
        <f>_xlfn.XLOOKUP(D311,[8]新增资产!$C:$C,[8]新增资产!$L:$L)</f>
        <v>499.5</v>
      </c>
      <c r="N311" s="587">
        <v>0</v>
      </c>
      <c r="O311" s="843">
        <f t="shared" si="15"/>
        <v>1603.5</v>
      </c>
      <c r="P311" s="591" t="str">
        <f t="shared" si="17"/>
        <v>否</v>
      </c>
      <c r="Q311" s="592"/>
    </row>
    <row r="312" s="781" customFormat="1" ht="12.45" spans="1:18">
      <c r="A312" s="828"/>
      <c r="C312" s="584" t="s">
        <v>178</v>
      </c>
      <c r="D312" s="373" t="s">
        <v>932</v>
      </c>
      <c r="E312" s="374" t="s">
        <v>868</v>
      </c>
      <c r="F312" s="374" t="s">
        <v>933</v>
      </c>
      <c r="G312" s="374">
        <v>36</v>
      </c>
      <c r="H312" s="586">
        <v>0.05</v>
      </c>
      <c r="I312" s="587">
        <v>0</v>
      </c>
      <c r="J312" s="587">
        <v>0</v>
      </c>
      <c r="K312" s="587">
        <f t="shared" si="14"/>
        <v>1583.36</v>
      </c>
      <c r="L312" s="587">
        <v>7500</v>
      </c>
      <c r="M312" s="587">
        <f>_xlfn.XLOOKUP(D312,[8]新增资产!$C:$C,[8]新增资产!$L:$L)</f>
        <v>1583.36</v>
      </c>
      <c r="N312" s="587">
        <v>0</v>
      </c>
      <c r="O312" s="843">
        <f t="shared" si="15"/>
        <v>5916.64</v>
      </c>
      <c r="P312" s="591" t="str">
        <f t="shared" si="17"/>
        <v>否</v>
      </c>
      <c r="Q312" s="592"/>
    </row>
    <row r="313" s="781" customFormat="1" ht="12.45" spans="1:18">
      <c r="A313" s="828"/>
      <c r="C313" s="584" t="s">
        <v>178</v>
      </c>
      <c r="D313" s="373" t="s">
        <v>934</v>
      </c>
      <c r="E313" s="374" t="s">
        <v>935</v>
      </c>
      <c r="F313" s="374" t="s">
        <v>936</v>
      </c>
      <c r="G313" s="374">
        <v>36</v>
      </c>
      <c r="H313" s="586">
        <v>0.05</v>
      </c>
      <c r="I313" s="587">
        <v>0</v>
      </c>
      <c r="J313" s="587">
        <v>0</v>
      </c>
      <c r="K313" s="587">
        <f t="shared" si="14"/>
        <v>626.75</v>
      </c>
      <c r="L313" s="587">
        <v>4750</v>
      </c>
      <c r="M313" s="587">
        <f>_xlfn.XLOOKUP(D313,[8]新增资产!$C:$C,[8]新增资产!$L:$L)</f>
        <v>626.75</v>
      </c>
      <c r="N313" s="587">
        <v>0</v>
      </c>
      <c r="O313" s="843">
        <f t="shared" si="15"/>
        <v>4123.25</v>
      </c>
      <c r="P313" s="591" t="str">
        <f t="shared" si="17"/>
        <v>否</v>
      </c>
      <c r="Q313" s="592"/>
    </row>
    <row r="314" s="781" customFormat="1" ht="12.45" spans="1:18">
      <c r="A314" s="828"/>
      <c r="C314" s="584" t="s">
        <v>178</v>
      </c>
      <c r="D314" s="373" t="s">
        <v>937</v>
      </c>
      <c r="E314" s="374" t="s">
        <v>514</v>
      </c>
      <c r="F314" s="374" t="s">
        <v>938</v>
      </c>
      <c r="G314" s="374">
        <v>36</v>
      </c>
      <c r="H314" s="586">
        <v>0.0499985828066098</v>
      </c>
      <c r="I314" s="587">
        <v>0</v>
      </c>
      <c r="J314" s="587">
        <v>0</v>
      </c>
      <c r="K314" s="587">
        <f t="shared" si="14"/>
        <v>260.68</v>
      </c>
      <c r="L314" s="587">
        <v>2469.67</v>
      </c>
      <c r="M314" s="587">
        <f>_xlfn.XLOOKUP(D314,[8]新增资产!$C:$C,[8]新增资产!$L:$L)</f>
        <v>260.68</v>
      </c>
      <c r="N314" s="587">
        <v>0</v>
      </c>
      <c r="O314" s="843">
        <f t="shared" si="15"/>
        <v>2208.99</v>
      </c>
      <c r="P314" s="591" t="str">
        <f t="shared" si="17"/>
        <v>否</v>
      </c>
      <c r="Q314" s="592"/>
    </row>
    <row r="315" s="781" customFormat="1" ht="12.45" spans="1:18">
      <c r="A315" s="828"/>
      <c r="C315" s="584" t="s">
        <v>178</v>
      </c>
      <c r="D315" s="373" t="s">
        <v>939</v>
      </c>
      <c r="E315" s="374" t="s">
        <v>940</v>
      </c>
      <c r="F315" s="374" t="s">
        <v>941</v>
      </c>
      <c r="G315" s="374">
        <v>36</v>
      </c>
      <c r="H315" s="586">
        <v>0.05</v>
      </c>
      <c r="I315" s="587">
        <v>0</v>
      </c>
      <c r="J315" s="587">
        <v>0</v>
      </c>
      <c r="K315" s="587">
        <f t="shared" si="14"/>
        <v>150.42</v>
      </c>
      <c r="L315" s="587">
        <v>2850</v>
      </c>
      <c r="M315" s="587">
        <f>_xlfn.XLOOKUP(D315,[8]新增资产!$C:$C,[8]新增资产!$L:$L)</f>
        <v>150.42</v>
      </c>
      <c r="N315" s="587">
        <v>0</v>
      </c>
      <c r="O315" s="843">
        <f t="shared" si="15"/>
        <v>2699.58</v>
      </c>
      <c r="P315" s="591" t="str">
        <f t="shared" si="17"/>
        <v>否</v>
      </c>
      <c r="Q315" s="592"/>
    </row>
    <row r="316" s="781" customFormat="1" ht="12.45" spans="1:18">
      <c r="A316" s="828"/>
      <c r="C316" s="584" t="s">
        <v>178</v>
      </c>
      <c r="D316" s="373" t="s">
        <v>942</v>
      </c>
      <c r="E316" s="374" t="s">
        <v>943</v>
      </c>
      <c r="F316" s="374" t="s">
        <v>944</v>
      </c>
      <c r="G316" s="374">
        <v>36</v>
      </c>
      <c r="H316" s="586">
        <v>0.05</v>
      </c>
      <c r="I316" s="587">
        <v>0</v>
      </c>
      <c r="J316" s="587">
        <v>0</v>
      </c>
      <c r="K316" s="587">
        <f t="shared" si="14"/>
        <v>102.84</v>
      </c>
      <c r="L316" s="587">
        <v>3897</v>
      </c>
      <c r="M316" s="587">
        <f>_xlfn.XLOOKUP(D316,[8]新增资产!$C:$C,[8]新增资产!$L:$L)</f>
        <v>102.84</v>
      </c>
      <c r="N316" s="587">
        <v>0</v>
      </c>
      <c r="O316" s="843">
        <f t="shared" si="15"/>
        <v>3794.16</v>
      </c>
      <c r="P316" s="591" t="str">
        <f t="shared" si="17"/>
        <v>否</v>
      </c>
      <c r="Q316" s="592"/>
    </row>
    <row r="317" s="781" customFormat="1" ht="12.45" spans="1:18">
      <c r="A317" s="828"/>
      <c r="C317" s="584" t="s">
        <v>178</v>
      </c>
      <c r="D317" s="373" t="s">
        <v>945</v>
      </c>
      <c r="E317" s="374" t="s">
        <v>946</v>
      </c>
      <c r="F317" s="374" t="s">
        <v>947</v>
      </c>
      <c r="G317" s="374">
        <v>36</v>
      </c>
      <c r="H317" s="586">
        <v>0.05</v>
      </c>
      <c r="I317" s="587">
        <v>0</v>
      </c>
      <c r="J317" s="587">
        <v>0</v>
      </c>
      <c r="K317" s="587">
        <f t="shared" si="14"/>
        <v>19.21</v>
      </c>
      <c r="L317" s="587">
        <v>728</v>
      </c>
      <c r="M317" s="587">
        <f>_xlfn.XLOOKUP(D317,[8]新增资产!$C:$C,[8]新增资产!$L:$L)</f>
        <v>19.21</v>
      </c>
      <c r="N317" s="587">
        <v>0</v>
      </c>
      <c r="O317" s="843">
        <f t="shared" si="15"/>
        <v>708.79</v>
      </c>
      <c r="P317" s="591" t="str">
        <f t="shared" si="17"/>
        <v>否</v>
      </c>
      <c r="Q317" s="592"/>
    </row>
    <row r="318" s="781" customFormat="1" ht="12.45" spans="1:18">
      <c r="A318" s="828"/>
      <c r="C318" s="584" t="s">
        <v>179</v>
      </c>
      <c r="D318" s="373" t="s">
        <v>948</v>
      </c>
      <c r="E318" s="374" t="s">
        <v>949</v>
      </c>
      <c r="F318" s="374" t="s">
        <v>950</v>
      </c>
      <c r="G318" s="374">
        <v>60</v>
      </c>
      <c r="H318" s="586">
        <v>0.05</v>
      </c>
      <c r="I318" s="587">
        <v>0</v>
      </c>
      <c r="J318" s="587">
        <v>0</v>
      </c>
      <c r="K318" s="587">
        <f t="shared" si="14"/>
        <v>8977.5</v>
      </c>
      <c r="L318" s="587">
        <v>63000</v>
      </c>
      <c r="M318" s="587">
        <f>_xlfn.XLOOKUP(D318,[8]新增资产!$C:$C,[8]新增资产!$L:$L)</f>
        <v>8977.5</v>
      </c>
      <c r="N318" s="587">
        <v>0</v>
      </c>
      <c r="O318" s="843">
        <f t="shared" si="15"/>
        <v>54022.5</v>
      </c>
      <c r="P318" s="591" t="str">
        <f t="shared" si="17"/>
        <v>否</v>
      </c>
      <c r="Q318" s="592"/>
    </row>
    <row r="319" s="781" customFormat="1" ht="12.45" spans="1:18">
      <c r="A319" s="828"/>
      <c r="C319" s="584" t="s">
        <v>179</v>
      </c>
      <c r="D319" s="373" t="s">
        <v>951</v>
      </c>
      <c r="E319" s="374" t="s">
        <v>882</v>
      </c>
      <c r="F319" s="374" t="s">
        <v>952</v>
      </c>
      <c r="G319" s="374">
        <v>60</v>
      </c>
      <c r="H319" s="586">
        <v>0.05</v>
      </c>
      <c r="I319" s="587">
        <v>0</v>
      </c>
      <c r="J319" s="587">
        <v>0</v>
      </c>
      <c r="K319" s="587">
        <f t="shared" si="14"/>
        <v>2128</v>
      </c>
      <c r="L319" s="587">
        <v>16800</v>
      </c>
      <c r="M319" s="587">
        <f>_xlfn.XLOOKUP(D319,[8]新增资产!$C:$C,[8]新增资产!$L:$L)</f>
        <v>2128</v>
      </c>
      <c r="N319" s="587">
        <v>0</v>
      </c>
      <c r="O319" s="843">
        <f t="shared" si="15"/>
        <v>14672</v>
      </c>
      <c r="P319" s="591" t="str">
        <f t="shared" si="17"/>
        <v>否</v>
      </c>
      <c r="Q319" s="592"/>
    </row>
    <row r="320" s="781" customFormat="1" ht="12.45" spans="1:18">
      <c r="A320" s="828"/>
      <c r="C320" s="584" t="s">
        <v>179</v>
      </c>
      <c r="D320" s="373" t="s">
        <v>953</v>
      </c>
      <c r="E320" s="374" t="s">
        <v>954</v>
      </c>
      <c r="F320" s="374" t="s">
        <v>955</v>
      </c>
      <c r="G320" s="374">
        <v>60</v>
      </c>
      <c r="H320" s="586">
        <v>0.05</v>
      </c>
      <c r="I320" s="587">
        <v>0</v>
      </c>
      <c r="J320" s="587">
        <v>0</v>
      </c>
      <c r="K320" s="587">
        <f t="shared" si="14"/>
        <v>20836.69</v>
      </c>
      <c r="L320" s="587">
        <v>188000</v>
      </c>
      <c r="M320" s="587">
        <f>_xlfn.XLOOKUP(D320,[8]新增资产!$C:$C,[8]新增资产!$L:$L)</f>
        <v>20836.69</v>
      </c>
      <c r="N320" s="587">
        <v>0</v>
      </c>
      <c r="O320" s="843">
        <f t="shared" si="15"/>
        <v>167163.31</v>
      </c>
      <c r="P320" s="591" t="str">
        <f t="shared" si="17"/>
        <v>否</v>
      </c>
      <c r="Q320" s="592"/>
    </row>
    <row r="321" s="781" customFormat="1" ht="12.45" spans="1:17">
      <c r="A321" s="828"/>
      <c r="C321" s="584" t="s">
        <v>179</v>
      </c>
      <c r="D321" s="373" t="s">
        <v>956</v>
      </c>
      <c r="E321" s="374" t="s">
        <v>737</v>
      </c>
      <c r="F321" s="374" t="s">
        <v>938</v>
      </c>
      <c r="G321" s="374">
        <v>60</v>
      </c>
      <c r="H321" s="586">
        <v>0.05</v>
      </c>
      <c r="I321" s="587">
        <v>0</v>
      </c>
      <c r="J321" s="587">
        <v>0</v>
      </c>
      <c r="K321" s="587">
        <f t="shared" si="14"/>
        <v>2337</v>
      </c>
      <c r="L321" s="587">
        <v>36900</v>
      </c>
      <c r="M321" s="587">
        <f>_xlfn.XLOOKUP(D321,[8]新增资产!$C:$C,[8]新增资产!$L:$L)</f>
        <v>2337</v>
      </c>
      <c r="N321" s="587">
        <v>0</v>
      </c>
      <c r="O321" s="843">
        <f t="shared" si="15"/>
        <v>34563</v>
      </c>
      <c r="P321" s="591" t="str">
        <f t="shared" si="17"/>
        <v>否</v>
      </c>
      <c r="Q321" s="592"/>
    </row>
    <row r="322" s="781" customFormat="1" ht="12.45" spans="1:17">
      <c r="A322" s="828"/>
      <c r="C322" s="584" t="s">
        <v>179</v>
      </c>
      <c r="D322" s="373" t="s">
        <v>957</v>
      </c>
      <c r="E322" s="374" t="s">
        <v>737</v>
      </c>
      <c r="F322" s="374" t="s">
        <v>938</v>
      </c>
      <c r="G322" s="374">
        <v>60</v>
      </c>
      <c r="H322" s="586">
        <v>0.05</v>
      </c>
      <c r="I322" s="587">
        <v>0</v>
      </c>
      <c r="J322" s="587">
        <v>0</v>
      </c>
      <c r="K322" s="587">
        <f t="shared" si="14"/>
        <v>886.68</v>
      </c>
      <c r="L322" s="587">
        <v>14000</v>
      </c>
      <c r="M322" s="587">
        <f>_xlfn.XLOOKUP(D322,[8]新增资产!$C:$C,[8]新增资产!$L:$L)</f>
        <v>886.68</v>
      </c>
      <c r="N322" s="587">
        <v>0</v>
      </c>
      <c r="O322" s="843">
        <f t="shared" si="15"/>
        <v>13113.32</v>
      </c>
      <c r="P322" s="591" t="str">
        <f t="shared" si="17"/>
        <v>否</v>
      </c>
      <c r="Q322" s="592"/>
    </row>
    <row r="323" s="781" customFormat="1" ht="12.45" spans="1:17">
      <c r="A323" s="828"/>
      <c r="C323" s="584" t="s">
        <v>179</v>
      </c>
      <c r="D323" s="373" t="s">
        <v>958</v>
      </c>
      <c r="E323" s="374" t="s">
        <v>959</v>
      </c>
      <c r="F323" s="374" t="s">
        <v>938</v>
      </c>
      <c r="G323" s="374">
        <v>60</v>
      </c>
      <c r="H323" s="586">
        <v>0.05</v>
      </c>
      <c r="I323" s="587">
        <v>0</v>
      </c>
      <c r="J323" s="587">
        <v>0</v>
      </c>
      <c r="K323" s="587">
        <f t="shared" si="14"/>
        <v>190</v>
      </c>
      <c r="L323" s="587">
        <v>3000</v>
      </c>
      <c r="M323" s="587">
        <f>_xlfn.XLOOKUP(D323,[8]新增资产!$C:$C,[8]新增资产!$L:$L)</f>
        <v>190</v>
      </c>
      <c r="N323" s="587">
        <v>0</v>
      </c>
      <c r="O323" s="843">
        <f t="shared" si="15"/>
        <v>2810</v>
      </c>
      <c r="P323" s="591" t="str">
        <f t="shared" si="17"/>
        <v>否</v>
      </c>
      <c r="Q323" s="592"/>
    </row>
    <row r="324" s="781" customFormat="1" ht="12.45" spans="1:17">
      <c r="A324" s="828"/>
      <c r="C324" s="584" t="s">
        <v>179</v>
      </c>
      <c r="D324" s="373" t="s">
        <v>960</v>
      </c>
      <c r="E324" s="374" t="s">
        <v>961</v>
      </c>
      <c r="F324" s="374" t="s">
        <v>938</v>
      </c>
      <c r="G324" s="374">
        <v>60</v>
      </c>
      <c r="H324" s="586">
        <v>0.05</v>
      </c>
      <c r="I324" s="587">
        <v>0</v>
      </c>
      <c r="J324" s="587">
        <v>0</v>
      </c>
      <c r="K324" s="587">
        <f t="shared" si="14"/>
        <v>114</v>
      </c>
      <c r="L324" s="587">
        <v>1800</v>
      </c>
      <c r="M324" s="587">
        <f>_xlfn.XLOOKUP(D324,[8]新增资产!$C:$C,[8]新增资产!$L:$L)</f>
        <v>114</v>
      </c>
      <c r="N324" s="587">
        <v>0</v>
      </c>
      <c r="O324" s="843">
        <f t="shared" si="15"/>
        <v>1686</v>
      </c>
      <c r="P324" s="591" t="str">
        <f t="shared" si="17"/>
        <v>否</v>
      </c>
      <c r="Q324" s="592"/>
    </row>
    <row r="325" s="781" customFormat="1" ht="12.45" spans="1:17">
      <c r="A325" s="828"/>
      <c r="C325" s="584" t="s">
        <v>179</v>
      </c>
      <c r="D325" s="373" t="s">
        <v>962</v>
      </c>
      <c r="E325" s="374" t="s">
        <v>707</v>
      </c>
      <c r="F325" s="374" t="s">
        <v>938</v>
      </c>
      <c r="G325" s="374">
        <v>60</v>
      </c>
      <c r="H325" s="586">
        <v>0.05</v>
      </c>
      <c r="I325" s="587">
        <v>0</v>
      </c>
      <c r="J325" s="587">
        <v>0</v>
      </c>
      <c r="K325" s="587">
        <f t="shared" si="14"/>
        <v>557.32</v>
      </c>
      <c r="L325" s="587">
        <v>8800</v>
      </c>
      <c r="M325" s="587">
        <f>_xlfn.XLOOKUP(D325,[8]新增资产!$C:$C,[8]新增资产!$L:$L)</f>
        <v>557.32</v>
      </c>
      <c r="N325" s="587">
        <v>0</v>
      </c>
      <c r="O325" s="843">
        <f t="shared" si="15"/>
        <v>8242.68</v>
      </c>
      <c r="P325" s="591" t="str">
        <f t="shared" si="17"/>
        <v>否</v>
      </c>
      <c r="Q325" s="592"/>
    </row>
    <row r="326" s="781" customFormat="1" ht="12.45" spans="1:17">
      <c r="A326" s="828"/>
      <c r="C326" s="584" t="s">
        <v>179</v>
      </c>
      <c r="D326" s="373" t="s">
        <v>963</v>
      </c>
      <c r="E326" s="374" t="s">
        <v>964</v>
      </c>
      <c r="F326" s="374" t="s">
        <v>965</v>
      </c>
      <c r="G326" s="374">
        <v>60</v>
      </c>
      <c r="H326" s="586">
        <v>0.05</v>
      </c>
      <c r="I326" s="587">
        <v>0</v>
      </c>
      <c r="J326" s="587">
        <v>0</v>
      </c>
      <c r="K326" s="587">
        <f t="shared" si="14"/>
        <v>2945.01</v>
      </c>
      <c r="L326" s="587">
        <v>62000</v>
      </c>
      <c r="M326" s="587">
        <f>_xlfn.XLOOKUP(D326,[8]新增资产!$C:$C,[8]新增资产!$L:$L)</f>
        <v>2945.01</v>
      </c>
      <c r="N326" s="587">
        <v>0</v>
      </c>
      <c r="O326" s="843">
        <f t="shared" si="15"/>
        <v>59054.99</v>
      </c>
      <c r="P326" s="591" t="str">
        <f t="shared" si="17"/>
        <v>否</v>
      </c>
      <c r="Q326" s="592"/>
    </row>
    <row r="327" s="781" customFormat="1" ht="12.45" spans="1:17">
      <c r="A327" s="828"/>
      <c r="C327" s="584" t="s">
        <v>179</v>
      </c>
      <c r="D327" s="373" t="s">
        <v>966</v>
      </c>
      <c r="E327" s="374" t="s">
        <v>967</v>
      </c>
      <c r="F327" s="374" t="s">
        <v>968</v>
      </c>
      <c r="G327" s="374">
        <v>60</v>
      </c>
      <c r="H327" s="586">
        <v>0.05</v>
      </c>
      <c r="I327" s="587">
        <v>0</v>
      </c>
      <c r="J327" s="587">
        <v>0</v>
      </c>
      <c r="K327" s="587">
        <f t="shared" si="14"/>
        <v>12033.34</v>
      </c>
      <c r="L327" s="587">
        <v>380000</v>
      </c>
      <c r="M327" s="587">
        <f>_xlfn.XLOOKUP(D327,[8]新增资产!$C:$C,[8]新增资产!$L:$L)</f>
        <v>12033.34</v>
      </c>
      <c r="N327" s="587">
        <v>0</v>
      </c>
      <c r="O327" s="843">
        <f t="shared" si="15"/>
        <v>367966.66</v>
      </c>
      <c r="P327" s="591" t="str">
        <f t="shared" si="17"/>
        <v>否</v>
      </c>
      <c r="Q327" s="592"/>
    </row>
    <row r="328" s="781" customFormat="1" ht="12.45" spans="1:17">
      <c r="A328" s="828"/>
      <c r="C328" s="584" t="s">
        <v>180</v>
      </c>
      <c r="D328" s="373" t="s">
        <v>969</v>
      </c>
      <c r="E328" s="374" t="s">
        <v>970</v>
      </c>
      <c r="F328" s="374" t="s">
        <v>952</v>
      </c>
      <c r="G328" s="374">
        <v>36</v>
      </c>
      <c r="H328" s="586">
        <v>0.05</v>
      </c>
      <c r="I328" s="587">
        <v>0</v>
      </c>
      <c r="J328" s="587">
        <v>0</v>
      </c>
      <c r="K328" s="587">
        <f t="shared" si="14"/>
        <v>1372.24</v>
      </c>
      <c r="L328" s="587">
        <v>6500</v>
      </c>
      <c r="M328" s="587">
        <f>_xlfn.XLOOKUP(D328,[8]新增资产!$C:$C,[8]新增资产!$L:$L)</f>
        <v>1372.24</v>
      </c>
      <c r="N328" s="587">
        <v>0</v>
      </c>
      <c r="O328" s="843">
        <f t="shared" si="15"/>
        <v>5127.76</v>
      </c>
      <c r="P328" s="591" t="str">
        <f t="shared" si="17"/>
        <v>否</v>
      </c>
      <c r="Q328" s="592"/>
    </row>
    <row r="329" s="781" customFormat="1" ht="12.45" spans="1:17">
      <c r="A329" s="828"/>
      <c r="C329" s="584" t="s">
        <v>181</v>
      </c>
      <c r="D329" s="373" t="s">
        <v>971</v>
      </c>
      <c r="E329" s="374" t="s">
        <v>972</v>
      </c>
      <c r="F329" s="374" t="s">
        <v>973</v>
      </c>
      <c r="G329" s="374">
        <v>48</v>
      </c>
      <c r="H329" s="586">
        <v>0.05</v>
      </c>
      <c r="I329" s="587">
        <v>0</v>
      </c>
      <c r="J329" s="587">
        <v>0</v>
      </c>
      <c r="K329" s="587">
        <f t="shared" si="14"/>
        <v>10687.5</v>
      </c>
      <c r="L329" s="587">
        <v>60000</v>
      </c>
      <c r="M329" s="587">
        <v>10687.5</v>
      </c>
      <c r="N329" s="587">
        <v>0</v>
      </c>
      <c r="O329" s="843">
        <f t="shared" si="15"/>
        <v>49312.5</v>
      </c>
      <c r="P329" s="591" t="str">
        <f t="shared" si="17"/>
        <v>否</v>
      </c>
      <c r="Q329" s="592"/>
    </row>
    <row r="330" s="781" customFormat="1" ht="12.45" spans="1:17">
      <c r="A330" s="828"/>
      <c r="B330" s="849" t="s">
        <v>974</v>
      </c>
      <c r="C330" s="584" t="s">
        <v>179</v>
      </c>
      <c r="D330" s="373" t="s">
        <v>975</v>
      </c>
      <c r="E330" s="374" t="s">
        <v>976</v>
      </c>
      <c r="F330" s="374" t="s">
        <v>400</v>
      </c>
      <c r="G330" s="374">
        <v>60</v>
      </c>
      <c r="H330" s="586">
        <v>0.05</v>
      </c>
      <c r="I330" s="587">
        <v>159633</v>
      </c>
      <c r="J330" s="588">
        <v>55855.1</v>
      </c>
      <c r="K330" s="587">
        <f t="shared" si="14"/>
        <v>30330.24</v>
      </c>
      <c r="L330" s="587">
        <v>0</v>
      </c>
      <c r="M330" s="587">
        <v>86185.34</v>
      </c>
      <c r="N330" s="587">
        <v>0</v>
      </c>
      <c r="O330" s="843">
        <v>0</v>
      </c>
      <c r="P330" s="591" t="str">
        <f t="shared" si="17"/>
        <v>否</v>
      </c>
      <c r="Q330" s="592"/>
    </row>
    <row r="331" s="781" customFormat="1" ht="12.4" spans="1:17">
      <c r="A331" s="828"/>
      <c r="C331" s="584"/>
      <c r="D331" s="373"/>
      <c r="E331" s="374"/>
      <c r="F331" s="374"/>
      <c r="G331" s="374"/>
      <c r="H331" s="586"/>
      <c r="I331" s="587"/>
      <c r="J331" s="588"/>
      <c r="K331" s="587"/>
      <c r="L331" s="587"/>
      <c r="M331" s="587"/>
      <c r="N331" s="587">
        <v>0</v>
      </c>
      <c r="O331" s="843"/>
      <c r="P331" s="591" t="str">
        <f t="shared" si="17"/>
        <v>是</v>
      </c>
      <c r="Q331" s="592"/>
    </row>
    <row r="332" s="781" customFormat="1" ht="12.4" spans="1:17">
      <c r="A332" s="828"/>
      <c r="C332" s="584"/>
      <c r="D332" s="373"/>
      <c r="E332" s="374"/>
      <c r="F332" s="374"/>
      <c r="G332" s="374"/>
      <c r="H332" s="586"/>
      <c r="I332" s="587"/>
      <c r="J332" s="588"/>
      <c r="K332" s="587"/>
      <c r="L332" s="587"/>
      <c r="M332" s="587"/>
      <c r="N332" s="587">
        <v>0</v>
      </c>
      <c r="O332" s="843"/>
      <c r="P332" s="591" t="str">
        <f t="shared" si="17"/>
        <v>是</v>
      </c>
      <c r="Q332" s="592"/>
    </row>
    <row r="333" s="781" customFormat="1" ht="12.4" spans="1:17">
      <c r="A333" s="828"/>
      <c r="C333" s="584"/>
      <c r="D333" s="373"/>
      <c r="E333" s="374"/>
      <c r="F333" s="374"/>
      <c r="G333" s="374"/>
      <c r="H333" s="586"/>
      <c r="I333" s="587"/>
      <c r="J333" s="588"/>
      <c r="K333" s="587"/>
      <c r="L333" s="587"/>
      <c r="M333" s="587"/>
      <c r="N333" s="587">
        <v>0</v>
      </c>
      <c r="O333" s="843"/>
      <c r="P333" s="591" t="str">
        <f t="shared" si="17"/>
        <v>是</v>
      </c>
      <c r="Q333" s="592"/>
    </row>
    <row r="334" s="781" customFormat="1" ht="12.4" spans="1:17">
      <c r="A334" s="828"/>
      <c r="C334" s="584"/>
      <c r="D334" s="373"/>
      <c r="E334" s="374"/>
      <c r="F334" s="374"/>
      <c r="G334" s="374"/>
      <c r="H334" s="586"/>
      <c r="I334" s="587"/>
      <c r="J334" s="588"/>
      <c r="K334" s="587"/>
      <c r="L334" s="587"/>
      <c r="M334" s="587"/>
      <c r="N334" s="587">
        <v>0</v>
      </c>
      <c r="O334" s="843"/>
      <c r="P334" s="591" t="str">
        <f t="shared" si="17"/>
        <v>是</v>
      </c>
      <c r="Q334" s="592"/>
    </row>
    <row r="335" s="781" customFormat="1" ht="12.4" spans="1:17">
      <c r="A335" s="828"/>
      <c r="C335" s="584"/>
      <c r="D335" s="373"/>
      <c r="E335" s="374"/>
      <c r="F335" s="374"/>
      <c r="G335" s="374"/>
      <c r="H335" s="586"/>
      <c r="I335" s="587"/>
      <c r="J335" s="588"/>
      <c r="K335" s="587"/>
      <c r="L335" s="587"/>
      <c r="M335" s="587"/>
      <c r="N335" s="587">
        <v>0</v>
      </c>
      <c r="O335" s="843"/>
      <c r="P335" s="591" t="str">
        <f t="shared" si="16"/>
        <v>是</v>
      </c>
      <c r="Q335" s="592"/>
    </row>
    <row r="336" s="781" customFormat="1" ht="15.3" spans="1:17">
      <c r="A336" s="828"/>
      <c r="C336" s="850" t="s">
        <v>183</v>
      </c>
      <c r="D336" s="851"/>
      <c r="E336" s="852"/>
      <c r="F336" s="852"/>
      <c r="G336" s="852"/>
      <c r="H336" s="853"/>
      <c r="I336" s="854">
        <f t="shared" ref="I336:O336" si="18">SUM(I17:I335)</f>
        <v>17333941.68</v>
      </c>
      <c r="J336" s="854">
        <f t="shared" si="18"/>
        <v>12259747.07</v>
      </c>
      <c r="K336" s="854">
        <f t="shared" si="18"/>
        <v>1934867.54</v>
      </c>
      <c r="L336" s="854">
        <f t="shared" si="18"/>
        <v>18040855.35</v>
      </c>
      <c r="M336" s="854">
        <f t="shared" si="18"/>
        <v>14194614.61</v>
      </c>
      <c r="N336" s="854">
        <f t="shared" si="18"/>
        <v>0</v>
      </c>
      <c r="O336" s="854">
        <f t="shared" si="18"/>
        <v>3932426.08</v>
      </c>
      <c r="P336" s="855"/>
      <c r="Q336" s="592"/>
    </row>
    <row r="337" s="780" customFormat="1" ht="12.4" spans="1:18">
      <c r="A337" s="828"/>
      <c r="B337" s="781"/>
      <c r="C337" s="856"/>
      <c r="D337" s="857"/>
      <c r="E337" s="857"/>
      <c r="F337" s="856"/>
      <c r="G337" s="856"/>
      <c r="H337" s="858"/>
      <c r="I337" s="859" t="s">
        <v>104</v>
      </c>
      <c r="J337" s="859" t="s">
        <v>104</v>
      </c>
      <c r="K337" s="859" t="s">
        <v>104</v>
      </c>
      <c r="L337" s="859" t="s">
        <v>104</v>
      </c>
      <c r="M337" s="859" t="s">
        <v>104</v>
      </c>
      <c r="N337" s="859" t="s">
        <v>104</v>
      </c>
      <c r="O337" s="859" t="s">
        <v>104</v>
      </c>
      <c r="P337" s="860"/>
      <c r="Q337" s="781"/>
    </row>
    <row r="338" s="780" customFormat="1" ht="14.1" spans="1:18">
      <c r="A338" s="828"/>
      <c r="C338" s="861"/>
      <c r="J338" s="862"/>
      <c r="M338"/>
    </row>
    <row r="339" s="780" customFormat="1" ht="14.1" spans="1:18">
      <c r="A339" s="828"/>
      <c r="D339" s="863"/>
      <c r="E339" s="863"/>
      <c r="F339" s="863"/>
      <c r="G339" s="863"/>
      <c r="H339" s="863"/>
      <c r="I339" s="863"/>
      <c r="J339" s="862"/>
      <c r="K339" s="863"/>
      <c r="L339" s="863"/>
      <c r="M339"/>
      <c r="N339" s="863"/>
      <c r="O339" s="863"/>
    </row>
    <row r="340" s="780" customFormat="1" ht="14.1" spans="1:18">
      <c r="A340" s="828"/>
      <c r="F340" s="864"/>
      <c r="G340" s="864"/>
      <c r="H340" s="864"/>
      <c r="I340" s="864"/>
      <c r="J340" s="864"/>
      <c r="K340" s="864"/>
      <c r="L340" s="864"/>
      <c r="M340" s="865"/>
    </row>
    <row r="341" s="784" customFormat="1" ht="14.1" spans="1:18">
      <c r="A341" s="828"/>
      <c r="F341" s="862"/>
      <c r="G341" s="862"/>
      <c r="H341" s="862"/>
      <c r="I341" s="862"/>
      <c r="J341" s="862"/>
      <c r="K341" s="862"/>
      <c r="L341" s="862"/>
      <c r="M341"/>
      <c r="N341" s="866"/>
      <c r="O341" s="866"/>
      <c r="P341" s="866"/>
      <c r="Q341" s="866"/>
      <c r="R341" s="866"/>
    </row>
    <row r="342" s="780" customFormat="1" ht="12.4" spans="1:18">
      <c r="A342" s="828"/>
      <c r="C342" s="867"/>
      <c r="D342" s="838"/>
      <c r="E342" s="838"/>
      <c r="F342" s="838"/>
      <c r="G342" s="868"/>
      <c r="H342" s="868"/>
      <c r="I342" s="868"/>
      <c r="J342" s="868"/>
      <c r="K342" s="868"/>
      <c r="L342" s="868"/>
    </row>
    <row r="343" s="780" customFormat="1" ht="12.4" spans="1:18">
      <c r="A343" s="828"/>
      <c r="C343" s="867"/>
      <c r="D343" s="838"/>
      <c r="E343" s="838"/>
      <c r="F343" s="838"/>
      <c r="G343" s="868"/>
      <c r="H343" s="868"/>
      <c r="I343" s="868"/>
      <c r="J343" s="868"/>
      <c r="K343" s="58"/>
      <c r="L343" s="58"/>
      <c r="M343" s="58"/>
    </row>
    <row r="344" spans="1:18">
      <c r="A344" s="828"/>
    </row>
    <row r="345" spans="1:18">
      <c r="A345" s="828"/>
    </row>
    <row r="346" ht="13.15" customHeight="1" spans="1:18">
      <c r="A346" s="828"/>
    </row>
    <row r="347" customHeight="1" spans="1:18">
      <c r="A347" s="828"/>
    </row>
    <row r="348" spans="1:18">
      <c r="A348" s="828"/>
    </row>
    <row r="349" spans="1:18">
      <c r="A349" s="869"/>
    </row>
    <row r="350" spans="1:18">
      <c r="A350" s="869"/>
    </row>
    <row r="351" spans="1:18">
      <c r="A351" s="869"/>
    </row>
    <row r="352" spans="1:18">
      <c r="A352" s="869"/>
    </row>
    <row r="353" spans="1:1">
      <c r="A353" s="869"/>
    </row>
    <row r="354" customHeight="1" spans="1:1">
      <c r="A354" s="869"/>
    </row>
    <row r="355" spans="1:1">
      <c r="A355" s="869"/>
    </row>
    <row r="356" spans="1:1">
      <c r="A356" s="869"/>
    </row>
    <row r="357" spans="1:1">
      <c r="A357" s="869"/>
    </row>
    <row r="358" spans="1:1">
      <c r="A358" s="869"/>
    </row>
    <row r="359" spans="1:1">
      <c r="A359" s="869"/>
    </row>
    <row r="360" spans="1:1">
      <c r="A360" s="869"/>
    </row>
    <row r="361" spans="1:1">
      <c r="A361" s="869"/>
    </row>
    <row r="362" spans="1:1">
      <c r="A362" s="869"/>
    </row>
    <row r="363" spans="1:1">
      <c r="A363" s="869"/>
    </row>
    <row r="364" spans="1:1">
      <c r="A364" s="869"/>
    </row>
    <row r="365" spans="1:1">
      <c r="A365" s="869"/>
    </row>
    <row r="366" spans="1:1">
      <c r="A366" s="869"/>
    </row>
    <row r="367" spans="1:1">
      <c r="A367" s="869"/>
    </row>
  </sheetData>
  <autoFilter xmlns:etc="http://www.wps.cn/officeDocument/2017/etCustomData" ref="A16:AM337" etc:filterBottomFollowUsedRange="0">
    <extLst/>
  </autoFilter>
  <mergeCells count="2">
    <mergeCell ref="C11:P11"/>
    <mergeCell ref="R15:U15"/>
  </mergeCells>
  <conditionalFormatting sqref="D17:D329">
    <cfRule type="duplicateValues" dxfId="2" priority="1"/>
  </conditionalFormatting>
  <conditionalFormatting sqref="D148:D335">
    <cfRule type="duplicateValues" dxfId="2" priority="110"/>
  </conditionalFormatting>
  <conditionalFormatting sqref="C17:P335">
    <cfRule type="containsBlanks" dxfId="1" priority="3">
      <formula>LEN(TRIM(C17))=0</formula>
    </cfRule>
  </conditionalFormatting>
  <hyperlinks>
    <hyperlink ref="O2" location="汇总!A1" display="返回汇总页"/>
  </hyperlink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6"/>
  <sheetViews>
    <sheetView showGridLines="0" tabSelected="1" zoomScale="95" zoomScaleNormal="95" workbookViewId="0">
      <selection activeCell="I23" sqref="I23"/>
    </sheetView>
  </sheetViews>
  <sheetFormatPr defaultColWidth="9.09009009009009" defaultRowHeight="12.4"/>
  <cols>
    <col min="1" max="1" width="2.63063063063063" style="738" customWidth="1"/>
    <col min="2" max="2" width="21.0900900900901" style="53" customWidth="1"/>
    <col min="3" max="5" width="14.2702702702703" style="53" customWidth="1"/>
    <col min="6" max="6" width="25" style="53" customWidth="1"/>
    <col min="7" max="7" width="10.6306306306306" style="53" customWidth="1"/>
    <col min="8" max="8" width="15.6306306306306" style="53" customWidth="1"/>
    <col min="9" max="9" width="13.4504504504505" style="53" customWidth="1"/>
    <col min="10" max="10" width="11.6306306306306" style="53" customWidth="1"/>
    <col min="11" max="11" width="10.0900900900901" style="53" customWidth="1"/>
    <col min="12" max="12" width="23.4504504504505" style="80" customWidth="1"/>
    <col min="13" max="13" width="22.7297297297297" style="53" customWidth="1"/>
    <col min="14" max="14" width="13.6306306306306" style="53" customWidth="1"/>
    <col min="15" max="18" width="8.09009009009009" style="53" customWidth="1"/>
    <col min="19" max="19" width="2.63063063063063" style="53" customWidth="1"/>
    <col min="20" max="20" width="1.63063063063063" style="739" customWidth="1"/>
    <col min="21" max="21" width="9.09009009009009" style="53"/>
    <col min="22" max="22" width="11.7297297297297" style="53" customWidth="1"/>
    <col min="23" max="16384" width="9.09009009009009" style="53"/>
  </cols>
  <sheetData>
    <row r="1" ht="50.15" customHeight="1" spans="1:20">
      <c r="A1" s="157"/>
      <c r="B1" s="621" t="s">
        <v>977</v>
      </c>
      <c r="C1" s="622"/>
      <c r="D1" s="622"/>
      <c r="E1" s="622"/>
      <c r="F1" s="622"/>
      <c r="G1" s="622"/>
      <c r="H1" s="622"/>
      <c r="I1" s="622"/>
      <c r="J1" s="622"/>
      <c r="K1" s="622"/>
      <c r="L1" s="622"/>
      <c r="M1" s="622"/>
      <c r="N1" s="622"/>
      <c r="O1" s="622"/>
      <c r="P1" s="622"/>
      <c r="Q1" s="622"/>
      <c r="R1" s="623"/>
      <c r="S1" s="65"/>
      <c r="T1" s="740"/>
    </row>
    <row r="2" ht="30" customHeight="1" spans="1:20">
      <c r="A2" s="157"/>
      <c r="B2" s="624" t="s">
        <v>978</v>
      </c>
      <c r="C2" s="741"/>
      <c r="D2" s="741"/>
      <c r="E2" s="741"/>
      <c r="F2" s="741"/>
      <c r="G2" s="741"/>
      <c r="H2" s="741"/>
      <c r="I2" s="741"/>
      <c r="J2" s="741"/>
      <c r="K2" s="741"/>
      <c r="L2" s="741"/>
      <c r="M2" s="741"/>
      <c r="N2" s="741"/>
      <c r="O2" s="741"/>
      <c r="P2" s="741"/>
      <c r="Q2" s="741"/>
      <c r="R2" s="742"/>
      <c r="S2" s="65"/>
      <c r="T2" s="740"/>
    </row>
    <row r="3" ht="15" customHeight="1" spans="1:20">
      <c r="A3" s="157"/>
      <c r="B3" s="65"/>
      <c r="C3" s="743"/>
      <c r="D3" s="743"/>
      <c r="E3" s="743"/>
      <c r="F3" s="743"/>
      <c r="G3" s="743"/>
      <c r="H3" s="743"/>
      <c r="I3" s="743"/>
      <c r="J3" s="743"/>
      <c r="K3" s="743"/>
      <c r="L3" s="743"/>
      <c r="M3" s="743"/>
      <c r="N3" s="743"/>
      <c r="O3" s="743"/>
      <c r="P3" s="743"/>
      <c r="S3" s="65"/>
      <c r="T3" s="740"/>
    </row>
    <row r="4" ht="15" customHeight="1" spans="1:20">
      <c r="A4" s="157"/>
      <c r="B4" s="18" t="s">
        <v>77</v>
      </c>
      <c r="C4" s="743"/>
      <c r="D4" s="743"/>
      <c r="E4" s="743"/>
      <c r="F4" s="743"/>
      <c r="G4" s="743"/>
      <c r="H4" s="743"/>
      <c r="I4" s="743"/>
      <c r="J4" s="743"/>
      <c r="K4" s="743"/>
      <c r="L4" s="743"/>
      <c r="M4" s="743"/>
      <c r="N4" s="743"/>
      <c r="O4" s="743"/>
      <c r="P4" s="743"/>
      <c r="S4" s="65"/>
      <c r="T4" s="740"/>
    </row>
    <row r="5" ht="15" customHeight="1" spans="1:20">
      <c r="A5" s="157"/>
      <c r="B5" s="65"/>
      <c r="C5" s="743"/>
      <c r="D5" s="743"/>
      <c r="E5" s="743"/>
      <c r="F5" s="743"/>
      <c r="G5" s="743"/>
      <c r="H5" s="743"/>
      <c r="I5" s="743"/>
      <c r="J5" s="743"/>
      <c r="K5" s="743"/>
      <c r="L5" s="743"/>
      <c r="M5" s="743"/>
      <c r="N5" s="743"/>
      <c r="O5" s="743"/>
      <c r="P5" s="743"/>
      <c r="S5" s="65"/>
      <c r="T5" s="740"/>
    </row>
    <row r="6" spans="1:20">
      <c r="A6" s="157"/>
      <c r="B6" s="66" t="s">
        <v>979</v>
      </c>
      <c r="C6" s="66"/>
      <c r="D6" s="66"/>
      <c r="E6" s="66"/>
      <c r="F6" s="66"/>
      <c r="G6" s="66"/>
      <c r="H6" s="66"/>
      <c r="I6" s="66"/>
      <c r="J6" s="66"/>
      <c r="K6" s="66"/>
      <c r="L6" s="66"/>
      <c r="M6" s="66"/>
      <c r="N6" s="66"/>
      <c r="O6" s="66"/>
      <c r="P6" s="66"/>
      <c r="Q6" s="66"/>
      <c r="R6" s="66"/>
      <c r="S6" s="65"/>
      <c r="T6" s="740"/>
    </row>
    <row r="7" ht="13.5" customHeight="1" spans="1:20">
      <c r="A7" s="157"/>
      <c r="B7" s="70" t="s">
        <v>980</v>
      </c>
      <c r="C7" s="71"/>
      <c r="D7" s="71"/>
      <c r="E7" s="71"/>
      <c r="F7" s="72"/>
      <c r="G7" s="630"/>
      <c r="H7" s="630"/>
      <c r="I7" s="630"/>
      <c r="J7" s="630"/>
      <c r="K7" s="630"/>
      <c r="L7" s="630"/>
      <c r="S7" s="65"/>
      <c r="T7" s="740"/>
    </row>
    <row r="8" ht="13.5" customHeight="1" spans="1:20">
      <c r="A8" s="157"/>
      <c r="B8" s="74"/>
      <c r="C8" s="75"/>
      <c r="D8" s="75"/>
      <c r="E8" s="75"/>
      <c r="F8" s="76"/>
      <c r="G8" s="630"/>
      <c r="H8" s="630"/>
      <c r="I8" s="630"/>
      <c r="J8" s="630"/>
      <c r="K8" s="630"/>
      <c r="L8" s="630"/>
      <c r="S8" s="65"/>
      <c r="T8" s="740"/>
    </row>
    <row r="9" ht="13.5" customHeight="1" spans="1:20">
      <c r="A9" s="157"/>
      <c r="B9" s="74"/>
      <c r="C9" s="75"/>
      <c r="D9" s="75"/>
      <c r="E9" s="75"/>
      <c r="F9" s="76"/>
      <c r="G9" s="630"/>
      <c r="H9" s="630"/>
      <c r="I9" s="630"/>
      <c r="J9" s="630"/>
      <c r="K9" s="630"/>
      <c r="L9" s="630"/>
      <c r="S9" s="65"/>
      <c r="T9" s="740"/>
    </row>
    <row r="10" ht="13.5" customHeight="1" spans="1:20">
      <c r="A10" s="157"/>
      <c r="B10" s="77"/>
      <c r="C10" s="78"/>
      <c r="D10" s="78"/>
      <c r="E10" s="78"/>
      <c r="F10" s="79"/>
      <c r="G10" s="630"/>
      <c r="H10" s="630"/>
      <c r="I10" s="630"/>
      <c r="J10" s="630"/>
      <c r="K10" s="630"/>
      <c r="L10" s="630"/>
      <c r="S10" s="65"/>
      <c r="T10" s="740"/>
    </row>
    <row r="11" spans="1:20">
      <c r="A11" s="157"/>
      <c r="B11" s="65"/>
      <c r="C11" s="631"/>
      <c r="D11" s="65"/>
      <c r="E11" s="65"/>
      <c r="F11" s="65"/>
      <c r="G11" s="65"/>
      <c r="H11" s="65"/>
      <c r="I11" s="65"/>
      <c r="J11" s="65"/>
      <c r="K11" s="65"/>
      <c r="L11" s="65"/>
      <c r="M11" s="65"/>
      <c r="N11" s="65"/>
      <c r="O11" s="65"/>
      <c r="P11" s="65"/>
      <c r="Q11" s="65"/>
      <c r="R11" s="65"/>
      <c r="S11" s="65"/>
      <c r="T11" s="740"/>
    </row>
    <row r="12" ht="13.7" spans="1:20">
      <c r="A12" s="157"/>
      <c r="B12" s="84" t="s">
        <v>981</v>
      </c>
      <c r="C12" s="84"/>
      <c r="D12" s="65"/>
      <c r="E12" s="65"/>
      <c r="F12" s="83">
        <v>866546.67</v>
      </c>
      <c r="G12" s="65"/>
      <c r="H12" s="65"/>
      <c r="I12" s="65"/>
      <c r="J12" s="65"/>
      <c r="K12" s="65"/>
      <c r="L12" s="65"/>
      <c r="M12" s="65"/>
      <c r="N12" s="65"/>
      <c r="O12" s="65"/>
      <c r="P12" s="65"/>
      <c r="Q12" s="65"/>
      <c r="R12" s="65"/>
      <c r="S12" s="65"/>
      <c r="T12" s="740"/>
    </row>
    <row r="13" ht="13.7" spans="1:20">
      <c r="A13" s="157"/>
      <c r="B13" s="634" t="s">
        <v>982</v>
      </c>
      <c r="C13" s="84"/>
      <c r="D13" s="65"/>
      <c r="E13" s="65"/>
      <c r="F13" s="636">
        <f>'K.01 Agree SL to GL'!Z13</f>
        <v>866546.67</v>
      </c>
      <c r="G13" s="637" t="s">
        <v>30</v>
      </c>
      <c r="H13" s="637"/>
      <c r="I13" s="65"/>
      <c r="J13" s="65"/>
      <c r="K13" s="637"/>
      <c r="L13" s="65"/>
      <c r="M13" s="65"/>
      <c r="N13" s="65"/>
      <c r="O13" s="65"/>
      <c r="P13" s="65"/>
      <c r="Q13" s="65"/>
      <c r="R13" s="65"/>
      <c r="S13" s="65"/>
      <c r="T13" s="740"/>
    </row>
    <row r="14" ht="14.55" spans="1:20">
      <c r="A14" s="157"/>
      <c r="B14" s="639" t="s">
        <v>251</v>
      </c>
      <c r="C14" s="639"/>
      <c r="D14" s="640"/>
      <c r="E14" s="640"/>
      <c r="F14" s="641">
        <f>F12-F13</f>
        <v>0</v>
      </c>
      <c r="G14" s="637" t="s">
        <v>104</v>
      </c>
      <c r="H14" s="744" t="s">
        <v>983</v>
      </c>
      <c r="I14" s="65"/>
      <c r="J14" s="643" t="str">
        <f>IF(ABS(F14)&gt;'K.00 Lead Sheet'!$C$6,"是","否")</f>
        <v>否</v>
      </c>
      <c r="L14" s="65"/>
      <c r="N14" s="65"/>
      <c r="O14" s="65"/>
      <c r="P14" s="65"/>
      <c r="Q14" s="65"/>
      <c r="R14" s="65"/>
      <c r="S14" s="65"/>
      <c r="T14" s="740"/>
    </row>
    <row r="15" spans="1:20">
      <c r="A15" s="157"/>
      <c r="B15" s="65"/>
      <c r="C15" s="84"/>
      <c r="D15" s="65"/>
      <c r="E15" s="65"/>
      <c r="F15" s="65"/>
      <c r="G15" s="65"/>
      <c r="H15" s="65"/>
      <c r="I15" s="65"/>
      <c r="J15" s="65"/>
      <c r="K15" s="65"/>
      <c r="L15" s="65"/>
      <c r="M15" s="65"/>
      <c r="N15" s="65"/>
      <c r="O15" s="65"/>
      <c r="P15" s="65"/>
      <c r="Q15" s="65"/>
      <c r="R15" s="65"/>
      <c r="S15" s="65"/>
      <c r="T15" s="740"/>
    </row>
    <row r="16" ht="13.7" spans="1:20">
      <c r="A16" s="157"/>
      <c r="B16" s="58" t="s">
        <v>984</v>
      </c>
      <c r="C16" s="58"/>
      <c r="D16" s="645"/>
      <c r="E16" s="645"/>
      <c r="F16" s="83" t="s">
        <v>985</v>
      </c>
      <c r="G16" s="65"/>
      <c r="H16" s="65"/>
      <c r="I16" s="645"/>
      <c r="J16" s="645"/>
      <c r="K16" s="65"/>
      <c r="L16" s="65"/>
      <c r="M16" s="645"/>
      <c r="N16" s="65"/>
      <c r="O16" s="65"/>
      <c r="P16" s="65"/>
      <c r="Q16" s="65"/>
      <c r="R16" s="65"/>
      <c r="S16" s="65"/>
      <c r="T16" s="740"/>
    </row>
    <row r="17" ht="13.7" spans="1:20">
      <c r="A17" s="157"/>
      <c r="B17" s="639" t="s">
        <v>986</v>
      </c>
      <c r="C17" s="639"/>
      <c r="D17" s="745"/>
      <c r="E17" s="745"/>
      <c r="F17" s="647">
        <f>F12-F16</f>
        <v>486546.67</v>
      </c>
      <c r="G17" s="65"/>
      <c r="H17" s="65"/>
      <c r="I17" s="746"/>
      <c r="J17" s="101"/>
      <c r="K17" s="65"/>
      <c r="L17" s="65"/>
      <c r="M17" s="747"/>
      <c r="N17" s="65"/>
      <c r="S17" s="65"/>
      <c r="T17" s="740"/>
    </row>
    <row r="18" spans="1:20">
      <c r="L18" s="53"/>
      <c r="T18" s="740"/>
    </row>
    <row r="19" ht="14.55" spans="1:20">
      <c r="A19" s="748"/>
      <c r="B19" s="4" t="s">
        <v>987</v>
      </c>
      <c r="T19" s="740"/>
    </row>
    <row r="20" ht="29.15" customHeight="1" spans="1:20">
      <c r="B20" s="749" t="s">
        <v>988</v>
      </c>
      <c r="C20" s="750"/>
      <c r="D20" s="750"/>
      <c r="E20" s="750"/>
      <c r="F20" s="751"/>
      <c r="T20" s="740"/>
    </row>
    <row r="21" ht="14.65" customHeight="1" spans="1:20">
      <c r="B21" s="752" t="s">
        <v>989</v>
      </c>
      <c r="C21" s="753"/>
      <c r="D21" s="753"/>
      <c r="E21" s="753"/>
      <c r="F21" s="754"/>
      <c r="T21" s="740"/>
    </row>
    <row r="22" ht="29.15" customHeight="1" spans="1:20">
      <c r="B22" s="752" t="s">
        <v>990</v>
      </c>
      <c r="C22" s="753"/>
      <c r="D22" s="753"/>
      <c r="E22" s="753"/>
      <c r="F22" s="754"/>
      <c r="T22" s="740"/>
    </row>
    <row r="23" ht="43.5" customHeight="1" spans="1:20">
      <c r="B23" s="755" t="s">
        <v>991</v>
      </c>
      <c r="C23" s="756"/>
      <c r="D23" s="756"/>
      <c r="E23" s="756"/>
      <c r="F23" s="757"/>
      <c r="T23" s="740"/>
    </row>
    <row r="24" spans="1:20">
      <c r="B24" s="56"/>
      <c r="L24" s="53"/>
      <c r="T24" s="740"/>
    </row>
    <row r="25" ht="14.55" spans="1:20">
      <c r="A25" s="758"/>
      <c r="B25" s="759" t="s">
        <v>992</v>
      </c>
      <c r="C25" s="760"/>
      <c r="D25" s="760"/>
      <c r="E25" s="760"/>
      <c r="F25" s="761"/>
      <c r="L25" s="53"/>
      <c r="T25" s="740"/>
    </row>
    <row r="26" ht="13.7" spans="1:20">
      <c r="B26" s="762" t="s">
        <v>993</v>
      </c>
      <c r="C26" s="763"/>
      <c r="D26" s="763"/>
      <c r="E26" s="763"/>
      <c r="F26" s="764"/>
      <c r="L26" s="53"/>
      <c r="T26" s="740"/>
    </row>
    <row r="27" ht="13.7" spans="1:20">
      <c r="B27" s="765" t="s">
        <v>994</v>
      </c>
      <c r="C27" s="3"/>
      <c r="D27" s="3"/>
      <c r="E27" s="3"/>
      <c r="F27" s="766"/>
      <c r="L27" s="53"/>
      <c r="T27" s="740"/>
    </row>
    <row r="28" ht="16.15" customHeight="1" spans="1:20">
      <c r="B28" s="765" t="s">
        <v>995</v>
      </c>
      <c r="C28" s="767"/>
      <c r="D28" s="767"/>
      <c r="E28" s="767"/>
      <c r="F28" s="768"/>
      <c r="L28" s="53"/>
      <c r="T28" s="740"/>
    </row>
    <row r="29" ht="28.15" customHeight="1" spans="1:20">
      <c r="B29" s="112" t="s">
        <v>996</v>
      </c>
      <c r="C29" s="113"/>
      <c r="D29" s="113"/>
      <c r="E29" s="113"/>
      <c r="F29" s="114"/>
      <c r="L29" s="53"/>
      <c r="T29" s="740"/>
    </row>
    <row r="30" ht="15" customHeight="1" spans="1:20">
      <c r="B30" s="769" t="s">
        <v>997</v>
      </c>
      <c r="C30" s="770"/>
      <c r="D30" s="770"/>
      <c r="E30" s="770"/>
      <c r="F30" s="771"/>
      <c r="L30" s="53"/>
      <c r="T30" s="740"/>
    </row>
    <row r="31" spans="1:20">
      <c r="T31" s="740"/>
    </row>
    <row r="32" ht="14.15" customHeight="1" spans="1:20">
      <c r="C32" s="118"/>
      <c r="D32" s="118"/>
      <c r="E32" s="118"/>
      <c r="F32" s="118"/>
      <c r="G32" s="118"/>
      <c r="H32" s="118"/>
      <c r="I32" s="118"/>
      <c r="J32" s="118"/>
      <c r="K32" s="118"/>
      <c r="L32" s="118"/>
      <c r="M32" s="57"/>
      <c r="N32" s="772" t="s">
        <v>998</v>
      </c>
      <c r="O32" s="120" t="s">
        <v>999</v>
      </c>
      <c r="P32" s="666"/>
      <c r="Q32" s="666"/>
      <c r="R32" s="121"/>
      <c r="T32" s="740"/>
    </row>
    <row r="33" ht="58.3" spans="1:20">
      <c r="B33" s="123" t="s">
        <v>1000</v>
      </c>
      <c r="C33" s="123" t="s">
        <v>176</v>
      </c>
      <c r="D33" s="125" t="s">
        <v>1001</v>
      </c>
      <c r="E33" s="125" t="s">
        <v>1002</v>
      </c>
      <c r="F33" s="125" t="s">
        <v>1003</v>
      </c>
      <c r="G33" s="125" t="s">
        <v>1004</v>
      </c>
      <c r="H33" s="125" t="s">
        <v>1005</v>
      </c>
      <c r="I33" s="125" t="s">
        <v>1006</v>
      </c>
      <c r="J33" s="125" t="s">
        <v>1007</v>
      </c>
      <c r="K33" s="125" t="s">
        <v>1008</v>
      </c>
      <c r="L33" s="125" t="s">
        <v>1009</v>
      </c>
      <c r="M33" s="125" t="s">
        <v>1010</v>
      </c>
      <c r="N33" s="125" t="s">
        <v>1011</v>
      </c>
      <c r="O33" s="123">
        <v>1</v>
      </c>
      <c r="P33" s="123">
        <v>2</v>
      </c>
      <c r="Q33" s="123">
        <v>3</v>
      </c>
      <c r="R33" s="123">
        <v>4</v>
      </c>
      <c r="T33" s="740"/>
    </row>
    <row r="34" spans="1:20">
      <c r="B34" s="131" t="s">
        <v>1012</v>
      </c>
      <c r="C34" s="773" t="s">
        <v>179</v>
      </c>
      <c r="D34" s="131">
        <v>1601</v>
      </c>
      <c r="E34" s="131" t="s">
        <v>966</v>
      </c>
      <c r="F34" s="131" t="s">
        <v>967</v>
      </c>
      <c r="G34" s="671" t="s">
        <v>985</v>
      </c>
      <c r="H34" s="133" t="s">
        <v>968</v>
      </c>
      <c r="I34" s="131">
        <v>60</v>
      </c>
      <c r="J34" s="774">
        <v>0.05</v>
      </c>
      <c r="K34" s="773" t="s">
        <v>1013</v>
      </c>
      <c r="L34" s="773">
        <v>300000</v>
      </c>
      <c r="M34" s="773" t="s">
        <v>1014</v>
      </c>
      <c r="N34" s="775">
        <f>G34-L34</f>
        <v>80000</v>
      </c>
      <c r="O34" s="131" t="s">
        <v>1015</v>
      </c>
      <c r="P34" s="131" t="s">
        <v>1015</v>
      </c>
      <c r="Q34" s="131" t="s">
        <v>1015</v>
      </c>
      <c r="R34" s="131" t="s">
        <v>1015</v>
      </c>
      <c r="T34" s="740"/>
    </row>
    <row r="35" ht="12.5" hidden="1" customHeight="1" spans="1:20">
      <c r="B35" s="131"/>
      <c r="C35" s="131"/>
      <c r="D35" s="131"/>
      <c r="E35" s="131"/>
      <c r="F35" s="131"/>
      <c r="G35" s="671"/>
      <c r="H35" s="133"/>
      <c r="I35" s="131"/>
      <c r="J35" s="774"/>
      <c r="K35" s="131"/>
      <c r="L35" s="132"/>
      <c r="M35" s="776" t="s">
        <v>1016</v>
      </c>
      <c r="N35" s="775">
        <f t="shared" ref="N35:N36" si="0">G35-L35</f>
        <v>0</v>
      </c>
      <c r="O35" s="131"/>
      <c r="P35" s="131"/>
      <c r="Q35" s="131"/>
      <c r="R35" s="131"/>
      <c r="T35" s="740"/>
    </row>
    <row r="36" hidden="1" spans="1:20">
      <c r="B36" s="131"/>
      <c r="C36" s="131"/>
      <c r="D36" s="131"/>
      <c r="E36" s="131"/>
      <c r="F36" s="131"/>
      <c r="G36" s="671"/>
      <c r="H36" s="133"/>
      <c r="I36" s="131"/>
      <c r="J36" s="774"/>
      <c r="K36" s="131"/>
      <c r="L36" s="132"/>
      <c r="M36" s="131"/>
      <c r="N36" s="775">
        <f t="shared" si="0"/>
        <v>0</v>
      </c>
      <c r="O36" s="131"/>
      <c r="P36" s="131"/>
      <c r="Q36" s="131"/>
      <c r="R36" s="131"/>
      <c r="T36" s="740"/>
    </row>
    <row r="37" spans="1:20">
      <c r="B37" s="129"/>
      <c r="C37" s="137"/>
      <c r="D37" s="137"/>
      <c r="E37" s="137"/>
      <c r="F37" s="137"/>
      <c r="G37" s="138"/>
      <c r="H37" s="138"/>
      <c r="I37" s="139"/>
      <c r="J37" s="140"/>
      <c r="K37" s="138"/>
      <c r="L37" s="141"/>
      <c r="M37" s="137"/>
      <c r="N37" s="137"/>
      <c r="O37" s="137"/>
      <c r="P37" s="137"/>
      <c r="T37" s="740"/>
    </row>
    <row r="38" ht="14.55" spans="1:20">
      <c r="B38" s="54" t="s">
        <v>1017</v>
      </c>
      <c r="C38" s="137"/>
      <c r="D38" s="137"/>
      <c r="E38" s="137"/>
      <c r="F38" s="137"/>
      <c r="G38" s="138"/>
      <c r="H38" s="138"/>
      <c r="I38" s="139"/>
      <c r="J38" s="140"/>
      <c r="K38" s="138"/>
      <c r="L38" s="141"/>
      <c r="M38" s="137"/>
      <c r="N38" s="137"/>
      <c r="O38" s="137"/>
      <c r="P38" s="137"/>
      <c r="T38" s="740"/>
    </row>
    <row r="39" spans="1:20">
      <c r="B39" s="70" t="s">
        <v>246</v>
      </c>
      <c r="C39" s="71"/>
      <c r="D39" s="71"/>
      <c r="E39" s="71"/>
      <c r="F39" s="72"/>
      <c r="G39" s="138"/>
      <c r="H39" s="138"/>
      <c r="I39" s="139"/>
      <c r="J39" s="140"/>
      <c r="K39" s="138"/>
      <c r="L39" s="141"/>
      <c r="M39" s="137"/>
      <c r="N39" s="137"/>
      <c r="O39" s="137"/>
      <c r="P39" s="137"/>
      <c r="T39" s="740"/>
    </row>
    <row r="40" spans="1:20">
      <c r="B40" s="74"/>
      <c r="C40" s="75"/>
      <c r="D40" s="75"/>
      <c r="E40" s="75"/>
      <c r="F40" s="76"/>
      <c r="G40" s="138"/>
      <c r="H40" s="138"/>
      <c r="I40" s="139"/>
      <c r="J40" s="140"/>
      <c r="K40" s="138"/>
      <c r="L40" s="141"/>
      <c r="M40" s="137"/>
      <c r="N40" s="137"/>
      <c r="O40" s="137"/>
      <c r="P40" s="137"/>
      <c r="T40" s="740"/>
    </row>
    <row r="41" spans="1:20">
      <c r="B41" s="74"/>
      <c r="C41" s="75"/>
      <c r="D41" s="75"/>
      <c r="E41" s="75"/>
      <c r="F41" s="76"/>
      <c r="G41" s="138"/>
      <c r="H41" s="138"/>
      <c r="I41" s="139"/>
      <c r="J41" s="140"/>
      <c r="K41" s="138"/>
      <c r="L41" s="141"/>
      <c r="M41" s="137"/>
      <c r="N41" s="137"/>
      <c r="O41" s="137"/>
      <c r="P41" s="137"/>
      <c r="T41" s="740"/>
    </row>
    <row r="42" spans="1:20">
      <c r="A42" s="777"/>
      <c r="B42" s="77"/>
      <c r="C42" s="78"/>
      <c r="D42" s="78"/>
      <c r="E42" s="78"/>
      <c r="F42" s="79"/>
      <c r="G42" s="138"/>
      <c r="H42" s="138"/>
      <c r="I42" s="139"/>
      <c r="J42" s="140"/>
      <c r="K42" s="138"/>
      <c r="L42" s="53"/>
      <c r="T42" s="740"/>
    </row>
    <row r="43" ht="15" customHeight="1" spans="1:20">
      <c r="B43" s="778"/>
      <c r="C43" s="778"/>
      <c r="D43" s="778"/>
      <c r="E43" s="778"/>
      <c r="F43" s="778"/>
      <c r="G43" s="778"/>
      <c r="H43" s="778"/>
      <c r="K43" s="778"/>
      <c r="L43" s="53"/>
      <c r="T43" s="740"/>
    </row>
    <row r="44" ht="7.5" customHeight="1" spans="1:20">
      <c r="A44" s="740"/>
      <c r="B44" s="740"/>
      <c r="C44" s="740"/>
      <c r="D44" s="740"/>
      <c r="E44" s="740"/>
      <c r="F44" s="740"/>
      <c r="G44" s="740"/>
      <c r="H44" s="740"/>
      <c r="I44" s="740"/>
      <c r="J44" s="740"/>
      <c r="K44" s="740"/>
      <c r="L44" s="740"/>
      <c r="M44" s="740"/>
      <c r="N44" s="740"/>
      <c r="O44" s="740"/>
      <c r="P44" s="740"/>
      <c r="Q44" s="740"/>
      <c r="R44" s="740"/>
      <c r="S44" s="740"/>
      <c r="T44" s="740"/>
    </row>
    <row r="45" spans="1:20">
      <c r="A45" s="779"/>
      <c r="L45" s="53"/>
    </row>
    <row r="46" spans="1:20">
      <c r="L46" s="53"/>
    </row>
    <row r="47" spans="1:20">
      <c r="L47" s="53"/>
    </row>
    <row r="48" spans="1:20">
      <c r="L48" s="53"/>
    </row>
    <row r="49" spans="12:12">
      <c r="L49" s="53"/>
    </row>
    <row r="50" spans="12:12">
      <c r="L50" s="53"/>
    </row>
    <row r="51" spans="12:12">
      <c r="L51" s="53"/>
    </row>
    <row r="52" spans="12:12">
      <c r="L52" s="53"/>
    </row>
    <row r="53" spans="12:12">
      <c r="L53" s="53"/>
    </row>
    <row r="54" spans="12:12">
      <c r="L54" s="53"/>
    </row>
    <row r="55" spans="12:12">
      <c r="L55" s="53"/>
    </row>
    <row r="56" spans="12:12">
      <c r="L56" s="53"/>
    </row>
  </sheetData>
  <mergeCells count="24">
    <mergeCell ref="B1:R1"/>
    <mergeCell ref="O2:P2"/>
    <mergeCell ref="Q2:R2"/>
    <mergeCell ref="B6:R6"/>
    <mergeCell ref="O11:P11"/>
    <mergeCell ref="Q11:R11"/>
    <mergeCell ref="O12:P12"/>
    <mergeCell ref="Q12:R12"/>
    <mergeCell ref="O13:P13"/>
    <mergeCell ref="Q13:R13"/>
    <mergeCell ref="O14:P14"/>
    <mergeCell ref="Q14:R14"/>
    <mergeCell ref="O15:P15"/>
    <mergeCell ref="Q15:R15"/>
    <mergeCell ref="O16:P16"/>
    <mergeCell ref="Q16:R16"/>
    <mergeCell ref="B20:F20"/>
    <mergeCell ref="B21:F21"/>
    <mergeCell ref="B22:F22"/>
    <mergeCell ref="B23:F23"/>
    <mergeCell ref="B29:F29"/>
    <mergeCell ref="O32:R32"/>
    <mergeCell ref="B39:F42"/>
    <mergeCell ref="B7:F10"/>
  </mergeCells>
  <conditionalFormatting sqref="B7">
    <cfRule type="containsBlanks" dxfId="1" priority="1">
      <formula>LEN(TRIM(B7))=0</formula>
    </cfRule>
  </conditionalFormatting>
  <conditionalFormatting sqref="F12">
    <cfRule type="containsBlanks" dxfId="1" priority="7">
      <formula>LEN(TRIM(F12))=0</formula>
    </cfRule>
  </conditionalFormatting>
  <conditionalFormatting sqref="F16">
    <cfRule type="containsBlanks" dxfId="1" priority="6">
      <formula>LEN(TRIM(F16))=0</formula>
    </cfRule>
  </conditionalFormatting>
  <conditionalFormatting sqref="B39">
    <cfRule type="containsBlanks" dxfId="1" priority="3">
      <formula>LEN(TRIM(B39))=0</formula>
    </cfRule>
  </conditionalFormatting>
  <conditionalFormatting sqref="B34:M34 O34:R36 B35:L35 B36:M36">
    <cfRule type="containsBlanks" dxfId="1" priority="8">
      <formula>LEN(TRIM(B34))=0</formula>
    </cfRule>
  </conditionalFormatting>
  <dataValidations count="2">
    <dataValidation type="list" allowBlank="1" showInputMessage="1" sqref="B34:B36">
      <formula1>"关键项（key item）,代表性样本"</formula1>
    </dataValidation>
    <dataValidation type="list" allowBlank="1" showInputMessage="1" sqref="O34:R36">
      <formula1>"Y,N"</formula1>
    </dataValidation>
  </dataValidations>
  <hyperlinks>
    <hyperlink ref="B4" location="'汇总 '!A1" display="返回汇总页"/>
  </hyperlinks>
  <pageMargins left="0.7" right="0.7" top="0.75" bottom="0.75" header="0.3" footer="0.3"/>
  <pageSetup paperSize="9" orientation="portrait" horizontalDpi="300" verticalDpi="300"/>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L25"/>
  <sheetViews>
    <sheetView showGridLines="0" zoomScale="70" zoomScaleNormal="70" workbookViewId="0">
      <selection activeCell="N30" sqref="N30"/>
    </sheetView>
  </sheetViews>
  <sheetFormatPr defaultColWidth="8.72972972972973" defaultRowHeight="14.1"/>
  <cols>
    <col min="1" max="1" width="2.63063063063063" style="734" customWidth="1"/>
    <col min="2" max="2" width="14.7297297297297" style="4" customWidth="1"/>
    <col min="3" max="3" width="13.4504504504505" style="4" customWidth="1"/>
    <col min="4" max="4" width="21" style="4" customWidth="1"/>
    <col min="5" max="5" width="19.9099099099099" style="4" customWidth="1"/>
    <col min="6" max="6" width="17.9099099099099" style="4" customWidth="1"/>
    <col min="7" max="9" width="13.3603603603604" style="4" customWidth="1"/>
    <col min="10" max="10" width="14.3603603603604" style="54" customWidth="1"/>
    <col min="11" max="11" width="13.4504504504505" style="4" customWidth="1"/>
    <col min="12" max="12" width="17.0900900900901" style="4" customWidth="1"/>
    <col min="13" max="13" width="13.4504504504505" style="4" customWidth="1"/>
    <col min="14" max="14" width="17.0900900900901" style="4" customWidth="1"/>
    <col min="15" max="17" width="8.90990990990991" style="4" customWidth="1"/>
    <col min="18" max="18" width="2.63063063063063" style="4" customWidth="1"/>
    <col min="19" max="19" width="1.63063063063063" style="4" customWidth="1"/>
    <col min="20" max="16384" width="8.72972972972973" style="4"/>
  </cols>
  <sheetData>
    <row r="3" ht="14.85"/>
    <row r="4" spans="2:12">
      <c r="B4" s="579" t="s">
        <v>258</v>
      </c>
      <c r="C4" s="580" t="s">
        <v>259</v>
      </c>
      <c r="D4" s="580" t="s">
        <v>260</v>
      </c>
      <c r="E4" s="580" t="s">
        <v>261</v>
      </c>
      <c r="F4" s="580" t="s">
        <v>262</v>
      </c>
      <c r="G4" s="580" t="s">
        <v>263</v>
      </c>
      <c r="H4" s="580" t="s">
        <v>264</v>
      </c>
      <c r="I4" s="580" t="s">
        <v>265</v>
      </c>
      <c r="J4" s="580" t="s">
        <v>266</v>
      </c>
      <c r="K4" s="581" t="s">
        <v>267</v>
      </c>
      <c r="L4" s="581" t="s">
        <v>1018</v>
      </c>
    </row>
    <row r="5" spans="2:12">
      <c r="B5" s="584" t="s">
        <v>178</v>
      </c>
      <c r="C5" s="373" t="s">
        <v>927</v>
      </c>
      <c r="D5" s="374" t="s">
        <v>928</v>
      </c>
      <c r="E5" s="374" t="s">
        <v>929</v>
      </c>
      <c r="F5" s="374">
        <v>36</v>
      </c>
      <c r="G5" s="586">
        <v>0.05</v>
      </c>
      <c r="H5" s="587">
        <v>0</v>
      </c>
      <c r="I5" s="588">
        <v>0</v>
      </c>
      <c r="J5" s="587">
        <v>382.4</v>
      </c>
      <c r="K5" s="587">
        <v>1449</v>
      </c>
      <c r="L5" s="735" t="s">
        <v>1019</v>
      </c>
    </row>
    <row r="6" spans="2:12">
      <c r="B6" s="584" t="s">
        <v>178</v>
      </c>
      <c r="C6" s="373" t="s">
        <v>930</v>
      </c>
      <c r="D6" s="374" t="s">
        <v>432</v>
      </c>
      <c r="E6" s="374" t="s">
        <v>931</v>
      </c>
      <c r="F6" s="374">
        <v>36</v>
      </c>
      <c r="G6" s="586">
        <v>0.05</v>
      </c>
      <c r="H6" s="587">
        <v>0</v>
      </c>
      <c r="I6" s="588">
        <v>0</v>
      </c>
      <c r="J6" s="587">
        <v>499.5</v>
      </c>
      <c r="K6" s="587">
        <v>2103</v>
      </c>
      <c r="L6" s="735" t="s">
        <v>1019</v>
      </c>
    </row>
    <row r="7" spans="2:12">
      <c r="B7" s="584" t="s">
        <v>178</v>
      </c>
      <c r="C7" s="373" t="s">
        <v>932</v>
      </c>
      <c r="D7" s="374" t="s">
        <v>868</v>
      </c>
      <c r="E7" s="374" t="s">
        <v>933</v>
      </c>
      <c r="F7" s="374">
        <v>36</v>
      </c>
      <c r="G7" s="586">
        <v>0.05</v>
      </c>
      <c r="H7" s="587">
        <v>0</v>
      </c>
      <c r="I7" s="588">
        <v>0</v>
      </c>
      <c r="J7" s="587">
        <v>1583.36</v>
      </c>
      <c r="K7" s="587">
        <v>7500</v>
      </c>
      <c r="L7" s="735" t="s">
        <v>1019</v>
      </c>
    </row>
    <row r="8" spans="2:12">
      <c r="B8" s="584" t="s">
        <v>178</v>
      </c>
      <c r="C8" s="373" t="s">
        <v>934</v>
      </c>
      <c r="D8" s="374" t="s">
        <v>935</v>
      </c>
      <c r="E8" s="374" t="s">
        <v>936</v>
      </c>
      <c r="F8" s="374">
        <v>36</v>
      </c>
      <c r="G8" s="586">
        <v>0.05</v>
      </c>
      <c r="H8" s="587">
        <v>0</v>
      </c>
      <c r="I8" s="588">
        <v>0</v>
      </c>
      <c r="J8" s="587">
        <v>626.75</v>
      </c>
      <c r="K8" s="587">
        <v>4750</v>
      </c>
      <c r="L8" s="735" t="s">
        <v>1019</v>
      </c>
    </row>
    <row r="9" spans="2:12">
      <c r="B9" s="584" t="s">
        <v>178</v>
      </c>
      <c r="C9" s="373" t="s">
        <v>937</v>
      </c>
      <c r="D9" s="374" t="s">
        <v>514</v>
      </c>
      <c r="E9" s="374" t="s">
        <v>938</v>
      </c>
      <c r="F9" s="374">
        <v>36</v>
      </c>
      <c r="G9" s="586">
        <v>0.0499985828066098</v>
      </c>
      <c r="H9" s="587">
        <v>0</v>
      </c>
      <c r="I9" s="588">
        <v>0</v>
      </c>
      <c r="J9" s="587">
        <v>260.68</v>
      </c>
      <c r="K9" s="587">
        <v>2469.67</v>
      </c>
      <c r="L9" s="735" t="s">
        <v>1019</v>
      </c>
    </row>
    <row r="10" spans="2:12">
      <c r="B10" s="584" t="s">
        <v>178</v>
      </c>
      <c r="C10" s="373" t="s">
        <v>939</v>
      </c>
      <c r="D10" s="374" t="s">
        <v>940</v>
      </c>
      <c r="E10" s="374" t="s">
        <v>941</v>
      </c>
      <c r="F10" s="374">
        <v>36</v>
      </c>
      <c r="G10" s="586">
        <v>0.05</v>
      </c>
      <c r="H10" s="587">
        <v>0</v>
      </c>
      <c r="I10" s="588">
        <v>0</v>
      </c>
      <c r="J10" s="587">
        <v>150.42</v>
      </c>
      <c r="K10" s="587">
        <v>2850</v>
      </c>
      <c r="L10" s="735" t="s">
        <v>1019</v>
      </c>
    </row>
    <row r="11" spans="2:12">
      <c r="B11" s="584" t="s">
        <v>178</v>
      </c>
      <c r="C11" s="373" t="s">
        <v>942</v>
      </c>
      <c r="D11" s="374" t="s">
        <v>943</v>
      </c>
      <c r="E11" s="374" t="s">
        <v>944</v>
      </c>
      <c r="F11" s="374">
        <v>36</v>
      </c>
      <c r="G11" s="586">
        <v>0.05</v>
      </c>
      <c r="H11" s="587">
        <v>0</v>
      </c>
      <c r="I11" s="588">
        <v>0</v>
      </c>
      <c r="J11" s="587">
        <v>102.84</v>
      </c>
      <c r="K11" s="587">
        <v>3897</v>
      </c>
      <c r="L11" s="735" t="s">
        <v>1019</v>
      </c>
    </row>
    <row r="12" spans="2:12">
      <c r="B12" s="584" t="s">
        <v>178</v>
      </c>
      <c r="C12" s="373" t="s">
        <v>945</v>
      </c>
      <c r="D12" s="374" t="s">
        <v>946</v>
      </c>
      <c r="E12" s="374" t="s">
        <v>947</v>
      </c>
      <c r="F12" s="374">
        <v>36</v>
      </c>
      <c r="G12" s="586">
        <v>0.05</v>
      </c>
      <c r="H12" s="587">
        <v>0</v>
      </c>
      <c r="I12" s="588">
        <v>0</v>
      </c>
      <c r="J12" s="587">
        <v>19.21</v>
      </c>
      <c r="K12" s="587">
        <v>728</v>
      </c>
      <c r="L12" s="735" t="s">
        <v>1019</v>
      </c>
    </row>
    <row r="13" spans="2:12">
      <c r="B13" s="584" t="s">
        <v>179</v>
      </c>
      <c r="C13" s="373" t="s">
        <v>948</v>
      </c>
      <c r="D13" s="374" t="s">
        <v>949</v>
      </c>
      <c r="E13" s="374" t="s">
        <v>950</v>
      </c>
      <c r="F13" s="374">
        <v>60</v>
      </c>
      <c r="G13" s="586">
        <v>0.05</v>
      </c>
      <c r="H13" s="587">
        <v>0</v>
      </c>
      <c r="I13" s="588">
        <v>0</v>
      </c>
      <c r="J13" s="587">
        <v>8977.5</v>
      </c>
      <c r="K13" s="587">
        <v>63000</v>
      </c>
      <c r="L13" s="735" t="s">
        <v>1019</v>
      </c>
    </row>
    <row r="14" spans="2:12">
      <c r="B14" s="584" t="s">
        <v>179</v>
      </c>
      <c r="C14" s="373" t="s">
        <v>951</v>
      </c>
      <c r="D14" s="374" t="s">
        <v>882</v>
      </c>
      <c r="E14" s="374" t="s">
        <v>952</v>
      </c>
      <c r="F14" s="374">
        <v>60</v>
      </c>
      <c r="G14" s="586">
        <v>0.05</v>
      </c>
      <c r="H14" s="587">
        <v>0</v>
      </c>
      <c r="I14" s="588">
        <v>0</v>
      </c>
      <c r="J14" s="587">
        <v>2128</v>
      </c>
      <c r="K14" s="587">
        <v>16800</v>
      </c>
      <c r="L14" s="735" t="s">
        <v>1019</v>
      </c>
    </row>
    <row r="15" spans="2:12">
      <c r="B15" s="584" t="s">
        <v>179</v>
      </c>
      <c r="C15" s="373" t="s">
        <v>953</v>
      </c>
      <c r="D15" s="374" t="s">
        <v>954</v>
      </c>
      <c r="E15" s="374" t="s">
        <v>955</v>
      </c>
      <c r="F15" s="374">
        <v>60</v>
      </c>
      <c r="G15" s="586">
        <v>0.05</v>
      </c>
      <c r="H15" s="587">
        <v>0</v>
      </c>
      <c r="I15" s="588">
        <v>0</v>
      </c>
      <c r="J15" s="587">
        <v>20836.69</v>
      </c>
      <c r="K15" s="587">
        <v>188000</v>
      </c>
      <c r="L15" s="735" t="s">
        <v>1019</v>
      </c>
    </row>
    <row r="16" spans="2:12">
      <c r="B16" s="584" t="s">
        <v>179</v>
      </c>
      <c r="C16" s="373" t="s">
        <v>956</v>
      </c>
      <c r="D16" s="374" t="s">
        <v>737</v>
      </c>
      <c r="E16" s="374" t="s">
        <v>938</v>
      </c>
      <c r="F16" s="374">
        <v>60</v>
      </c>
      <c r="G16" s="586">
        <v>0.05</v>
      </c>
      <c r="H16" s="587">
        <v>0</v>
      </c>
      <c r="I16" s="588">
        <v>0</v>
      </c>
      <c r="J16" s="587">
        <v>2337</v>
      </c>
      <c r="K16" s="587">
        <v>36900</v>
      </c>
      <c r="L16" s="735" t="s">
        <v>1019</v>
      </c>
    </row>
    <row r="17" spans="2:12">
      <c r="B17" s="584" t="s">
        <v>179</v>
      </c>
      <c r="C17" s="373" t="s">
        <v>957</v>
      </c>
      <c r="D17" s="374" t="s">
        <v>737</v>
      </c>
      <c r="E17" s="374" t="s">
        <v>938</v>
      </c>
      <c r="F17" s="374">
        <v>60</v>
      </c>
      <c r="G17" s="586">
        <v>0.05</v>
      </c>
      <c r="H17" s="587">
        <v>0</v>
      </c>
      <c r="I17" s="588">
        <v>0</v>
      </c>
      <c r="J17" s="587">
        <v>886.68</v>
      </c>
      <c r="K17" s="587">
        <v>14000</v>
      </c>
      <c r="L17" s="735" t="s">
        <v>1019</v>
      </c>
    </row>
    <row r="18" spans="2:12">
      <c r="B18" s="584" t="s">
        <v>179</v>
      </c>
      <c r="C18" s="373" t="s">
        <v>958</v>
      </c>
      <c r="D18" s="374" t="s">
        <v>959</v>
      </c>
      <c r="E18" s="374" t="s">
        <v>938</v>
      </c>
      <c r="F18" s="374">
        <v>60</v>
      </c>
      <c r="G18" s="586">
        <v>0.05</v>
      </c>
      <c r="H18" s="587">
        <v>0</v>
      </c>
      <c r="I18" s="588">
        <v>0</v>
      </c>
      <c r="J18" s="587">
        <v>190</v>
      </c>
      <c r="K18" s="587">
        <v>3000</v>
      </c>
      <c r="L18" s="735" t="s">
        <v>1019</v>
      </c>
    </row>
    <row r="19" spans="2:12">
      <c r="B19" s="584" t="s">
        <v>179</v>
      </c>
      <c r="C19" s="373" t="s">
        <v>960</v>
      </c>
      <c r="D19" s="374" t="s">
        <v>961</v>
      </c>
      <c r="E19" s="374" t="s">
        <v>938</v>
      </c>
      <c r="F19" s="374">
        <v>60</v>
      </c>
      <c r="G19" s="586">
        <v>0.05</v>
      </c>
      <c r="H19" s="587">
        <v>0</v>
      </c>
      <c r="I19" s="588">
        <v>0</v>
      </c>
      <c r="J19" s="587">
        <v>114</v>
      </c>
      <c r="K19" s="587">
        <v>1800</v>
      </c>
      <c r="L19" s="735" t="s">
        <v>1019</v>
      </c>
    </row>
    <row r="20" spans="2:12">
      <c r="B20" s="584" t="s">
        <v>179</v>
      </c>
      <c r="C20" s="373" t="s">
        <v>962</v>
      </c>
      <c r="D20" s="374" t="s">
        <v>707</v>
      </c>
      <c r="E20" s="374" t="s">
        <v>938</v>
      </c>
      <c r="F20" s="374">
        <v>60</v>
      </c>
      <c r="G20" s="586">
        <v>0.05</v>
      </c>
      <c r="H20" s="587">
        <v>0</v>
      </c>
      <c r="I20" s="588">
        <v>0</v>
      </c>
      <c r="J20" s="587">
        <v>557.32</v>
      </c>
      <c r="K20" s="587">
        <v>8800</v>
      </c>
      <c r="L20" s="735" t="s">
        <v>1019</v>
      </c>
    </row>
    <row r="21" spans="2:12">
      <c r="B21" s="584" t="s">
        <v>179</v>
      </c>
      <c r="C21" s="373" t="s">
        <v>963</v>
      </c>
      <c r="D21" s="374" t="s">
        <v>964</v>
      </c>
      <c r="E21" s="374" t="s">
        <v>965</v>
      </c>
      <c r="F21" s="374">
        <v>60</v>
      </c>
      <c r="G21" s="586">
        <v>0.05</v>
      </c>
      <c r="H21" s="587">
        <v>0</v>
      </c>
      <c r="I21" s="588">
        <v>0</v>
      </c>
      <c r="J21" s="587">
        <v>2945.01</v>
      </c>
      <c r="K21" s="587">
        <v>62000</v>
      </c>
      <c r="L21" s="735" t="s">
        <v>1019</v>
      </c>
    </row>
    <row r="22" spans="2:12">
      <c r="B22" s="584" t="s">
        <v>179</v>
      </c>
      <c r="C22" s="373" t="s">
        <v>966</v>
      </c>
      <c r="D22" s="374" t="s">
        <v>967</v>
      </c>
      <c r="E22" s="374" t="s">
        <v>968</v>
      </c>
      <c r="F22" s="374">
        <v>60</v>
      </c>
      <c r="G22" s="586">
        <v>0.05</v>
      </c>
      <c r="H22" s="587">
        <v>0</v>
      </c>
      <c r="I22" s="588">
        <v>0</v>
      </c>
      <c r="J22" s="587">
        <v>12033.34</v>
      </c>
      <c r="K22" s="587">
        <v>380000</v>
      </c>
      <c r="L22" s="735" t="s">
        <v>1019</v>
      </c>
    </row>
    <row r="23" spans="2:12">
      <c r="B23" s="584" t="s">
        <v>180</v>
      </c>
      <c r="C23" s="373" t="s">
        <v>969</v>
      </c>
      <c r="D23" s="374" t="s">
        <v>970</v>
      </c>
      <c r="E23" s="374" t="s">
        <v>952</v>
      </c>
      <c r="F23" s="374">
        <v>36</v>
      </c>
      <c r="G23" s="586">
        <v>0.05</v>
      </c>
      <c r="H23" s="587">
        <v>0</v>
      </c>
      <c r="I23" s="588">
        <v>0</v>
      </c>
      <c r="J23" s="587">
        <v>1372.24</v>
      </c>
      <c r="K23" s="587">
        <v>6500</v>
      </c>
      <c r="L23" s="735" t="s">
        <v>1019</v>
      </c>
    </row>
    <row r="24" spans="2:12">
      <c r="B24" s="584" t="s">
        <v>181</v>
      </c>
      <c r="C24" s="373" t="s">
        <v>971</v>
      </c>
      <c r="D24" s="374" t="s">
        <v>972</v>
      </c>
      <c r="E24" s="374" t="s">
        <v>973</v>
      </c>
      <c r="F24" s="374">
        <v>48</v>
      </c>
      <c r="G24" s="586">
        <v>0.05</v>
      </c>
      <c r="H24" s="587">
        <v>0</v>
      </c>
      <c r="I24" s="588">
        <v>0</v>
      </c>
      <c r="J24" s="587">
        <v>10687.5</v>
      </c>
      <c r="K24" s="587">
        <v>60000</v>
      </c>
      <c r="L24" s="735" t="s">
        <v>1019</v>
      </c>
    </row>
    <row r="25" spans="2:12">
      <c r="B25" s="736" t="s">
        <v>1020</v>
      </c>
      <c r="C25" s="737"/>
      <c r="D25" s="737"/>
      <c r="E25" s="737"/>
      <c r="F25" s="737"/>
      <c r="G25" s="737"/>
      <c r="H25" s="587">
        <f>SUM(H5:H24)</f>
        <v>0</v>
      </c>
      <c r="I25" s="588">
        <f>SUM(I5:I24)</f>
        <v>0</v>
      </c>
      <c r="J25" s="588">
        <f>SUM(J5:J24)</f>
        <v>66690.44</v>
      </c>
      <c r="K25" s="588">
        <f>SUM(K5:K24)</f>
        <v>866546.67</v>
      </c>
      <c r="L25" s="735" t="s">
        <v>1019</v>
      </c>
    </row>
  </sheetData>
  <autoFilter xmlns:etc="http://www.wps.cn/officeDocument/2017/etCustomData" ref="A4:U25" etc:filterBottomFollowUsedRange="0">
    <extLst/>
  </autoFilter>
  <conditionalFormatting sqref="C5:C24">
    <cfRule type="duplicateValues" dxfId="2" priority="4"/>
  </conditionalFormatting>
  <conditionalFormatting sqref="L5:L25">
    <cfRule type="containsBlanks" dxfId="1" priority="2">
      <formula>LEN(TRIM(L5))=0</formula>
    </cfRule>
  </conditionalFormatting>
  <conditionalFormatting sqref="B5:K24">
    <cfRule type="containsBlanks" dxfId="1" priority="3">
      <formula>LEN(TRIM(B5))=0</formula>
    </cfRule>
  </conditionalFormatting>
  <conditionalFormatting sqref="B25 H25:K25">
    <cfRule type="containsBlanks" dxfId="1" priority="1">
      <formula>LEN(TRIM(B25))=0</formula>
    </cfRule>
  </conditionalFormatting>
  <pageMargins left="0.7" right="0.7" top="0.75" bottom="0.75" header="0.3" footer="0.3"/>
  <pageSetup paperSize="9" orientation="portrait" horizontalDpi="30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1"/>
  <sheetViews>
    <sheetView topLeftCell="A73" workbookViewId="0">
      <selection activeCell="L1" sqref="L1"/>
    </sheetView>
  </sheetViews>
  <sheetFormatPr defaultColWidth="9.36036036036036" defaultRowHeight="14.1"/>
  <cols>
    <col min="1" max="1" width="9.09009009009009" style="685" customWidth="1"/>
    <col min="2" max="11" width="15.9099099099099" style="685" customWidth="1"/>
    <col min="12" max="12" width="23.4504504504505" style="685" customWidth="1"/>
    <col min="13" max="13" width="9.36036036036036" style="685"/>
    <col min="14" max="14" width="19.6306306306306" style="685" customWidth="1"/>
    <col min="15" max="16384" width="9.36036036036036" style="685"/>
  </cols>
  <sheetData>
    <row r="1" ht="44.9" customHeight="1" spans="1:12">
      <c r="A1" s="686"/>
      <c r="B1" s="687" t="s">
        <v>1021</v>
      </c>
      <c r="C1" s="687"/>
      <c r="D1" s="687"/>
      <c r="E1" s="687"/>
      <c r="F1" s="687"/>
      <c r="G1" s="688" t="s">
        <v>1022</v>
      </c>
      <c r="H1" s="688"/>
      <c r="I1" s="688"/>
      <c r="J1" s="688"/>
      <c r="K1" s="689"/>
      <c r="L1" s="690"/>
    </row>
    <row r="2" ht="16.3" spans="1:12">
      <c r="A2" s="691" t="s">
        <v>1023</v>
      </c>
      <c r="B2" s="691"/>
      <c r="C2" s="691"/>
      <c r="D2" s="692" t="s">
        <v>241</v>
      </c>
      <c r="E2" s="692"/>
      <c r="F2" s="692"/>
      <c r="G2" s="692"/>
      <c r="H2" s="692"/>
      <c r="I2" s="692"/>
      <c r="J2" s="692"/>
      <c r="K2" s="693"/>
    </row>
    <row r="3" ht="16.3" spans="1:12">
      <c r="A3" s="691" t="s">
        <v>1024</v>
      </c>
      <c r="B3" s="691"/>
      <c r="C3" s="691"/>
      <c r="D3" s="692" t="s">
        <v>1025</v>
      </c>
      <c r="E3" s="692"/>
      <c r="F3" s="692"/>
      <c r="G3" s="692"/>
      <c r="H3" s="692"/>
      <c r="I3" s="692"/>
      <c r="J3" s="692"/>
      <c r="K3" s="693"/>
    </row>
    <row r="4" ht="16.3" spans="1:12">
      <c r="A4" s="691" t="s">
        <v>1026</v>
      </c>
      <c r="B4" s="691"/>
      <c r="C4" s="691"/>
      <c r="D4" s="694" t="s">
        <v>1027</v>
      </c>
      <c r="E4" s="694"/>
      <c r="F4" s="694"/>
      <c r="G4" s="694"/>
      <c r="H4" s="694"/>
      <c r="I4" s="694"/>
      <c r="J4" s="694"/>
      <c r="K4" s="695"/>
    </row>
    <row r="6" ht="15.45" spans="1:12">
      <c r="A6" s="696" t="s">
        <v>1028</v>
      </c>
      <c r="B6" s="696"/>
      <c r="C6" s="696"/>
      <c r="D6" s="696"/>
      <c r="E6" s="696"/>
      <c r="F6" s="696"/>
      <c r="G6" s="696"/>
      <c r="H6" s="696"/>
      <c r="I6" s="696"/>
      <c r="J6" s="696"/>
      <c r="K6" s="696"/>
    </row>
    <row r="7" spans="1:12">
      <c r="K7" s="697"/>
    </row>
    <row r="8" ht="15.45" spans="1:12">
      <c r="A8" s="698" t="s">
        <v>1029</v>
      </c>
      <c r="B8" s="698"/>
      <c r="C8" s="698"/>
      <c r="D8" s="698"/>
      <c r="E8" s="698"/>
      <c r="F8" s="699" t="s">
        <v>1030</v>
      </c>
      <c r="G8" s="699"/>
      <c r="H8" s="699"/>
      <c r="I8" s="699"/>
      <c r="J8" s="699"/>
      <c r="K8" s="700"/>
    </row>
    <row r="9" ht="15.45" spans="1:12">
      <c r="A9" s="701" t="s">
        <v>1031</v>
      </c>
      <c r="B9" s="701"/>
      <c r="C9" s="701"/>
      <c r="D9" s="701"/>
      <c r="E9" s="701"/>
      <c r="F9" s="699" t="s">
        <v>1032</v>
      </c>
      <c r="G9" s="699"/>
      <c r="H9" s="699"/>
      <c r="I9" s="699"/>
      <c r="J9" s="699"/>
      <c r="K9" s="700"/>
    </row>
    <row r="10" ht="16.3" spans="1:12">
      <c r="A10" s="698" t="s">
        <v>1033</v>
      </c>
      <c r="B10" s="698"/>
      <c r="C10" s="698"/>
      <c r="D10" s="698"/>
      <c r="E10" s="698"/>
      <c r="F10" s="699" t="s">
        <v>1034</v>
      </c>
      <c r="G10" s="699"/>
      <c r="H10" s="699"/>
      <c r="I10" s="699"/>
      <c r="J10" s="699"/>
      <c r="K10" s="700"/>
    </row>
    <row r="11" ht="15.45" spans="1:12">
      <c r="A11" s="698" t="s">
        <v>1035</v>
      </c>
      <c r="B11" s="698"/>
      <c r="C11" s="698"/>
      <c r="D11" s="698"/>
      <c r="E11" s="698"/>
      <c r="F11" s="699" t="s">
        <v>1036</v>
      </c>
      <c r="G11" s="699"/>
      <c r="H11" s="699"/>
      <c r="I11" s="699"/>
      <c r="J11" s="699"/>
      <c r="K11" s="700"/>
    </row>
    <row r="12" ht="15.45" spans="1:12">
      <c r="A12" s="698" t="s">
        <v>1037</v>
      </c>
      <c r="B12" s="698"/>
      <c r="C12" s="698"/>
      <c r="D12" s="698"/>
      <c r="E12" s="698"/>
      <c r="F12" s="699" t="s">
        <v>1038</v>
      </c>
      <c r="G12" s="699"/>
      <c r="H12" s="699"/>
      <c r="I12" s="699"/>
      <c r="J12" s="699"/>
      <c r="K12" s="700"/>
    </row>
    <row r="13" ht="15.45" spans="1:12">
      <c r="A13" s="698" t="s">
        <v>1039</v>
      </c>
      <c r="B13" s="698"/>
      <c r="C13" s="698"/>
      <c r="D13" s="698"/>
      <c r="E13" s="698"/>
      <c r="F13" s="699" t="s">
        <v>1040</v>
      </c>
      <c r="G13" s="699"/>
      <c r="H13" s="699"/>
      <c r="I13" s="699"/>
      <c r="J13" s="699"/>
      <c r="K13" s="700"/>
    </row>
    <row r="14" ht="15.4" spans="1:12">
      <c r="A14" s="702" t="s">
        <v>1041</v>
      </c>
      <c r="B14" s="698"/>
      <c r="C14" s="698"/>
      <c r="D14" s="698"/>
      <c r="E14" s="698"/>
      <c r="F14" s="699" t="s">
        <v>47</v>
      </c>
      <c r="G14" s="699"/>
      <c r="H14" s="699"/>
      <c r="I14" s="699"/>
      <c r="J14" s="699"/>
      <c r="K14" s="700"/>
    </row>
    <row r="15" ht="15.45" spans="1:12">
      <c r="A15" s="698" t="s">
        <v>1042</v>
      </c>
      <c r="B15" s="698"/>
      <c r="C15" s="698"/>
      <c r="D15" s="698"/>
      <c r="E15" s="698"/>
      <c r="F15" s="699" t="s">
        <v>1043</v>
      </c>
      <c r="G15" s="699"/>
      <c r="H15" s="699"/>
      <c r="I15" s="699"/>
      <c r="J15" s="699"/>
      <c r="K15" s="700"/>
      <c r="L15" s="703"/>
    </row>
    <row r="16" ht="15.45" spans="1:12">
      <c r="A16" s="698" t="s">
        <v>1044</v>
      </c>
      <c r="B16" s="698"/>
      <c r="C16" s="698"/>
      <c r="D16" s="698"/>
      <c r="E16" s="698"/>
      <c r="F16" s="699" t="s">
        <v>1045</v>
      </c>
      <c r="G16" s="699"/>
      <c r="H16" s="699"/>
      <c r="I16" s="699"/>
      <c r="J16" s="699"/>
      <c r="K16" s="700"/>
      <c r="L16" s="703"/>
    </row>
    <row r="17" ht="15.45" spans="1:12">
      <c r="A17" s="698" t="s">
        <v>1046</v>
      </c>
      <c r="B17" s="698"/>
      <c r="C17" s="698"/>
      <c r="D17" s="698"/>
      <c r="E17" s="698"/>
      <c r="F17" s="699" t="s">
        <v>47</v>
      </c>
      <c r="G17" s="699"/>
      <c r="H17" s="699"/>
      <c r="I17" s="699"/>
      <c r="J17" s="699"/>
      <c r="K17" s="700"/>
    </row>
    <row r="18" ht="15.45" spans="1:12">
      <c r="A18" s="698" t="s">
        <v>1047</v>
      </c>
      <c r="B18" s="698"/>
      <c r="C18" s="698"/>
      <c r="D18" s="698"/>
      <c r="E18" s="698"/>
      <c r="F18" s="699" t="s">
        <v>1048</v>
      </c>
      <c r="G18" s="699"/>
      <c r="H18" s="699"/>
      <c r="I18" s="699"/>
      <c r="J18" s="699"/>
      <c r="K18" s="700"/>
    </row>
    <row r="19" ht="15.45" spans="1:12">
      <c r="A19" s="698" t="s">
        <v>1049</v>
      </c>
      <c r="B19" s="698"/>
      <c r="C19" s="698"/>
      <c r="D19" s="698"/>
      <c r="E19" s="698"/>
      <c r="F19" s="699" t="s">
        <v>47</v>
      </c>
      <c r="G19" s="699"/>
      <c r="H19" s="699"/>
      <c r="I19" s="699"/>
      <c r="J19" s="699"/>
      <c r="K19" s="700"/>
      <c r="L19" s="704"/>
    </row>
    <row r="20" ht="15.45" spans="1:12">
      <c r="A20" s="698" t="s">
        <v>1050</v>
      </c>
      <c r="B20" s="698"/>
      <c r="C20" s="698"/>
      <c r="D20" s="698"/>
      <c r="E20" s="698"/>
      <c r="F20" s="699" t="s">
        <v>29</v>
      </c>
      <c r="G20" s="699"/>
      <c r="H20" s="699"/>
      <c r="I20" s="699"/>
      <c r="J20" s="699"/>
      <c r="K20" s="700"/>
    </row>
    <row r="21" ht="15.4" spans="1:12">
      <c r="A21" s="702" t="s">
        <v>1051</v>
      </c>
      <c r="B21" s="698"/>
      <c r="C21" s="698"/>
      <c r="D21" s="698"/>
      <c r="E21" s="698"/>
      <c r="F21" s="699" t="s">
        <v>47</v>
      </c>
      <c r="G21" s="699"/>
      <c r="H21" s="699"/>
      <c r="I21" s="699"/>
      <c r="J21" s="699"/>
      <c r="K21" s="700"/>
    </row>
    <row r="22" ht="16.3" spans="1:12">
      <c r="A22" s="699" t="s">
        <v>1052</v>
      </c>
      <c r="B22" s="699"/>
      <c r="C22" s="699"/>
      <c r="D22" s="699"/>
      <c r="E22" s="699"/>
      <c r="F22" s="699" t="s">
        <v>47</v>
      </c>
      <c r="G22" s="699"/>
      <c r="H22" s="699"/>
      <c r="I22" s="699"/>
      <c r="J22" s="699"/>
      <c r="K22" s="700"/>
    </row>
    <row r="24" ht="15.45" spans="1:12">
      <c r="A24" s="696" t="s">
        <v>1053</v>
      </c>
      <c r="B24" s="696"/>
      <c r="C24" s="696"/>
      <c r="D24" s="696"/>
      <c r="E24" s="696"/>
      <c r="F24" s="696"/>
      <c r="G24" s="696"/>
      <c r="H24" s="696"/>
      <c r="I24" s="696"/>
      <c r="J24" s="696"/>
      <c r="K24" s="696"/>
    </row>
    <row r="26" ht="15.45" spans="1:12">
      <c r="A26" s="705" t="s">
        <v>1054</v>
      </c>
      <c r="B26" s="705"/>
      <c r="C26" s="705"/>
      <c r="D26" s="705"/>
      <c r="E26" s="705"/>
      <c r="F26" s="705"/>
      <c r="G26" s="705"/>
      <c r="H26" s="705"/>
      <c r="I26" s="705"/>
      <c r="J26" s="705"/>
      <c r="K26" s="705"/>
    </row>
    <row r="27" ht="15.45" spans="1:12">
      <c r="A27" s="706" t="s">
        <v>1055</v>
      </c>
      <c r="B27" s="706"/>
      <c r="C27" s="706"/>
      <c r="D27" s="706"/>
      <c r="E27" s="707" t="s">
        <v>1056</v>
      </c>
      <c r="F27" s="707"/>
      <c r="G27" s="706" t="s">
        <v>1057</v>
      </c>
      <c r="H27" s="706" t="s">
        <v>1058</v>
      </c>
      <c r="I27" s="706"/>
      <c r="J27" s="706"/>
      <c r="K27" s="706"/>
    </row>
    <row r="28" spans="1:12">
      <c r="A28" s="708" t="s">
        <v>1059</v>
      </c>
      <c r="B28" s="708"/>
      <c r="C28" s="708"/>
      <c r="D28" s="708"/>
      <c r="E28" s="709" t="s">
        <v>1060</v>
      </c>
      <c r="F28" s="710"/>
      <c r="G28" s="708" t="s">
        <v>1061</v>
      </c>
      <c r="H28" s="708" t="s">
        <v>1062</v>
      </c>
      <c r="I28" s="708"/>
      <c r="J28" s="708"/>
      <c r="K28" s="708"/>
    </row>
    <row r="29" spans="1:12">
      <c r="A29" s="708"/>
      <c r="B29" s="708"/>
      <c r="C29" s="708"/>
      <c r="D29" s="708"/>
      <c r="E29" s="709"/>
      <c r="F29" s="710"/>
      <c r="G29" s="708"/>
      <c r="H29" s="708"/>
      <c r="I29" s="708"/>
      <c r="J29" s="708"/>
      <c r="K29" s="708"/>
    </row>
    <row r="30" ht="15.45" spans="1:12">
      <c r="A30" s="705" t="s">
        <v>1063</v>
      </c>
      <c r="B30" s="705"/>
      <c r="C30" s="705"/>
      <c r="D30" s="705"/>
      <c r="E30" s="705"/>
      <c r="F30" s="705"/>
      <c r="G30" s="705"/>
      <c r="H30" s="705"/>
      <c r="I30" s="705"/>
      <c r="J30" s="705"/>
      <c r="K30" s="705"/>
    </row>
    <row r="31" ht="16.3" spans="1:12">
      <c r="A31" s="711" t="s">
        <v>1064</v>
      </c>
      <c r="B31" s="711"/>
      <c r="C31" s="711"/>
      <c r="D31" s="711"/>
      <c r="E31" s="711"/>
      <c r="F31" s="712" t="s">
        <v>1065</v>
      </c>
      <c r="G31" s="713"/>
      <c r="H31" s="713"/>
      <c r="I31" s="713"/>
      <c r="J31" s="713"/>
      <c r="K31" s="714"/>
    </row>
    <row r="32" ht="16.3" spans="1:12">
      <c r="A32" s="711" t="s">
        <v>1066</v>
      </c>
      <c r="B32" s="711"/>
      <c r="C32" s="711"/>
      <c r="D32" s="711"/>
      <c r="E32" s="711"/>
      <c r="F32" s="712" t="s">
        <v>1067</v>
      </c>
      <c r="G32" s="713"/>
      <c r="H32" s="713"/>
      <c r="I32" s="713"/>
      <c r="J32" s="713"/>
      <c r="K32" s="714"/>
    </row>
    <row r="33" ht="16.3" spans="1:15">
      <c r="A33" s="711" t="s">
        <v>1068</v>
      </c>
      <c r="B33" s="711"/>
      <c r="C33" s="711"/>
      <c r="D33" s="711"/>
      <c r="E33" s="711"/>
      <c r="F33" s="712" t="s">
        <v>1069</v>
      </c>
      <c r="G33" s="713"/>
      <c r="H33" s="713"/>
      <c r="I33" s="713"/>
      <c r="J33" s="713"/>
      <c r="K33" s="714"/>
    </row>
    <row r="35" ht="19.9" customHeight="1" spans="1:15">
      <c r="A35" s="696" t="s">
        <v>1070</v>
      </c>
      <c r="B35" s="696"/>
      <c r="C35" s="696"/>
      <c r="D35" s="696"/>
      <c r="E35" s="696"/>
      <c r="F35" s="696"/>
      <c r="G35" s="696"/>
      <c r="H35" s="696"/>
      <c r="I35" s="696"/>
      <c r="J35" s="696"/>
      <c r="K35" s="696"/>
    </row>
    <row r="36" spans="1:15">
      <c r="F36" s="715"/>
      <c r="G36" s="715"/>
      <c r="H36" s="715"/>
      <c r="I36" s="715"/>
      <c r="J36" s="715"/>
      <c r="K36" s="715"/>
    </row>
    <row r="37" ht="15.45" spans="1:15">
      <c r="A37" s="716" t="s">
        <v>1071</v>
      </c>
      <c r="B37" s="716"/>
      <c r="C37" s="716"/>
      <c r="D37" s="716"/>
      <c r="E37" s="716"/>
      <c r="F37" s="685" t="s">
        <v>1069</v>
      </c>
      <c r="H37" s="685" t="s">
        <v>1069</v>
      </c>
      <c r="J37" s="685" t="s">
        <v>1069</v>
      </c>
    </row>
    <row r="38" ht="16.3" spans="1:15">
      <c r="A38" s="685" t="s">
        <v>1072</v>
      </c>
      <c r="F38" s="711" t="s">
        <v>1073</v>
      </c>
      <c r="G38" s="711"/>
      <c r="H38" s="711"/>
      <c r="I38" s="711"/>
      <c r="J38" s="711"/>
      <c r="K38" s="711"/>
    </row>
    <row r="39" ht="16.3" spans="1:15">
      <c r="A39" s="685" t="s">
        <v>1074</v>
      </c>
      <c r="F39" s="711" t="s">
        <v>1075</v>
      </c>
      <c r="G39" s="711"/>
      <c r="H39" s="711"/>
      <c r="I39" s="711"/>
      <c r="J39" s="711"/>
      <c r="K39" s="711"/>
    </row>
    <row r="40" ht="16.3" spans="1:15">
      <c r="A40" s="685" t="s">
        <v>1076</v>
      </c>
      <c r="F40" s="711" t="s">
        <v>1069</v>
      </c>
      <c r="G40" s="711"/>
      <c r="H40" s="711"/>
      <c r="I40" s="711"/>
      <c r="J40" s="711"/>
      <c r="K40" s="711"/>
    </row>
    <row r="41" ht="16.3" spans="1:15">
      <c r="A41" s="685" t="s">
        <v>1077</v>
      </c>
      <c r="F41" s="711" t="s">
        <v>1073</v>
      </c>
      <c r="G41" s="711"/>
      <c r="H41" s="711"/>
      <c r="I41" s="711"/>
      <c r="J41" s="711"/>
      <c r="K41" s="711"/>
    </row>
    <row r="42" ht="15.45" spans="1:15">
      <c r="A42" s="716" t="s">
        <v>1078</v>
      </c>
      <c r="B42" s="716"/>
      <c r="C42" s="716"/>
      <c r="D42" s="716"/>
      <c r="E42" s="716"/>
      <c r="F42" s="711" t="s">
        <v>1079</v>
      </c>
      <c r="G42" s="711"/>
      <c r="H42" s="711"/>
      <c r="I42" s="711"/>
      <c r="J42" s="711"/>
      <c r="K42" s="711"/>
    </row>
    <row r="43" ht="16.3" spans="1:15">
      <c r="A43" s="685" t="s">
        <v>1080</v>
      </c>
      <c r="F43" s="711" t="s">
        <v>1079</v>
      </c>
      <c r="G43" s="711"/>
      <c r="H43" s="711"/>
      <c r="I43" s="711"/>
      <c r="J43" s="711"/>
      <c r="K43" s="711"/>
    </row>
    <row r="44" ht="16.3" spans="1:15">
      <c r="A44" s="685" t="s">
        <v>1081</v>
      </c>
      <c r="F44" s="711" t="s">
        <v>1079</v>
      </c>
      <c r="G44" s="711"/>
      <c r="H44" s="711"/>
      <c r="I44" s="711"/>
      <c r="J44" s="711"/>
      <c r="K44" s="711"/>
    </row>
    <row r="45" ht="16.3" spans="1:15">
      <c r="A45" s="685" t="s">
        <v>1082</v>
      </c>
      <c r="F45" s="711" t="s">
        <v>1079</v>
      </c>
      <c r="G45" s="711"/>
      <c r="H45" s="711"/>
      <c r="I45" s="711"/>
      <c r="J45" s="711"/>
      <c r="K45" s="711"/>
    </row>
    <row r="46" ht="16.3" spans="1:15">
      <c r="A46" s="685" t="s">
        <v>1083</v>
      </c>
      <c r="F46" s="711" t="s">
        <v>1079</v>
      </c>
      <c r="G46" s="711"/>
      <c r="H46" s="711"/>
      <c r="I46" s="711"/>
      <c r="J46" s="711"/>
      <c r="K46" s="711"/>
    </row>
    <row r="47" ht="15.45" spans="1:15">
      <c r="A47" s="716" t="s">
        <v>1084</v>
      </c>
      <c r="B47" s="716"/>
      <c r="C47" s="716"/>
      <c r="D47" s="716"/>
      <c r="E47" s="716"/>
      <c r="F47" s="685" t="s">
        <v>1069</v>
      </c>
      <c r="H47" s="715"/>
      <c r="I47" s="715"/>
      <c r="J47" s="715"/>
      <c r="K47" s="715"/>
      <c r="M47" s="715"/>
      <c r="N47" s="715"/>
      <c r="O47" s="715"/>
    </row>
    <row r="48" ht="16.3" spans="1:15">
      <c r="A48" s="685" t="s">
        <v>1085</v>
      </c>
      <c r="F48" s="711" t="s">
        <v>1086</v>
      </c>
      <c r="G48" s="711"/>
      <c r="H48" s="711"/>
      <c r="I48" s="711"/>
      <c r="J48" s="711"/>
      <c r="K48" s="711"/>
    </row>
    <row r="49" spans="1:11">
      <c r="A49" s="685" t="s">
        <v>1087</v>
      </c>
      <c r="F49" s="711" t="s">
        <v>985</v>
      </c>
      <c r="G49" s="711"/>
      <c r="H49" s="711"/>
      <c r="I49" s="711"/>
      <c r="J49" s="711"/>
      <c r="K49" s="711"/>
    </row>
    <row r="50" spans="1:11">
      <c r="F50" s="711"/>
      <c r="G50" s="711"/>
      <c r="H50" s="711"/>
      <c r="I50" s="711"/>
      <c r="J50" s="711"/>
      <c r="K50" s="711"/>
    </row>
    <row r="51" ht="15.45" spans="1:11">
      <c r="A51" s="716" t="s">
        <v>1088</v>
      </c>
      <c r="B51" s="716"/>
      <c r="C51" s="716"/>
      <c r="D51" s="716"/>
      <c r="E51" s="716"/>
      <c r="F51" s="711" t="s">
        <v>1075</v>
      </c>
      <c r="G51" s="711"/>
      <c r="H51" s="711"/>
      <c r="I51" s="711"/>
      <c r="J51" s="711"/>
      <c r="K51" s="711"/>
    </row>
    <row r="52" spans="1:11">
      <c r="A52" s="717"/>
      <c r="B52" s="717"/>
      <c r="C52" s="717"/>
      <c r="D52" s="717"/>
      <c r="E52" s="717"/>
      <c r="F52" s="718"/>
      <c r="G52" s="718"/>
      <c r="H52" s="718"/>
      <c r="I52" s="718"/>
      <c r="J52" s="718"/>
      <c r="K52" s="718"/>
    </row>
    <row r="53" ht="15.45" spans="1:11">
      <c r="A53" s="696" t="s">
        <v>1089</v>
      </c>
      <c r="B53" s="696"/>
      <c r="C53" s="696"/>
      <c r="D53" s="696"/>
      <c r="E53" s="696"/>
      <c r="F53" s="696"/>
      <c r="G53" s="696"/>
      <c r="H53" s="696"/>
      <c r="I53" s="696"/>
      <c r="J53" s="696"/>
      <c r="K53" s="696"/>
    </row>
    <row r="54" ht="20.15" customHeight="1" spans="1:11">
      <c r="A54" s="719" t="s">
        <v>1086</v>
      </c>
      <c r="B54" s="720" t="s">
        <v>1090</v>
      </c>
      <c r="C54" s="720"/>
      <c r="D54" s="720"/>
      <c r="E54" s="720"/>
      <c r="F54" s="721" t="s">
        <v>47</v>
      </c>
      <c r="G54" s="721"/>
      <c r="H54" s="721"/>
      <c r="I54" s="720"/>
      <c r="J54" s="720"/>
      <c r="K54" s="720"/>
    </row>
    <row r="55" ht="20.15" customHeight="1" spans="1:11">
      <c r="A55" s="719" t="s">
        <v>1091</v>
      </c>
      <c r="B55" s="720" t="s">
        <v>1092</v>
      </c>
      <c r="C55" s="720"/>
      <c r="D55" s="720"/>
      <c r="E55" s="720"/>
      <c r="F55" s="721" t="s">
        <v>29</v>
      </c>
      <c r="G55" s="721"/>
      <c r="H55" s="721"/>
      <c r="I55" s="720"/>
      <c r="J55" s="720"/>
      <c r="K55" s="720"/>
    </row>
    <row r="56" ht="20.15" customHeight="1" spans="1:11">
      <c r="A56" s="719" t="s">
        <v>1093</v>
      </c>
      <c r="B56" s="720" t="s">
        <v>1094</v>
      </c>
      <c r="C56" s="720"/>
      <c r="D56" s="720"/>
      <c r="E56" s="720"/>
      <c r="F56" s="721" t="s">
        <v>1095</v>
      </c>
      <c r="G56" s="721"/>
      <c r="H56" s="721"/>
      <c r="I56" s="720"/>
      <c r="J56" s="720"/>
      <c r="K56" s="720"/>
    </row>
    <row r="57" ht="20.15" customHeight="1" spans="1:11">
      <c r="A57" s="719" t="s">
        <v>1096</v>
      </c>
      <c r="B57" s="720" t="s">
        <v>1097</v>
      </c>
      <c r="C57" s="720"/>
      <c r="D57" s="720"/>
      <c r="E57" s="720"/>
      <c r="F57" s="721" t="s">
        <v>1069</v>
      </c>
      <c r="G57" s="721"/>
      <c r="H57" s="721"/>
      <c r="I57" s="720"/>
      <c r="J57" s="720"/>
      <c r="K57" s="720"/>
    </row>
    <row r="58" ht="20.15" customHeight="1" spans="1:11">
      <c r="A58" s="719" t="s">
        <v>1069</v>
      </c>
      <c r="B58" s="722" t="s">
        <v>1098</v>
      </c>
      <c r="C58" s="720"/>
      <c r="D58" s="720"/>
      <c r="E58" s="720"/>
      <c r="F58" s="721" t="s">
        <v>1073</v>
      </c>
      <c r="G58" s="721"/>
      <c r="H58" s="721"/>
      <c r="I58" s="720"/>
      <c r="J58" s="720"/>
      <c r="K58" s="720"/>
    </row>
    <row r="59" ht="20.15" customHeight="1" spans="1:11">
      <c r="A59" s="719" t="s">
        <v>1069</v>
      </c>
      <c r="B59" s="722" t="s">
        <v>1099</v>
      </c>
      <c r="C59" s="720"/>
      <c r="D59" s="720"/>
      <c r="E59" s="720"/>
      <c r="F59" s="721" t="s">
        <v>1075</v>
      </c>
      <c r="G59" s="721"/>
      <c r="H59" s="721"/>
      <c r="I59" s="720"/>
      <c r="J59" s="720"/>
      <c r="K59" s="720"/>
    </row>
    <row r="60" ht="20.15" customHeight="1" spans="1:11">
      <c r="A60" s="719" t="s">
        <v>1069</v>
      </c>
      <c r="B60" s="722" t="s">
        <v>1100</v>
      </c>
      <c r="C60" s="720"/>
      <c r="D60" s="720"/>
      <c r="E60" s="720"/>
      <c r="F60" s="721" t="s">
        <v>1073</v>
      </c>
      <c r="G60" s="721"/>
      <c r="H60" s="721"/>
      <c r="I60" s="720"/>
      <c r="J60" s="720"/>
      <c r="K60" s="720"/>
    </row>
    <row r="61" ht="20.15" customHeight="1" spans="1:11">
      <c r="A61" s="719" t="s">
        <v>1069</v>
      </c>
      <c r="B61" s="722" t="s">
        <v>1101</v>
      </c>
      <c r="C61" s="720"/>
      <c r="D61" s="720"/>
      <c r="E61" s="720"/>
      <c r="F61" s="721" t="s">
        <v>1073</v>
      </c>
      <c r="G61" s="721"/>
      <c r="H61" s="721"/>
      <c r="I61" s="720"/>
      <c r="J61" s="720"/>
      <c r="K61" s="720"/>
    </row>
    <row r="62" ht="20.15" customHeight="1" spans="1:11">
      <c r="A62" s="719" t="s">
        <v>1069</v>
      </c>
      <c r="B62" s="722" t="s">
        <v>1102</v>
      </c>
      <c r="C62" s="720"/>
      <c r="D62" s="720"/>
      <c r="E62" s="720"/>
      <c r="F62" s="721" t="s">
        <v>1075</v>
      </c>
      <c r="G62" s="721"/>
      <c r="H62" s="721"/>
      <c r="I62" s="720"/>
      <c r="J62" s="720"/>
      <c r="K62" s="720"/>
    </row>
    <row r="63" ht="20.15" customHeight="1" spans="1:11">
      <c r="A63" s="719" t="s">
        <v>1103</v>
      </c>
      <c r="B63" s="720" t="s">
        <v>1104</v>
      </c>
      <c r="C63" s="720"/>
      <c r="D63" s="720"/>
      <c r="E63" s="720"/>
      <c r="F63" s="721" t="s">
        <v>1105</v>
      </c>
      <c r="G63" s="721"/>
      <c r="H63" s="721"/>
      <c r="I63" s="720"/>
      <c r="J63" s="720"/>
      <c r="K63" s="720"/>
    </row>
    <row r="64" ht="20.15" customHeight="1" spans="1:11">
      <c r="A64" s="719" t="s">
        <v>1106</v>
      </c>
      <c r="B64" s="720" t="s">
        <v>1107</v>
      </c>
      <c r="C64" s="720"/>
      <c r="D64" s="720"/>
      <c r="E64" s="720"/>
      <c r="F64" s="721" t="s">
        <v>1108</v>
      </c>
      <c r="G64" s="721"/>
      <c r="H64" s="721"/>
      <c r="I64" s="720"/>
      <c r="J64" s="720"/>
      <c r="K64" s="720"/>
    </row>
    <row r="65" ht="20.15" customHeight="1" spans="1:12">
      <c r="A65" s="719" t="s">
        <v>1109</v>
      </c>
      <c r="B65" s="720" t="s">
        <v>1110</v>
      </c>
      <c r="C65" s="720"/>
      <c r="D65" s="720"/>
      <c r="E65" s="720"/>
      <c r="F65" s="721" t="s">
        <v>47</v>
      </c>
      <c r="G65" s="721"/>
      <c r="H65" s="721"/>
      <c r="I65" s="720"/>
      <c r="J65" s="720"/>
      <c r="K65" s="720"/>
    </row>
    <row r="66" ht="20.15" customHeight="1" spans="1:12">
      <c r="A66" s="719" t="s">
        <v>1069</v>
      </c>
      <c r="B66" s="722" t="s">
        <v>1111</v>
      </c>
      <c r="C66" s="720"/>
      <c r="D66" s="720"/>
      <c r="E66" s="720"/>
      <c r="F66" s="721" t="s">
        <v>1112</v>
      </c>
      <c r="G66" s="721"/>
      <c r="H66" s="721"/>
      <c r="I66" s="720"/>
      <c r="J66" s="720"/>
      <c r="K66" s="720"/>
    </row>
    <row r="67" ht="20.15" customHeight="1" spans="1:12">
      <c r="A67" s="719" t="s">
        <v>1113</v>
      </c>
      <c r="B67" s="720" t="s">
        <v>1114</v>
      </c>
      <c r="C67" s="720"/>
      <c r="D67" s="720"/>
      <c r="E67" s="720"/>
      <c r="F67" s="721" t="s">
        <v>1115</v>
      </c>
      <c r="G67" s="721"/>
      <c r="H67" s="721"/>
      <c r="I67" s="720"/>
      <c r="J67" s="720"/>
      <c r="K67" s="720"/>
    </row>
    <row r="68" ht="20.15" customHeight="1" spans="1:12">
      <c r="A68" s="719" t="s">
        <v>1116</v>
      </c>
      <c r="B68" s="720" t="s">
        <v>1117</v>
      </c>
      <c r="C68" s="720"/>
      <c r="D68" s="720"/>
      <c r="E68" s="720"/>
      <c r="F68" s="721" t="s">
        <v>47</v>
      </c>
      <c r="G68" s="721"/>
      <c r="H68" s="721"/>
      <c r="I68" s="720"/>
      <c r="J68" s="720"/>
      <c r="K68" s="720"/>
    </row>
    <row r="69" ht="20.15" customHeight="1" spans="1:12">
      <c r="A69" s="719" t="s">
        <v>1118</v>
      </c>
      <c r="B69" s="720" t="s">
        <v>1119</v>
      </c>
      <c r="C69" s="720"/>
      <c r="D69" s="720"/>
      <c r="E69" s="720"/>
      <c r="F69" s="721" t="s">
        <v>1120</v>
      </c>
      <c r="G69" s="721"/>
      <c r="H69" s="721"/>
      <c r="I69" s="720"/>
      <c r="J69" s="720"/>
      <c r="K69" s="720"/>
    </row>
    <row r="70" ht="18" customHeight="1" spans="1:12">
      <c r="A70" s="719"/>
      <c r="B70" s="720"/>
      <c r="C70" s="720"/>
      <c r="D70" s="720"/>
      <c r="E70" s="720"/>
      <c r="F70" s="721"/>
      <c r="G70" s="721"/>
      <c r="H70" s="721"/>
      <c r="I70" s="720"/>
      <c r="J70" s="720"/>
      <c r="K70" s="720"/>
    </row>
    <row r="71" ht="18" customHeight="1" spans="1:12">
      <c r="A71" s="719"/>
      <c r="B71" s="720"/>
      <c r="C71" s="720"/>
      <c r="D71" s="720"/>
      <c r="E71" s="720"/>
      <c r="F71" s="721"/>
      <c r="G71" s="721"/>
      <c r="H71" s="721"/>
      <c r="I71" s="720"/>
      <c r="J71" s="720"/>
      <c r="K71" s="720"/>
    </row>
    <row r="72" ht="18" customHeight="1" spans="1:12">
      <c r="A72" s="719"/>
      <c r="B72" s="720"/>
      <c r="C72" s="720"/>
      <c r="D72" s="720"/>
      <c r="E72" s="720"/>
      <c r="F72" s="721"/>
      <c r="G72" s="721"/>
      <c r="H72" s="721"/>
      <c r="I72" s="720"/>
      <c r="J72" s="720"/>
      <c r="K72" s="720"/>
    </row>
    <row r="73" ht="18" customHeight="1" spans="1:12">
      <c r="A73" s="719"/>
      <c r="B73" s="720"/>
      <c r="C73" s="720"/>
      <c r="D73" s="720"/>
      <c r="E73" s="720"/>
      <c r="F73" s="721"/>
      <c r="G73" s="721"/>
      <c r="H73" s="721"/>
      <c r="I73" s="720"/>
      <c r="J73" s="720"/>
      <c r="K73" s="720"/>
    </row>
    <row r="77" ht="15.4" spans="1:12">
      <c r="A77" s="723" t="s">
        <v>1121</v>
      </c>
      <c r="B77" s="696"/>
      <c r="C77" s="696"/>
      <c r="D77" s="696"/>
      <c r="E77" s="696"/>
      <c r="F77" s="696"/>
      <c r="G77" s="696"/>
      <c r="H77" s="696"/>
      <c r="I77" s="696"/>
      <c r="J77" s="696"/>
      <c r="K77" s="696"/>
    </row>
    <row r="78" spans="1:12">
      <c r="G78" s="715"/>
      <c r="H78" s="715"/>
      <c r="I78" s="715"/>
      <c r="J78" s="715"/>
      <c r="K78" s="697"/>
    </row>
    <row r="79" ht="15.45" spans="1:12">
      <c r="A79" s="698" t="s">
        <v>1122</v>
      </c>
      <c r="B79" s="698"/>
      <c r="C79" s="698"/>
      <c r="D79" s="698"/>
      <c r="E79" s="698"/>
      <c r="F79" s="699" t="s">
        <v>1123</v>
      </c>
      <c r="G79" s="699"/>
      <c r="H79" s="699"/>
      <c r="I79" s="699"/>
      <c r="J79" s="699"/>
      <c r="K79" s="700"/>
      <c r="L79" s="724"/>
    </row>
    <row r="80" ht="15.45" spans="1:12">
      <c r="A80" s="698" t="s">
        <v>1124</v>
      </c>
      <c r="B80" s="698"/>
      <c r="C80" s="698"/>
      <c r="D80" s="698"/>
      <c r="E80" s="698"/>
      <c r="F80" s="699" t="s">
        <v>1125</v>
      </c>
      <c r="G80" s="699"/>
      <c r="H80" s="699"/>
      <c r="I80" s="699"/>
      <c r="J80" s="699"/>
      <c r="K80" s="700"/>
      <c r="L80" s="724"/>
    </row>
    <row r="81" ht="15.45" spans="1:12">
      <c r="A81" s="698" t="s">
        <v>1126</v>
      </c>
      <c r="B81" s="698"/>
      <c r="C81" s="698"/>
      <c r="D81" s="698"/>
      <c r="E81" s="698"/>
      <c r="F81" s="699" t="s">
        <v>1075</v>
      </c>
      <c r="G81" s="699"/>
      <c r="H81" s="699"/>
      <c r="I81" s="699"/>
      <c r="J81" s="699"/>
      <c r="K81" s="700"/>
      <c r="L81" s="725"/>
    </row>
    <row r="82" ht="15.45" spans="1:12">
      <c r="A82" s="698" t="s">
        <v>1127</v>
      </c>
      <c r="B82" s="698"/>
      <c r="C82" s="698"/>
      <c r="D82" s="698"/>
      <c r="E82" s="698"/>
      <c r="F82" s="699" t="s">
        <v>1086</v>
      </c>
      <c r="G82" s="699"/>
      <c r="H82" s="699"/>
      <c r="I82" s="699"/>
      <c r="J82" s="699"/>
      <c r="K82" s="700"/>
      <c r="L82" s="724"/>
    </row>
    <row r="83" ht="15.45" spans="1:12">
      <c r="A83" s="698" t="s">
        <v>1128</v>
      </c>
      <c r="B83" s="698"/>
      <c r="C83" s="698"/>
      <c r="D83" s="698"/>
      <c r="E83" s="698"/>
      <c r="F83" s="699">
        <v>0</v>
      </c>
      <c r="G83" s="699"/>
      <c r="H83" s="699"/>
      <c r="I83" s="699"/>
      <c r="J83" s="699"/>
      <c r="K83" s="700"/>
    </row>
    <row r="84" ht="15.45" spans="1:12">
      <c r="A84" s="698" t="s">
        <v>1129</v>
      </c>
      <c r="B84" s="698"/>
      <c r="C84" s="698"/>
      <c r="D84" s="698"/>
      <c r="E84" s="698"/>
      <c r="F84" s="699" t="s">
        <v>1086</v>
      </c>
      <c r="G84" s="699"/>
      <c r="H84" s="699"/>
      <c r="I84" s="699"/>
      <c r="J84" s="699"/>
      <c r="K84" s="700"/>
    </row>
    <row r="85" ht="15.45" spans="1:12">
      <c r="A85" s="698" t="s">
        <v>1130</v>
      </c>
      <c r="B85" s="698"/>
      <c r="C85" s="698"/>
      <c r="D85" s="698"/>
      <c r="E85" s="698"/>
      <c r="F85" s="699" t="s">
        <v>1079</v>
      </c>
      <c r="G85" s="699"/>
      <c r="H85" s="699"/>
      <c r="I85" s="699"/>
      <c r="J85" s="699"/>
      <c r="K85" s="700"/>
      <c r="L85" s="724"/>
    </row>
    <row r="86" ht="15.45" spans="1:12">
      <c r="A86" s="698" t="s">
        <v>1131</v>
      </c>
      <c r="B86" s="698"/>
      <c r="C86" s="698"/>
      <c r="D86" s="698"/>
      <c r="E86" s="698"/>
      <c r="F86" s="699" t="s">
        <v>1132</v>
      </c>
      <c r="G86" s="699"/>
      <c r="H86" s="699"/>
      <c r="I86" s="699"/>
      <c r="J86" s="699"/>
      <c r="K86" s="700"/>
    </row>
    <row r="87" spans="1:12">
      <c r="A87" s="726"/>
      <c r="B87" s="726"/>
      <c r="C87" s="726"/>
      <c r="D87" s="726"/>
      <c r="E87" s="726"/>
      <c r="F87" s="726"/>
      <c r="G87" s="726"/>
      <c r="H87" s="726"/>
      <c r="I87" s="726"/>
      <c r="J87" s="726"/>
      <c r="K87" s="727"/>
    </row>
    <row r="88" ht="15.45" spans="1:12">
      <c r="A88" s="696" t="s">
        <v>1133</v>
      </c>
      <c r="B88" s="696"/>
      <c r="C88" s="696"/>
      <c r="D88" s="696"/>
      <c r="E88" s="696"/>
      <c r="F88" s="696"/>
      <c r="G88" s="696"/>
      <c r="H88" s="696"/>
      <c r="I88" s="696"/>
      <c r="J88" s="696"/>
      <c r="K88" s="696"/>
    </row>
    <row r="89" spans="1:12">
      <c r="K89" s="697"/>
    </row>
    <row r="90" ht="15.45" spans="1:12">
      <c r="A90" s="717" t="s">
        <v>1134</v>
      </c>
      <c r="B90" s="717"/>
      <c r="C90" s="717"/>
      <c r="D90" s="717"/>
      <c r="E90" s="717"/>
      <c r="F90" s="699">
        <v>1</v>
      </c>
      <c r="G90" s="699"/>
      <c r="H90" s="699"/>
      <c r="I90" s="699"/>
      <c r="J90" s="699"/>
      <c r="K90" s="700"/>
    </row>
    <row r="91" ht="15.4" spans="1:12">
      <c r="A91" s="728" t="s">
        <v>1135</v>
      </c>
      <c r="B91" s="717"/>
      <c r="C91" s="717"/>
      <c r="D91" s="717"/>
      <c r="E91" s="717"/>
      <c r="F91" s="699">
        <v>0</v>
      </c>
      <c r="G91" s="699"/>
      <c r="H91" s="699"/>
      <c r="I91" s="699"/>
      <c r="J91" s="699"/>
      <c r="K91" s="700"/>
    </row>
    <row r="92" ht="15.45" spans="1:12">
      <c r="A92" s="717" t="s">
        <v>1136</v>
      </c>
      <c r="B92" s="717"/>
      <c r="C92" s="717"/>
      <c r="D92" s="717"/>
      <c r="E92" s="717"/>
      <c r="F92" s="699">
        <f>F90+F91</f>
        <v>1</v>
      </c>
      <c r="G92" s="699"/>
      <c r="H92" s="699"/>
      <c r="I92" s="699"/>
      <c r="J92" s="699"/>
      <c r="K92" s="700"/>
    </row>
    <row r="93" ht="15.45" spans="1:12">
      <c r="A93" s="717" t="s">
        <v>1137</v>
      </c>
      <c r="B93" s="717"/>
      <c r="C93" s="717"/>
      <c r="D93" s="717"/>
      <c r="E93" s="717"/>
      <c r="F93" s="699" t="s">
        <v>1115</v>
      </c>
      <c r="G93" s="699"/>
      <c r="H93" s="699"/>
      <c r="I93" s="699"/>
      <c r="J93" s="699"/>
      <c r="K93" s="700"/>
    </row>
    <row r="94" spans="1:12">
      <c r="A94" s="726"/>
      <c r="B94" s="726"/>
      <c r="C94" s="726"/>
      <c r="D94" s="726"/>
      <c r="E94" s="726"/>
      <c r="F94" s="726"/>
      <c r="G94" s="726"/>
      <c r="H94" s="726"/>
      <c r="I94" s="726"/>
      <c r="J94" s="726"/>
      <c r="K94" s="727"/>
    </row>
    <row r="95" spans="1:12">
      <c r="A95" s="719"/>
      <c r="B95" s="719"/>
      <c r="C95" s="719"/>
      <c r="D95" s="719"/>
      <c r="E95" s="719"/>
      <c r="F95" s="729"/>
      <c r="G95" s="729"/>
      <c r="H95" s="729"/>
      <c r="I95" s="729"/>
      <c r="J95" s="729"/>
    </row>
    <row r="96" ht="15.45" spans="1:12">
      <c r="A96" s="696" t="s">
        <v>1138</v>
      </c>
      <c r="B96" s="696"/>
      <c r="C96" s="696"/>
      <c r="D96" s="696"/>
      <c r="E96" s="696"/>
      <c r="F96" s="696"/>
      <c r="G96" s="696"/>
      <c r="H96" s="696"/>
      <c r="I96" s="696"/>
      <c r="J96" s="696"/>
      <c r="K96" s="696"/>
    </row>
    <row r="98" spans="1:14">
      <c r="A98" s="716" t="s">
        <v>1139</v>
      </c>
    </row>
    <row r="99" spans="1:14">
      <c r="A99" s="730" t="s">
        <v>1140</v>
      </c>
      <c r="B99" s="730" t="s">
        <v>1141</v>
      </c>
      <c r="C99" s="730" t="s">
        <v>1142</v>
      </c>
      <c r="D99" s="731">
        <v>1</v>
      </c>
      <c r="E99" s="731" t="s">
        <v>1143</v>
      </c>
      <c r="F99" s="731" t="s">
        <v>1144</v>
      </c>
      <c r="G99" s="731" t="s">
        <v>1145</v>
      </c>
      <c r="H99" s="731" t="s">
        <v>1146</v>
      </c>
      <c r="I99" s="731" t="s">
        <v>1147</v>
      </c>
      <c r="J99" s="731" t="s">
        <v>1148</v>
      </c>
      <c r="K99" s="731" t="s">
        <v>1149</v>
      </c>
      <c r="L99" s="731" t="s">
        <v>141</v>
      </c>
      <c r="M99" s="731" t="s">
        <v>1150</v>
      </c>
      <c r="N99" s="732" t="s">
        <v>1067</v>
      </c>
    </row>
    <row r="100" spans="1:14">
      <c r="A100" s="685" t="s">
        <v>1086</v>
      </c>
      <c r="B100" s="685">
        <v>17</v>
      </c>
      <c r="C100" s="685" t="s">
        <v>1151</v>
      </c>
      <c r="D100" s="685">
        <v>2</v>
      </c>
      <c r="E100" s="685" t="s">
        <v>968</v>
      </c>
      <c r="F100" s="685" t="s">
        <v>1152</v>
      </c>
      <c r="G100" s="685" t="s">
        <v>985</v>
      </c>
      <c r="H100" s="685" t="s">
        <v>1153</v>
      </c>
      <c r="I100" s="685" t="s">
        <v>1154</v>
      </c>
      <c r="J100" s="685" t="s">
        <v>1155</v>
      </c>
      <c r="K100" s="685" t="s">
        <v>1156</v>
      </c>
      <c r="L100" s="685" t="s">
        <v>1157</v>
      </c>
      <c r="M100" s="685" t="s">
        <v>1069</v>
      </c>
      <c r="N100" s="733">
        <v>380000</v>
      </c>
    </row>
    <row r="101" spans="1:14">
      <c r="N101" s="733"/>
    </row>
  </sheetData>
  <mergeCells count="144">
    <mergeCell ref="B1:F1"/>
    <mergeCell ref="G1:K1"/>
    <mergeCell ref="A2:C2"/>
    <mergeCell ref="D2:K2"/>
    <mergeCell ref="A3:C3"/>
    <mergeCell ref="D3:K3"/>
    <mergeCell ref="A4:C4"/>
    <mergeCell ref="D4:K4"/>
    <mergeCell ref="A6:K6"/>
    <mergeCell ref="A8:E8"/>
    <mergeCell ref="F8:K8"/>
    <mergeCell ref="A9:E9"/>
    <mergeCell ref="F9:K9"/>
    <mergeCell ref="A10:E10"/>
    <mergeCell ref="F10:K10"/>
    <mergeCell ref="A11:E11"/>
    <mergeCell ref="F11:K11"/>
    <mergeCell ref="A12:E12"/>
    <mergeCell ref="F12:K12"/>
    <mergeCell ref="A13:E13"/>
    <mergeCell ref="F13:K13"/>
    <mergeCell ref="A14:E14"/>
    <mergeCell ref="F14:K14"/>
    <mergeCell ref="A15:E15"/>
    <mergeCell ref="F15:K15"/>
    <mergeCell ref="A16:E16"/>
    <mergeCell ref="F16:K16"/>
    <mergeCell ref="A17:E17"/>
    <mergeCell ref="F17:K17"/>
    <mergeCell ref="A18:E18"/>
    <mergeCell ref="F18:K18"/>
    <mergeCell ref="A19:E19"/>
    <mergeCell ref="F19:K19"/>
    <mergeCell ref="A20:E20"/>
    <mergeCell ref="F20:K20"/>
    <mergeCell ref="A21:E21"/>
    <mergeCell ref="F21:K21"/>
    <mergeCell ref="A22:E22"/>
    <mergeCell ref="F22:K22"/>
    <mergeCell ref="A24:K24"/>
    <mergeCell ref="A26:K26"/>
    <mergeCell ref="A27:D27"/>
    <mergeCell ref="E27:F27"/>
    <mergeCell ref="H27:K27"/>
    <mergeCell ref="A28:D28"/>
    <mergeCell ref="E28:F28"/>
    <mergeCell ref="H28:K28"/>
    <mergeCell ref="A29:D29"/>
    <mergeCell ref="E29:F29"/>
    <mergeCell ref="H29:K29"/>
    <mergeCell ref="A30:K30"/>
    <mergeCell ref="A31:E31"/>
    <mergeCell ref="F31:K31"/>
    <mergeCell ref="A32:E32"/>
    <mergeCell ref="F32:K32"/>
    <mergeCell ref="A33:E33"/>
    <mergeCell ref="F33:K33"/>
    <mergeCell ref="A35:K35"/>
    <mergeCell ref="A37:E37"/>
    <mergeCell ref="A38:E38"/>
    <mergeCell ref="F38:K38"/>
    <mergeCell ref="A39:E39"/>
    <mergeCell ref="F39:K39"/>
    <mergeCell ref="A40:E40"/>
    <mergeCell ref="F40:K40"/>
    <mergeCell ref="A41:E41"/>
    <mergeCell ref="F41:K41"/>
    <mergeCell ref="A42:E42"/>
    <mergeCell ref="F42:K42"/>
    <mergeCell ref="A43:E43"/>
    <mergeCell ref="F43:K43"/>
    <mergeCell ref="A44:E44"/>
    <mergeCell ref="F44:K44"/>
    <mergeCell ref="A45:E45"/>
    <mergeCell ref="F45:K45"/>
    <mergeCell ref="A46:E46"/>
    <mergeCell ref="F46:K46"/>
    <mergeCell ref="A47:E47"/>
    <mergeCell ref="A48:E48"/>
    <mergeCell ref="F48:K48"/>
    <mergeCell ref="A49:E49"/>
    <mergeCell ref="F49:K49"/>
    <mergeCell ref="A51:E51"/>
    <mergeCell ref="F51:K51"/>
    <mergeCell ref="A53:K53"/>
    <mergeCell ref="B54:E54"/>
    <mergeCell ref="F54:K54"/>
    <mergeCell ref="B55:E55"/>
    <mergeCell ref="F55:K55"/>
    <mergeCell ref="B56:E56"/>
    <mergeCell ref="F56:K56"/>
    <mergeCell ref="B57:E57"/>
    <mergeCell ref="F57:K57"/>
    <mergeCell ref="B58:E58"/>
    <mergeCell ref="F58:K58"/>
    <mergeCell ref="B59:E59"/>
    <mergeCell ref="F59:K59"/>
    <mergeCell ref="B60:E60"/>
    <mergeCell ref="F60:K60"/>
    <mergeCell ref="B61:E61"/>
    <mergeCell ref="F61:K61"/>
    <mergeCell ref="B62:E62"/>
    <mergeCell ref="F62:K62"/>
    <mergeCell ref="B63:E63"/>
    <mergeCell ref="F63:K63"/>
    <mergeCell ref="B64:E64"/>
    <mergeCell ref="F64:K64"/>
    <mergeCell ref="B65:E65"/>
    <mergeCell ref="F65:K65"/>
    <mergeCell ref="B66:E66"/>
    <mergeCell ref="F66:K66"/>
    <mergeCell ref="B67:E67"/>
    <mergeCell ref="F67:K67"/>
    <mergeCell ref="B68:E68"/>
    <mergeCell ref="F68:K68"/>
    <mergeCell ref="B69:E69"/>
    <mergeCell ref="F69:K69"/>
    <mergeCell ref="A77:K77"/>
    <mergeCell ref="A79:E79"/>
    <mergeCell ref="F79:K79"/>
    <mergeCell ref="A80:E80"/>
    <mergeCell ref="F80:K80"/>
    <mergeCell ref="A81:E81"/>
    <mergeCell ref="F81:K81"/>
    <mergeCell ref="A82:E82"/>
    <mergeCell ref="F82:K82"/>
    <mergeCell ref="A83:E83"/>
    <mergeCell ref="F83:K83"/>
    <mergeCell ref="A84:E84"/>
    <mergeCell ref="F84:K84"/>
    <mergeCell ref="A85:E85"/>
    <mergeCell ref="F85:K85"/>
    <mergeCell ref="A86:E86"/>
    <mergeCell ref="F86:K86"/>
    <mergeCell ref="A88:K88"/>
    <mergeCell ref="A90:E90"/>
    <mergeCell ref="F90:K90"/>
    <mergeCell ref="A91:E91"/>
    <mergeCell ref="F91:K91"/>
    <mergeCell ref="A92:E92"/>
    <mergeCell ref="F92:K92"/>
    <mergeCell ref="A93:E93"/>
    <mergeCell ref="F93:K93"/>
    <mergeCell ref="A96:K96"/>
  </mergeCell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6"/>
  <sheetViews>
    <sheetView showGridLines="0" zoomScale="70" zoomScaleNormal="70" topLeftCell="A25" workbookViewId="0">
      <selection activeCell="B4" sqref="B4"/>
    </sheetView>
  </sheetViews>
  <sheetFormatPr defaultColWidth="8.90990990990991" defaultRowHeight="12.4"/>
  <cols>
    <col min="1" max="1" width="2.63063063063063" style="619" customWidth="1"/>
    <col min="2" max="2" width="17.9099099099099" style="54" customWidth="1"/>
    <col min="3" max="4" width="27" style="54" customWidth="1"/>
    <col min="5" max="5" width="15.7297297297297" style="54" customWidth="1"/>
    <col min="6" max="6" width="25" style="54" customWidth="1"/>
    <col min="7" max="8" width="15.6306306306306" style="54" customWidth="1"/>
    <col min="9" max="9" width="13.3603603603604" style="54" customWidth="1"/>
    <col min="10" max="10" width="12.6306306306306" style="54" customWidth="1"/>
    <col min="11" max="11" width="13" style="54" customWidth="1"/>
    <col min="12" max="12" width="13.2702702702703" style="54" customWidth="1"/>
    <col min="13" max="13" width="11.0900900900901" style="54" customWidth="1"/>
    <col min="14" max="14" width="11.3603603603604" style="54" customWidth="1"/>
    <col min="15" max="15" width="13.0900900900901" style="54" customWidth="1"/>
    <col min="16" max="16" width="13.3603603603604" style="54" customWidth="1"/>
    <col min="17" max="17" width="12.0900900900901" style="54" customWidth="1"/>
    <col min="18" max="18" width="15.6306306306306" style="54" customWidth="1"/>
    <col min="19" max="21" width="5.72972972972973" style="54" customWidth="1"/>
    <col min="22" max="22" width="2.63063063063063" style="54" customWidth="1"/>
    <col min="23" max="23" width="1.63063063063063" style="54" customWidth="1"/>
    <col min="24" max="16384" width="8.90990990990991" style="54"/>
  </cols>
  <sheetData>
    <row r="1" ht="50.15" customHeight="1" spans="1:23">
      <c r="A1" s="620"/>
      <c r="B1" s="621" t="s">
        <v>977</v>
      </c>
      <c r="C1" s="622"/>
      <c r="D1" s="622"/>
      <c r="E1" s="622"/>
      <c r="F1" s="622"/>
      <c r="G1" s="622"/>
      <c r="H1" s="622"/>
      <c r="I1" s="622"/>
      <c r="J1" s="622"/>
      <c r="K1" s="622"/>
      <c r="L1" s="622"/>
      <c r="M1" s="622"/>
      <c r="N1" s="622"/>
      <c r="O1" s="622"/>
      <c r="P1" s="622"/>
      <c r="Q1" s="622"/>
      <c r="R1" s="622"/>
      <c r="S1" s="622"/>
      <c r="T1" s="622"/>
      <c r="U1" s="623"/>
      <c r="V1" s="53"/>
      <c r="W1" s="67"/>
    </row>
    <row r="2" ht="30" customHeight="1" spans="1:23">
      <c r="A2" s="620"/>
      <c r="B2" s="624" t="s">
        <v>1158</v>
      </c>
      <c r="C2" s="625"/>
      <c r="D2" s="625"/>
      <c r="E2" s="625"/>
      <c r="F2" s="625"/>
      <c r="G2" s="625"/>
      <c r="H2" s="625"/>
      <c r="I2" s="625"/>
      <c r="J2" s="625"/>
      <c r="K2" s="625"/>
      <c r="L2" s="625"/>
      <c r="M2" s="625"/>
      <c r="N2" s="625"/>
      <c r="O2" s="625"/>
      <c r="P2" s="625"/>
      <c r="Q2" s="625"/>
      <c r="R2" s="625"/>
      <c r="S2" s="625"/>
      <c r="T2" s="625"/>
      <c r="U2" s="626"/>
      <c r="V2" s="53"/>
      <c r="W2" s="67"/>
    </row>
    <row r="3" spans="1:23">
      <c r="A3" s="627"/>
      <c r="B3" s="57"/>
      <c r="C3" s="65"/>
      <c r="D3" s="65"/>
      <c r="E3" s="65"/>
      <c r="F3" s="65"/>
      <c r="G3" s="65"/>
      <c r="H3" s="65"/>
      <c r="I3" s="65"/>
      <c r="J3" s="65"/>
      <c r="K3" s="65"/>
      <c r="L3" s="65"/>
      <c r="M3" s="65"/>
      <c r="N3" s="65"/>
      <c r="O3" s="65"/>
      <c r="P3" s="65"/>
      <c r="Q3" s="65"/>
      <c r="R3" s="65"/>
      <c r="S3" s="628"/>
      <c r="T3" s="629"/>
      <c r="U3" s="53"/>
      <c r="V3" s="53"/>
      <c r="W3" s="67"/>
    </row>
    <row r="4" spans="1:23">
      <c r="A4" s="627"/>
      <c r="B4" s="18" t="s">
        <v>77</v>
      </c>
      <c r="C4" s="65"/>
      <c r="D4" s="65"/>
      <c r="E4" s="65"/>
      <c r="F4" s="65"/>
      <c r="G4" s="65"/>
      <c r="H4" s="65"/>
      <c r="I4" s="65"/>
      <c r="J4" s="65"/>
      <c r="K4" s="65"/>
      <c r="L4" s="65"/>
      <c r="M4" s="65"/>
      <c r="N4" s="65"/>
      <c r="O4" s="65"/>
      <c r="P4" s="65"/>
      <c r="Q4" s="65"/>
      <c r="R4" s="65"/>
      <c r="S4" s="628"/>
      <c r="T4" s="629"/>
      <c r="U4" s="53"/>
      <c r="V4" s="53"/>
      <c r="W4" s="67"/>
    </row>
    <row r="5" spans="1:23">
      <c r="A5" s="627"/>
      <c r="B5" s="57"/>
      <c r="C5" s="65"/>
      <c r="D5" s="65"/>
      <c r="E5" s="65"/>
      <c r="F5" s="65"/>
      <c r="G5" s="65"/>
      <c r="H5" s="65"/>
      <c r="I5" s="65"/>
      <c r="J5" s="65"/>
      <c r="K5" s="65"/>
      <c r="L5" s="65"/>
      <c r="M5" s="65"/>
      <c r="N5" s="65"/>
      <c r="O5" s="65"/>
      <c r="P5" s="65"/>
      <c r="Q5" s="65"/>
      <c r="R5" s="65"/>
      <c r="S5" s="628"/>
      <c r="T5" s="629"/>
      <c r="U5" s="53"/>
      <c r="V5" s="53"/>
      <c r="W5" s="67"/>
    </row>
    <row r="6" s="53" customFormat="1" spans="1:23">
      <c r="A6" s="620"/>
      <c r="B6" s="66" t="s">
        <v>979</v>
      </c>
      <c r="C6" s="66"/>
      <c r="D6" s="66"/>
      <c r="E6" s="66"/>
      <c r="F6" s="66"/>
      <c r="G6" s="66"/>
      <c r="H6" s="66"/>
      <c r="I6" s="66"/>
      <c r="J6" s="66"/>
      <c r="K6" s="66"/>
      <c r="L6" s="66"/>
      <c r="M6" s="66"/>
      <c r="N6" s="66"/>
      <c r="O6" s="66"/>
      <c r="P6" s="66"/>
      <c r="Q6" s="65"/>
      <c r="R6" s="65"/>
      <c r="W6" s="67"/>
    </row>
    <row r="7" s="53" customFormat="1" ht="13.5" customHeight="1" spans="1:23">
      <c r="A7" s="620"/>
      <c r="B7" s="70"/>
      <c r="C7" s="71"/>
      <c r="D7" s="71"/>
      <c r="E7" s="71"/>
      <c r="F7" s="72"/>
      <c r="G7" s="630"/>
      <c r="H7" s="630"/>
      <c r="I7" s="630"/>
      <c r="J7" s="630"/>
      <c r="K7" s="630"/>
      <c r="L7" s="630"/>
      <c r="M7" s="630"/>
      <c r="N7" s="630"/>
      <c r="Q7" s="65"/>
      <c r="R7" s="65"/>
      <c r="W7" s="67"/>
    </row>
    <row r="8" s="53" customFormat="1" ht="13.5" customHeight="1" spans="1:23">
      <c r="A8" s="620"/>
      <c r="B8" s="74"/>
      <c r="C8" s="75"/>
      <c r="D8" s="75"/>
      <c r="E8" s="75"/>
      <c r="F8" s="76"/>
      <c r="G8" s="630"/>
      <c r="H8" s="630"/>
      <c r="I8" s="630"/>
      <c r="J8" s="630"/>
      <c r="K8" s="630"/>
      <c r="L8" s="630"/>
      <c r="M8" s="630"/>
      <c r="N8" s="630"/>
      <c r="Q8" s="65"/>
      <c r="R8" s="65"/>
      <c r="W8" s="67"/>
    </row>
    <row r="9" s="53" customFormat="1" ht="13.5" customHeight="1" spans="1:23">
      <c r="A9" s="620"/>
      <c r="B9" s="74"/>
      <c r="C9" s="75"/>
      <c r="D9" s="75"/>
      <c r="E9" s="75"/>
      <c r="F9" s="76"/>
      <c r="G9" s="630"/>
      <c r="H9" s="630"/>
      <c r="I9" s="630"/>
      <c r="J9" s="630"/>
      <c r="K9" s="630"/>
      <c r="L9" s="630"/>
      <c r="M9" s="630"/>
      <c r="N9" s="630"/>
      <c r="Q9" s="65"/>
      <c r="R9" s="65"/>
      <c r="W9" s="67"/>
    </row>
    <row r="10" s="53" customFormat="1" ht="13.5" customHeight="1" spans="1:23">
      <c r="A10" s="620"/>
      <c r="B10" s="77"/>
      <c r="C10" s="78"/>
      <c r="D10" s="78"/>
      <c r="E10" s="78"/>
      <c r="F10" s="79"/>
      <c r="G10" s="630"/>
      <c r="H10" s="630"/>
      <c r="I10" s="630"/>
      <c r="J10" s="630"/>
      <c r="K10" s="630"/>
      <c r="L10" s="630"/>
      <c r="M10" s="630"/>
      <c r="N10" s="630"/>
      <c r="Q10" s="65"/>
      <c r="R10" s="65"/>
      <c r="W10" s="67"/>
    </row>
    <row r="11" spans="1:23">
      <c r="A11" s="620"/>
      <c r="B11" s="65"/>
      <c r="C11" s="631"/>
      <c r="D11" s="632"/>
      <c r="E11" s="632"/>
      <c r="F11" s="632"/>
      <c r="G11" s="632"/>
      <c r="H11" s="633"/>
      <c r="I11" s="634"/>
      <c r="J11" s="634"/>
      <c r="K11" s="634"/>
      <c r="L11" s="634"/>
      <c r="M11" s="65"/>
      <c r="N11" s="65"/>
      <c r="O11" s="65"/>
      <c r="P11" s="65"/>
      <c r="Q11" s="65"/>
      <c r="R11" s="65"/>
      <c r="S11" s="65"/>
      <c r="T11" s="65"/>
      <c r="U11" s="65"/>
      <c r="V11" s="65"/>
      <c r="W11" s="67"/>
    </row>
    <row r="12" spans="1:23">
      <c r="A12" s="620"/>
      <c r="B12" s="65"/>
      <c r="C12" s="631"/>
      <c r="D12" s="632"/>
      <c r="E12" s="119" t="s">
        <v>998</v>
      </c>
      <c r="F12" s="632"/>
      <c r="G12" s="632"/>
      <c r="H12" s="633"/>
      <c r="I12" s="634"/>
      <c r="J12" s="634"/>
      <c r="K12" s="634"/>
      <c r="L12" s="634"/>
      <c r="M12" s="65"/>
      <c r="N12" s="65"/>
      <c r="O12" s="65"/>
      <c r="P12" s="65"/>
      <c r="Q12" s="65"/>
      <c r="R12" s="65"/>
      <c r="S12" s="65"/>
      <c r="T12" s="65"/>
      <c r="U12" s="65"/>
      <c r="V12" s="65"/>
      <c r="W12" s="67"/>
    </row>
    <row r="13" ht="14.55" spans="1:23">
      <c r="A13" s="620"/>
      <c r="B13" s="65"/>
      <c r="C13" s="631"/>
      <c r="D13" s="632"/>
      <c r="E13" s="635" t="s">
        <v>1159</v>
      </c>
      <c r="F13" s="632"/>
      <c r="G13" s="635" t="s">
        <v>152</v>
      </c>
      <c r="H13" s="66"/>
      <c r="I13" s="635" t="s">
        <v>154</v>
      </c>
      <c r="J13" s="634"/>
      <c r="K13" s="635" t="s">
        <v>155</v>
      </c>
      <c r="L13" s="634"/>
      <c r="M13" s="65"/>
      <c r="N13" s="65"/>
      <c r="O13" s="65"/>
      <c r="P13" s="65"/>
      <c r="Q13" s="65"/>
      <c r="R13" s="65"/>
      <c r="S13" s="65"/>
      <c r="T13" s="65"/>
      <c r="U13" s="65"/>
      <c r="V13" s="65"/>
      <c r="W13" s="67"/>
    </row>
    <row r="14" ht="13.7" spans="1:23">
      <c r="A14" s="620"/>
      <c r="B14" s="84" t="s">
        <v>1160</v>
      </c>
      <c r="C14" s="84"/>
      <c r="D14" s="65"/>
      <c r="E14" s="83">
        <f>G14-I14-K14</f>
        <v>0</v>
      </c>
      <c r="F14" s="65"/>
      <c r="G14" s="83"/>
      <c r="H14" s="65"/>
      <c r="I14" s="83"/>
      <c r="J14" s="65"/>
      <c r="K14" s="83"/>
      <c r="L14" s="65"/>
      <c r="M14" s="65"/>
      <c r="N14" s="65"/>
      <c r="O14" s="65"/>
      <c r="P14" s="65"/>
      <c r="Q14" s="65"/>
      <c r="R14" s="65"/>
      <c r="S14" s="65"/>
      <c r="T14" s="65"/>
      <c r="U14" s="65"/>
      <c r="V14" s="65"/>
      <c r="W14" s="67"/>
    </row>
    <row r="15" ht="13.7" spans="1:23">
      <c r="A15" s="620"/>
      <c r="B15" s="84" t="s">
        <v>1161</v>
      </c>
      <c r="C15" s="84"/>
      <c r="D15" s="65"/>
      <c r="E15" s="636">
        <f>G15-I15-K15</f>
        <v>73447.66</v>
      </c>
      <c r="F15" s="637" t="s">
        <v>30</v>
      </c>
      <c r="G15" s="638">
        <f>-'K.01 Agree SL to GL'!Z15</f>
        <v>159633</v>
      </c>
      <c r="H15" s="637" t="s">
        <v>30</v>
      </c>
      <c r="I15" s="638">
        <f>-'K.01 Agree SL to GL'!Z21</f>
        <v>86185.34</v>
      </c>
      <c r="J15" s="637" t="s">
        <v>30</v>
      </c>
      <c r="K15" s="638">
        <f>-'K.01 Agree SL to GL'!Z27</f>
        <v>0</v>
      </c>
      <c r="L15" s="637" t="s">
        <v>30</v>
      </c>
      <c r="M15" s="65"/>
      <c r="N15" s="65"/>
      <c r="O15" s="65"/>
      <c r="P15" s="65"/>
      <c r="Q15" s="65"/>
      <c r="R15" s="65"/>
      <c r="S15" s="65"/>
      <c r="T15" s="65"/>
      <c r="U15" s="65"/>
      <c r="V15" s="65"/>
      <c r="W15" s="67"/>
    </row>
    <row r="16" ht="13.7" spans="1:23">
      <c r="A16" s="620"/>
      <c r="B16" s="639" t="s">
        <v>251</v>
      </c>
      <c r="C16" s="639"/>
      <c r="D16" s="640"/>
      <c r="E16" s="641">
        <f>E14-E15</f>
        <v>-73447.66</v>
      </c>
      <c r="F16" s="637" t="s">
        <v>104</v>
      </c>
      <c r="G16" s="641">
        <f>G14-G15</f>
        <v>-159633</v>
      </c>
      <c r="H16" s="637" t="s">
        <v>104</v>
      </c>
      <c r="I16" s="641">
        <f>I14-I15</f>
        <v>-86185.34</v>
      </c>
      <c r="J16" s="637" t="s">
        <v>104</v>
      </c>
      <c r="K16" s="641">
        <f>K14-K15</f>
        <v>0</v>
      </c>
      <c r="L16" s="637" t="s">
        <v>104</v>
      </c>
      <c r="M16" s="65"/>
      <c r="N16" s="65"/>
      <c r="O16" s="65"/>
      <c r="P16" s="65"/>
      <c r="Q16" s="65"/>
      <c r="R16" s="65"/>
      <c r="S16" s="65"/>
      <c r="T16" s="65"/>
      <c r="U16" s="65"/>
      <c r="V16" s="65"/>
      <c r="W16" s="67"/>
    </row>
    <row r="17" ht="14.55" spans="1:23">
      <c r="A17" s="620"/>
      <c r="B17" s="642" t="s">
        <v>983</v>
      </c>
      <c r="C17" s="65"/>
      <c r="D17" s="65"/>
      <c r="E17" s="643" t="str">
        <f>IF(ABS(E16)&gt;'K.00 Lead Sheet'!$C$6,"是","否")</f>
        <v>是</v>
      </c>
      <c r="F17" s="637"/>
      <c r="G17" s="643" t="str">
        <f>IF(ABS(G16)&gt;'K.00 Lead Sheet'!$C$6,"是","否")</f>
        <v>是</v>
      </c>
      <c r="H17" s="65"/>
      <c r="I17" s="643" t="str">
        <f>IF(ABS(I16)&gt;'K.00 Lead Sheet'!$C$6,"是","否")</f>
        <v>是</v>
      </c>
      <c r="J17" s="65"/>
      <c r="K17" s="643" t="str">
        <f>IF(ABS(K16)&gt;'K.00 Lead Sheet'!$C$6,"是","否")</f>
        <v>否</v>
      </c>
      <c r="L17" s="65"/>
      <c r="M17" s="65"/>
      <c r="N17" s="65"/>
      <c r="O17" s="65"/>
      <c r="P17" s="65"/>
      <c r="Q17" s="65"/>
      <c r="R17" s="65"/>
      <c r="S17" s="65"/>
      <c r="T17" s="65"/>
      <c r="U17" s="65"/>
      <c r="V17" s="65"/>
      <c r="W17" s="67"/>
    </row>
    <row r="18" spans="1:23">
      <c r="A18" s="620"/>
      <c r="B18" s="84"/>
      <c r="C18" s="84"/>
      <c r="D18" s="65"/>
      <c r="E18" s="644"/>
      <c r="F18" s="637"/>
      <c r="M18" s="65"/>
      <c r="N18" s="65"/>
      <c r="O18" s="65"/>
      <c r="P18" s="65"/>
      <c r="Q18" s="65"/>
      <c r="R18" s="65"/>
      <c r="S18" s="65"/>
      <c r="T18" s="65"/>
      <c r="U18" s="65"/>
      <c r="V18" s="65"/>
      <c r="W18" s="67"/>
    </row>
    <row r="19" ht="13.7" spans="1:23">
      <c r="A19" s="620"/>
      <c r="B19" s="58" t="s">
        <v>984</v>
      </c>
      <c r="C19" s="645"/>
      <c r="D19" s="645"/>
      <c r="E19" s="83"/>
      <c r="F19" s="65"/>
      <c r="G19" s="65"/>
      <c r="H19" s="65"/>
      <c r="I19" s="65"/>
      <c r="J19" s="65"/>
      <c r="K19" s="65"/>
      <c r="L19" s="65"/>
      <c r="M19" s="65"/>
      <c r="N19" s="65"/>
      <c r="O19" s="65"/>
      <c r="P19" s="65"/>
      <c r="Q19" s="65"/>
      <c r="R19" s="65"/>
      <c r="S19" s="65"/>
      <c r="T19" s="65"/>
      <c r="U19" s="65"/>
      <c r="V19" s="65"/>
      <c r="W19" s="67"/>
    </row>
    <row r="20" ht="13.7" spans="1:23">
      <c r="A20" s="620"/>
      <c r="B20" s="639" t="s">
        <v>986</v>
      </c>
      <c r="C20" s="639"/>
      <c r="D20" s="646"/>
      <c r="E20" s="647">
        <f>E14-E19</f>
        <v>0</v>
      </c>
      <c r="F20" s="65"/>
      <c r="G20" s="65"/>
      <c r="H20" s="65"/>
      <c r="I20" s="65"/>
      <c r="J20" s="65"/>
      <c r="K20" s="65"/>
      <c r="L20" s="65"/>
      <c r="M20" s="65"/>
      <c r="N20" s="65"/>
      <c r="O20" s="65"/>
      <c r="P20" s="65"/>
      <c r="Q20" s="65"/>
      <c r="R20" s="65"/>
      <c r="S20" s="65"/>
      <c r="T20" s="65"/>
      <c r="U20" s="65"/>
      <c r="V20" s="65"/>
      <c r="W20" s="67"/>
    </row>
    <row r="21" spans="1:23">
      <c r="B21" s="53"/>
      <c r="C21" s="57"/>
      <c r="D21" s="648"/>
      <c r="E21" s="648"/>
      <c r="F21" s="648"/>
      <c r="G21" s="648"/>
      <c r="H21" s="648"/>
      <c r="I21" s="648"/>
      <c r="J21" s="648"/>
      <c r="K21" s="648"/>
      <c r="L21" s="648"/>
      <c r="M21" s="648"/>
      <c r="N21" s="649"/>
      <c r="O21" s="649"/>
      <c r="W21" s="67"/>
    </row>
    <row r="22" ht="14.55" spans="1:23">
      <c r="A22" s="650"/>
      <c r="B22" s="54" t="s">
        <v>987</v>
      </c>
      <c r="C22" s="53"/>
      <c r="D22" s="53"/>
      <c r="E22" s="53"/>
      <c r="F22" s="53"/>
      <c r="G22" s="53"/>
      <c r="H22" s="53"/>
      <c r="I22" s="80"/>
      <c r="J22" s="53"/>
      <c r="K22" s="53"/>
      <c r="L22" s="53"/>
      <c r="M22" s="53"/>
      <c r="N22" s="53"/>
      <c r="O22" s="53"/>
      <c r="P22" s="53"/>
      <c r="W22" s="67"/>
    </row>
    <row r="23" ht="14.25" customHeight="1" spans="1:23">
      <c r="A23" s="651"/>
      <c r="B23" s="70"/>
      <c r="C23" s="71"/>
      <c r="D23" s="71"/>
      <c r="E23" s="71"/>
      <c r="F23" s="72"/>
      <c r="G23" s="652"/>
      <c r="H23" s="652"/>
      <c r="I23" s="652"/>
      <c r="J23" s="652"/>
      <c r="K23" s="652"/>
      <c r="L23" s="652"/>
      <c r="M23" s="652"/>
      <c r="N23" s="652"/>
      <c r="O23" s="53"/>
      <c r="P23" s="53"/>
      <c r="W23" s="67"/>
    </row>
    <row r="24" ht="14.25" customHeight="1" spans="1:23">
      <c r="A24" s="651"/>
      <c r="B24" s="74"/>
      <c r="C24" s="75"/>
      <c r="D24" s="75"/>
      <c r="E24" s="75"/>
      <c r="F24" s="76"/>
      <c r="G24" s="652"/>
      <c r="H24" s="652"/>
      <c r="I24" s="652"/>
      <c r="J24" s="652"/>
      <c r="K24" s="652"/>
      <c r="L24" s="652"/>
      <c r="M24" s="652"/>
      <c r="N24" s="652"/>
      <c r="O24" s="53"/>
      <c r="P24" s="53"/>
      <c r="W24" s="67"/>
    </row>
    <row r="25" ht="14.25" customHeight="1" spans="1:23">
      <c r="A25" s="651"/>
      <c r="B25" s="74"/>
      <c r="C25" s="75"/>
      <c r="D25" s="75"/>
      <c r="E25" s="75"/>
      <c r="F25" s="76"/>
      <c r="G25" s="652"/>
      <c r="H25" s="652"/>
      <c r="I25" s="652"/>
      <c r="J25" s="652"/>
      <c r="K25" s="652"/>
      <c r="L25" s="652"/>
      <c r="M25" s="652"/>
      <c r="N25" s="652"/>
      <c r="O25" s="53"/>
      <c r="P25" s="53"/>
      <c r="W25" s="67"/>
    </row>
    <row r="26" ht="14.25" customHeight="1" spans="1:23">
      <c r="A26" s="651"/>
      <c r="B26" s="77"/>
      <c r="C26" s="78"/>
      <c r="D26" s="78"/>
      <c r="E26" s="78"/>
      <c r="F26" s="79"/>
      <c r="G26" s="652"/>
      <c r="H26" s="652"/>
      <c r="I26" s="652"/>
      <c r="J26" s="652"/>
      <c r="K26" s="652"/>
      <c r="L26" s="652"/>
      <c r="M26" s="652"/>
      <c r="N26" s="652"/>
      <c r="O26" s="53"/>
      <c r="P26" s="53"/>
      <c r="W26" s="67"/>
    </row>
    <row r="27" spans="1:23">
      <c r="A27" s="651"/>
      <c r="B27" s="53"/>
      <c r="C27" s="53"/>
      <c r="D27" s="53"/>
      <c r="E27" s="53"/>
      <c r="F27" s="53"/>
      <c r="G27" s="53"/>
      <c r="H27" s="53"/>
      <c r="I27" s="80"/>
      <c r="J27" s="53"/>
      <c r="K27" s="53"/>
      <c r="L27" s="53"/>
      <c r="M27" s="53"/>
      <c r="N27" s="53"/>
      <c r="O27" s="53"/>
      <c r="P27" s="53"/>
      <c r="W27" s="67"/>
    </row>
    <row r="28" ht="14.55" spans="1:23">
      <c r="A28" s="653"/>
      <c r="B28" s="104" t="s">
        <v>992</v>
      </c>
      <c r="C28" s="105"/>
      <c r="D28" s="105"/>
      <c r="E28" s="105"/>
      <c r="F28" s="106"/>
      <c r="G28" s="652"/>
      <c r="H28" s="652"/>
      <c r="I28" s="652"/>
      <c r="J28" s="652"/>
      <c r="K28" s="652"/>
      <c r="L28" s="652"/>
      <c r="M28" s="652"/>
      <c r="N28" s="652"/>
      <c r="W28" s="67"/>
    </row>
    <row r="29" ht="13.7" spans="1:23">
      <c r="A29" s="651"/>
      <c r="B29" s="654" t="s">
        <v>993</v>
      </c>
      <c r="C29" s="655"/>
      <c r="D29" s="655"/>
      <c r="E29" s="655"/>
      <c r="F29" s="656"/>
      <c r="G29" s="652"/>
      <c r="H29" s="652"/>
      <c r="I29" s="652"/>
      <c r="J29" s="652"/>
      <c r="K29" s="652"/>
      <c r="L29" s="652"/>
      <c r="M29" s="652"/>
      <c r="N29" s="652"/>
      <c r="W29" s="67"/>
    </row>
    <row r="30" spans="1:23">
      <c r="A30" s="651"/>
      <c r="B30" s="657" t="s">
        <v>1162</v>
      </c>
      <c r="C30" s="658"/>
      <c r="D30" s="658"/>
      <c r="E30" s="658"/>
      <c r="F30" s="659"/>
      <c r="G30" s="652"/>
      <c r="H30" s="652"/>
      <c r="I30" s="652"/>
      <c r="J30" s="652"/>
      <c r="K30" s="652"/>
      <c r="L30" s="652"/>
      <c r="M30" s="652"/>
      <c r="N30" s="652"/>
      <c r="W30" s="67"/>
    </row>
    <row r="31" spans="1:23">
      <c r="A31" s="651"/>
      <c r="B31" s="660" t="s">
        <v>1163</v>
      </c>
      <c r="C31" s="658"/>
      <c r="D31" s="658"/>
      <c r="E31" s="658"/>
      <c r="F31" s="659"/>
      <c r="G31" s="652"/>
      <c r="H31" s="652"/>
      <c r="I31" s="652"/>
      <c r="J31" s="652"/>
      <c r="K31" s="652"/>
      <c r="L31" s="652"/>
      <c r="M31" s="652"/>
      <c r="N31" s="652"/>
      <c r="W31" s="67"/>
    </row>
    <row r="32" ht="29.15" customHeight="1" spans="1:23">
      <c r="A32" s="651"/>
      <c r="B32" s="661" t="s">
        <v>1164</v>
      </c>
      <c r="C32" s="662"/>
      <c r="D32" s="662"/>
      <c r="E32" s="662"/>
      <c r="F32" s="663"/>
      <c r="G32" s="652"/>
      <c r="H32" s="652"/>
      <c r="I32" s="652"/>
      <c r="J32" s="652"/>
      <c r="K32" s="652"/>
      <c r="L32" s="652"/>
      <c r="M32" s="652"/>
      <c r="N32" s="652"/>
      <c r="W32" s="67"/>
    </row>
    <row r="33" spans="1:23">
      <c r="W33" s="67"/>
    </row>
    <row r="34" ht="16.15" customHeight="1" spans="1:23">
      <c r="B34" s="209" t="s">
        <v>1165</v>
      </c>
      <c r="C34" s="209"/>
      <c r="D34" s="58"/>
      <c r="E34" s="58"/>
      <c r="F34" s="58"/>
      <c r="G34" s="58"/>
      <c r="H34" s="58"/>
      <c r="I34" s="664"/>
      <c r="J34" s="664"/>
      <c r="K34" s="664"/>
      <c r="L34" s="119" t="s">
        <v>998</v>
      </c>
      <c r="M34" s="664"/>
      <c r="N34" s="665"/>
      <c r="O34" s="119" t="s">
        <v>998</v>
      </c>
      <c r="P34" s="664"/>
      <c r="Q34" s="119" t="s">
        <v>998</v>
      </c>
      <c r="S34" s="120" t="s">
        <v>999</v>
      </c>
      <c r="T34" s="666"/>
      <c r="U34" s="121"/>
      <c r="W34" s="67"/>
    </row>
    <row r="35" ht="72.85" spans="1:23">
      <c r="B35" s="125" t="s">
        <v>1166</v>
      </c>
      <c r="C35" s="125" t="s">
        <v>1000</v>
      </c>
      <c r="D35" s="125" t="s">
        <v>176</v>
      </c>
      <c r="E35" s="125" t="s">
        <v>1167</v>
      </c>
      <c r="F35" s="125" t="s">
        <v>1002</v>
      </c>
      <c r="G35" s="125" t="s">
        <v>1003</v>
      </c>
      <c r="H35" s="125" t="s">
        <v>1168</v>
      </c>
      <c r="I35" s="125" t="s">
        <v>152</v>
      </c>
      <c r="J35" s="125" t="s">
        <v>154</v>
      </c>
      <c r="K35" s="125" t="s">
        <v>155</v>
      </c>
      <c r="L35" s="125" t="s">
        <v>1169</v>
      </c>
      <c r="M35" s="125" t="s">
        <v>1170</v>
      </c>
      <c r="N35" s="125" t="s">
        <v>1171</v>
      </c>
      <c r="O35" s="125" t="s">
        <v>1172</v>
      </c>
      <c r="P35" s="125" t="s">
        <v>1173</v>
      </c>
      <c r="Q35" s="125" t="s">
        <v>1174</v>
      </c>
      <c r="R35" s="125" t="s">
        <v>1175</v>
      </c>
      <c r="S35" s="667">
        <v>1</v>
      </c>
      <c r="T35" s="667">
        <v>2</v>
      </c>
      <c r="U35" s="667">
        <v>3</v>
      </c>
      <c r="W35" s="67"/>
    </row>
    <row r="36" spans="1:23">
      <c r="B36" s="668">
        <v>1</v>
      </c>
      <c r="C36" s="669"/>
      <c r="D36" s="131"/>
      <c r="E36" s="131"/>
      <c r="F36" s="131"/>
      <c r="G36" s="131"/>
      <c r="H36" s="133"/>
      <c r="I36" s="670"/>
      <c r="J36" s="671"/>
      <c r="K36" s="671"/>
      <c r="L36" s="671">
        <f>I36-J36-K36</f>
        <v>0</v>
      </c>
      <c r="M36" s="671"/>
      <c r="N36" s="136"/>
      <c r="O36" s="671">
        <f>M36-L36</f>
        <v>0</v>
      </c>
      <c r="P36" s="671"/>
      <c r="Q36" s="671">
        <f>P36-M36</f>
        <v>0</v>
      </c>
      <c r="R36" s="672"/>
      <c r="S36" s="673"/>
      <c r="T36" s="673"/>
      <c r="U36" s="673"/>
      <c r="W36" s="67"/>
    </row>
    <row r="37" spans="1:23">
      <c r="B37" s="668">
        <v>2</v>
      </c>
      <c r="C37" s="669"/>
      <c r="D37" s="131"/>
      <c r="E37" s="131"/>
      <c r="F37" s="131"/>
      <c r="G37" s="131"/>
      <c r="H37" s="133"/>
      <c r="I37" s="670"/>
      <c r="J37" s="671"/>
      <c r="K37" s="671"/>
      <c r="L37" s="671">
        <f>I37-J37-K37</f>
        <v>0</v>
      </c>
      <c r="M37" s="671"/>
      <c r="N37" s="136"/>
      <c r="O37" s="671">
        <f t="shared" ref="O37:O38" si="0">M37-L37</f>
        <v>0</v>
      </c>
      <c r="P37" s="671"/>
      <c r="Q37" s="671">
        <f t="shared" ref="Q37:Q38" si="1">P37-M37</f>
        <v>0</v>
      </c>
      <c r="R37" s="672"/>
      <c r="S37" s="673"/>
      <c r="T37" s="673"/>
      <c r="U37" s="673"/>
      <c r="W37" s="67"/>
    </row>
    <row r="38" spans="1:23">
      <c r="B38" s="668">
        <v>3</v>
      </c>
      <c r="C38" s="669"/>
      <c r="D38" s="131"/>
      <c r="E38" s="131"/>
      <c r="F38" s="131"/>
      <c r="G38" s="131"/>
      <c r="H38" s="133"/>
      <c r="I38" s="132"/>
      <c r="J38" s="132"/>
      <c r="K38" s="132"/>
      <c r="L38" s="671">
        <f>I38-J38-K38</f>
        <v>0</v>
      </c>
      <c r="M38" s="132"/>
      <c r="N38" s="131"/>
      <c r="O38" s="671">
        <f t="shared" si="0"/>
        <v>0</v>
      </c>
      <c r="P38" s="671"/>
      <c r="Q38" s="671">
        <f t="shared" si="1"/>
        <v>0</v>
      </c>
      <c r="R38" s="131"/>
      <c r="S38" s="673"/>
      <c r="T38" s="673"/>
      <c r="U38" s="673"/>
      <c r="W38" s="67"/>
    </row>
    <row r="39" spans="1:23">
      <c r="H39" s="674"/>
      <c r="W39" s="67"/>
    </row>
    <row r="40" ht="14.55" spans="1:23">
      <c r="B40" s="54" t="s">
        <v>1176</v>
      </c>
      <c r="W40" s="67"/>
    </row>
    <row r="41" spans="1:23">
      <c r="B41" s="675"/>
      <c r="C41" s="676"/>
      <c r="D41" s="676"/>
      <c r="E41" s="676"/>
      <c r="F41" s="677"/>
      <c r="W41" s="67"/>
    </row>
    <row r="42" spans="1:23">
      <c r="B42" s="678"/>
      <c r="C42" s="679"/>
      <c r="D42" s="679"/>
      <c r="E42" s="679"/>
      <c r="F42" s="680"/>
      <c r="W42" s="67"/>
    </row>
    <row r="43" spans="1:23">
      <c r="B43" s="678"/>
      <c r="C43" s="679"/>
      <c r="D43" s="679"/>
      <c r="E43" s="679"/>
      <c r="F43" s="680"/>
      <c r="W43" s="67"/>
    </row>
    <row r="44" spans="1:23">
      <c r="B44" s="681"/>
      <c r="C44" s="682"/>
      <c r="D44" s="682"/>
      <c r="E44" s="682"/>
      <c r="F44" s="683"/>
      <c r="W44" s="67"/>
    </row>
    <row r="45" ht="15" customHeight="1" spans="1:23">
      <c r="W45" s="67"/>
    </row>
    <row r="46" ht="7.5" customHeight="1" spans="1:23">
      <c r="A46" s="684"/>
      <c r="B46" s="684"/>
      <c r="C46" s="684"/>
      <c r="D46" s="684"/>
      <c r="E46" s="684"/>
      <c r="F46" s="684"/>
      <c r="G46" s="684"/>
      <c r="H46" s="684"/>
      <c r="I46" s="684"/>
      <c r="J46" s="684"/>
      <c r="K46" s="684"/>
      <c r="L46" s="684"/>
      <c r="M46" s="684"/>
      <c r="N46" s="684"/>
      <c r="O46" s="684"/>
      <c r="P46" s="684"/>
      <c r="Q46" s="684"/>
      <c r="R46" s="684"/>
      <c r="S46" s="684"/>
      <c r="T46" s="684"/>
      <c r="U46" s="684"/>
      <c r="V46" s="684"/>
      <c r="W46" s="684"/>
    </row>
  </sheetData>
  <mergeCells count="16">
    <mergeCell ref="B1:U1"/>
    <mergeCell ref="B6:P6"/>
    <mergeCell ref="Q6:R6"/>
    <mergeCell ref="U11:V11"/>
    <mergeCell ref="U14:V14"/>
    <mergeCell ref="U15:V15"/>
    <mergeCell ref="U16:V16"/>
    <mergeCell ref="U19:V19"/>
    <mergeCell ref="U20:V20"/>
    <mergeCell ref="B30:F30"/>
    <mergeCell ref="B31:F31"/>
    <mergeCell ref="B32:F32"/>
    <mergeCell ref="S34:U34"/>
    <mergeCell ref="B23:F26"/>
    <mergeCell ref="B7:F10"/>
    <mergeCell ref="B41:F44"/>
  </mergeCells>
  <conditionalFormatting sqref="B7">
    <cfRule type="containsBlanks" dxfId="1" priority="3">
      <formula>LEN(TRIM(B7))=0</formula>
    </cfRule>
  </conditionalFormatting>
  <conditionalFormatting sqref="E14">
    <cfRule type="containsBlanks" dxfId="1" priority="14">
      <formula>LEN(TRIM(E14))=0</formula>
    </cfRule>
  </conditionalFormatting>
  <conditionalFormatting sqref="G14">
    <cfRule type="containsBlanks" dxfId="1" priority="12">
      <formula>LEN(TRIM(G14))=0</formula>
    </cfRule>
  </conditionalFormatting>
  <conditionalFormatting sqref="I14">
    <cfRule type="containsBlanks" dxfId="1" priority="11">
      <formula>LEN(TRIM(I14))=0</formula>
    </cfRule>
  </conditionalFormatting>
  <conditionalFormatting sqref="K14">
    <cfRule type="containsBlanks" dxfId="1" priority="10">
      <formula>LEN(TRIM(K14))=0</formula>
    </cfRule>
  </conditionalFormatting>
  <conditionalFormatting sqref="E19">
    <cfRule type="containsBlanks" dxfId="1" priority="13">
      <formula>LEN(TRIM(E19))=0</formula>
    </cfRule>
  </conditionalFormatting>
  <conditionalFormatting sqref="B23">
    <cfRule type="containsBlanks" dxfId="1" priority="4">
      <formula>LEN(TRIM(B23))=0</formula>
    </cfRule>
  </conditionalFormatting>
  <conditionalFormatting sqref="B41">
    <cfRule type="containsBlanks" dxfId="1" priority="2">
      <formula>LEN(TRIM(B41))=0</formula>
    </cfRule>
  </conditionalFormatting>
  <conditionalFormatting sqref="B36:K38">
    <cfRule type="containsBlanks" dxfId="1" priority="8">
      <formula>LEN(TRIM(B36))=0</formula>
    </cfRule>
  </conditionalFormatting>
  <conditionalFormatting sqref="M36:N38">
    <cfRule type="containsBlanks" dxfId="1" priority="15">
      <formula>LEN(TRIM(M36))=0</formula>
    </cfRule>
  </conditionalFormatting>
  <conditionalFormatting sqref="P36:U38">
    <cfRule type="containsBlanks" dxfId="1" priority="1">
      <formula>LEN(TRIM(P36))=0</formula>
    </cfRule>
  </conditionalFormatting>
  <dataValidations count="2">
    <dataValidation type="list" allowBlank="1" showInputMessage="1" sqref="C36:C38">
      <formula1>"关键项（key item）,代表性样本"</formula1>
    </dataValidation>
    <dataValidation type="list" allowBlank="1" showInputMessage="1" sqref="S36:U38">
      <formula1>"Y,N"</formula1>
    </dataValidation>
  </dataValidations>
  <hyperlinks>
    <hyperlink ref="B4" location="'汇总 '!A1" display="返回汇总页"/>
  </hyperlinks>
  <pageMargins left="0.7" right="0.7" top="0.75" bottom="0.75" header="0.3" footer="0.3"/>
  <pageSetup paperSize="9" orientation="portrait" horizontalDpi="300" verticalDpi="300"/>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H73"/>
  <sheetViews>
    <sheetView workbookViewId="0">
      <selection activeCell="A1" sqref="A1"/>
    </sheetView>
  </sheetViews>
  <sheetFormatPr defaultColWidth="9" defaultRowHeight="14.1"/>
  <cols>
    <col min="1" max="1" width="0.0900900900900901" customWidth="1"/>
  </cols>
  <sheetData>
    <row r="1" spans="1:86">
      <c r="A1" t="s">
        <v>1177</v>
      </c>
    </row>
    <row r="3" spans="1:86">
      <c r="A3" t="s">
        <v>1178</v>
      </c>
    </row>
    <row r="4" spans="1:86">
      <c r="A4" t="b">
        <v>1</v>
      </c>
    </row>
    <row r="6" spans="1:86">
      <c r="E6" t="s">
        <v>1179</v>
      </c>
      <c r="Y6" t="s">
        <v>1180</v>
      </c>
      <c r="Z6" t="s">
        <v>1181</v>
      </c>
      <c r="AA6" t="s">
        <v>1182</v>
      </c>
      <c r="AB6" t="s">
        <v>1183</v>
      </c>
      <c r="AC6" t="s">
        <v>1184</v>
      </c>
      <c r="AD6" t="s">
        <v>1185</v>
      </c>
      <c r="AE6" t="s">
        <v>1186</v>
      </c>
      <c r="AF6" t="s">
        <v>1187</v>
      </c>
      <c r="AG6" t="s">
        <v>1188</v>
      </c>
      <c r="AH6" t="s">
        <v>1189</v>
      </c>
      <c r="AI6" t="s">
        <v>1190</v>
      </c>
      <c r="AJ6" t="s">
        <v>1191</v>
      </c>
      <c r="AK6" t="s">
        <v>1192</v>
      </c>
      <c r="AL6" t="s">
        <v>1193</v>
      </c>
      <c r="AM6" t="s">
        <v>1194</v>
      </c>
      <c r="AN6" t="s">
        <v>1195</v>
      </c>
      <c r="AO6" t="s">
        <v>1196</v>
      </c>
      <c r="AP6" t="s">
        <v>1197</v>
      </c>
      <c r="AQ6" t="s">
        <v>1198</v>
      </c>
      <c r="AR6" t="s">
        <v>1199</v>
      </c>
      <c r="AS6" t="s">
        <v>1200</v>
      </c>
      <c r="AT6" t="s">
        <v>1201</v>
      </c>
      <c r="AU6" t="s">
        <v>1202</v>
      </c>
      <c r="AV6" t="s">
        <v>1203</v>
      </c>
      <c r="AW6" t="s">
        <v>1204</v>
      </c>
      <c r="AX6" t="s">
        <v>1205</v>
      </c>
      <c r="AY6" t="s">
        <v>1206</v>
      </c>
      <c r="AZ6" t="s">
        <v>1207</v>
      </c>
      <c r="BA6" t="s">
        <v>1208</v>
      </c>
      <c r="BB6" t="s">
        <v>1209</v>
      </c>
      <c r="BC6" t="s">
        <v>1210</v>
      </c>
      <c r="BD6" t="s">
        <v>1211</v>
      </c>
      <c r="BE6" t="s">
        <v>1212</v>
      </c>
      <c r="BF6" t="s">
        <v>1213</v>
      </c>
      <c r="BG6" t="s">
        <v>1214</v>
      </c>
      <c r="BH6" t="s">
        <v>1215</v>
      </c>
      <c r="BI6" t="s">
        <v>1216</v>
      </c>
      <c r="BJ6" t="s">
        <v>1217</v>
      </c>
      <c r="BK6" t="s">
        <v>1218</v>
      </c>
      <c r="BL6" t="s">
        <v>1219</v>
      </c>
      <c r="BM6" t="s">
        <v>1220</v>
      </c>
      <c r="BN6" t="s">
        <v>1221</v>
      </c>
      <c r="BO6" t="s">
        <v>1222</v>
      </c>
      <c r="BP6" t="s">
        <v>1223</v>
      </c>
      <c r="BQ6" t="s">
        <v>1224</v>
      </c>
      <c r="BR6" t="s">
        <v>1225</v>
      </c>
      <c r="BS6" t="s">
        <v>1226</v>
      </c>
      <c r="BT6" t="s">
        <v>1227</v>
      </c>
      <c r="BU6" t="s">
        <v>1228</v>
      </c>
      <c r="BV6" t="s">
        <v>1229</v>
      </c>
      <c r="BW6" t="s">
        <v>1230</v>
      </c>
      <c r="BX6" t="s">
        <v>1231</v>
      </c>
      <c r="BY6" t="s">
        <v>1232</v>
      </c>
      <c r="BZ6" t="s">
        <v>1233</v>
      </c>
      <c r="CA6" t="s">
        <v>1234</v>
      </c>
      <c r="CB6" t="s">
        <v>1235</v>
      </c>
      <c r="CC6" t="s">
        <v>1236</v>
      </c>
      <c r="CD6" t="s">
        <v>1237</v>
      </c>
      <c r="CE6" t="s">
        <v>1238</v>
      </c>
      <c r="CF6" t="s">
        <v>1239</v>
      </c>
      <c r="CG6" t="s">
        <v>1240</v>
      </c>
      <c r="CH6" t="s">
        <v>1241</v>
      </c>
    </row>
    <row r="7" spans="1:86">
      <c r="A7" t="s">
        <v>1242</v>
      </c>
    </row>
    <row r="10" spans="1:86">
      <c r="F10" t="e">
        <f>#REF!</f>
        <v>#REF!</v>
      </c>
      <c r="G10" t="s">
        <v>1243</v>
      </c>
      <c r="H10" t="e">
        <f>#REF!</f>
        <v>#REF!</v>
      </c>
      <c r="I10" t="s">
        <v>1244</v>
      </c>
    </row>
    <row r="11" spans="1:86">
      <c r="A11" s="618">
        <v>73</v>
      </c>
      <c r="F11" t="e">
        <f>#REF!</f>
        <v>#REF!</v>
      </c>
      <c r="G11" t="s">
        <v>1245</v>
      </c>
      <c r="H11" t="e">
        <f>#REF!</f>
        <v>#REF!</v>
      </c>
      <c r="I11" t="s">
        <v>1246</v>
      </c>
    </row>
    <row r="12" spans="1:86">
      <c r="A12" s="618">
        <v>18</v>
      </c>
      <c r="F12" t="e">
        <f>#REF!</f>
        <v>#REF!</v>
      </c>
      <c r="G12" t="s">
        <v>1247</v>
      </c>
      <c r="H12" t="e">
        <f>#REF!</f>
        <v>#REF!</v>
      </c>
      <c r="I12" t="s">
        <v>1248</v>
      </c>
    </row>
    <row r="13" spans="1:86">
      <c r="F13" t="e">
        <f>#REF!</f>
        <v>#REF!</v>
      </c>
      <c r="G13" t="s">
        <v>1249</v>
      </c>
      <c r="H13" t="e">
        <f>#REF!</f>
        <v>#REF!</v>
      </c>
      <c r="I13" t="s">
        <v>1250</v>
      </c>
    </row>
    <row r="14" spans="1:86">
      <c r="F14" t="e">
        <f>#REF!</f>
        <v>#REF!</v>
      </c>
      <c r="G14" t="s">
        <v>1251</v>
      </c>
      <c r="H14" t="e">
        <f>#REF!</f>
        <v>#REF!</v>
      </c>
      <c r="I14" t="s">
        <v>1252</v>
      </c>
    </row>
    <row r="15" spans="1:86">
      <c r="A15" s="618">
        <v>26</v>
      </c>
      <c r="F15" t="e">
        <f>#REF!</f>
        <v>#REF!</v>
      </c>
      <c r="G15" t="s">
        <v>1253</v>
      </c>
      <c r="H15" t="e">
        <f>#REF!</f>
        <v>#REF!</v>
      </c>
      <c r="I15" t="s">
        <v>1254</v>
      </c>
      <c r="R15" t="e">
        <f>#REF!</f>
        <v>#REF!</v>
      </c>
      <c r="S15" t="s">
        <v>1255</v>
      </c>
    </row>
    <row r="16" spans="1:86">
      <c r="F16" t="e">
        <f>#REF!</f>
        <v>#REF!</v>
      </c>
      <c r="G16" t="s">
        <v>1256</v>
      </c>
      <c r="H16" t="e">
        <f>#REF!</f>
        <v>#REF!</v>
      </c>
      <c r="I16" t="s">
        <v>1257</v>
      </c>
      <c r="R16" t="e">
        <f>#REF!</f>
        <v>#REF!</v>
      </c>
      <c r="S16" t="s">
        <v>1258</v>
      </c>
    </row>
    <row r="17" spans="6:19">
      <c r="F17" t="e">
        <f>#REF!</f>
        <v>#REF!</v>
      </c>
      <c r="G17" t="s">
        <v>1259</v>
      </c>
      <c r="H17" t="e">
        <f>#REF!</f>
        <v>#REF!</v>
      </c>
      <c r="I17" t="s">
        <v>1260</v>
      </c>
      <c r="R17" t="e">
        <f>#REF!</f>
        <v>#REF!</v>
      </c>
      <c r="S17" t="s">
        <v>1261</v>
      </c>
    </row>
    <row r="18" spans="6:19">
      <c r="F18" t="e">
        <f>#REF!</f>
        <v>#REF!</v>
      </c>
      <c r="G18" t="s">
        <v>1262</v>
      </c>
      <c r="R18" t="e">
        <f>#REF!</f>
        <v>#REF!</v>
      </c>
      <c r="S18" t="s">
        <v>1263</v>
      </c>
    </row>
    <row r="19" spans="6:19">
      <c r="F19" t="e">
        <f>#REF!</f>
        <v>#REF!</v>
      </c>
      <c r="G19" t="s">
        <v>1264</v>
      </c>
      <c r="R19" t="e">
        <f>#REF!</f>
        <v>#REF!</v>
      </c>
      <c r="S19" t="s">
        <v>1265</v>
      </c>
    </row>
    <row r="20" spans="6:19">
      <c r="F20" t="e">
        <f>#REF!</f>
        <v>#REF!</v>
      </c>
      <c r="G20" t="s">
        <v>1266</v>
      </c>
      <c r="R20" s="618" t="e">
        <f>#REF!</f>
        <v>#REF!</v>
      </c>
      <c r="S20" t="s">
        <v>1267</v>
      </c>
    </row>
    <row r="21" spans="6:19">
      <c r="F21" t="e">
        <f>#REF!</f>
        <v>#REF!</v>
      </c>
      <c r="G21" t="s">
        <v>1268</v>
      </c>
      <c r="R21" t="e">
        <f>#REF!</f>
        <v>#REF!</v>
      </c>
      <c r="S21" t="s">
        <v>1269</v>
      </c>
    </row>
    <row r="22" spans="6:19">
      <c r="F22" t="e">
        <f>#REF!</f>
        <v>#REF!</v>
      </c>
      <c r="G22" t="s">
        <v>1270</v>
      </c>
      <c r="R22" t="e">
        <f>#REF!</f>
        <v>#REF!</v>
      </c>
      <c r="S22" t="s">
        <v>1271</v>
      </c>
    </row>
    <row r="23" spans="6:19">
      <c r="F23" t="e">
        <f>#REF!</f>
        <v>#REF!</v>
      </c>
      <c r="G23" t="s">
        <v>1272</v>
      </c>
      <c r="R23" t="e">
        <f>#REF!</f>
        <v>#REF!</v>
      </c>
      <c r="S23" t="s">
        <v>1273</v>
      </c>
    </row>
    <row r="24" spans="6:19">
      <c r="F24" t="e">
        <f>#REF!</f>
        <v>#REF!</v>
      </c>
      <c r="G24" t="s">
        <v>1274</v>
      </c>
      <c r="R24" t="e">
        <f>#REF!</f>
        <v>#REF!</v>
      </c>
      <c r="S24" t="s">
        <v>1275</v>
      </c>
    </row>
    <row r="25" spans="6:19">
      <c r="F25" t="e">
        <f>#REF!</f>
        <v>#REF!</v>
      </c>
      <c r="G25" t="s">
        <v>1276</v>
      </c>
      <c r="R25" t="e">
        <f>#REF!</f>
        <v>#REF!</v>
      </c>
      <c r="S25" t="s">
        <v>1277</v>
      </c>
    </row>
    <row r="26" spans="6:19">
      <c r="F26" t="e">
        <f>#REF!</f>
        <v>#REF!</v>
      </c>
      <c r="G26" t="s">
        <v>1278</v>
      </c>
      <c r="R26" t="e">
        <f>#REF!</f>
        <v>#REF!</v>
      </c>
      <c r="S26" t="s">
        <v>1279</v>
      </c>
    </row>
    <row r="27" spans="6:19">
      <c r="F27" t="e">
        <f>#REF!</f>
        <v>#REF!</v>
      </c>
      <c r="G27" t="s">
        <v>1280</v>
      </c>
    </row>
    <row r="28" spans="6:19">
      <c r="F28" t="e">
        <f>#REF!</f>
        <v>#REF!</v>
      </c>
      <c r="G28" t="s">
        <v>1281</v>
      </c>
    </row>
    <row r="29" spans="6:19">
      <c r="F29" t="e">
        <f>#REF!</f>
        <v>#REF!</v>
      </c>
      <c r="G29" t="s">
        <v>1282</v>
      </c>
    </row>
    <row r="30" spans="6:19">
      <c r="F30" t="e">
        <f>#REF!</f>
        <v>#REF!</v>
      </c>
      <c r="G30" t="s">
        <v>1283</v>
      </c>
    </row>
    <row r="31" spans="6:19">
      <c r="F31" t="e">
        <f>#REF!</f>
        <v>#REF!</v>
      </c>
      <c r="G31" t="s">
        <v>1284</v>
      </c>
    </row>
    <row r="32" spans="6:19">
      <c r="F32" t="e">
        <f>#REF!</f>
        <v>#REF!</v>
      </c>
      <c r="G32" t="s">
        <v>1285</v>
      </c>
    </row>
    <row r="33" spans="6:7">
      <c r="F33" t="e">
        <f>#REF!</f>
        <v>#REF!</v>
      </c>
      <c r="G33" t="s">
        <v>1286</v>
      </c>
    </row>
    <row r="34" spans="6:7">
      <c r="F34" t="e">
        <f>#REF!</f>
        <v>#REF!</v>
      </c>
      <c r="G34" t="s">
        <v>1287</v>
      </c>
    </row>
    <row r="35" spans="6:7">
      <c r="F35" t="e">
        <f>#REF!</f>
        <v>#REF!</v>
      </c>
      <c r="G35" t="s">
        <v>1288</v>
      </c>
    </row>
    <row r="36" spans="6:7">
      <c r="F36" t="e">
        <f>#REF!</f>
        <v>#REF!</v>
      </c>
      <c r="G36" t="s">
        <v>1289</v>
      </c>
    </row>
    <row r="37" spans="6:7">
      <c r="F37" t="e">
        <f>#REF!</f>
        <v>#REF!</v>
      </c>
      <c r="G37" t="s">
        <v>1290</v>
      </c>
    </row>
    <row r="38" spans="6:7">
      <c r="F38" t="e">
        <f>#REF!</f>
        <v>#REF!</v>
      </c>
      <c r="G38" t="s">
        <v>1291</v>
      </c>
    </row>
    <row r="39" spans="6:7">
      <c r="F39" t="e">
        <f>#REF!</f>
        <v>#REF!</v>
      </c>
      <c r="G39" t="s">
        <v>1292</v>
      </c>
    </row>
    <row r="40" spans="6:7">
      <c r="F40" t="e">
        <f>#REF!</f>
        <v>#REF!</v>
      </c>
      <c r="G40" t="s">
        <v>1293</v>
      </c>
    </row>
    <row r="41" spans="6:7">
      <c r="F41" t="e">
        <f>#REF!</f>
        <v>#REF!</v>
      </c>
      <c r="G41" t="s">
        <v>1294</v>
      </c>
    </row>
    <row r="42" spans="6:7">
      <c r="F42" t="e">
        <f>#REF!</f>
        <v>#REF!</v>
      </c>
      <c r="G42" t="s">
        <v>1295</v>
      </c>
    </row>
    <row r="68" spans="6:7">
      <c r="F68" t="e">
        <f>#REF!</f>
        <v>#REF!</v>
      </c>
      <c r="G68" t="s">
        <v>1296</v>
      </c>
    </row>
    <row r="69" spans="6:7">
      <c r="F69" t="e">
        <f>#REF!</f>
        <v>#REF!</v>
      </c>
      <c r="G69" t="s">
        <v>1297</v>
      </c>
    </row>
    <row r="70" spans="6:7">
      <c r="F70" t="e">
        <f>#REF!</f>
        <v>#REF!</v>
      </c>
      <c r="G70" t="s">
        <v>1298</v>
      </c>
    </row>
    <row r="71" spans="6:7">
      <c r="F71" t="e">
        <f>#REF!</f>
        <v>#REF!</v>
      </c>
      <c r="G71" t="s">
        <v>1299</v>
      </c>
    </row>
    <row r="73" spans="6:7">
      <c r="F73" t="e">
        <f>#REF!</f>
        <v>#REF!</v>
      </c>
      <c r="G73" t="s">
        <v>1300</v>
      </c>
    </row>
  </sheetData>
  <pageMargins left="0.7" right="0.7" top="0.75" bottom="0.75" header="0.3" footer="0.3"/>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5"/>
  <sheetViews>
    <sheetView showGridLines="0" zoomScale="70" zoomScaleNormal="70" workbookViewId="0">
      <selection activeCell="I26" sqref="I26"/>
    </sheetView>
  </sheetViews>
  <sheetFormatPr defaultColWidth="8.72972972972973" defaultRowHeight="14.1"/>
  <cols>
    <col min="1" max="1" width="2.63063063063063" style="4" customWidth="1"/>
    <col min="2" max="2" width="15.7297297297297" style="4" customWidth="1"/>
    <col min="3" max="3" width="11.3603603603604" style="4" customWidth="1"/>
    <col min="4" max="4" width="34.7297297297297" style="4" customWidth="1"/>
    <col min="5" max="10" width="12" style="4" customWidth="1"/>
    <col min="11" max="11" width="12.4504504504505" style="54" customWidth="1"/>
    <col min="12" max="12" width="15.3603603603604" style="4" customWidth="1"/>
    <col min="13" max="13" width="13.4504504504505" style="4" customWidth="1"/>
    <col min="14" max="14" width="12.3603603603604" style="4" customWidth="1"/>
    <col min="15" max="15" width="16.9099099099099" style="4" customWidth="1"/>
    <col min="16" max="17" width="8.90990990990991" style="4" customWidth="1"/>
    <col min="18" max="18" width="11.0900900900901" style="4" customWidth="1"/>
    <col min="19" max="19" width="1.63063063063063" style="4" customWidth="1"/>
    <col min="20" max="20" width="12.3603603603604" style="4" customWidth="1"/>
    <col min="21" max="25" width="8.72972972972973" style="4"/>
    <col min="26" max="26" width="2.63063063063063" style="4" customWidth="1"/>
    <col min="27" max="27" width="1.63063063063063" style="4" customWidth="1"/>
    <col min="28" max="28" width="8.72972972972973" style="4"/>
    <col min="29" max="29" width="11" style="4" customWidth="1"/>
    <col min="30" max="16384" width="8.72972972972973" style="4"/>
  </cols>
  <sheetData>
    <row r="1" ht="10.15" customHeight="1" spans="1:29">
      <c r="AA1" s="67"/>
    </row>
    <row r="2" s="58" customFormat="1" ht="20.1" spans="1:29">
      <c r="B2" s="571" t="s">
        <v>1301</v>
      </c>
      <c r="C2" s="572"/>
      <c r="D2" s="572"/>
      <c r="E2" s="572"/>
      <c r="F2" s="572"/>
      <c r="G2" s="572"/>
      <c r="H2" s="572"/>
      <c r="I2" s="572"/>
      <c r="J2" s="572"/>
      <c r="K2" s="573"/>
      <c r="L2" s="573"/>
      <c r="M2" s="54"/>
      <c r="N2" s="573"/>
      <c r="O2" s="573"/>
      <c r="P2" s="573"/>
      <c r="Q2" s="573"/>
      <c r="R2" s="573"/>
      <c r="S2" s="573"/>
      <c r="T2" s="573"/>
      <c r="U2" s="573"/>
      <c r="V2" s="573"/>
      <c r="W2" s="573"/>
      <c r="X2" s="573"/>
      <c r="Y2" s="573"/>
      <c r="Z2" s="573"/>
      <c r="AA2" s="67"/>
      <c r="AB2" s="573"/>
      <c r="AC2" s="18" t="s">
        <v>77</v>
      </c>
    </row>
    <row r="3" s="570" customFormat="1" ht="17.55" spans="1:29">
      <c r="B3" s="574" t="s">
        <v>1302</v>
      </c>
      <c r="AA3" s="67"/>
    </row>
    <row r="4" s="570" customFormat="1" ht="12.4" spans="1:29">
      <c r="AA4" s="67"/>
    </row>
    <row r="5" s="570" customFormat="1" ht="20.1" spans="1:29">
      <c r="B5" s="575" t="s">
        <v>1303</v>
      </c>
      <c r="C5" s="576"/>
      <c r="D5" s="576"/>
      <c r="E5" s="576"/>
      <c r="F5" s="576"/>
      <c r="G5" s="576"/>
      <c r="H5" s="576"/>
      <c r="I5" s="576"/>
      <c r="J5" s="576"/>
      <c r="K5" s="577"/>
      <c r="L5" s="578"/>
      <c r="M5" s="578"/>
      <c r="N5" s="578"/>
      <c r="O5" s="578"/>
      <c r="P5" s="578"/>
      <c r="Q5" s="578"/>
      <c r="R5" s="578"/>
      <c r="S5" s="578"/>
      <c r="T5" s="578"/>
      <c r="U5" s="578"/>
      <c r="V5" s="578"/>
      <c r="W5" s="578"/>
      <c r="X5" s="578"/>
      <c r="Y5" s="578"/>
      <c r="AA5" s="67"/>
    </row>
    <row r="6" ht="15" customHeight="1" spans="1:29">
      <c r="AA6" s="67"/>
    </row>
    <row r="7" ht="7.5" customHeight="1" spans="1:29">
      <c r="A7" s="67"/>
      <c r="B7" s="67"/>
      <c r="C7" s="67"/>
      <c r="D7" s="67"/>
      <c r="E7" s="67"/>
      <c r="F7" s="67"/>
      <c r="G7" s="67"/>
      <c r="H7" s="67"/>
      <c r="I7" s="67"/>
      <c r="J7" s="67"/>
      <c r="K7" s="67"/>
      <c r="L7" s="67"/>
      <c r="M7" s="67"/>
      <c r="N7" s="67"/>
      <c r="O7" s="67"/>
      <c r="P7" s="67"/>
      <c r="Q7" s="67"/>
      <c r="R7" s="67"/>
      <c r="S7" s="67"/>
      <c r="T7" s="67"/>
      <c r="U7" s="67"/>
      <c r="V7" s="67"/>
      <c r="W7" s="67"/>
      <c r="X7" s="67"/>
      <c r="Y7" s="67"/>
      <c r="Z7" s="67"/>
      <c r="AA7" s="67"/>
    </row>
    <row r="9" ht="14.85"/>
    <row r="10" ht="27.45" spans="1:29">
      <c r="B10" s="579" t="s">
        <v>258</v>
      </c>
      <c r="C10" s="580" t="s">
        <v>259</v>
      </c>
      <c r="D10" s="580" t="s">
        <v>260</v>
      </c>
      <c r="E10" s="580" t="s">
        <v>261</v>
      </c>
      <c r="F10" s="580" t="s">
        <v>1304</v>
      </c>
      <c r="G10" s="580" t="s">
        <v>262</v>
      </c>
      <c r="H10" s="580" t="s">
        <v>263</v>
      </c>
      <c r="I10" s="580" t="s">
        <v>264</v>
      </c>
      <c r="J10" s="580" t="s">
        <v>265</v>
      </c>
      <c r="K10" s="580" t="s">
        <v>266</v>
      </c>
      <c r="L10" s="581" t="s">
        <v>267</v>
      </c>
      <c r="M10" s="581" t="s">
        <v>268</v>
      </c>
      <c r="N10" s="580" t="s">
        <v>269</v>
      </c>
      <c r="O10" s="580" t="s">
        <v>270</v>
      </c>
      <c r="P10" s="582" t="s">
        <v>271</v>
      </c>
      <c r="Q10" s="583"/>
    </row>
    <row r="11" spans="1:29">
      <c r="B11" s="584" t="s">
        <v>179</v>
      </c>
      <c r="C11" s="373" t="s">
        <v>975</v>
      </c>
      <c r="D11" s="374" t="s">
        <v>976</v>
      </c>
      <c r="E11" s="374" t="s">
        <v>400</v>
      </c>
      <c r="F11" s="585">
        <v>46020</v>
      </c>
      <c r="G11" s="374">
        <v>60</v>
      </c>
      <c r="H11" s="586">
        <v>0.05</v>
      </c>
      <c r="I11" s="587">
        <v>43600</v>
      </c>
      <c r="J11" s="588">
        <v>19329.24</v>
      </c>
      <c r="K11" s="589">
        <v>30330.24</v>
      </c>
      <c r="L11" s="587">
        <v>43600</v>
      </c>
      <c r="M11" s="589">
        <v>86185.34</v>
      </c>
      <c r="N11" s="587">
        <v>0</v>
      </c>
      <c r="O11" s="590">
        <v>73447.66</v>
      </c>
      <c r="P11" s="591" t="s">
        <v>47</v>
      </c>
      <c r="Q11" s="592"/>
      <c r="R11" s="593"/>
      <c r="T11" s="593"/>
    </row>
    <row r="12" spans="1:29">
      <c r="B12" s="584" t="s">
        <v>179</v>
      </c>
      <c r="C12" s="373" t="s">
        <v>1305</v>
      </c>
      <c r="D12" s="374" t="s">
        <v>916</v>
      </c>
      <c r="E12" s="374" t="s">
        <v>771</v>
      </c>
      <c r="F12" s="585">
        <v>46020</v>
      </c>
      <c r="G12" s="374">
        <v>60</v>
      </c>
      <c r="H12" s="586">
        <v>0.05</v>
      </c>
      <c r="I12" s="587">
        <v>85304</v>
      </c>
      <c r="J12" s="588">
        <v>29714.3</v>
      </c>
      <c r="K12" s="594"/>
      <c r="L12" s="587">
        <v>85304</v>
      </c>
      <c r="M12" s="594"/>
      <c r="N12" s="587">
        <v>0</v>
      </c>
      <c r="O12" s="595"/>
      <c r="P12" s="591" t="s">
        <v>47</v>
      </c>
      <c r="Q12" s="592"/>
      <c r="R12" s="596" t="s">
        <v>1306</v>
      </c>
      <c r="T12" s="593"/>
    </row>
    <row r="13" spans="1:29">
      <c r="B13" s="584" t="s">
        <v>179</v>
      </c>
      <c r="C13" s="373" t="s">
        <v>1307</v>
      </c>
      <c r="D13" s="374" t="s">
        <v>916</v>
      </c>
      <c r="E13" s="374" t="s">
        <v>880</v>
      </c>
      <c r="F13" s="585">
        <v>46020</v>
      </c>
      <c r="G13" s="374">
        <v>60</v>
      </c>
      <c r="H13" s="586">
        <v>0.05</v>
      </c>
      <c r="I13" s="587">
        <v>30729</v>
      </c>
      <c r="J13" s="588">
        <v>6811.56</v>
      </c>
      <c r="K13" s="597"/>
      <c r="L13" s="587">
        <v>30729</v>
      </c>
      <c r="M13" s="597"/>
      <c r="N13" s="587">
        <v>0</v>
      </c>
      <c r="O13" s="598"/>
      <c r="P13" s="591" t="s">
        <v>47</v>
      </c>
      <c r="Q13" s="592"/>
      <c r="R13" s="593"/>
      <c r="T13" s="593"/>
    </row>
    <row r="15" spans="1:29">
      <c r="L15" s="52"/>
    </row>
    <row r="16" spans="1:29">
      <c r="B16" s="599" t="s">
        <v>1306</v>
      </c>
      <c r="K16" s="600"/>
      <c r="L16" s="601"/>
    </row>
    <row r="17" spans="2:15">
      <c r="B17" s="602" t="s">
        <v>1308</v>
      </c>
      <c r="C17" s="603"/>
      <c r="D17" s="603"/>
      <c r="E17" s="604"/>
      <c r="F17" s="604"/>
      <c r="G17" s="604"/>
      <c r="H17" s="605"/>
      <c r="J17" s="606"/>
      <c r="K17" s="600"/>
      <c r="L17" s="607"/>
    </row>
    <row r="18" spans="2:15">
      <c r="B18" s="608"/>
      <c r="C18" s="609"/>
      <c r="D18" s="609"/>
      <c r="E18" s="610"/>
      <c r="F18" s="610"/>
      <c r="G18" s="610"/>
      <c r="H18" s="611"/>
      <c r="I18" s="593"/>
      <c r="J18" s="593"/>
      <c r="K18" s="4"/>
      <c r="L18" s="612"/>
      <c r="N18" s="606"/>
      <c r="O18" s="613"/>
    </row>
    <row r="19" spans="2:15">
      <c r="B19" s="614"/>
      <c r="C19" s="614"/>
      <c r="D19" s="614"/>
      <c r="I19" s="593"/>
      <c r="J19" s="593"/>
      <c r="K19" s="593"/>
      <c r="L19" s="593"/>
    </row>
    <row r="20" spans="2:15">
      <c r="I20" s="593"/>
      <c r="J20" s="606"/>
      <c r="K20" s="600"/>
      <c r="L20" s="593"/>
      <c r="M20" s="593"/>
      <c r="N20" s="593"/>
      <c r="O20" s="593"/>
    </row>
    <row r="21" spans="2:15">
      <c r="K21" s="615"/>
      <c r="L21" s="593"/>
      <c r="N21" s="606"/>
    </row>
    <row r="22" spans="2:15">
      <c r="K22" s="600"/>
      <c r="L22" s="593"/>
    </row>
    <row r="25" spans="2:15">
      <c r="K25" s="616"/>
      <c r="L25" s="617"/>
    </row>
  </sheetData>
  <mergeCells count="3">
    <mergeCell ref="K11:K13"/>
    <mergeCell ref="M11:M13"/>
    <mergeCell ref="O11:O13"/>
  </mergeCells>
  <conditionalFormatting sqref="C11:C13">
    <cfRule type="duplicateValues" dxfId="2" priority="1"/>
  </conditionalFormatting>
  <conditionalFormatting sqref="B11:P11 B12:J13 L12:L13 N12:N13 P12:P13">
    <cfRule type="containsBlanks" dxfId="1" priority="2">
      <formula>LEN(TRIM(B11))=0</formula>
    </cfRule>
  </conditionalFormatting>
  <hyperlinks>
    <hyperlink ref="AC2" location="'汇总 '!A1" display="返回汇总页"/>
  </hyperlinks>
  <pageMargins left="0.7" right="0.7" top="0.75" bottom="0.75" header="0.3" footer="0.3"/>
  <pageSetup paperSize="9" orientation="portrait" horizontalDpi="300"/>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P497"/>
  <sheetViews>
    <sheetView showGridLines="0" zoomScale="70" zoomScaleNormal="70" workbookViewId="0">
      <selection activeCell="J22" sqref="J22"/>
    </sheetView>
  </sheetViews>
  <sheetFormatPr defaultColWidth="8.90990990990991" defaultRowHeight="12.75" customHeight="1"/>
  <cols>
    <col min="1" max="1" width="0.0900900900900901" style="58" customWidth="1"/>
    <col min="2" max="2" width="5.90990990990991" style="58" customWidth="1"/>
    <col min="3" max="3" width="17.9099099099099" style="58" customWidth="1"/>
    <col min="4" max="4" width="21.4504504504505" style="58" customWidth="1"/>
    <col min="5" max="5" width="17.9099099099099" style="58" customWidth="1"/>
    <col min="6" max="6" width="17.9099099099099" style="59" customWidth="1"/>
    <col min="7" max="7" width="17.9099099099099" style="58" customWidth="1"/>
    <col min="8" max="8" width="12.9099099099099" style="58" customWidth="1"/>
    <col min="9" max="9" width="13.9099099099099" style="60" customWidth="1"/>
    <col min="10" max="10" width="17.0900900900901" style="58" customWidth="1"/>
    <col min="11" max="12" width="12.9099099099099" style="58" customWidth="1"/>
    <col min="13" max="13" width="11.7297297297297" style="58" customWidth="1"/>
    <col min="14" max="14" width="14.7297297297297" style="58" customWidth="1"/>
    <col min="15" max="18" width="12.9099099099099" style="58" customWidth="1"/>
    <col min="19" max="19" width="15.9099099099099" style="58" customWidth="1"/>
    <col min="20" max="36" width="12.9099099099099" style="58" customWidth="1"/>
    <col min="37" max="16384" width="8.90990990990991" style="58"/>
  </cols>
  <sheetData>
    <row r="1" customHeight="1" spans="1:640">
      <c r="A1" s="159" t="s">
        <v>1309</v>
      </c>
      <c r="F1" s="58"/>
      <c r="XP1" s="157"/>
    </row>
    <row r="2" s="156" customFormat="1" customHeight="1" spans="1:640">
      <c r="A2" s="159"/>
      <c r="C2" s="160"/>
      <c r="D2" s="161"/>
      <c r="E2" s="161"/>
      <c r="F2" s="161"/>
      <c r="G2" s="162"/>
      <c r="I2" s="163" t="s">
        <v>253</v>
      </c>
      <c r="N2" s="164"/>
      <c r="U2" s="164"/>
      <c r="AA2" s="164"/>
    </row>
    <row r="3" s="156" customFormat="1" ht="13.7" spans="1:640">
      <c r="A3" s="159"/>
      <c r="C3" s="165" t="s">
        <v>1310</v>
      </c>
      <c r="D3" s="166" t="s">
        <v>1311</v>
      </c>
      <c r="E3" s="167"/>
      <c r="F3" s="168" t="s">
        <v>1312</v>
      </c>
      <c r="G3" s="169">
        <f>[9]汇总!G3</f>
        <v>357000</v>
      </c>
      <c r="N3" s="164"/>
      <c r="U3" s="164"/>
      <c r="AA3" s="164"/>
    </row>
    <row r="4" s="156" customFormat="1" customHeight="1" spans="1:640">
      <c r="A4" s="159"/>
      <c r="C4" s="170"/>
      <c r="D4" s="171"/>
      <c r="E4" s="167"/>
      <c r="F4" s="167"/>
      <c r="G4" s="172"/>
      <c r="N4" s="164"/>
      <c r="U4" s="164"/>
      <c r="AA4" s="164"/>
    </row>
    <row r="5" s="156" customFormat="1" customHeight="1" spans="1:640">
      <c r="A5" s="159"/>
      <c r="C5" s="165" t="s">
        <v>1313</v>
      </c>
      <c r="D5" s="173">
        <v>46022</v>
      </c>
      <c r="E5" s="167"/>
      <c r="F5" s="168" t="s">
        <v>1314</v>
      </c>
      <c r="G5" s="169">
        <f>[9]汇总!G5</f>
        <v>159500</v>
      </c>
      <c r="N5" s="164"/>
      <c r="U5" s="164"/>
      <c r="AA5" s="164"/>
    </row>
    <row r="6" s="156" customFormat="1" customHeight="1" spans="1:640">
      <c r="A6" s="159"/>
      <c r="C6" s="174"/>
      <c r="D6" s="167"/>
      <c r="E6" s="167"/>
      <c r="F6" s="167"/>
      <c r="G6" s="172"/>
      <c r="N6" s="164"/>
      <c r="U6" s="164"/>
      <c r="AA6" s="164"/>
    </row>
    <row r="7" s="156" customFormat="1" customHeight="1" spans="1:640">
      <c r="A7" s="159"/>
      <c r="C7" s="165" t="s">
        <v>1315</v>
      </c>
      <c r="D7" s="166" t="s">
        <v>75</v>
      </c>
      <c r="E7" s="167"/>
      <c r="F7" s="175" t="s">
        <v>1316</v>
      </c>
      <c r="G7" s="176">
        <f>[9]汇总!F21</f>
        <v>119625</v>
      </c>
      <c r="N7" s="164"/>
      <c r="U7" s="164"/>
      <c r="AA7" s="164"/>
    </row>
    <row r="8" s="156" customFormat="1" customHeight="1" spans="1:640">
      <c r="A8" s="159"/>
      <c r="C8" s="174"/>
      <c r="D8" s="167"/>
      <c r="E8" s="167"/>
      <c r="F8" s="177"/>
      <c r="G8" s="172"/>
      <c r="N8" s="164"/>
      <c r="U8" s="164"/>
      <c r="AA8" s="164"/>
    </row>
    <row r="9" s="156" customFormat="1" customHeight="1" spans="1:640">
      <c r="A9" s="159"/>
      <c r="C9" s="178"/>
      <c r="D9" s="179"/>
      <c r="E9" s="167"/>
      <c r="F9" s="168" t="s">
        <v>1317</v>
      </c>
      <c r="G9" s="169">
        <f>[9]汇总!G7</f>
        <v>35700</v>
      </c>
      <c r="N9" s="164"/>
      <c r="U9" s="164"/>
      <c r="AA9" s="164"/>
    </row>
    <row r="10" s="156" customFormat="1" customHeight="1" spans="1:640">
      <c r="A10" s="159"/>
      <c r="C10" s="180"/>
      <c r="D10" s="181"/>
      <c r="E10" s="181"/>
      <c r="F10" s="181"/>
      <c r="G10" s="182"/>
      <c r="N10" s="164"/>
      <c r="U10" s="164"/>
      <c r="AA10" s="164"/>
    </row>
    <row r="11" ht="0.4" customHeight="1" spans="1:640">
      <c r="A11" s="183"/>
      <c r="C11" s="59" t="str">
        <f>YEAR(D5)&amp;"/1/1"</f>
        <v>2025/1/1</v>
      </c>
      <c r="D11" s="59">
        <f>$D$5</f>
        <v>46022</v>
      </c>
      <c r="F11" s="58"/>
    </row>
    <row r="12" customHeight="1" spans="1:640">
      <c r="A12" s="183"/>
      <c r="C12" s="184"/>
      <c r="F12" s="58"/>
    </row>
    <row r="13" customHeight="1" spans="1:640">
      <c r="A13" s="183"/>
      <c r="F13" s="58"/>
    </row>
    <row r="14" ht="14.55" spans="1:640">
      <c r="A14" s="183"/>
      <c r="C14" s="185" t="s">
        <v>1318</v>
      </c>
      <c r="D14" s="186"/>
      <c r="E14" s="187"/>
      <c r="F14" s="187"/>
      <c r="G14" s="188"/>
      <c r="H14" s="189"/>
      <c r="I14" s="189"/>
      <c r="J14" s="189"/>
    </row>
    <row r="15" customHeight="1" spans="1:640">
      <c r="A15" s="183"/>
      <c r="C15" s="190" t="s">
        <v>1319</v>
      </c>
      <c r="D15" s="191"/>
      <c r="E15" s="192"/>
      <c r="F15" s="192"/>
      <c r="G15" s="193"/>
      <c r="H15" s="189"/>
      <c r="I15" s="189"/>
      <c r="J15" s="189"/>
    </row>
    <row r="16" customHeight="1" spans="1:640">
      <c r="A16" s="183"/>
      <c r="C16" s="194"/>
      <c r="D16" s="191"/>
      <c r="E16" s="192"/>
      <c r="F16" s="192"/>
      <c r="G16" s="193"/>
      <c r="H16" s="189"/>
      <c r="I16" s="189"/>
      <c r="J16" s="189"/>
    </row>
    <row r="17" ht="14.55" spans="1:10">
      <c r="A17" s="183"/>
      <c r="C17" s="195" t="s">
        <v>1320</v>
      </c>
      <c r="D17" s="192"/>
      <c r="E17" s="192"/>
      <c r="F17" s="192"/>
      <c r="G17" s="193"/>
      <c r="I17" s="57"/>
    </row>
    <row r="18" ht="37.15" customHeight="1" spans="1:10">
      <c r="A18" s="183"/>
      <c r="C18" s="196" t="s">
        <v>1321</v>
      </c>
      <c r="D18" s="197"/>
      <c r="E18" s="197"/>
      <c r="F18" s="197"/>
      <c r="G18" s="198"/>
      <c r="I18" s="58"/>
    </row>
    <row r="19" customHeight="1" spans="1:10">
      <c r="A19" s="183"/>
      <c r="C19" s="199" t="s">
        <v>1322</v>
      </c>
      <c r="D19" s="200"/>
      <c r="E19" s="200"/>
      <c r="F19" s="200"/>
      <c r="G19" s="201"/>
      <c r="I19" s="58"/>
    </row>
    <row r="20" ht="40.5" customHeight="1" spans="1:10">
      <c r="A20" s="183"/>
      <c r="C20" s="196" t="s">
        <v>1323</v>
      </c>
      <c r="D20" s="197"/>
      <c r="E20" s="197"/>
      <c r="F20" s="197"/>
      <c r="G20" s="198"/>
      <c r="I20" s="58"/>
    </row>
    <row r="21" customHeight="1" spans="1:10">
      <c r="A21" s="183"/>
      <c r="C21" s="199" t="s">
        <v>1324</v>
      </c>
      <c r="D21" s="200"/>
      <c r="E21" s="200"/>
      <c r="F21" s="200"/>
      <c r="G21" s="201"/>
      <c r="I21" s="58"/>
    </row>
    <row r="22" ht="37.5" customHeight="1" spans="1:10">
      <c r="A22" s="183"/>
      <c r="C22" s="196" t="s">
        <v>1325</v>
      </c>
      <c r="D22" s="197"/>
      <c r="E22" s="197"/>
      <c r="F22" s="197"/>
      <c r="G22" s="198"/>
      <c r="I22" s="58"/>
    </row>
    <row r="23" customHeight="1" spans="1:10">
      <c r="A23" s="183"/>
      <c r="C23" s="1259" t="s">
        <v>1326</v>
      </c>
      <c r="D23" s="192"/>
      <c r="E23" s="192"/>
      <c r="F23" s="192"/>
      <c r="G23" s="193"/>
      <c r="I23" s="58"/>
    </row>
    <row r="24" customHeight="1" spans="1:10">
      <c r="A24" s="183"/>
      <c r="C24" s="202"/>
      <c r="D24" s="192"/>
      <c r="E24" s="192"/>
      <c r="F24" s="192"/>
      <c r="G24" s="193"/>
      <c r="I24" s="58"/>
    </row>
    <row r="25" s="157" customFormat="1" ht="16.15" customHeight="1" spans="1:10">
      <c r="A25" s="159"/>
      <c r="C25" s="203" t="s">
        <v>1327</v>
      </c>
      <c r="D25" s="204"/>
      <c r="E25" s="197"/>
      <c r="F25" s="197"/>
      <c r="G25" s="198"/>
    </row>
    <row r="26" s="157" customFormat="1" customHeight="1" spans="1:10">
      <c r="A26" s="159"/>
      <c r="C26" s="205" t="s">
        <v>1328</v>
      </c>
      <c r="D26" s="206"/>
      <c r="E26" s="206"/>
      <c r="F26" s="206"/>
      <c r="G26" s="207"/>
    </row>
    <row r="27" customHeight="1" spans="1:10">
      <c r="A27" s="183"/>
      <c r="C27" s="208"/>
      <c r="F27" s="58"/>
    </row>
    <row r="28" customHeight="1" spans="1:10">
      <c r="A28" s="183"/>
      <c r="C28" s="208"/>
      <c r="F28" s="58"/>
    </row>
    <row r="29" ht="15.3" spans="1:10">
      <c r="A29" s="183"/>
      <c r="C29" s="209" t="s">
        <v>1329</v>
      </c>
      <c r="D29" s="209"/>
      <c r="F29" s="58"/>
    </row>
    <row r="30" ht="14.55" spans="1:10">
      <c r="A30" s="183"/>
      <c r="B30" s="57" t="s">
        <v>1330</v>
      </c>
      <c r="C30" s="210"/>
      <c r="D30" s="211" t="str">
        <f>YEAR($D$5)&amp;"年度"</f>
        <v>2025年度</v>
      </c>
      <c r="E30" s="211"/>
      <c r="F30" s="211"/>
      <c r="G30" s="211" t="str">
        <f>(YEAR($D$5)-1)&amp;"年度"</f>
        <v>2024年度</v>
      </c>
      <c r="H30" s="211"/>
      <c r="I30" s="211"/>
      <c r="J30" s="212" t="s">
        <v>151</v>
      </c>
    </row>
    <row r="31" ht="13.7" spans="1:10">
      <c r="A31" s="183"/>
      <c r="C31" s="213"/>
      <c r="D31" s="214" t="s">
        <v>1331</v>
      </c>
      <c r="E31" s="214"/>
      <c r="F31" s="214"/>
      <c r="G31" s="214" t="s">
        <v>1331</v>
      </c>
      <c r="H31" s="214"/>
      <c r="I31" s="214"/>
      <c r="J31" s="215"/>
    </row>
    <row r="32" ht="13.7" spans="1:10">
      <c r="A32" s="183"/>
      <c r="C32" s="216" t="s">
        <v>1332</v>
      </c>
      <c r="D32" s="217" t="s">
        <v>1333</v>
      </c>
      <c r="E32" s="217" t="s">
        <v>1334</v>
      </c>
      <c r="F32" s="217" t="s">
        <v>1335</v>
      </c>
      <c r="G32" s="217" t="s">
        <v>1336</v>
      </c>
      <c r="H32" s="217" t="s">
        <v>1334</v>
      </c>
      <c r="I32" s="218" t="s">
        <v>1335</v>
      </c>
      <c r="J32" s="219"/>
    </row>
    <row r="33" spans="1:10">
      <c r="A33" s="183"/>
      <c r="C33" s="216" t="s">
        <v>177</v>
      </c>
      <c r="D33" s="220">
        <v>5</v>
      </c>
      <c r="E33" s="221">
        <v>0.05</v>
      </c>
      <c r="F33" s="222">
        <f>(1-E33)/D33</f>
        <v>0.19</v>
      </c>
      <c r="G33" s="220">
        <v>5</v>
      </c>
      <c r="H33" s="221">
        <v>0.05</v>
      </c>
      <c r="I33" s="222">
        <v>0.19</v>
      </c>
      <c r="J33" s="223"/>
    </row>
    <row r="34" spans="1:10">
      <c r="A34" s="183"/>
      <c r="C34" s="216" t="s">
        <v>177</v>
      </c>
      <c r="D34" s="220">
        <v>3</v>
      </c>
      <c r="E34" s="221">
        <v>0.05</v>
      </c>
      <c r="F34" s="222">
        <f t="shared" ref="F34:F51" si="0">(1-E34)/D34</f>
        <v>0.316666666666667</v>
      </c>
      <c r="G34" s="220">
        <v>3</v>
      </c>
      <c r="H34" s="221">
        <v>0.05</v>
      </c>
      <c r="I34" s="222">
        <v>0.316666666666667</v>
      </c>
      <c r="J34" s="223"/>
    </row>
    <row r="35" spans="1:10">
      <c r="A35" s="183"/>
      <c r="C35" s="216" t="s">
        <v>177</v>
      </c>
      <c r="D35" s="220">
        <v>4</v>
      </c>
      <c r="E35" s="221">
        <v>0.05</v>
      </c>
      <c r="F35" s="222">
        <f t="shared" si="0"/>
        <v>0.2375</v>
      </c>
      <c r="G35" s="220">
        <v>4</v>
      </c>
      <c r="H35" s="221">
        <v>0.05</v>
      </c>
      <c r="I35" s="222">
        <v>0.2375</v>
      </c>
      <c r="J35" s="223"/>
    </row>
    <row r="36" spans="1:10">
      <c r="A36" s="183"/>
      <c r="C36" s="216" t="s">
        <v>178</v>
      </c>
      <c r="D36" s="220">
        <v>3</v>
      </c>
      <c r="E36" s="221">
        <v>0.04</v>
      </c>
      <c r="F36" s="222">
        <f t="shared" si="0"/>
        <v>0.32</v>
      </c>
      <c r="G36" s="220">
        <v>3</v>
      </c>
      <c r="H36" s="221">
        <v>0.04</v>
      </c>
      <c r="I36" s="222">
        <v>0.32</v>
      </c>
      <c r="J36" s="223"/>
    </row>
    <row r="37" spans="1:10">
      <c r="A37" s="183"/>
      <c r="C37" s="224" t="s">
        <v>178</v>
      </c>
      <c r="D37" s="220">
        <v>3</v>
      </c>
      <c r="E37" s="221">
        <v>0.05</v>
      </c>
      <c r="F37" s="222">
        <f t="shared" si="0"/>
        <v>0.316666666666667</v>
      </c>
      <c r="G37" s="220">
        <v>3</v>
      </c>
      <c r="H37" s="221">
        <v>0.05</v>
      </c>
      <c r="I37" s="222">
        <v>0.316666666666667</v>
      </c>
      <c r="J37" s="225"/>
    </row>
    <row r="38" spans="1:10">
      <c r="A38" s="183"/>
      <c r="C38" s="224" t="s">
        <v>178</v>
      </c>
      <c r="D38" s="220">
        <v>3</v>
      </c>
      <c r="E38" s="221">
        <v>0.05</v>
      </c>
      <c r="F38" s="222">
        <f t="shared" si="0"/>
        <v>0.316666666666667</v>
      </c>
      <c r="G38" s="220">
        <v>3</v>
      </c>
      <c r="H38" s="221">
        <v>0.05</v>
      </c>
      <c r="I38" s="222">
        <v>0.316666666666667</v>
      </c>
      <c r="J38" s="225"/>
    </row>
    <row r="39" spans="1:10">
      <c r="A39" s="183"/>
      <c r="C39" s="224" t="s">
        <v>178</v>
      </c>
      <c r="D39" s="220">
        <v>3</v>
      </c>
      <c r="E39" s="221">
        <v>0.0499983306685858</v>
      </c>
      <c r="F39" s="222">
        <f t="shared" si="0"/>
        <v>0.316667223110471</v>
      </c>
      <c r="G39" s="220">
        <v>3</v>
      </c>
      <c r="H39" s="221">
        <v>0.0499983306685858</v>
      </c>
      <c r="I39" s="222">
        <v>0.316667223110471</v>
      </c>
      <c r="J39" s="225"/>
    </row>
    <row r="40" spans="1:10">
      <c r="A40" s="183"/>
      <c r="C40" s="224" t="s">
        <v>178</v>
      </c>
      <c r="D40" s="220">
        <v>3</v>
      </c>
      <c r="E40" s="221">
        <v>0.04</v>
      </c>
      <c r="F40" s="222">
        <f t="shared" si="0"/>
        <v>0.32</v>
      </c>
      <c r="G40" s="220">
        <v>3</v>
      </c>
      <c r="H40" s="221">
        <v>0.04</v>
      </c>
      <c r="I40" s="222">
        <v>0.32</v>
      </c>
      <c r="J40" s="225"/>
    </row>
    <row r="41" spans="1:10">
      <c r="A41" s="183"/>
      <c r="C41" s="224" t="s">
        <v>178</v>
      </c>
      <c r="D41" s="220">
        <v>4</v>
      </c>
      <c r="E41" s="221">
        <v>0.04</v>
      </c>
      <c r="F41" s="222">
        <f t="shared" si="0"/>
        <v>0.24</v>
      </c>
      <c r="G41" s="220">
        <v>4</v>
      </c>
      <c r="H41" s="221">
        <v>0.04</v>
      </c>
      <c r="I41" s="222">
        <v>0.24</v>
      </c>
      <c r="J41" s="225"/>
    </row>
    <row r="42" spans="1:10">
      <c r="A42" s="183"/>
      <c r="C42" s="224" t="s">
        <v>179</v>
      </c>
      <c r="D42" s="220">
        <v>5</v>
      </c>
      <c r="E42" s="221">
        <v>0.05</v>
      </c>
      <c r="F42" s="222">
        <f t="shared" si="0"/>
        <v>0.19</v>
      </c>
      <c r="G42" s="220">
        <v>5</v>
      </c>
      <c r="H42" s="221">
        <v>0.05</v>
      </c>
      <c r="I42" s="222">
        <v>0.19</v>
      </c>
      <c r="J42" s="225"/>
    </row>
    <row r="43" spans="1:10">
      <c r="A43" s="183"/>
      <c r="C43" s="224" t="s">
        <v>179</v>
      </c>
      <c r="D43" s="220">
        <v>3</v>
      </c>
      <c r="E43" s="221">
        <v>0.05</v>
      </c>
      <c r="F43" s="222">
        <f t="shared" si="0"/>
        <v>0.316666666666667</v>
      </c>
      <c r="G43" s="220">
        <v>3</v>
      </c>
      <c r="H43" s="221">
        <v>0.05</v>
      </c>
      <c r="I43" s="222">
        <v>0.316666666666667</v>
      </c>
      <c r="J43" s="225"/>
    </row>
    <row r="44" spans="1:10">
      <c r="A44" s="183"/>
      <c r="C44" s="224" t="s">
        <v>179</v>
      </c>
      <c r="D44" s="220">
        <v>3</v>
      </c>
      <c r="E44" s="221">
        <v>0.04</v>
      </c>
      <c r="F44" s="222">
        <f t="shared" si="0"/>
        <v>0.32</v>
      </c>
      <c r="G44" s="220">
        <v>3</v>
      </c>
      <c r="H44" s="221">
        <v>0.04</v>
      </c>
      <c r="I44" s="222">
        <v>0.32</v>
      </c>
      <c r="J44" s="225"/>
    </row>
    <row r="45" spans="1:10">
      <c r="A45" s="183"/>
      <c r="C45" s="224" t="s">
        <v>179</v>
      </c>
      <c r="D45" s="220">
        <v>5</v>
      </c>
      <c r="E45" s="221">
        <v>0.04</v>
      </c>
      <c r="F45" s="222">
        <f t="shared" si="0"/>
        <v>0.192</v>
      </c>
      <c r="G45" s="220">
        <v>5</v>
      </c>
      <c r="H45" s="221">
        <v>0.04</v>
      </c>
      <c r="I45" s="222">
        <v>0.192</v>
      </c>
      <c r="J45" s="225"/>
    </row>
    <row r="46" spans="1:10">
      <c r="A46" s="183"/>
      <c r="C46" s="224" t="s">
        <v>179</v>
      </c>
      <c r="D46" s="220">
        <v>3</v>
      </c>
      <c r="E46" s="221">
        <v>0.04</v>
      </c>
      <c r="F46" s="222">
        <f t="shared" si="0"/>
        <v>0.32</v>
      </c>
      <c r="G46" s="220">
        <v>3</v>
      </c>
      <c r="H46" s="221">
        <v>0.04</v>
      </c>
      <c r="I46" s="222">
        <v>0.32</v>
      </c>
      <c r="J46" s="225"/>
    </row>
    <row r="47" spans="1:10">
      <c r="A47" s="183"/>
      <c r="C47" s="224" t="s">
        <v>180</v>
      </c>
      <c r="D47" s="220">
        <v>3</v>
      </c>
      <c r="E47" s="221">
        <v>0.05</v>
      </c>
      <c r="F47" s="222">
        <f t="shared" si="0"/>
        <v>0.316666666666667</v>
      </c>
      <c r="G47" s="220">
        <v>3</v>
      </c>
      <c r="H47" s="221">
        <v>0.05</v>
      </c>
      <c r="I47" s="222">
        <v>0.316666666666667</v>
      </c>
      <c r="J47" s="225"/>
    </row>
    <row r="48" spans="1:10">
      <c r="A48" s="183"/>
      <c r="C48" s="224" t="s">
        <v>180</v>
      </c>
      <c r="D48" s="220">
        <v>3</v>
      </c>
      <c r="E48" s="221">
        <v>0.050001620156183</v>
      </c>
      <c r="F48" s="222">
        <f t="shared" si="0"/>
        <v>0.316666126614606</v>
      </c>
      <c r="G48" s="220">
        <v>3</v>
      </c>
      <c r="H48" s="221">
        <v>0.050001620156183</v>
      </c>
      <c r="I48" s="222">
        <v>0.316666126614606</v>
      </c>
      <c r="J48" s="225"/>
    </row>
    <row r="49" spans="1:10">
      <c r="A49" s="183"/>
      <c r="C49" s="224" t="s">
        <v>180</v>
      </c>
      <c r="D49" s="220">
        <v>3</v>
      </c>
      <c r="E49" s="221">
        <v>0.04</v>
      </c>
      <c r="F49" s="222">
        <f t="shared" si="0"/>
        <v>0.32</v>
      </c>
      <c r="G49" s="220">
        <v>3</v>
      </c>
      <c r="H49" s="221">
        <v>0.04</v>
      </c>
      <c r="I49" s="222">
        <v>0.32</v>
      </c>
      <c r="J49" s="225"/>
    </row>
    <row r="50" spans="1:10">
      <c r="A50" s="183"/>
      <c r="C50" s="224" t="s">
        <v>180</v>
      </c>
      <c r="D50" s="220">
        <v>4</v>
      </c>
      <c r="E50" s="221">
        <v>0.04</v>
      </c>
      <c r="F50" s="222">
        <f t="shared" si="0"/>
        <v>0.24</v>
      </c>
      <c r="G50" s="220">
        <v>4</v>
      </c>
      <c r="H50" s="221">
        <v>0.04</v>
      </c>
      <c r="I50" s="222">
        <v>0.24</v>
      </c>
      <c r="J50" s="225"/>
    </row>
    <row r="51" spans="1:10">
      <c r="A51" s="183"/>
      <c r="C51" s="224" t="s">
        <v>181</v>
      </c>
      <c r="D51" s="220">
        <v>4</v>
      </c>
      <c r="E51" s="221">
        <v>0.05</v>
      </c>
      <c r="F51" s="222">
        <f t="shared" si="0"/>
        <v>0.2375</v>
      </c>
      <c r="G51" s="220">
        <v>4</v>
      </c>
      <c r="H51" s="221">
        <v>0.05</v>
      </c>
      <c r="I51" s="222">
        <v>0.2375</v>
      </c>
      <c r="J51" s="225"/>
    </row>
    <row r="52" ht="13.5" spans="1:10">
      <c r="A52" s="183"/>
      <c r="C52" s="226"/>
      <c r="D52" s="227"/>
      <c r="E52" s="228"/>
      <c r="F52" s="229"/>
      <c r="G52" s="227"/>
      <c r="H52" s="228"/>
      <c r="I52" s="229"/>
      <c r="J52" s="230"/>
    </row>
    <row r="53" ht="15.3" spans="1:10">
      <c r="A53" s="183"/>
      <c r="C53" s="231" t="s">
        <v>1337</v>
      </c>
      <c r="D53" s="208"/>
      <c r="E53" s="208"/>
      <c r="F53" s="208"/>
      <c r="G53" s="208"/>
      <c r="H53" s="208"/>
      <c r="I53" s="232"/>
    </row>
    <row r="54" ht="14.45" spans="1:10">
      <c r="A54" s="183"/>
      <c r="C54" s="208"/>
      <c r="D54" s="208"/>
      <c r="E54" s="233" t="s">
        <v>1338</v>
      </c>
      <c r="F54" s="234"/>
      <c r="I54" s="58"/>
    </row>
    <row r="55" ht="14.55" spans="1:10">
      <c r="A55" s="183"/>
      <c r="B55" s="57" t="s">
        <v>1339</v>
      </c>
      <c r="C55" s="235" t="s">
        <v>1340</v>
      </c>
      <c r="D55" s="236" t="s">
        <v>1341</v>
      </c>
      <c r="E55" s="237" t="s">
        <v>1341</v>
      </c>
      <c r="F55" s="238" t="s">
        <v>1342</v>
      </c>
      <c r="I55" s="58"/>
    </row>
    <row r="56" spans="1:10">
      <c r="A56" s="183"/>
      <c r="C56" s="239" t="str">
        <f>[10]K1_100Breakdown!C32</f>
        <v>办公设备</v>
      </c>
      <c r="D56" s="240">
        <f>AVERAGEIF('K.01.1a FA list'!$C$17:$C$329,K1_400折旧测试!C56,'K.01.1a FA list'!$G$17:$G$329)</f>
        <v>46.1408450704225</v>
      </c>
      <c r="E56" s="241">
        <v>60</v>
      </c>
      <c r="F56" s="242" t="str">
        <f>IF(D56=E56,"是","需调查")</f>
        <v>需调查</v>
      </c>
      <c r="G56" s="243"/>
      <c r="I56" s="58"/>
    </row>
    <row r="57" spans="1:10">
      <c r="A57" s="183"/>
      <c r="C57" s="239" t="str">
        <f>[10]K1_100Breakdown!C33</f>
        <v>电子设备</v>
      </c>
      <c r="D57" s="240">
        <f>AVERAGEIF('K.01.1a FA list'!$C$17:$C$329,K1_400折旧测试!C57,'K.01.1a FA list'!$G$17:$G$329)</f>
        <v>36.1263157894737</v>
      </c>
      <c r="E57" s="241">
        <v>36</v>
      </c>
      <c r="F57" s="244" t="str">
        <f>IF(D57=E57,"是","需调查")</f>
        <v>需调查</v>
      </c>
      <c r="G57" s="243"/>
      <c r="I57" s="58"/>
    </row>
    <row r="58" spans="1:10">
      <c r="A58" s="183"/>
      <c r="C58" s="239" t="str">
        <f>[10]K1_100Breakdown!C34</f>
        <v>仪器设备</v>
      </c>
      <c r="D58" s="240">
        <f>AVERAGEIF('K.01.1a FA list'!$C$17:$C$329,K1_400折旧测试!C58,'K.01.1a FA list'!$G$17:$G$329)</f>
        <v>56.0625</v>
      </c>
      <c r="E58" s="241">
        <v>48</v>
      </c>
      <c r="F58" s="244" t="str">
        <f>IF(D58=E58,"是","需调查")</f>
        <v>需调查</v>
      </c>
      <c r="G58" s="243"/>
      <c r="I58" s="58"/>
    </row>
    <row r="59" spans="1:10">
      <c r="A59" s="183"/>
      <c r="C59" s="239" t="str">
        <f>[10]K1_100Breakdown!C35</f>
        <v>其他设备</v>
      </c>
      <c r="D59" s="240">
        <f>AVERAGEIF('K.01.1a FA list'!$C$17:$C$329,K1_400折旧测试!C59,'K.01.1a FA list'!$G$17:$G$329)</f>
        <v>36.8</v>
      </c>
      <c r="E59" s="241">
        <v>36</v>
      </c>
      <c r="F59" s="244" t="str">
        <f t="shared" ref="F59:F60" si="1">IF(D59=E59,"是","需调查")</f>
        <v>需调查</v>
      </c>
      <c r="G59" s="243"/>
      <c r="I59" s="58"/>
    </row>
    <row r="60" spans="1:10">
      <c r="A60" s="183"/>
      <c r="C60" s="239" t="str">
        <f>[10]K1_100Breakdown!C36</f>
        <v>运输工具</v>
      </c>
      <c r="D60" s="240">
        <f>AVERAGEIF('K.01.1a FA list'!$C$17:$C$329,K1_400折旧测试!C60,'K.01.1a FA list'!$G$17:$G$329)</f>
        <v>48</v>
      </c>
      <c r="E60" s="241">
        <v>48</v>
      </c>
      <c r="F60" s="244" t="str">
        <f t="shared" si="1"/>
        <v>是</v>
      </c>
      <c r="G60" s="243"/>
      <c r="I60" s="58"/>
    </row>
    <row r="61" ht="13.5" spans="1:10">
      <c r="A61" s="183"/>
      <c r="C61" s="245"/>
      <c r="D61" s="246"/>
      <c r="E61" s="246"/>
      <c r="F61" s="247"/>
      <c r="I61" s="58"/>
    </row>
    <row r="62" ht="13.5" spans="1:10">
      <c r="A62" s="183"/>
      <c r="F62" s="58"/>
      <c r="I62" s="58"/>
    </row>
    <row r="63" ht="13.5" spans="1:10">
      <c r="A63" s="183"/>
      <c r="C63" s="248" t="s">
        <v>1343</v>
      </c>
      <c r="D63" s="249"/>
      <c r="E63" s="249"/>
      <c r="F63" s="249"/>
      <c r="G63" s="250"/>
      <c r="I63" s="58"/>
    </row>
    <row r="64" spans="1:10">
      <c r="A64" s="183"/>
      <c r="C64" s="251" t="s">
        <v>1344</v>
      </c>
      <c r="D64" s="252"/>
      <c r="E64" s="252"/>
      <c r="F64" s="252"/>
      <c r="G64" s="253"/>
      <c r="I64" s="58"/>
    </row>
    <row r="65" spans="1:21">
      <c r="A65" s="183"/>
      <c r="C65" s="254" t="s">
        <v>1345</v>
      </c>
      <c r="D65" s="252"/>
      <c r="E65" s="252"/>
      <c r="F65" s="252"/>
      <c r="G65" s="253"/>
      <c r="I65" s="58"/>
    </row>
    <row r="66" ht="13.5" spans="1:21">
      <c r="A66" s="183"/>
      <c r="C66" s="255"/>
      <c r="D66" s="256"/>
      <c r="E66" s="256"/>
      <c r="F66" s="256"/>
      <c r="G66" s="257"/>
      <c r="I66" s="58"/>
    </row>
    <row r="67" ht="13.5" spans="1:21">
      <c r="A67" s="183"/>
      <c r="F67" s="58"/>
      <c r="I67" s="58"/>
      <c r="J67" s="60"/>
      <c r="P67" s="258"/>
      <c r="Q67" s="258"/>
      <c r="R67" s="258"/>
      <c r="S67" s="258"/>
      <c r="T67" s="258"/>
      <c r="U67" s="258"/>
    </row>
    <row r="68" ht="15.3" spans="1:21">
      <c r="A68" s="183"/>
      <c r="C68" s="231" t="s">
        <v>1346</v>
      </c>
      <c r="F68" s="58"/>
      <c r="I68" s="259"/>
      <c r="K68" s="259"/>
      <c r="L68" s="260"/>
      <c r="M68" s="208"/>
      <c r="N68" s="261"/>
      <c r="O68" s="261"/>
      <c r="P68" s="258"/>
      <c r="Q68" s="258"/>
      <c r="R68" s="258"/>
      <c r="S68" s="258"/>
      <c r="T68" s="258"/>
      <c r="U68" s="258"/>
    </row>
    <row r="69" ht="15.3" spans="1:21">
      <c r="A69" s="183"/>
      <c r="C69" s="262"/>
      <c r="D69" s="263" t="s">
        <v>1347</v>
      </c>
      <c r="E69" s="264"/>
      <c r="F69" s="265"/>
      <c r="G69" s="266"/>
      <c r="H69" s="267"/>
      <c r="I69" s="268" t="s">
        <v>1348</v>
      </c>
      <c r="J69" s="269"/>
      <c r="K69" s="259"/>
      <c r="L69" s="270"/>
      <c r="M69" s="271"/>
      <c r="P69" s="258"/>
      <c r="Q69" s="258"/>
      <c r="R69" s="258"/>
      <c r="S69" s="258"/>
      <c r="T69" s="258"/>
      <c r="U69" s="258"/>
    </row>
    <row r="70" ht="29.15" spans="1:21">
      <c r="A70" s="183"/>
      <c r="B70" s="57" t="s">
        <v>220</v>
      </c>
      <c r="C70" s="272" t="s">
        <v>1349</v>
      </c>
      <c r="D70" s="273" t="s">
        <v>1350</v>
      </c>
      <c r="E70" s="273" t="s">
        <v>1351</v>
      </c>
      <c r="F70" s="273" t="s">
        <v>1352</v>
      </c>
      <c r="G70" s="274" t="s">
        <v>1353</v>
      </c>
      <c r="H70" s="275" t="s">
        <v>1354</v>
      </c>
      <c r="I70" s="275" t="s">
        <v>1355</v>
      </c>
      <c r="J70" s="275" t="s">
        <v>1356</v>
      </c>
      <c r="K70" s="1260" t="s">
        <v>1357</v>
      </c>
      <c r="L70" s="1261" t="s">
        <v>1358</v>
      </c>
      <c r="P70" s="258"/>
      <c r="Q70" s="258"/>
      <c r="R70" s="258"/>
      <c r="S70" s="258"/>
      <c r="T70" s="258"/>
      <c r="U70" s="258"/>
    </row>
    <row r="71" spans="1:21">
      <c r="A71" s="183"/>
      <c r="C71" s="239" t="str">
        <f>[10]K1_100Breakdown!C32</f>
        <v>办公设备</v>
      </c>
      <c r="D71" s="240">
        <v>899364.01</v>
      </c>
      <c r="E71" s="240">
        <f>F71-D71</f>
        <v>0</v>
      </c>
      <c r="F71" s="240">
        <f>'K.01 Agree SL to GL'!E18</f>
        <v>899364.01</v>
      </c>
      <c r="G71" s="240">
        <f>SUMIFS('K.01.1a FA list'!L17:L329,'K.01.1a FA list'!P17:P329,'K.01.1a FA list'!$P$17,'K.01.1a FA list'!C17:C329,K1_400折旧测试!C71)</f>
        <v>104337</v>
      </c>
      <c r="H71" s="240">
        <f>D56</f>
        <v>46.1408450704225</v>
      </c>
      <c r="I71" s="240">
        <f>(D71-G71)/H71*12+E71/H71*6</f>
        <v>206765.266336996</v>
      </c>
      <c r="J71" s="240">
        <f>'K.01 Agree SL to GL'!E20</f>
        <v>68138.69</v>
      </c>
      <c r="K71" s="240">
        <f>IFERROR(ABS(J71-I71),"")</f>
        <v>138626.576336996</v>
      </c>
      <c r="L71" s="278" t="str">
        <f>IFERROR(IF(K71&lt;$G$9,"否","是"),"")</f>
        <v>是</v>
      </c>
      <c r="P71" s="258"/>
      <c r="Q71" s="258"/>
      <c r="R71" s="258"/>
      <c r="S71" s="258"/>
      <c r="T71" s="258"/>
      <c r="U71" s="258"/>
    </row>
    <row r="72" spans="1:21">
      <c r="A72" s="183"/>
      <c r="C72" s="239" t="str">
        <f>[10]K1_100Breakdown!C33</f>
        <v>电子设备</v>
      </c>
      <c r="D72" s="240">
        <v>938864.49</v>
      </c>
      <c r="E72" s="240">
        <f t="shared" ref="E72:E75" si="2">F72-D72</f>
        <v>25746.67</v>
      </c>
      <c r="F72" s="240">
        <f>'K.01 Agree SL to GL'!H18</f>
        <v>964611.16</v>
      </c>
      <c r="G72" s="240">
        <f>SUMIFS('K.01.1a FA list'!L17:L329,'K.01.1a FA list'!P17:P329,'K.01.1a FA list'!$P$17,'K.01.1a FA list'!C17:C329,K1_400折旧测试!C72)</f>
        <v>473412.49</v>
      </c>
      <c r="H72" s="240">
        <f t="shared" ref="H72:H75" si="3">D57</f>
        <v>36.1263157894737</v>
      </c>
      <c r="I72" s="240">
        <f t="shared" ref="I72:I75" si="4">(D72-G72)/H72*12+E72/H72*6</f>
        <v>158884.289597902</v>
      </c>
      <c r="J72" s="240">
        <f>'K.01 Agree SL to GL'!H20</f>
        <v>182580.15</v>
      </c>
      <c r="K72" s="240">
        <f t="shared" ref="K72:K76" si="5">IFERROR(ABS(J72-I72),"")</f>
        <v>23695.8604020979</v>
      </c>
      <c r="L72" s="278" t="str">
        <f t="shared" ref="L72:L76" si="6">IFERROR(IF(K72&lt;$G$9,"否","是"),"")</f>
        <v>否</v>
      </c>
      <c r="P72" s="258"/>
      <c r="Q72" s="258"/>
      <c r="R72" s="258"/>
      <c r="S72" s="258"/>
      <c r="T72" s="258"/>
      <c r="U72" s="258"/>
    </row>
    <row r="73" spans="1:21">
      <c r="A73" s="183"/>
      <c r="C73" s="239" t="str">
        <f>[10]K1_100Breakdown!C34</f>
        <v>仪器设备</v>
      </c>
      <c r="D73" s="240">
        <v>13882261.04</v>
      </c>
      <c r="E73" s="240">
        <f t="shared" si="2"/>
        <v>614667</v>
      </c>
      <c r="F73" s="240">
        <f>'K.01 Agree SL to GL'!K18</f>
        <v>14496928.04</v>
      </c>
      <c r="G73" s="240">
        <f>SUMIFS('K.01.1a FA list'!L17:L329,'K.01.1a FA list'!P17:P329,'K.01.1a FA list'!$P$17,'K.01.1a FA list'!C17:C329,K1_400折旧测试!C73)</f>
        <v>8787860</v>
      </c>
      <c r="H73" s="240">
        <f t="shared" si="3"/>
        <v>56.0625</v>
      </c>
      <c r="I73" s="240">
        <f t="shared" si="4"/>
        <v>1156224.11558528</v>
      </c>
      <c r="J73" s="240">
        <f>'K.01 Agree SL to GL'!K20+'K.01 Agree SL to GL'!K21</f>
        <v>1462770.48</v>
      </c>
      <c r="K73" s="240">
        <f t="shared" si="5"/>
        <v>306546.364414716</v>
      </c>
      <c r="L73" s="278" t="str">
        <f t="shared" si="6"/>
        <v>是</v>
      </c>
      <c r="P73" s="258"/>
      <c r="Q73" s="258"/>
      <c r="R73" s="258"/>
      <c r="S73" s="258"/>
      <c r="T73" s="258"/>
      <c r="U73" s="258"/>
    </row>
    <row r="74" spans="1:21">
      <c r="A74" s="183"/>
      <c r="C74" s="239" t="str">
        <f>[10]K1_100Breakdown!C35</f>
        <v>其他设备</v>
      </c>
      <c r="D74" s="240">
        <v>320088.5</v>
      </c>
      <c r="E74" s="240">
        <f t="shared" si="2"/>
        <v>6500</v>
      </c>
      <c r="F74" s="240">
        <f>'K.01 Agree SL to GL'!N18</f>
        <v>326588.5</v>
      </c>
      <c r="G74" s="240">
        <f>SUMIFS('K.01.1a FA list'!L17:L329,'K.01.1a FA list'!P17:P329,'K.01.1a FA list'!$P$17,'K.01.1a FA list'!C17:C329,K1_400折旧测试!C74)</f>
        <v>289818.5</v>
      </c>
      <c r="H74" s="240">
        <f t="shared" si="3"/>
        <v>36.8</v>
      </c>
      <c r="I74" s="240">
        <f t="shared" si="4"/>
        <v>10930.4347826087</v>
      </c>
      <c r="J74" s="240">
        <f>'K.01 Agree SL to GL'!N20</f>
        <v>18731.5</v>
      </c>
      <c r="K74" s="240">
        <f t="shared" si="5"/>
        <v>7801.06521739131</v>
      </c>
      <c r="L74" s="278" t="str">
        <f t="shared" si="6"/>
        <v>否</v>
      </c>
      <c r="P74" s="258"/>
      <c r="Q74" s="258"/>
      <c r="R74" s="258"/>
      <c r="S74" s="258"/>
      <c r="T74" s="258"/>
      <c r="U74" s="258"/>
    </row>
    <row r="75" spans="1:21">
      <c r="A75" s="183"/>
      <c r="C75" s="239" t="str">
        <f>[10]K1_100Breakdown!C36</f>
        <v>运输工具</v>
      </c>
      <c r="D75" s="240">
        <v>1293363.64</v>
      </c>
      <c r="E75" s="240">
        <f t="shared" si="2"/>
        <v>60000</v>
      </c>
      <c r="F75" s="240">
        <f>'K.01 Agree SL to GL'!Q18</f>
        <v>1353363.64</v>
      </c>
      <c r="G75" s="240">
        <f>SUMIFS('K.01.1a FA list'!L17:L329,'K.01.1a FA list'!P17:P329,'K.01.1a FA list'!$P$17,'K.01.1a FA list'!C17:C329,K1_400折旧测试!C75)</f>
        <v>848000</v>
      </c>
      <c r="H75" s="240">
        <f t="shared" si="3"/>
        <v>48</v>
      </c>
      <c r="I75" s="240">
        <f t="shared" si="4"/>
        <v>118840.91</v>
      </c>
      <c r="J75" s="240">
        <f>'K.01 Agree SL to GL'!Q20</f>
        <v>116461.38</v>
      </c>
      <c r="K75" s="240">
        <f t="shared" si="5"/>
        <v>2379.52999999997</v>
      </c>
      <c r="L75" s="278" t="str">
        <f t="shared" si="6"/>
        <v>否</v>
      </c>
      <c r="P75" s="258"/>
      <c r="Q75" s="258"/>
      <c r="R75" s="258"/>
      <c r="S75" s="258"/>
      <c r="T75" s="258"/>
      <c r="U75" s="258"/>
    </row>
    <row r="76" ht="13.5" spans="1:21">
      <c r="A76" s="183"/>
      <c r="C76" s="279" t="s">
        <v>1359</v>
      </c>
      <c r="D76" s="280">
        <f>SUM(D71:D75)</f>
        <v>17333941.68</v>
      </c>
      <c r="E76" s="280">
        <f>SUM(E71:E75)</f>
        <v>706913.67</v>
      </c>
      <c r="F76" s="280">
        <f>SUM(F71:F75)</f>
        <v>18040855.35</v>
      </c>
      <c r="G76" s="280">
        <f>SUM(G71:G75)</f>
        <v>10503427.99</v>
      </c>
      <c r="H76" s="280"/>
      <c r="I76" s="280">
        <f>SUM(I71:I75)</f>
        <v>1651645.01630279</v>
      </c>
      <c r="J76" s="280">
        <f>SUM(J71:J75)</f>
        <v>1848682.2</v>
      </c>
      <c r="K76" s="280">
        <f t="shared" si="5"/>
        <v>197037.183697209</v>
      </c>
      <c r="L76" s="281" t="str">
        <f t="shared" si="6"/>
        <v>是</v>
      </c>
      <c r="M76" s="57" t="s">
        <v>1360</v>
      </c>
      <c r="O76" s="258"/>
      <c r="P76" s="258"/>
      <c r="Q76" s="258"/>
    </row>
    <row r="77" spans="1:21">
      <c r="A77" s="183"/>
      <c r="F77" s="58"/>
      <c r="H77" s="60"/>
      <c r="I77" s="57" t="s">
        <v>1361</v>
      </c>
      <c r="J77" s="282" t="b">
        <f>J76=SUM('K.01 Agree SL to GL'!Z20:Z21)</f>
        <v>1</v>
      </c>
      <c r="O77" s="258"/>
      <c r="P77" s="258"/>
      <c r="Q77" s="258"/>
    </row>
    <row r="78" spans="1:21">
      <c r="A78" s="183"/>
      <c r="F78" s="58"/>
      <c r="I78" s="58"/>
      <c r="J78" s="60"/>
      <c r="O78" s="258"/>
      <c r="P78" s="258"/>
      <c r="Q78" s="258"/>
    </row>
    <row r="79" spans="1:21">
      <c r="A79" s="183"/>
      <c r="C79" s="283" t="s">
        <v>1360</v>
      </c>
      <c r="D79" s="284" t="s">
        <v>1362</v>
      </c>
      <c r="E79" s="285"/>
      <c r="F79" s="286"/>
      <c r="G79" s="285"/>
      <c r="H79" s="287"/>
      <c r="I79" s="288"/>
    </row>
    <row r="80" customHeight="1" spans="1:21">
      <c r="C80" s="289"/>
      <c r="D80" s="290" t="s">
        <v>1363</v>
      </c>
      <c r="E80" s="291"/>
      <c r="F80" s="292"/>
      <c r="G80" s="192"/>
      <c r="H80" s="192"/>
      <c r="I80" s="293"/>
    </row>
    <row r="81" customHeight="1" spans="2:24">
      <c r="C81" s="294"/>
      <c r="D81" s="295"/>
      <c r="E81" s="295"/>
      <c r="F81" s="296"/>
      <c r="G81" s="295"/>
      <c r="H81" s="295"/>
      <c r="I81" s="297"/>
    </row>
    <row r="84" s="158" customFormat="1" ht="14.55" spans="2:24">
      <c r="G84" s="298"/>
      <c r="H84" s="299"/>
      <c r="I84" s="300"/>
      <c r="O84" s="301" t="s">
        <v>1364</v>
      </c>
      <c r="P84" s="302">
        <f>DATE(YEAR($P$85)/1,1,1)</f>
        <v>45658</v>
      </c>
      <c r="Q84" s="303"/>
      <c r="R84" s="304"/>
      <c r="S84" s="304"/>
      <c r="T84" s="304"/>
    </row>
    <row r="85" s="158" customFormat="1" ht="15.3" spans="2:24">
      <c r="I85" s="298"/>
      <c r="O85" s="305" t="s">
        <v>1365</v>
      </c>
      <c r="P85" s="306">
        <f>$D$5</f>
        <v>46022</v>
      </c>
      <c r="Q85" s="304"/>
      <c r="R85" s="304"/>
      <c r="S85" s="304"/>
      <c r="T85" s="304"/>
    </row>
    <row r="86" s="158" customFormat="1" ht="14.55" spans="2:24">
      <c r="B86" s="299" t="s">
        <v>1366</v>
      </c>
      <c r="C86" s="307" t="s">
        <v>1367</v>
      </c>
      <c r="I86" s="298"/>
      <c r="N86" s="308"/>
      <c r="O86" s="309"/>
      <c r="P86" s="310"/>
      <c r="Q86" s="310"/>
      <c r="R86" s="310"/>
      <c r="S86" s="310"/>
      <c r="T86" s="310"/>
      <c r="U86" s="310"/>
      <c r="V86" s="310"/>
      <c r="W86" s="310"/>
      <c r="X86" s="310"/>
    </row>
    <row r="87" s="158" customFormat="1" ht="15.3" spans="2:24">
      <c r="B87" s="299"/>
      <c r="C87" s="307"/>
      <c r="E87" s="299"/>
      <c r="G87" s="299"/>
      <c r="I87" s="298"/>
      <c r="L87" s="299"/>
      <c r="O87" s="311"/>
    </row>
    <row r="88" s="158" customFormat="1" ht="16.4" hidden="1" customHeight="1" spans="2:24">
      <c r="B88" s="299"/>
      <c r="C88" s="312" t="s">
        <v>1368</v>
      </c>
      <c r="D88" s="312" t="s">
        <v>1368</v>
      </c>
      <c r="E88" s="312" t="s">
        <v>1368</v>
      </c>
      <c r="F88" s="312" t="s">
        <v>1368</v>
      </c>
      <c r="G88" s="312" t="s">
        <v>1368</v>
      </c>
      <c r="H88" s="312" t="s">
        <v>1368</v>
      </c>
      <c r="I88" s="312" t="s">
        <v>1368</v>
      </c>
      <c r="J88" s="313"/>
      <c r="K88" s="312" t="s">
        <v>1368</v>
      </c>
      <c r="L88" s="312" t="s">
        <v>1368</v>
      </c>
      <c r="M88" s="314" t="s">
        <v>1368</v>
      </c>
      <c r="N88" s="315" t="s">
        <v>1368</v>
      </c>
      <c r="O88" s="316" t="s">
        <v>1368</v>
      </c>
      <c r="P88" s="310" t="s">
        <v>1369</v>
      </c>
      <c r="Q88" s="310" t="s">
        <v>1369</v>
      </c>
      <c r="R88" s="310" t="s">
        <v>1369</v>
      </c>
      <c r="S88" s="310" t="s">
        <v>1369</v>
      </c>
      <c r="T88" s="310" t="s">
        <v>1369</v>
      </c>
      <c r="U88" s="310" t="s">
        <v>1369</v>
      </c>
      <c r="V88" s="310" t="s">
        <v>1369</v>
      </c>
      <c r="W88" s="317"/>
    </row>
    <row r="89" s="158" customFormat="1" ht="14.55" hidden="1" spans="2:24">
      <c r="B89" s="299"/>
      <c r="C89" s="318" t="s">
        <v>1370</v>
      </c>
      <c r="D89" s="319" t="s">
        <v>1371</v>
      </c>
      <c r="E89" s="319" t="s">
        <v>1372</v>
      </c>
      <c r="F89" s="319" t="s">
        <v>1373</v>
      </c>
      <c r="G89" s="320" t="s">
        <v>1374</v>
      </c>
      <c r="H89" s="319" t="s">
        <v>1375</v>
      </c>
      <c r="I89" s="319" t="s">
        <v>1376</v>
      </c>
      <c r="J89" s="321"/>
      <c r="K89" s="319" t="s">
        <v>267</v>
      </c>
      <c r="L89" s="319" t="s">
        <v>268</v>
      </c>
      <c r="M89" s="322" t="s">
        <v>1377</v>
      </c>
      <c r="N89" s="323" t="s">
        <v>1378</v>
      </c>
      <c r="O89" s="324" t="s">
        <v>1379</v>
      </c>
      <c r="P89" s="325"/>
      <c r="Q89" s="326"/>
      <c r="R89" s="326"/>
      <c r="S89" s="327"/>
      <c r="T89" s="328"/>
      <c r="U89" s="328"/>
      <c r="V89" s="329"/>
    </row>
    <row r="90" s="158" customFormat="1" ht="14.55" hidden="1" spans="2:24">
      <c r="B90" s="299"/>
      <c r="C90" s="318" t="s">
        <v>1380</v>
      </c>
      <c r="D90" s="319" t="s">
        <v>1380</v>
      </c>
      <c r="E90" s="319" t="s">
        <v>1380</v>
      </c>
      <c r="F90" s="319" t="s">
        <v>1380</v>
      </c>
      <c r="G90" s="320" t="s">
        <v>1380</v>
      </c>
      <c r="H90" s="319" t="s">
        <v>1380</v>
      </c>
      <c r="I90" s="319" t="s">
        <v>1380</v>
      </c>
      <c r="J90" s="321"/>
      <c r="K90" s="319" t="s">
        <v>1380</v>
      </c>
      <c r="L90" s="319" t="s">
        <v>1380</v>
      </c>
      <c r="M90" s="322" t="s">
        <v>1380</v>
      </c>
      <c r="N90" s="323" t="s">
        <v>1380</v>
      </c>
      <c r="O90" s="324" t="s">
        <v>1380</v>
      </c>
      <c r="P90" s="330"/>
      <c r="Q90" s="331"/>
      <c r="R90" s="331"/>
      <c r="S90" s="332"/>
      <c r="T90" s="333"/>
      <c r="U90" s="333"/>
      <c r="V90" s="334"/>
    </row>
    <row r="91" s="158" customFormat="1" ht="15.3" hidden="1" spans="2:24">
      <c r="B91" s="299"/>
      <c r="C91" s="335"/>
      <c r="D91" s="336"/>
      <c r="E91" s="336"/>
      <c r="F91" s="336"/>
      <c r="G91" s="337"/>
      <c r="H91" s="338"/>
      <c r="I91" s="339"/>
      <c r="J91" s="340" t="str">
        <f>IF(H91&lt;&gt;0,(1/I91)/H91*12,"")</f>
        <v/>
      </c>
      <c r="K91" s="341"/>
      <c r="L91" s="341"/>
      <c r="M91" s="341"/>
      <c r="N91" s="342"/>
      <c r="O91" s="343"/>
      <c r="P91" s="341">
        <f>IFERROR(VLOOKUP($D91,$C$33:$D$36,2,FALSE),0)</f>
        <v>0</v>
      </c>
      <c r="Q91" s="344"/>
      <c r="R91" s="344"/>
      <c r="S91" s="345"/>
      <c r="T91" s="344"/>
      <c r="U91" s="341"/>
      <c r="V91" s="346"/>
    </row>
    <row r="92" s="158" customFormat="1" ht="35.15" customHeight="1" spans="2:24">
      <c r="B92" s="347" t="s">
        <v>1381</v>
      </c>
      <c r="C92" s="348" t="s">
        <v>1382</v>
      </c>
      <c r="D92" s="349" t="s">
        <v>1383</v>
      </c>
      <c r="E92" s="349" t="s">
        <v>1384</v>
      </c>
      <c r="F92" s="349" t="s">
        <v>1385</v>
      </c>
      <c r="G92" s="349" t="s">
        <v>1374</v>
      </c>
      <c r="H92" s="349" t="s">
        <v>1386</v>
      </c>
      <c r="I92" s="349" t="s">
        <v>1376</v>
      </c>
      <c r="J92" s="350" t="s">
        <v>1387</v>
      </c>
      <c r="K92" s="349" t="s">
        <v>267</v>
      </c>
      <c r="L92" s="349" t="s">
        <v>268</v>
      </c>
      <c r="M92" s="349" t="s">
        <v>1388</v>
      </c>
      <c r="N92" s="351" t="s">
        <v>1378</v>
      </c>
      <c r="O92" s="351" t="s">
        <v>1389</v>
      </c>
      <c r="P92" s="352" t="s">
        <v>1390</v>
      </c>
      <c r="Q92" s="352" t="s">
        <v>1391</v>
      </c>
      <c r="R92" s="352" t="s">
        <v>1392</v>
      </c>
      <c r="S92" s="352" t="s">
        <v>1393</v>
      </c>
      <c r="T92" s="352" t="s">
        <v>1394</v>
      </c>
      <c r="U92" s="353" t="s">
        <v>1395</v>
      </c>
      <c r="V92" s="354" t="s">
        <v>1396</v>
      </c>
    </row>
    <row r="93" s="158" customFormat="1" ht="14.55" outlineLevel="1" spans="2:24">
      <c r="B93" s="355"/>
      <c r="C93" s="356" t="s">
        <v>1397</v>
      </c>
      <c r="D93" s="357" t="s">
        <v>177</v>
      </c>
      <c r="E93" s="357" t="s">
        <v>272</v>
      </c>
      <c r="F93" s="357" t="s">
        <v>273</v>
      </c>
      <c r="G93" s="358" t="s">
        <v>274</v>
      </c>
      <c r="H93" s="359">
        <v>60</v>
      </c>
      <c r="I93" s="360">
        <v>0.05</v>
      </c>
      <c r="J93" s="361">
        <f>(1/I93)/H93</f>
        <v>0.333333333333333</v>
      </c>
      <c r="K93" s="362">
        <v>7360</v>
      </c>
      <c r="L93" s="362">
        <v>6992</v>
      </c>
      <c r="M93" s="362"/>
      <c r="N93" s="362">
        <f>K93-L93</f>
        <v>368</v>
      </c>
      <c r="O93" s="362">
        <v>0</v>
      </c>
      <c r="P93" s="363">
        <f t="shared" ref="P93:P124" si="7">_xlfn.XLOOKUP(D93,$C$484:$C$489,$E$484:$E$489)</f>
        <v>36</v>
      </c>
      <c r="Q93" s="364">
        <v>0.05</v>
      </c>
      <c r="R93" s="365">
        <f>K93*(1-Q93)/P93</f>
        <v>194.222222222222</v>
      </c>
      <c r="S93" s="366">
        <f>IF(YEAR(G93)=YEAR($P$85),MIN(DATEDIF(EOMONTH(G93,-1)+1,$P$85,"m"),P93),MIN(P93,DATEDIF(EOMONTH(G93,-1)+1,$P$85,"m")))</f>
        <v>36</v>
      </c>
      <c r="T93" s="367">
        <f>S93*R93</f>
        <v>6992</v>
      </c>
      <c r="U93" s="367">
        <f>T93-L93</f>
        <v>0</v>
      </c>
      <c r="V93" s="334"/>
    </row>
    <row r="94" s="158" customFormat="1" ht="14.55" outlineLevel="1" spans="2:24">
      <c r="B94" s="355"/>
      <c r="C94" s="356" t="s">
        <v>1397</v>
      </c>
      <c r="D94" s="357" t="s">
        <v>177</v>
      </c>
      <c r="E94" s="357" t="s">
        <v>275</v>
      </c>
      <c r="F94" s="357" t="s">
        <v>276</v>
      </c>
      <c r="G94" s="358" t="s">
        <v>274</v>
      </c>
      <c r="H94" s="359">
        <v>60</v>
      </c>
      <c r="I94" s="360">
        <v>0.05</v>
      </c>
      <c r="J94" s="361">
        <f t="shared" ref="J94:J175" si="8">(1-I94)/H94</f>
        <v>0.0158333333333333</v>
      </c>
      <c r="K94" s="362">
        <v>4060</v>
      </c>
      <c r="L94" s="362">
        <v>3857</v>
      </c>
      <c r="M94" s="362"/>
      <c r="N94" s="362">
        <f t="shared" ref="N94:N157" si="9">K94-L94</f>
        <v>203</v>
      </c>
      <c r="O94" s="362">
        <v>0</v>
      </c>
      <c r="P94" s="363">
        <f t="shared" si="7"/>
        <v>36</v>
      </c>
      <c r="Q94" s="364">
        <v>0.05</v>
      </c>
      <c r="R94" s="365">
        <f t="shared" ref="R94:R157" si="10">K94*(1-Q94)/P94</f>
        <v>107.138888888889</v>
      </c>
      <c r="S94" s="366">
        <f>IF(YEAR(G94)=YEAR($P$85),MIN(DATEDIF(EOMONTH(G94,-1)+1,$P$85,"m"),P94),MIN(P94,DATEDIF(EOMONTH(G94,-1)+1,$P$85,"m")))</f>
        <v>36</v>
      </c>
      <c r="T94" s="367">
        <f t="shared" ref="T94:T157" si="11">S94*R94</f>
        <v>3857</v>
      </c>
      <c r="U94" s="367">
        <f t="shared" ref="U94:U157" si="12">T94-L94</f>
        <v>0</v>
      </c>
      <c r="V94" s="334"/>
    </row>
    <row r="95" s="158" customFormat="1" ht="14.55" outlineLevel="1" spans="2:24">
      <c r="B95" s="355"/>
      <c r="C95" s="356" t="s">
        <v>1397</v>
      </c>
      <c r="D95" s="357" t="s">
        <v>177</v>
      </c>
      <c r="E95" s="357" t="s">
        <v>277</v>
      </c>
      <c r="F95" s="357" t="s">
        <v>278</v>
      </c>
      <c r="G95" s="358" t="s">
        <v>274</v>
      </c>
      <c r="H95" s="359">
        <v>60</v>
      </c>
      <c r="I95" s="360">
        <v>0.05</v>
      </c>
      <c r="J95" s="361">
        <f t="shared" si="8"/>
        <v>0.0158333333333333</v>
      </c>
      <c r="K95" s="362">
        <v>2790</v>
      </c>
      <c r="L95" s="362">
        <v>2650.5</v>
      </c>
      <c r="M95" s="362"/>
      <c r="N95" s="362">
        <f t="shared" si="9"/>
        <v>139.5</v>
      </c>
      <c r="O95" s="362">
        <v>0</v>
      </c>
      <c r="P95" s="363">
        <f t="shared" si="7"/>
        <v>36</v>
      </c>
      <c r="Q95" s="364">
        <v>0.05</v>
      </c>
      <c r="R95" s="365">
        <f t="shared" si="10"/>
        <v>73.625</v>
      </c>
      <c r="S95" s="366">
        <f t="shared" ref="S95:S158" si="13">IF(YEAR(G95)=YEAR($P$85),MIN(DATEDIF(EOMONTH(G95,-1)+1,$P$85,"m"),P95),MIN(P95,DATEDIF(EOMONTH(G95,-1)+1,$P$85,"m")))</f>
        <v>36</v>
      </c>
      <c r="T95" s="367">
        <f t="shared" si="11"/>
        <v>2650.5</v>
      </c>
      <c r="U95" s="367">
        <f t="shared" si="12"/>
        <v>0</v>
      </c>
      <c r="V95" s="334"/>
    </row>
    <row r="96" s="158" customFormat="1" ht="14.55" outlineLevel="1" spans="2:24">
      <c r="B96" s="355"/>
      <c r="C96" s="356" t="s">
        <v>1397</v>
      </c>
      <c r="D96" s="357" t="s">
        <v>177</v>
      </c>
      <c r="E96" s="357" t="s">
        <v>279</v>
      </c>
      <c r="F96" s="357" t="s">
        <v>280</v>
      </c>
      <c r="G96" s="358" t="s">
        <v>274</v>
      </c>
      <c r="H96" s="359">
        <v>60</v>
      </c>
      <c r="I96" s="360">
        <v>0.05</v>
      </c>
      <c r="J96" s="361">
        <f t="shared" si="8"/>
        <v>0.0158333333333333</v>
      </c>
      <c r="K96" s="362">
        <v>4000</v>
      </c>
      <c r="L96" s="362">
        <v>3800</v>
      </c>
      <c r="M96" s="362"/>
      <c r="N96" s="362">
        <f t="shared" si="9"/>
        <v>200</v>
      </c>
      <c r="O96" s="362">
        <v>0</v>
      </c>
      <c r="P96" s="363">
        <f t="shared" si="7"/>
        <v>36</v>
      </c>
      <c r="Q96" s="364">
        <v>0.05</v>
      </c>
      <c r="R96" s="365">
        <f t="shared" si="10"/>
        <v>105.555555555556</v>
      </c>
      <c r="S96" s="366">
        <f t="shared" si="13"/>
        <v>36</v>
      </c>
      <c r="T96" s="367">
        <f t="shared" si="11"/>
        <v>3800</v>
      </c>
      <c r="U96" s="367">
        <f t="shared" si="12"/>
        <v>0</v>
      </c>
      <c r="V96" s="334"/>
    </row>
    <row r="97" s="158" customFormat="1" ht="14.55" outlineLevel="1" spans="2:22">
      <c r="B97" s="355"/>
      <c r="C97" s="356" t="s">
        <v>1397</v>
      </c>
      <c r="D97" s="357" t="s">
        <v>177</v>
      </c>
      <c r="E97" s="357" t="s">
        <v>281</v>
      </c>
      <c r="F97" s="357" t="s">
        <v>282</v>
      </c>
      <c r="G97" s="358" t="s">
        <v>283</v>
      </c>
      <c r="H97" s="359">
        <v>36</v>
      </c>
      <c r="I97" s="360">
        <v>0.05</v>
      </c>
      <c r="J97" s="361">
        <f t="shared" si="8"/>
        <v>0.0263888888888889</v>
      </c>
      <c r="K97" s="362">
        <v>14170</v>
      </c>
      <c r="L97" s="362">
        <v>13603.2</v>
      </c>
      <c r="M97" s="362"/>
      <c r="N97" s="362">
        <f t="shared" si="9"/>
        <v>566.799999999999</v>
      </c>
      <c r="O97" s="362">
        <v>0</v>
      </c>
      <c r="P97" s="363">
        <f t="shared" si="7"/>
        <v>36</v>
      </c>
      <c r="Q97" s="364">
        <v>0.05</v>
      </c>
      <c r="R97" s="365">
        <f t="shared" si="10"/>
        <v>373.930555555556</v>
      </c>
      <c r="S97" s="366">
        <f t="shared" si="13"/>
        <v>36</v>
      </c>
      <c r="T97" s="367">
        <f t="shared" si="11"/>
        <v>13461.5</v>
      </c>
      <c r="U97" s="367">
        <f t="shared" si="12"/>
        <v>-141.700000000001</v>
      </c>
      <c r="V97" s="334"/>
    </row>
    <row r="98" s="158" customFormat="1" ht="14.55" outlineLevel="1" spans="2:22">
      <c r="B98" s="355"/>
      <c r="C98" s="356" t="s">
        <v>1397</v>
      </c>
      <c r="D98" s="357" t="s">
        <v>177</v>
      </c>
      <c r="E98" s="357" t="s">
        <v>284</v>
      </c>
      <c r="F98" s="357" t="s">
        <v>285</v>
      </c>
      <c r="G98" s="358" t="s">
        <v>286</v>
      </c>
      <c r="H98" s="359">
        <v>36</v>
      </c>
      <c r="I98" s="360">
        <v>0.05</v>
      </c>
      <c r="J98" s="361">
        <f t="shared" si="8"/>
        <v>0.0263888888888889</v>
      </c>
      <c r="K98" s="362">
        <v>6950</v>
      </c>
      <c r="L98" s="362">
        <v>6672</v>
      </c>
      <c r="M98" s="362"/>
      <c r="N98" s="362">
        <f t="shared" si="9"/>
        <v>278</v>
      </c>
      <c r="O98" s="362">
        <v>0</v>
      </c>
      <c r="P98" s="363">
        <f t="shared" si="7"/>
        <v>36</v>
      </c>
      <c r="Q98" s="364">
        <v>0.05</v>
      </c>
      <c r="R98" s="365">
        <f t="shared" si="10"/>
        <v>183.402777777778</v>
      </c>
      <c r="S98" s="366">
        <f t="shared" si="13"/>
        <v>36</v>
      </c>
      <c r="T98" s="367">
        <f t="shared" si="11"/>
        <v>6602.5</v>
      </c>
      <c r="U98" s="367">
        <f t="shared" si="12"/>
        <v>-69.5</v>
      </c>
      <c r="V98" s="334"/>
    </row>
    <row r="99" s="158" customFormat="1" ht="14.55" outlineLevel="1" spans="2:22">
      <c r="B99" s="355"/>
      <c r="C99" s="356" t="s">
        <v>1397</v>
      </c>
      <c r="D99" s="357" t="s">
        <v>177</v>
      </c>
      <c r="E99" s="357" t="s">
        <v>287</v>
      </c>
      <c r="F99" s="357" t="s">
        <v>288</v>
      </c>
      <c r="G99" s="358" t="s">
        <v>289</v>
      </c>
      <c r="H99" s="359">
        <v>36</v>
      </c>
      <c r="I99" s="360">
        <v>0.05</v>
      </c>
      <c r="J99" s="361">
        <f t="shared" si="8"/>
        <v>0.0263888888888889</v>
      </c>
      <c r="K99" s="362">
        <v>16000</v>
      </c>
      <c r="L99" s="362">
        <v>15360</v>
      </c>
      <c r="M99" s="362"/>
      <c r="N99" s="362">
        <f t="shared" si="9"/>
        <v>640</v>
      </c>
      <c r="O99" s="362">
        <v>0</v>
      </c>
      <c r="P99" s="363">
        <f t="shared" si="7"/>
        <v>36</v>
      </c>
      <c r="Q99" s="364">
        <v>0.05</v>
      </c>
      <c r="R99" s="365">
        <f t="shared" si="10"/>
        <v>422.222222222222</v>
      </c>
      <c r="S99" s="366">
        <f t="shared" si="13"/>
        <v>36</v>
      </c>
      <c r="T99" s="367">
        <f t="shared" si="11"/>
        <v>15200</v>
      </c>
      <c r="U99" s="367">
        <f t="shared" si="12"/>
        <v>-160</v>
      </c>
      <c r="V99" s="334"/>
    </row>
    <row r="100" s="158" customFormat="1" ht="14.55" outlineLevel="1" spans="2:22">
      <c r="B100" s="355"/>
      <c r="C100" s="356" t="s">
        <v>1397</v>
      </c>
      <c r="D100" s="357" t="s">
        <v>177</v>
      </c>
      <c r="E100" s="357" t="s">
        <v>290</v>
      </c>
      <c r="F100" s="357" t="s">
        <v>291</v>
      </c>
      <c r="G100" s="358" t="s">
        <v>292</v>
      </c>
      <c r="H100" s="359">
        <v>36</v>
      </c>
      <c r="I100" s="360">
        <v>0.05</v>
      </c>
      <c r="J100" s="361">
        <f t="shared" si="8"/>
        <v>0.0263888888888889</v>
      </c>
      <c r="K100" s="362">
        <v>8886</v>
      </c>
      <c r="L100" s="362">
        <v>8530.56</v>
      </c>
      <c r="M100" s="362"/>
      <c r="N100" s="362">
        <f t="shared" si="9"/>
        <v>355.440000000001</v>
      </c>
      <c r="O100" s="362">
        <v>0</v>
      </c>
      <c r="P100" s="363">
        <f t="shared" si="7"/>
        <v>36</v>
      </c>
      <c r="Q100" s="364">
        <v>0.05</v>
      </c>
      <c r="R100" s="365">
        <f t="shared" si="10"/>
        <v>234.491666666667</v>
      </c>
      <c r="S100" s="366">
        <f t="shared" si="13"/>
        <v>36</v>
      </c>
      <c r="T100" s="367">
        <f t="shared" si="11"/>
        <v>8441.7</v>
      </c>
      <c r="U100" s="367">
        <f t="shared" si="12"/>
        <v>-88.8600000000006</v>
      </c>
      <c r="V100" s="334"/>
    </row>
    <row r="101" s="158" customFormat="1" ht="14.55" outlineLevel="1" spans="2:22">
      <c r="B101" s="355"/>
      <c r="C101" s="356" t="s">
        <v>1397</v>
      </c>
      <c r="D101" s="357" t="s">
        <v>177</v>
      </c>
      <c r="E101" s="357" t="s">
        <v>293</v>
      </c>
      <c r="F101" s="357" t="s">
        <v>294</v>
      </c>
      <c r="G101" s="358" t="s">
        <v>295</v>
      </c>
      <c r="H101" s="359">
        <v>60</v>
      </c>
      <c r="I101" s="360">
        <v>0.05</v>
      </c>
      <c r="J101" s="361">
        <f t="shared" si="8"/>
        <v>0.0158333333333333</v>
      </c>
      <c r="K101" s="362">
        <v>4400</v>
      </c>
      <c r="L101" s="362">
        <v>4224</v>
      </c>
      <c r="M101" s="362"/>
      <c r="N101" s="362">
        <f t="shared" si="9"/>
        <v>176</v>
      </c>
      <c r="O101" s="362">
        <v>0</v>
      </c>
      <c r="P101" s="363">
        <f t="shared" si="7"/>
        <v>36</v>
      </c>
      <c r="Q101" s="364">
        <v>0.05</v>
      </c>
      <c r="R101" s="365">
        <f t="shared" si="10"/>
        <v>116.111111111111</v>
      </c>
      <c r="S101" s="366">
        <f t="shared" si="13"/>
        <v>36</v>
      </c>
      <c r="T101" s="367">
        <f t="shared" si="11"/>
        <v>4180</v>
      </c>
      <c r="U101" s="367">
        <f t="shared" si="12"/>
        <v>-44</v>
      </c>
      <c r="V101" s="334"/>
    </row>
    <row r="102" s="158" customFormat="1" ht="14.55" outlineLevel="1" spans="2:22">
      <c r="B102" s="355"/>
      <c r="C102" s="356" t="s">
        <v>1397</v>
      </c>
      <c r="D102" s="357" t="s">
        <v>177</v>
      </c>
      <c r="E102" s="357" t="s">
        <v>296</v>
      </c>
      <c r="F102" s="357" t="s">
        <v>297</v>
      </c>
      <c r="G102" s="358" t="s">
        <v>298</v>
      </c>
      <c r="H102" s="359">
        <v>36</v>
      </c>
      <c r="I102" s="360">
        <v>0.05</v>
      </c>
      <c r="J102" s="361">
        <f t="shared" si="8"/>
        <v>0.0263888888888889</v>
      </c>
      <c r="K102" s="362">
        <v>2400</v>
      </c>
      <c r="L102" s="362">
        <v>2280</v>
      </c>
      <c r="M102" s="362"/>
      <c r="N102" s="362">
        <f t="shared" si="9"/>
        <v>120</v>
      </c>
      <c r="O102" s="362">
        <v>0</v>
      </c>
      <c r="P102" s="363">
        <f t="shared" si="7"/>
        <v>36</v>
      </c>
      <c r="Q102" s="364">
        <v>0.0499999363625603</v>
      </c>
      <c r="R102" s="365">
        <f t="shared" si="10"/>
        <v>63.3333375758293</v>
      </c>
      <c r="S102" s="366">
        <f t="shared" si="13"/>
        <v>36</v>
      </c>
      <c r="T102" s="367">
        <f t="shared" si="11"/>
        <v>2280.00015272986</v>
      </c>
      <c r="U102" s="367">
        <f t="shared" si="12"/>
        <v>0.000152729855471989</v>
      </c>
      <c r="V102" s="334"/>
    </row>
    <row r="103" s="158" customFormat="1" ht="14.55" outlineLevel="1" spans="2:22">
      <c r="B103" s="355"/>
      <c r="C103" s="356" t="s">
        <v>1397</v>
      </c>
      <c r="D103" s="357" t="s">
        <v>177</v>
      </c>
      <c r="E103" s="357" t="s">
        <v>299</v>
      </c>
      <c r="F103" s="357" t="s">
        <v>297</v>
      </c>
      <c r="G103" s="358" t="s">
        <v>298</v>
      </c>
      <c r="H103" s="359">
        <v>36</v>
      </c>
      <c r="I103" s="360">
        <v>0.05</v>
      </c>
      <c r="J103" s="361">
        <f t="shared" si="8"/>
        <v>0.0263888888888889</v>
      </c>
      <c r="K103" s="362">
        <v>2600</v>
      </c>
      <c r="L103" s="362">
        <v>2470</v>
      </c>
      <c r="M103" s="362"/>
      <c r="N103" s="362">
        <f t="shared" si="9"/>
        <v>130</v>
      </c>
      <c r="O103" s="362">
        <v>0</v>
      </c>
      <c r="P103" s="363">
        <f t="shared" si="7"/>
        <v>36</v>
      </c>
      <c r="Q103" s="364">
        <v>0.05</v>
      </c>
      <c r="R103" s="365">
        <f t="shared" si="10"/>
        <v>68.6111111111111</v>
      </c>
      <c r="S103" s="366">
        <f t="shared" si="13"/>
        <v>36</v>
      </c>
      <c r="T103" s="367">
        <f t="shared" si="11"/>
        <v>2470</v>
      </c>
      <c r="U103" s="367">
        <f t="shared" si="12"/>
        <v>0</v>
      </c>
      <c r="V103" s="334"/>
    </row>
    <row r="104" s="158" customFormat="1" ht="14.55" outlineLevel="1" spans="2:22">
      <c r="B104" s="355"/>
      <c r="C104" s="356" t="s">
        <v>1397</v>
      </c>
      <c r="D104" s="357" t="s">
        <v>177</v>
      </c>
      <c r="E104" s="357" t="s">
        <v>300</v>
      </c>
      <c r="F104" s="357" t="s">
        <v>301</v>
      </c>
      <c r="G104" s="358" t="s">
        <v>302</v>
      </c>
      <c r="H104" s="359">
        <v>36</v>
      </c>
      <c r="I104" s="360">
        <v>0.05</v>
      </c>
      <c r="J104" s="361">
        <f t="shared" si="8"/>
        <v>0.0263888888888889</v>
      </c>
      <c r="K104" s="362">
        <v>11992</v>
      </c>
      <c r="L104" s="362">
        <v>11512.32</v>
      </c>
      <c r="M104" s="362"/>
      <c r="N104" s="362">
        <f t="shared" si="9"/>
        <v>479.68</v>
      </c>
      <c r="O104" s="362">
        <v>0</v>
      </c>
      <c r="P104" s="363">
        <f t="shared" si="7"/>
        <v>36</v>
      </c>
      <c r="Q104" s="364">
        <v>0.05</v>
      </c>
      <c r="R104" s="365">
        <f t="shared" si="10"/>
        <v>316.455555555556</v>
      </c>
      <c r="S104" s="366">
        <f t="shared" si="13"/>
        <v>36</v>
      </c>
      <c r="T104" s="367">
        <f t="shared" si="11"/>
        <v>11392.4</v>
      </c>
      <c r="U104" s="367">
        <f t="shared" si="12"/>
        <v>-119.920000000002</v>
      </c>
      <c r="V104" s="334"/>
    </row>
    <row r="105" s="158" customFormat="1" ht="14.55" outlineLevel="1" spans="2:22">
      <c r="B105" s="355"/>
      <c r="C105" s="356" t="s">
        <v>1397</v>
      </c>
      <c r="D105" s="357" t="s">
        <v>177</v>
      </c>
      <c r="E105" s="357" t="s">
        <v>303</v>
      </c>
      <c r="F105" s="357" t="s">
        <v>304</v>
      </c>
      <c r="G105" s="358" t="s">
        <v>302</v>
      </c>
      <c r="H105" s="359">
        <v>36</v>
      </c>
      <c r="I105" s="360">
        <v>0.05</v>
      </c>
      <c r="J105" s="361">
        <f t="shared" si="8"/>
        <v>0.0263888888888889</v>
      </c>
      <c r="K105" s="362">
        <v>6597</v>
      </c>
      <c r="L105" s="362">
        <v>6333.12</v>
      </c>
      <c r="M105" s="362"/>
      <c r="N105" s="362">
        <f t="shared" si="9"/>
        <v>263.88</v>
      </c>
      <c r="O105" s="362">
        <v>0</v>
      </c>
      <c r="P105" s="363">
        <f t="shared" si="7"/>
        <v>36</v>
      </c>
      <c r="Q105" s="364">
        <v>0.05</v>
      </c>
      <c r="R105" s="365">
        <f t="shared" si="10"/>
        <v>174.0875</v>
      </c>
      <c r="S105" s="366">
        <f t="shared" si="13"/>
        <v>36</v>
      </c>
      <c r="T105" s="367">
        <f t="shared" si="11"/>
        <v>6267.15</v>
      </c>
      <c r="U105" s="367">
        <f t="shared" si="12"/>
        <v>-65.9700000000003</v>
      </c>
      <c r="V105" s="334"/>
    </row>
    <row r="106" s="158" customFormat="1" ht="14.55" outlineLevel="1" spans="2:22">
      <c r="B106" s="355"/>
      <c r="C106" s="356" t="s">
        <v>1397</v>
      </c>
      <c r="D106" s="357" t="s">
        <v>177</v>
      </c>
      <c r="E106" s="357" t="s">
        <v>305</v>
      </c>
      <c r="F106" s="357" t="s">
        <v>304</v>
      </c>
      <c r="G106" s="358" t="s">
        <v>302</v>
      </c>
      <c r="H106" s="359">
        <v>36</v>
      </c>
      <c r="I106" s="360">
        <v>0.05</v>
      </c>
      <c r="J106" s="361">
        <f t="shared" si="8"/>
        <v>0.0263888888888889</v>
      </c>
      <c r="K106" s="362">
        <v>1560</v>
      </c>
      <c r="L106" s="362">
        <v>1497.6</v>
      </c>
      <c r="M106" s="362"/>
      <c r="N106" s="362">
        <f t="shared" si="9"/>
        <v>62.4000000000001</v>
      </c>
      <c r="O106" s="362">
        <v>0</v>
      </c>
      <c r="P106" s="363">
        <f t="shared" si="7"/>
        <v>36</v>
      </c>
      <c r="Q106" s="364">
        <v>0.05</v>
      </c>
      <c r="R106" s="365">
        <f t="shared" si="10"/>
        <v>41.1666666666667</v>
      </c>
      <c r="S106" s="366">
        <f t="shared" si="13"/>
        <v>36</v>
      </c>
      <c r="T106" s="367">
        <f t="shared" si="11"/>
        <v>1482</v>
      </c>
      <c r="U106" s="367">
        <f t="shared" si="12"/>
        <v>-15.5999999999999</v>
      </c>
      <c r="V106" s="334"/>
    </row>
    <row r="107" s="158" customFormat="1" ht="14.55" outlineLevel="1" spans="2:22">
      <c r="B107" s="355"/>
      <c r="C107" s="356" t="s">
        <v>1397</v>
      </c>
      <c r="D107" s="357" t="s">
        <v>177</v>
      </c>
      <c r="E107" s="357" t="s">
        <v>306</v>
      </c>
      <c r="F107" s="357" t="s">
        <v>307</v>
      </c>
      <c r="G107" s="358" t="s">
        <v>308</v>
      </c>
      <c r="H107" s="359">
        <v>36</v>
      </c>
      <c r="I107" s="360">
        <v>0.05</v>
      </c>
      <c r="J107" s="361">
        <f t="shared" si="8"/>
        <v>0.0263888888888889</v>
      </c>
      <c r="K107" s="362">
        <v>16793</v>
      </c>
      <c r="L107" s="362">
        <v>16121.28</v>
      </c>
      <c r="M107" s="362"/>
      <c r="N107" s="362">
        <f t="shared" si="9"/>
        <v>671.719999999999</v>
      </c>
      <c r="O107" s="362">
        <v>0</v>
      </c>
      <c r="P107" s="363">
        <f t="shared" si="7"/>
        <v>36</v>
      </c>
      <c r="Q107" s="364">
        <v>0.05</v>
      </c>
      <c r="R107" s="365">
        <f t="shared" si="10"/>
        <v>443.148611111111</v>
      </c>
      <c r="S107" s="366">
        <f t="shared" si="13"/>
        <v>36</v>
      </c>
      <c r="T107" s="367">
        <f t="shared" si="11"/>
        <v>15953.35</v>
      </c>
      <c r="U107" s="367">
        <f t="shared" si="12"/>
        <v>-167.930000000002</v>
      </c>
      <c r="V107" s="334"/>
    </row>
    <row r="108" s="158" customFormat="1" ht="14.55" outlineLevel="1" spans="2:22">
      <c r="B108" s="355"/>
      <c r="C108" s="356" t="s">
        <v>1397</v>
      </c>
      <c r="D108" s="357" t="s">
        <v>177</v>
      </c>
      <c r="E108" s="357" t="s">
        <v>309</v>
      </c>
      <c r="F108" s="357" t="s">
        <v>310</v>
      </c>
      <c r="G108" s="358" t="s">
        <v>308</v>
      </c>
      <c r="H108" s="359">
        <v>36</v>
      </c>
      <c r="I108" s="360">
        <v>0.05</v>
      </c>
      <c r="J108" s="361">
        <f t="shared" si="8"/>
        <v>0.0263888888888889</v>
      </c>
      <c r="K108" s="362">
        <v>1499</v>
      </c>
      <c r="L108" s="362">
        <v>1439.04</v>
      </c>
      <c r="M108" s="362"/>
      <c r="N108" s="362">
        <f t="shared" si="9"/>
        <v>59.96</v>
      </c>
      <c r="O108" s="362">
        <v>0</v>
      </c>
      <c r="P108" s="363">
        <f t="shared" si="7"/>
        <v>36</v>
      </c>
      <c r="Q108" s="364">
        <v>0.05</v>
      </c>
      <c r="R108" s="365">
        <f t="shared" si="10"/>
        <v>39.5569444444444</v>
      </c>
      <c r="S108" s="366">
        <f t="shared" si="13"/>
        <v>36</v>
      </c>
      <c r="T108" s="367">
        <f t="shared" si="11"/>
        <v>1424.05</v>
      </c>
      <c r="U108" s="367">
        <f t="shared" si="12"/>
        <v>-14.9900000000002</v>
      </c>
      <c r="V108" s="334"/>
    </row>
    <row r="109" s="158" customFormat="1" ht="14.55" outlineLevel="1" spans="2:22">
      <c r="B109" s="355"/>
      <c r="C109" s="356" t="s">
        <v>1397</v>
      </c>
      <c r="D109" s="357" t="s">
        <v>177</v>
      </c>
      <c r="E109" s="357" t="s">
        <v>311</v>
      </c>
      <c r="F109" s="357" t="s">
        <v>312</v>
      </c>
      <c r="G109" s="358" t="s">
        <v>308</v>
      </c>
      <c r="H109" s="359">
        <v>36</v>
      </c>
      <c r="I109" s="360">
        <v>0.05</v>
      </c>
      <c r="J109" s="361">
        <f t="shared" si="8"/>
        <v>0.0263888888888889</v>
      </c>
      <c r="K109" s="362">
        <v>1199</v>
      </c>
      <c r="L109" s="362">
        <v>1151.04</v>
      </c>
      <c r="M109" s="362"/>
      <c r="N109" s="362">
        <f t="shared" si="9"/>
        <v>47.96</v>
      </c>
      <c r="O109" s="362">
        <v>0</v>
      </c>
      <c r="P109" s="363">
        <f t="shared" si="7"/>
        <v>36</v>
      </c>
      <c r="Q109" s="364">
        <v>0.05</v>
      </c>
      <c r="R109" s="365">
        <f t="shared" si="10"/>
        <v>31.6402777777778</v>
      </c>
      <c r="S109" s="366">
        <f t="shared" si="13"/>
        <v>36</v>
      </c>
      <c r="T109" s="367">
        <f t="shared" si="11"/>
        <v>1139.05</v>
      </c>
      <c r="U109" s="367">
        <f t="shared" si="12"/>
        <v>-11.99</v>
      </c>
      <c r="V109" s="334"/>
    </row>
    <row r="110" s="158" customFormat="1" ht="14.55" outlineLevel="1" spans="2:22">
      <c r="B110" s="355"/>
      <c r="C110" s="356" t="s">
        <v>1397</v>
      </c>
      <c r="D110" s="357" t="s">
        <v>177</v>
      </c>
      <c r="E110" s="357" t="s">
        <v>313</v>
      </c>
      <c r="F110" s="357" t="s">
        <v>314</v>
      </c>
      <c r="G110" s="358" t="s">
        <v>308</v>
      </c>
      <c r="H110" s="359">
        <v>36</v>
      </c>
      <c r="I110" s="360">
        <v>0.05</v>
      </c>
      <c r="J110" s="361">
        <f t="shared" si="8"/>
        <v>0.0263888888888889</v>
      </c>
      <c r="K110" s="362">
        <v>2036</v>
      </c>
      <c r="L110" s="362">
        <v>1954.56</v>
      </c>
      <c r="M110" s="362"/>
      <c r="N110" s="362">
        <f t="shared" si="9"/>
        <v>81.4400000000001</v>
      </c>
      <c r="O110" s="362">
        <v>0</v>
      </c>
      <c r="P110" s="363">
        <f t="shared" si="7"/>
        <v>36</v>
      </c>
      <c r="Q110" s="364">
        <v>0.05</v>
      </c>
      <c r="R110" s="365">
        <f t="shared" si="10"/>
        <v>53.7277777777778</v>
      </c>
      <c r="S110" s="366">
        <f t="shared" si="13"/>
        <v>36</v>
      </c>
      <c r="T110" s="367">
        <f t="shared" si="11"/>
        <v>1934.2</v>
      </c>
      <c r="U110" s="367">
        <f t="shared" si="12"/>
        <v>-20.3600000000001</v>
      </c>
      <c r="V110" s="334"/>
    </row>
    <row r="111" s="158" customFormat="1" ht="14.55" outlineLevel="1" spans="2:22">
      <c r="B111" s="355"/>
      <c r="C111" s="356" t="s">
        <v>1397</v>
      </c>
      <c r="D111" s="357" t="s">
        <v>177</v>
      </c>
      <c r="E111" s="357" t="s">
        <v>315</v>
      </c>
      <c r="F111" s="357" t="s">
        <v>316</v>
      </c>
      <c r="G111" s="358" t="s">
        <v>308</v>
      </c>
      <c r="H111" s="359">
        <v>36</v>
      </c>
      <c r="I111" s="360">
        <v>0.05</v>
      </c>
      <c r="J111" s="361">
        <f t="shared" si="8"/>
        <v>0.0263888888888889</v>
      </c>
      <c r="K111" s="362">
        <v>2100</v>
      </c>
      <c r="L111" s="362">
        <v>2016</v>
      </c>
      <c r="M111" s="362"/>
      <c r="N111" s="362">
        <f t="shared" si="9"/>
        <v>84</v>
      </c>
      <c r="O111" s="362">
        <v>0</v>
      </c>
      <c r="P111" s="363">
        <f t="shared" si="7"/>
        <v>36</v>
      </c>
      <c r="Q111" s="364">
        <v>0.05</v>
      </c>
      <c r="R111" s="365">
        <f t="shared" si="10"/>
        <v>55.4166666666667</v>
      </c>
      <c r="S111" s="366">
        <f t="shared" si="13"/>
        <v>36</v>
      </c>
      <c r="T111" s="367">
        <f t="shared" si="11"/>
        <v>1995</v>
      </c>
      <c r="U111" s="367">
        <f t="shared" si="12"/>
        <v>-21</v>
      </c>
      <c r="V111" s="334"/>
    </row>
    <row r="112" s="158" customFormat="1" ht="14.55" outlineLevel="1" spans="2:22">
      <c r="B112" s="355"/>
      <c r="C112" s="356" t="s">
        <v>1397</v>
      </c>
      <c r="D112" s="357" t="s">
        <v>177</v>
      </c>
      <c r="E112" s="357" t="s">
        <v>317</v>
      </c>
      <c r="F112" s="357" t="s">
        <v>318</v>
      </c>
      <c r="G112" s="358" t="s">
        <v>308</v>
      </c>
      <c r="H112" s="359">
        <v>36</v>
      </c>
      <c r="I112" s="360">
        <v>0.05</v>
      </c>
      <c r="J112" s="361">
        <f t="shared" si="8"/>
        <v>0.0263888888888889</v>
      </c>
      <c r="K112" s="362">
        <v>1950</v>
      </c>
      <c r="L112" s="362">
        <v>1872</v>
      </c>
      <c r="M112" s="362"/>
      <c r="N112" s="362">
        <f t="shared" si="9"/>
        <v>78</v>
      </c>
      <c r="O112" s="362">
        <v>0</v>
      </c>
      <c r="P112" s="363">
        <f t="shared" si="7"/>
        <v>36</v>
      </c>
      <c r="Q112" s="364">
        <v>0.05</v>
      </c>
      <c r="R112" s="365">
        <f t="shared" si="10"/>
        <v>51.4583333333333</v>
      </c>
      <c r="S112" s="366">
        <f t="shared" si="13"/>
        <v>36</v>
      </c>
      <c r="T112" s="367">
        <f t="shared" si="11"/>
        <v>1852.5</v>
      </c>
      <c r="U112" s="367">
        <f t="shared" si="12"/>
        <v>-19.5</v>
      </c>
      <c r="V112" s="334"/>
    </row>
    <row r="113" s="158" customFormat="1" ht="14.55" outlineLevel="1" spans="2:22">
      <c r="B113" s="355"/>
      <c r="C113" s="356" t="s">
        <v>1397</v>
      </c>
      <c r="D113" s="357" t="s">
        <v>177</v>
      </c>
      <c r="E113" s="357" t="s">
        <v>319</v>
      </c>
      <c r="F113" s="357" t="s">
        <v>320</v>
      </c>
      <c r="G113" s="358" t="s">
        <v>308</v>
      </c>
      <c r="H113" s="359">
        <v>36</v>
      </c>
      <c r="I113" s="360">
        <v>0.05</v>
      </c>
      <c r="J113" s="361">
        <f t="shared" si="8"/>
        <v>0.0263888888888889</v>
      </c>
      <c r="K113" s="362">
        <v>7500</v>
      </c>
      <c r="L113" s="362">
        <v>7200</v>
      </c>
      <c r="M113" s="362"/>
      <c r="N113" s="362">
        <f t="shared" si="9"/>
        <v>300</v>
      </c>
      <c r="O113" s="362">
        <v>0</v>
      </c>
      <c r="P113" s="363">
        <f t="shared" si="7"/>
        <v>36</v>
      </c>
      <c r="Q113" s="364">
        <v>0.05</v>
      </c>
      <c r="R113" s="365">
        <f t="shared" si="10"/>
        <v>197.916666666667</v>
      </c>
      <c r="S113" s="366">
        <f t="shared" si="13"/>
        <v>36</v>
      </c>
      <c r="T113" s="367">
        <f t="shared" si="11"/>
        <v>7125</v>
      </c>
      <c r="U113" s="367">
        <f t="shared" si="12"/>
        <v>-75</v>
      </c>
      <c r="V113" s="334"/>
    </row>
    <row r="114" s="158" customFormat="1" ht="14.55" outlineLevel="1" spans="2:22">
      <c r="B114" s="355"/>
      <c r="C114" s="356" t="s">
        <v>1397</v>
      </c>
      <c r="D114" s="357" t="s">
        <v>177</v>
      </c>
      <c r="E114" s="357" t="s">
        <v>321</v>
      </c>
      <c r="F114" s="357" t="s">
        <v>322</v>
      </c>
      <c r="G114" s="358" t="s">
        <v>323</v>
      </c>
      <c r="H114" s="359">
        <v>36</v>
      </c>
      <c r="I114" s="360">
        <v>0.05</v>
      </c>
      <c r="J114" s="361">
        <f t="shared" si="8"/>
        <v>0.0263888888888889</v>
      </c>
      <c r="K114" s="362">
        <v>1200</v>
      </c>
      <c r="L114" s="362">
        <v>1152</v>
      </c>
      <c r="M114" s="362"/>
      <c r="N114" s="362">
        <f t="shared" si="9"/>
        <v>48</v>
      </c>
      <c r="O114" s="362">
        <v>0</v>
      </c>
      <c r="P114" s="363">
        <f t="shared" si="7"/>
        <v>36</v>
      </c>
      <c r="Q114" s="364">
        <v>0.05</v>
      </c>
      <c r="R114" s="365">
        <f t="shared" si="10"/>
        <v>31.6666666666667</v>
      </c>
      <c r="S114" s="366">
        <f t="shared" si="13"/>
        <v>36</v>
      </c>
      <c r="T114" s="367">
        <f t="shared" si="11"/>
        <v>1140</v>
      </c>
      <c r="U114" s="367">
        <f t="shared" si="12"/>
        <v>-12</v>
      </c>
      <c r="V114" s="334"/>
    </row>
    <row r="115" s="158" customFormat="1" ht="14.55" outlineLevel="1" spans="2:22">
      <c r="B115" s="355"/>
      <c r="C115" s="356" t="s">
        <v>1397</v>
      </c>
      <c r="D115" s="357" t="s">
        <v>177</v>
      </c>
      <c r="E115" s="368" t="s">
        <v>324</v>
      </c>
      <c r="F115" s="357" t="s">
        <v>325</v>
      </c>
      <c r="G115" s="358" t="s">
        <v>326</v>
      </c>
      <c r="H115" s="359">
        <v>48</v>
      </c>
      <c r="I115" s="360">
        <v>0.05</v>
      </c>
      <c r="J115" s="361">
        <f t="shared" si="8"/>
        <v>0.0197916666666667</v>
      </c>
      <c r="K115" s="362">
        <v>890</v>
      </c>
      <c r="L115" s="362">
        <v>854.4</v>
      </c>
      <c r="M115" s="362"/>
      <c r="N115" s="362">
        <f t="shared" si="9"/>
        <v>35.6</v>
      </c>
      <c r="O115" s="362">
        <v>0</v>
      </c>
      <c r="P115" s="363">
        <f t="shared" si="7"/>
        <v>36</v>
      </c>
      <c r="Q115" s="364">
        <v>0.05</v>
      </c>
      <c r="R115" s="365">
        <f t="shared" si="10"/>
        <v>23.4861111111111</v>
      </c>
      <c r="S115" s="366">
        <f t="shared" si="13"/>
        <v>36</v>
      </c>
      <c r="T115" s="367">
        <f t="shared" si="11"/>
        <v>845.5</v>
      </c>
      <c r="U115" s="367">
        <f t="shared" si="12"/>
        <v>-8.89999999999998</v>
      </c>
      <c r="V115" s="334"/>
    </row>
    <row r="116" s="158" customFormat="1" ht="14.55" outlineLevel="1" spans="2:22">
      <c r="B116" s="355"/>
      <c r="C116" s="356" t="s">
        <v>1397</v>
      </c>
      <c r="D116" s="357" t="s">
        <v>177</v>
      </c>
      <c r="E116" s="357" t="s">
        <v>327</v>
      </c>
      <c r="F116" s="357" t="s">
        <v>328</v>
      </c>
      <c r="G116" s="358" t="s">
        <v>326</v>
      </c>
      <c r="H116" s="359">
        <v>48</v>
      </c>
      <c r="I116" s="360">
        <v>0.05</v>
      </c>
      <c r="J116" s="361">
        <f t="shared" si="8"/>
        <v>0.0197916666666667</v>
      </c>
      <c r="K116" s="362">
        <v>1670</v>
      </c>
      <c r="L116" s="362">
        <v>1603.2</v>
      </c>
      <c r="M116" s="362"/>
      <c r="N116" s="362">
        <f t="shared" si="9"/>
        <v>66.8</v>
      </c>
      <c r="O116" s="362">
        <v>0</v>
      </c>
      <c r="P116" s="363">
        <f t="shared" si="7"/>
        <v>36</v>
      </c>
      <c r="Q116" s="364">
        <v>0.05</v>
      </c>
      <c r="R116" s="365">
        <f t="shared" si="10"/>
        <v>44.0694444444444</v>
      </c>
      <c r="S116" s="366">
        <f t="shared" si="13"/>
        <v>36</v>
      </c>
      <c r="T116" s="367">
        <f t="shared" si="11"/>
        <v>1586.5</v>
      </c>
      <c r="U116" s="367">
        <f t="shared" si="12"/>
        <v>-16.7</v>
      </c>
      <c r="V116" s="334"/>
    </row>
    <row r="117" s="158" customFormat="1" ht="14.55" outlineLevel="1" spans="2:22">
      <c r="B117" s="355"/>
      <c r="C117" s="356" t="s">
        <v>1397</v>
      </c>
      <c r="D117" s="357" t="s">
        <v>177</v>
      </c>
      <c r="E117" s="357" t="s">
        <v>329</v>
      </c>
      <c r="F117" s="357" t="s">
        <v>325</v>
      </c>
      <c r="G117" s="358" t="s">
        <v>326</v>
      </c>
      <c r="H117" s="359">
        <v>48</v>
      </c>
      <c r="I117" s="360">
        <v>0.05</v>
      </c>
      <c r="J117" s="361">
        <f t="shared" si="8"/>
        <v>0.0197916666666667</v>
      </c>
      <c r="K117" s="362">
        <v>890</v>
      </c>
      <c r="L117" s="362">
        <v>854.4</v>
      </c>
      <c r="M117" s="362"/>
      <c r="N117" s="362">
        <f t="shared" si="9"/>
        <v>35.6</v>
      </c>
      <c r="O117" s="362">
        <v>0</v>
      </c>
      <c r="P117" s="363">
        <f t="shared" si="7"/>
        <v>36</v>
      </c>
      <c r="Q117" s="364">
        <v>0.04</v>
      </c>
      <c r="R117" s="365">
        <f t="shared" si="10"/>
        <v>23.7333333333333</v>
      </c>
      <c r="S117" s="366">
        <f t="shared" si="13"/>
        <v>36</v>
      </c>
      <c r="T117" s="367">
        <f t="shared" si="11"/>
        <v>854.4</v>
      </c>
      <c r="U117" s="367">
        <f t="shared" si="12"/>
        <v>0</v>
      </c>
      <c r="V117" s="334"/>
    </row>
    <row r="118" s="158" customFormat="1" ht="14.55" outlineLevel="1" spans="2:22">
      <c r="B118" s="355"/>
      <c r="C118" s="356" t="s">
        <v>1397</v>
      </c>
      <c r="D118" s="357" t="s">
        <v>177</v>
      </c>
      <c r="E118" s="357" t="s">
        <v>330</v>
      </c>
      <c r="F118" s="357" t="s">
        <v>331</v>
      </c>
      <c r="G118" s="358" t="s">
        <v>326</v>
      </c>
      <c r="H118" s="359">
        <v>48</v>
      </c>
      <c r="I118" s="360">
        <v>0.05</v>
      </c>
      <c r="J118" s="361">
        <f t="shared" si="8"/>
        <v>0.0197916666666667</v>
      </c>
      <c r="K118" s="362">
        <v>1950</v>
      </c>
      <c r="L118" s="362">
        <v>1872</v>
      </c>
      <c r="M118" s="362"/>
      <c r="N118" s="362">
        <f t="shared" si="9"/>
        <v>78</v>
      </c>
      <c r="O118" s="362">
        <v>0</v>
      </c>
      <c r="P118" s="363">
        <f t="shared" si="7"/>
        <v>36</v>
      </c>
      <c r="Q118" s="364">
        <v>0.04</v>
      </c>
      <c r="R118" s="365">
        <f t="shared" si="10"/>
        <v>52</v>
      </c>
      <c r="S118" s="366">
        <f t="shared" si="13"/>
        <v>36</v>
      </c>
      <c r="T118" s="367">
        <f t="shared" si="11"/>
        <v>1872</v>
      </c>
      <c r="U118" s="367">
        <f t="shared" si="12"/>
        <v>0</v>
      </c>
      <c r="V118" s="334"/>
    </row>
    <row r="119" s="158" customFormat="1" ht="14.55" outlineLevel="1" spans="2:22">
      <c r="B119" s="355"/>
      <c r="C119" s="356" t="s">
        <v>1397</v>
      </c>
      <c r="D119" s="357" t="s">
        <v>177</v>
      </c>
      <c r="E119" s="357" t="s">
        <v>332</v>
      </c>
      <c r="F119" s="357" t="s">
        <v>333</v>
      </c>
      <c r="G119" s="358" t="s">
        <v>326</v>
      </c>
      <c r="H119" s="359">
        <v>60</v>
      </c>
      <c r="I119" s="360">
        <v>0.05</v>
      </c>
      <c r="J119" s="361">
        <f t="shared" si="8"/>
        <v>0.0158333333333333</v>
      </c>
      <c r="K119" s="362">
        <v>31500</v>
      </c>
      <c r="L119" s="362">
        <v>30240</v>
      </c>
      <c r="M119" s="362"/>
      <c r="N119" s="362">
        <f t="shared" si="9"/>
        <v>1260</v>
      </c>
      <c r="O119" s="362">
        <v>0</v>
      </c>
      <c r="P119" s="363">
        <f t="shared" si="7"/>
        <v>36</v>
      </c>
      <c r="Q119" s="364">
        <v>0.04</v>
      </c>
      <c r="R119" s="365">
        <f t="shared" si="10"/>
        <v>840</v>
      </c>
      <c r="S119" s="366">
        <f t="shared" si="13"/>
        <v>36</v>
      </c>
      <c r="T119" s="367">
        <f t="shared" si="11"/>
        <v>30240</v>
      </c>
      <c r="U119" s="367">
        <f t="shared" si="12"/>
        <v>0</v>
      </c>
      <c r="V119" s="334"/>
    </row>
    <row r="120" s="158" customFormat="1" ht="14.55" outlineLevel="1" spans="2:22">
      <c r="B120" s="355"/>
      <c r="C120" s="356" t="s">
        <v>1397</v>
      </c>
      <c r="D120" s="357" t="s">
        <v>177</v>
      </c>
      <c r="E120" s="357" t="s">
        <v>334</v>
      </c>
      <c r="F120" s="357" t="s">
        <v>333</v>
      </c>
      <c r="G120" s="358" t="s">
        <v>326</v>
      </c>
      <c r="H120" s="359">
        <v>60</v>
      </c>
      <c r="I120" s="360">
        <v>0.05</v>
      </c>
      <c r="J120" s="361">
        <f t="shared" si="8"/>
        <v>0.0158333333333333</v>
      </c>
      <c r="K120" s="362">
        <v>2600</v>
      </c>
      <c r="L120" s="362">
        <v>2496</v>
      </c>
      <c r="M120" s="362"/>
      <c r="N120" s="362">
        <f t="shared" si="9"/>
        <v>104</v>
      </c>
      <c r="O120" s="362">
        <v>0</v>
      </c>
      <c r="P120" s="363">
        <f t="shared" si="7"/>
        <v>36</v>
      </c>
      <c r="Q120" s="364">
        <v>0.04</v>
      </c>
      <c r="R120" s="365">
        <f t="shared" si="10"/>
        <v>69.3333333333333</v>
      </c>
      <c r="S120" s="366">
        <f t="shared" si="13"/>
        <v>36</v>
      </c>
      <c r="T120" s="367">
        <f t="shared" si="11"/>
        <v>2496</v>
      </c>
      <c r="U120" s="367">
        <f t="shared" si="12"/>
        <v>0</v>
      </c>
      <c r="V120" s="334"/>
    </row>
    <row r="121" s="158" customFormat="1" ht="14.55" outlineLevel="1" spans="2:22">
      <c r="B121" s="355"/>
      <c r="C121" s="356" t="s">
        <v>1397</v>
      </c>
      <c r="D121" s="357" t="s">
        <v>177</v>
      </c>
      <c r="E121" s="357" t="s">
        <v>335</v>
      </c>
      <c r="F121" s="357" t="s">
        <v>333</v>
      </c>
      <c r="G121" s="358" t="s">
        <v>326</v>
      </c>
      <c r="H121" s="359">
        <v>60</v>
      </c>
      <c r="I121" s="360">
        <v>0.05</v>
      </c>
      <c r="J121" s="361">
        <f t="shared" si="8"/>
        <v>0.0158333333333333</v>
      </c>
      <c r="K121" s="362">
        <v>5455</v>
      </c>
      <c r="L121" s="362">
        <v>5236.8</v>
      </c>
      <c r="M121" s="362"/>
      <c r="N121" s="362">
        <f t="shared" si="9"/>
        <v>218.2</v>
      </c>
      <c r="O121" s="362">
        <v>0</v>
      </c>
      <c r="P121" s="363">
        <f t="shared" si="7"/>
        <v>36</v>
      </c>
      <c r="Q121" s="364">
        <v>0.04</v>
      </c>
      <c r="R121" s="365">
        <f t="shared" si="10"/>
        <v>145.466666666667</v>
      </c>
      <c r="S121" s="366">
        <f t="shared" si="13"/>
        <v>36</v>
      </c>
      <c r="T121" s="367">
        <f t="shared" si="11"/>
        <v>5236.8</v>
      </c>
      <c r="U121" s="367">
        <f t="shared" si="12"/>
        <v>0</v>
      </c>
      <c r="V121" s="334"/>
    </row>
    <row r="122" s="158" customFormat="1" ht="14.55" outlineLevel="1" spans="2:22">
      <c r="B122" s="355"/>
      <c r="C122" s="356" t="s">
        <v>1397</v>
      </c>
      <c r="D122" s="357" t="s">
        <v>177</v>
      </c>
      <c r="E122" s="357" t="s">
        <v>336</v>
      </c>
      <c r="F122" s="357" t="s">
        <v>337</v>
      </c>
      <c r="G122" s="358" t="s">
        <v>338</v>
      </c>
      <c r="H122" s="359">
        <v>36</v>
      </c>
      <c r="I122" s="360">
        <v>0.05</v>
      </c>
      <c r="J122" s="361">
        <f t="shared" si="8"/>
        <v>0.0263888888888889</v>
      </c>
      <c r="K122" s="362">
        <v>7400</v>
      </c>
      <c r="L122" s="362">
        <v>7104</v>
      </c>
      <c r="M122" s="362"/>
      <c r="N122" s="362">
        <f t="shared" si="9"/>
        <v>296</v>
      </c>
      <c r="O122" s="362">
        <v>0</v>
      </c>
      <c r="P122" s="363">
        <f t="shared" si="7"/>
        <v>36</v>
      </c>
      <c r="Q122" s="364">
        <v>0.05</v>
      </c>
      <c r="R122" s="365">
        <f t="shared" si="10"/>
        <v>195.277777777778</v>
      </c>
      <c r="S122" s="366">
        <f t="shared" si="13"/>
        <v>36</v>
      </c>
      <c r="T122" s="367">
        <f t="shared" si="11"/>
        <v>7030</v>
      </c>
      <c r="U122" s="367">
        <f t="shared" si="12"/>
        <v>-74</v>
      </c>
      <c r="V122" s="334"/>
    </row>
    <row r="123" s="158" customFormat="1" ht="14.55" outlineLevel="1" spans="2:22">
      <c r="B123" s="355"/>
      <c r="C123" s="356" t="s">
        <v>1397</v>
      </c>
      <c r="D123" s="357" t="s">
        <v>177</v>
      </c>
      <c r="E123" s="357" t="s">
        <v>339</v>
      </c>
      <c r="F123" s="357" t="s">
        <v>340</v>
      </c>
      <c r="G123" s="358" t="s">
        <v>341</v>
      </c>
      <c r="H123" s="359">
        <v>36</v>
      </c>
      <c r="I123" s="360">
        <v>0.05</v>
      </c>
      <c r="J123" s="361">
        <f t="shared" si="8"/>
        <v>0.0263888888888889</v>
      </c>
      <c r="K123" s="362">
        <v>2250</v>
      </c>
      <c r="L123" s="362">
        <v>2160</v>
      </c>
      <c r="M123" s="362"/>
      <c r="N123" s="362">
        <f t="shared" si="9"/>
        <v>90</v>
      </c>
      <c r="O123" s="362">
        <v>0</v>
      </c>
      <c r="P123" s="363">
        <f t="shared" si="7"/>
        <v>36</v>
      </c>
      <c r="Q123" s="364">
        <v>0.05</v>
      </c>
      <c r="R123" s="365">
        <f t="shared" si="10"/>
        <v>59.375</v>
      </c>
      <c r="S123" s="366">
        <f t="shared" si="13"/>
        <v>36</v>
      </c>
      <c r="T123" s="367">
        <f t="shared" si="11"/>
        <v>2137.5</v>
      </c>
      <c r="U123" s="367">
        <f t="shared" si="12"/>
        <v>-22.5</v>
      </c>
      <c r="V123" s="334"/>
    </row>
    <row r="124" s="158" customFormat="1" ht="14.55" outlineLevel="1" spans="2:22">
      <c r="B124" s="355"/>
      <c r="C124" s="356" t="s">
        <v>1397</v>
      </c>
      <c r="D124" s="357" t="s">
        <v>177</v>
      </c>
      <c r="E124" s="357" t="s">
        <v>342</v>
      </c>
      <c r="F124" s="357" t="s">
        <v>343</v>
      </c>
      <c r="G124" s="358" t="s">
        <v>344</v>
      </c>
      <c r="H124" s="359">
        <v>36</v>
      </c>
      <c r="I124" s="360">
        <v>0.05</v>
      </c>
      <c r="J124" s="361">
        <f t="shared" si="8"/>
        <v>0.0263888888888889</v>
      </c>
      <c r="K124" s="362">
        <v>6355</v>
      </c>
      <c r="L124" s="362">
        <v>6100.8</v>
      </c>
      <c r="M124" s="362"/>
      <c r="N124" s="362">
        <f t="shared" si="9"/>
        <v>254.2</v>
      </c>
      <c r="O124" s="362">
        <v>0</v>
      </c>
      <c r="P124" s="363">
        <f t="shared" si="7"/>
        <v>36</v>
      </c>
      <c r="Q124" s="364">
        <v>0.05</v>
      </c>
      <c r="R124" s="365">
        <f t="shared" si="10"/>
        <v>167.701388888889</v>
      </c>
      <c r="S124" s="366">
        <f t="shared" si="13"/>
        <v>36</v>
      </c>
      <c r="T124" s="367">
        <f t="shared" si="11"/>
        <v>6037.25</v>
      </c>
      <c r="U124" s="367">
        <f t="shared" si="12"/>
        <v>-63.5500000000002</v>
      </c>
      <c r="V124" s="334"/>
    </row>
    <row r="125" s="158" customFormat="1" ht="14.55" outlineLevel="1" spans="2:22">
      <c r="B125" s="355"/>
      <c r="C125" s="356" t="s">
        <v>1397</v>
      </c>
      <c r="D125" s="357" t="s">
        <v>177</v>
      </c>
      <c r="E125" s="357" t="s">
        <v>345</v>
      </c>
      <c r="F125" s="357" t="s">
        <v>346</v>
      </c>
      <c r="G125" s="358" t="s">
        <v>283</v>
      </c>
      <c r="H125" s="359">
        <v>36</v>
      </c>
      <c r="I125" s="360">
        <v>0.05</v>
      </c>
      <c r="J125" s="361">
        <f t="shared" si="8"/>
        <v>0.0263888888888889</v>
      </c>
      <c r="K125" s="362">
        <v>3399</v>
      </c>
      <c r="L125" s="362">
        <v>3263.04</v>
      </c>
      <c r="M125" s="362"/>
      <c r="N125" s="362">
        <f t="shared" si="9"/>
        <v>135.96</v>
      </c>
      <c r="O125" s="362">
        <v>0</v>
      </c>
      <c r="P125" s="363">
        <f t="shared" ref="P125:P156" si="14">_xlfn.XLOOKUP(D125,$C$484:$C$489,$E$484:$E$489)</f>
        <v>36</v>
      </c>
      <c r="Q125" s="364">
        <v>0.05</v>
      </c>
      <c r="R125" s="365">
        <f t="shared" si="10"/>
        <v>89.6958333333333</v>
      </c>
      <c r="S125" s="366">
        <f t="shared" si="13"/>
        <v>36</v>
      </c>
      <c r="T125" s="367">
        <f t="shared" si="11"/>
        <v>3229.05</v>
      </c>
      <c r="U125" s="367">
        <f t="shared" si="12"/>
        <v>-33.9900000000002</v>
      </c>
      <c r="V125" s="334"/>
    </row>
    <row r="126" s="158" customFormat="1" ht="14.55" outlineLevel="1" spans="2:22">
      <c r="B126" s="355"/>
      <c r="C126" s="356" t="s">
        <v>1397</v>
      </c>
      <c r="D126" s="357" t="s">
        <v>177</v>
      </c>
      <c r="E126" s="357" t="s">
        <v>347</v>
      </c>
      <c r="F126" s="357" t="s">
        <v>348</v>
      </c>
      <c r="G126" s="358" t="s">
        <v>283</v>
      </c>
      <c r="H126" s="359">
        <v>36</v>
      </c>
      <c r="I126" s="360">
        <v>0.05</v>
      </c>
      <c r="J126" s="361">
        <f t="shared" si="8"/>
        <v>0.0263888888888889</v>
      </c>
      <c r="K126" s="362">
        <v>8650</v>
      </c>
      <c r="L126" s="362">
        <v>8304</v>
      </c>
      <c r="M126" s="362"/>
      <c r="N126" s="362">
        <f t="shared" si="9"/>
        <v>346</v>
      </c>
      <c r="O126" s="362">
        <v>0</v>
      </c>
      <c r="P126" s="363">
        <f t="shared" si="14"/>
        <v>36</v>
      </c>
      <c r="Q126" s="364">
        <v>0.05</v>
      </c>
      <c r="R126" s="365">
        <f t="shared" si="10"/>
        <v>228.263888888889</v>
      </c>
      <c r="S126" s="366">
        <f t="shared" si="13"/>
        <v>36</v>
      </c>
      <c r="T126" s="367">
        <f t="shared" si="11"/>
        <v>8217.5</v>
      </c>
      <c r="U126" s="367">
        <f t="shared" si="12"/>
        <v>-86.5</v>
      </c>
      <c r="V126" s="334"/>
    </row>
    <row r="127" s="158" customFormat="1" ht="14.55" outlineLevel="1" spans="2:22">
      <c r="B127" s="355"/>
      <c r="C127" s="356" t="s">
        <v>1397</v>
      </c>
      <c r="D127" s="357" t="s">
        <v>177</v>
      </c>
      <c r="E127" s="357" t="s">
        <v>349</v>
      </c>
      <c r="F127" s="357" t="s">
        <v>350</v>
      </c>
      <c r="G127" s="358" t="s">
        <v>286</v>
      </c>
      <c r="H127" s="359">
        <v>36</v>
      </c>
      <c r="I127" s="360">
        <v>0.05</v>
      </c>
      <c r="J127" s="361">
        <f t="shared" si="8"/>
        <v>0.0263888888888889</v>
      </c>
      <c r="K127" s="362">
        <v>68000</v>
      </c>
      <c r="L127" s="362">
        <v>65280</v>
      </c>
      <c r="M127" s="362"/>
      <c r="N127" s="362">
        <f t="shared" si="9"/>
        <v>2720</v>
      </c>
      <c r="O127" s="362">
        <v>0</v>
      </c>
      <c r="P127" s="363">
        <f t="shared" si="14"/>
        <v>36</v>
      </c>
      <c r="Q127" s="364">
        <v>0.05</v>
      </c>
      <c r="R127" s="365">
        <f t="shared" si="10"/>
        <v>1794.44444444444</v>
      </c>
      <c r="S127" s="366">
        <f t="shared" si="13"/>
        <v>36</v>
      </c>
      <c r="T127" s="367">
        <f t="shared" si="11"/>
        <v>64600</v>
      </c>
      <c r="U127" s="367">
        <f t="shared" si="12"/>
        <v>-680</v>
      </c>
      <c r="V127" s="334"/>
    </row>
    <row r="128" s="158" customFormat="1" ht="14.55" outlineLevel="1" spans="2:22">
      <c r="B128" s="355"/>
      <c r="C128" s="356" t="s">
        <v>1397</v>
      </c>
      <c r="D128" s="357" t="s">
        <v>177</v>
      </c>
      <c r="E128" s="357" t="s">
        <v>351</v>
      </c>
      <c r="F128" s="357" t="s">
        <v>352</v>
      </c>
      <c r="G128" s="358" t="s">
        <v>286</v>
      </c>
      <c r="H128" s="359">
        <v>36</v>
      </c>
      <c r="I128" s="360">
        <v>0.05</v>
      </c>
      <c r="J128" s="361">
        <f t="shared" si="8"/>
        <v>0.0263888888888889</v>
      </c>
      <c r="K128" s="362">
        <v>58618</v>
      </c>
      <c r="L128" s="362">
        <v>56273.28</v>
      </c>
      <c r="M128" s="362"/>
      <c r="N128" s="362">
        <f t="shared" si="9"/>
        <v>2344.72</v>
      </c>
      <c r="O128" s="362">
        <v>0</v>
      </c>
      <c r="P128" s="363">
        <f t="shared" si="14"/>
        <v>36</v>
      </c>
      <c r="Q128" s="364">
        <v>0.05</v>
      </c>
      <c r="R128" s="365">
        <f t="shared" si="10"/>
        <v>1546.86388888889</v>
      </c>
      <c r="S128" s="366">
        <f t="shared" si="13"/>
        <v>36</v>
      </c>
      <c r="T128" s="367">
        <f t="shared" si="11"/>
        <v>55687.1</v>
      </c>
      <c r="U128" s="367">
        <f t="shared" si="12"/>
        <v>-586.18</v>
      </c>
      <c r="V128" s="334"/>
    </row>
    <row r="129" s="158" customFormat="1" ht="14.55" outlineLevel="1" spans="2:22">
      <c r="B129" s="355"/>
      <c r="C129" s="356" t="s">
        <v>1397</v>
      </c>
      <c r="D129" s="357" t="s">
        <v>177</v>
      </c>
      <c r="E129" s="357" t="s">
        <v>353</v>
      </c>
      <c r="F129" s="357" t="s">
        <v>354</v>
      </c>
      <c r="G129" s="358" t="s">
        <v>355</v>
      </c>
      <c r="H129" s="359">
        <v>36</v>
      </c>
      <c r="I129" s="360">
        <v>0.05</v>
      </c>
      <c r="J129" s="361">
        <f t="shared" si="8"/>
        <v>0.0263888888888889</v>
      </c>
      <c r="K129" s="362">
        <v>175000</v>
      </c>
      <c r="L129" s="362">
        <v>168000</v>
      </c>
      <c r="M129" s="362"/>
      <c r="N129" s="362">
        <f t="shared" si="9"/>
        <v>7000</v>
      </c>
      <c r="O129" s="362">
        <v>0</v>
      </c>
      <c r="P129" s="363">
        <f t="shared" si="14"/>
        <v>36</v>
      </c>
      <c r="Q129" s="364">
        <v>0.04</v>
      </c>
      <c r="R129" s="365">
        <f t="shared" si="10"/>
        <v>4666.66666666667</v>
      </c>
      <c r="S129" s="366">
        <f t="shared" si="13"/>
        <v>36</v>
      </c>
      <c r="T129" s="367">
        <f t="shared" si="11"/>
        <v>168000</v>
      </c>
      <c r="U129" s="367">
        <f t="shared" si="12"/>
        <v>0</v>
      </c>
      <c r="V129" s="334"/>
    </row>
    <row r="130" s="158" customFormat="1" ht="14.55" outlineLevel="1" spans="2:22">
      <c r="B130" s="355"/>
      <c r="C130" s="356" t="s">
        <v>1397</v>
      </c>
      <c r="D130" s="357" t="s">
        <v>177</v>
      </c>
      <c r="E130" s="357" t="s">
        <v>356</v>
      </c>
      <c r="F130" s="357" t="s">
        <v>357</v>
      </c>
      <c r="G130" s="358" t="s">
        <v>358</v>
      </c>
      <c r="H130" s="359">
        <v>36</v>
      </c>
      <c r="I130" s="360">
        <v>0.05</v>
      </c>
      <c r="J130" s="361">
        <f t="shared" si="8"/>
        <v>0.0263888888888889</v>
      </c>
      <c r="K130" s="362">
        <v>3199</v>
      </c>
      <c r="L130" s="362">
        <v>3071.04</v>
      </c>
      <c r="M130" s="362"/>
      <c r="N130" s="362">
        <f t="shared" si="9"/>
        <v>127.96</v>
      </c>
      <c r="O130" s="362">
        <v>0</v>
      </c>
      <c r="P130" s="363">
        <f t="shared" si="14"/>
        <v>36</v>
      </c>
      <c r="Q130" s="364">
        <v>0.04</v>
      </c>
      <c r="R130" s="365">
        <f t="shared" si="10"/>
        <v>85.3066666666667</v>
      </c>
      <c r="S130" s="366">
        <f t="shared" si="13"/>
        <v>36</v>
      </c>
      <c r="T130" s="367">
        <f t="shared" si="11"/>
        <v>3071.04</v>
      </c>
      <c r="U130" s="367">
        <f t="shared" si="12"/>
        <v>0</v>
      </c>
      <c r="V130" s="334"/>
    </row>
    <row r="131" s="158" customFormat="1" ht="14.55" outlineLevel="1" spans="2:22">
      <c r="B131" s="355"/>
      <c r="C131" s="356" t="s">
        <v>1397</v>
      </c>
      <c r="D131" s="357" t="s">
        <v>177</v>
      </c>
      <c r="E131" s="357" t="s">
        <v>359</v>
      </c>
      <c r="F131" s="357" t="s">
        <v>360</v>
      </c>
      <c r="G131" s="358" t="s">
        <v>295</v>
      </c>
      <c r="H131" s="359">
        <v>36</v>
      </c>
      <c r="I131" s="360">
        <v>0.05</v>
      </c>
      <c r="J131" s="361">
        <f t="shared" si="8"/>
        <v>0.0263888888888889</v>
      </c>
      <c r="K131" s="362">
        <v>1688</v>
      </c>
      <c r="L131" s="362">
        <v>1620.48</v>
      </c>
      <c r="M131" s="362"/>
      <c r="N131" s="362">
        <f t="shared" si="9"/>
        <v>67.52</v>
      </c>
      <c r="O131" s="362">
        <v>0</v>
      </c>
      <c r="P131" s="363">
        <f t="shared" si="14"/>
        <v>36</v>
      </c>
      <c r="Q131" s="364">
        <v>0.04</v>
      </c>
      <c r="R131" s="365">
        <f t="shared" si="10"/>
        <v>45.0133333333333</v>
      </c>
      <c r="S131" s="366">
        <f t="shared" si="13"/>
        <v>36</v>
      </c>
      <c r="T131" s="367">
        <f t="shared" si="11"/>
        <v>1620.48</v>
      </c>
      <c r="U131" s="367">
        <f t="shared" si="12"/>
        <v>0</v>
      </c>
      <c r="V131" s="334"/>
    </row>
    <row r="132" s="158" customFormat="1" ht="14.55" outlineLevel="1" spans="2:22">
      <c r="B132" s="355"/>
      <c r="C132" s="356" t="s">
        <v>1397</v>
      </c>
      <c r="D132" s="357" t="s">
        <v>177</v>
      </c>
      <c r="E132" s="357" t="s">
        <v>361</v>
      </c>
      <c r="F132" s="357" t="s">
        <v>362</v>
      </c>
      <c r="G132" s="358" t="s">
        <v>363</v>
      </c>
      <c r="H132" s="359">
        <v>36</v>
      </c>
      <c r="I132" s="360">
        <v>0.05</v>
      </c>
      <c r="J132" s="361">
        <f t="shared" si="8"/>
        <v>0.0263888888888889</v>
      </c>
      <c r="K132" s="362">
        <v>2599</v>
      </c>
      <c r="L132" s="362">
        <v>2495.04</v>
      </c>
      <c r="M132" s="362"/>
      <c r="N132" s="362">
        <f t="shared" si="9"/>
        <v>103.96</v>
      </c>
      <c r="O132" s="362">
        <v>0</v>
      </c>
      <c r="P132" s="363">
        <f t="shared" si="14"/>
        <v>36</v>
      </c>
      <c r="Q132" s="364">
        <v>0.04</v>
      </c>
      <c r="R132" s="365">
        <f t="shared" si="10"/>
        <v>69.3066666666667</v>
      </c>
      <c r="S132" s="366">
        <f t="shared" si="13"/>
        <v>36</v>
      </c>
      <c r="T132" s="367">
        <f t="shared" si="11"/>
        <v>2495.04</v>
      </c>
      <c r="U132" s="367">
        <f t="shared" si="12"/>
        <v>0</v>
      </c>
      <c r="V132" s="334"/>
    </row>
    <row r="133" s="158" customFormat="1" ht="14.55" outlineLevel="1" spans="2:22">
      <c r="B133" s="355"/>
      <c r="C133" s="356" t="s">
        <v>1397</v>
      </c>
      <c r="D133" s="357" t="s">
        <v>177</v>
      </c>
      <c r="E133" s="357" t="s">
        <v>364</v>
      </c>
      <c r="F133" s="357" t="s">
        <v>365</v>
      </c>
      <c r="G133" s="358" t="s">
        <v>366</v>
      </c>
      <c r="H133" s="359">
        <v>36</v>
      </c>
      <c r="I133" s="360">
        <v>0.05</v>
      </c>
      <c r="J133" s="361">
        <f t="shared" si="8"/>
        <v>0.0263888888888889</v>
      </c>
      <c r="K133" s="362">
        <v>5360</v>
      </c>
      <c r="L133" s="362">
        <v>5145.6</v>
      </c>
      <c r="M133" s="362"/>
      <c r="N133" s="362">
        <f t="shared" si="9"/>
        <v>214.4</v>
      </c>
      <c r="O133" s="362">
        <v>0</v>
      </c>
      <c r="P133" s="363">
        <f t="shared" si="14"/>
        <v>36</v>
      </c>
      <c r="Q133" s="364">
        <v>0.04</v>
      </c>
      <c r="R133" s="365">
        <f t="shared" si="10"/>
        <v>142.933333333333</v>
      </c>
      <c r="S133" s="366">
        <f t="shared" si="13"/>
        <v>36</v>
      </c>
      <c r="T133" s="367">
        <f t="shared" si="11"/>
        <v>5145.6</v>
      </c>
      <c r="U133" s="367">
        <f t="shared" si="12"/>
        <v>0</v>
      </c>
      <c r="V133" s="334"/>
    </row>
    <row r="134" s="158" customFormat="1" ht="14.55" outlineLevel="1" spans="2:22">
      <c r="B134" s="355"/>
      <c r="C134" s="356" t="s">
        <v>1397</v>
      </c>
      <c r="D134" s="357" t="s">
        <v>177</v>
      </c>
      <c r="E134" s="357" t="s">
        <v>367</v>
      </c>
      <c r="F134" s="357" t="s">
        <v>368</v>
      </c>
      <c r="G134" s="358" t="s">
        <v>298</v>
      </c>
      <c r="H134" s="359">
        <v>36</v>
      </c>
      <c r="I134" s="360">
        <v>0.05</v>
      </c>
      <c r="J134" s="361">
        <f t="shared" si="8"/>
        <v>0.0263888888888889</v>
      </c>
      <c r="K134" s="362">
        <v>5300</v>
      </c>
      <c r="L134" s="362">
        <v>5035</v>
      </c>
      <c r="M134" s="362"/>
      <c r="N134" s="362">
        <f t="shared" si="9"/>
        <v>265</v>
      </c>
      <c r="O134" s="362">
        <v>0</v>
      </c>
      <c r="P134" s="363">
        <f t="shared" si="14"/>
        <v>36</v>
      </c>
      <c r="Q134" s="364">
        <v>0.04</v>
      </c>
      <c r="R134" s="365">
        <f t="shared" si="10"/>
        <v>141.333333333333</v>
      </c>
      <c r="S134" s="366">
        <f t="shared" si="13"/>
        <v>36</v>
      </c>
      <c r="T134" s="367">
        <f t="shared" si="11"/>
        <v>5088</v>
      </c>
      <c r="U134" s="367">
        <f t="shared" si="12"/>
        <v>53</v>
      </c>
      <c r="V134" s="334"/>
    </row>
    <row r="135" s="158" customFormat="1" ht="14.55" outlineLevel="1" spans="2:22">
      <c r="B135" s="355"/>
      <c r="C135" s="356" t="s">
        <v>1397</v>
      </c>
      <c r="D135" s="357" t="s">
        <v>177</v>
      </c>
      <c r="E135" s="357" t="s">
        <v>369</v>
      </c>
      <c r="F135" s="357" t="s">
        <v>370</v>
      </c>
      <c r="G135" s="358" t="s">
        <v>298</v>
      </c>
      <c r="H135" s="359">
        <v>36</v>
      </c>
      <c r="I135" s="360">
        <v>0.05</v>
      </c>
      <c r="J135" s="361">
        <f t="shared" si="8"/>
        <v>0.0263888888888889</v>
      </c>
      <c r="K135" s="362">
        <v>6250</v>
      </c>
      <c r="L135" s="362">
        <v>5937.5</v>
      </c>
      <c r="M135" s="362"/>
      <c r="N135" s="362">
        <f t="shared" si="9"/>
        <v>312.5</v>
      </c>
      <c r="O135" s="362">
        <v>0</v>
      </c>
      <c r="P135" s="363">
        <f t="shared" si="14"/>
        <v>36</v>
      </c>
      <c r="Q135" s="364">
        <v>0.04</v>
      </c>
      <c r="R135" s="365">
        <f t="shared" si="10"/>
        <v>166.666666666667</v>
      </c>
      <c r="S135" s="366">
        <f t="shared" si="13"/>
        <v>36</v>
      </c>
      <c r="T135" s="367">
        <f t="shared" si="11"/>
        <v>6000</v>
      </c>
      <c r="U135" s="367">
        <f t="shared" si="12"/>
        <v>62.5</v>
      </c>
      <c r="V135" s="334"/>
    </row>
    <row r="136" s="158" customFormat="1" ht="14.55" outlineLevel="1" spans="2:22">
      <c r="B136" s="355"/>
      <c r="C136" s="356" t="s">
        <v>1397</v>
      </c>
      <c r="D136" s="357" t="s">
        <v>177</v>
      </c>
      <c r="E136" s="357" t="s">
        <v>371</v>
      </c>
      <c r="F136" s="357" t="s">
        <v>372</v>
      </c>
      <c r="G136" s="358" t="s">
        <v>298</v>
      </c>
      <c r="H136" s="359">
        <v>36</v>
      </c>
      <c r="I136" s="360">
        <v>0.05</v>
      </c>
      <c r="J136" s="361">
        <f t="shared" si="8"/>
        <v>0.0263888888888889</v>
      </c>
      <c r="K136" s="362">
        <v>5200</v>
      </c>
      <c r="L136" s="362">
        <v>4940</v>
      </c>
      <c r="M136" s="362"/>
      <c r="N136" s="362">
        <f t="shared" si="9"/>
        <v>260</v>
      </c>
      <c r="O136" s="362">
        <v>0</v>
      </c>
      <c r="P136" s="363">
        <f t="shared" si="14"/>
        <v>36</v>
      </c>
      <c r="Q136" s="364">
        <v>0.04</v>
      </c>
      <c r="R136" s="365">
        <f t="shared" si="10"/>
        <v>138.666666666667</v>
      </c>
      <c r="S136" s="366">
        <f t="shared" si="13"/>
        <v>36</v>
      </c>
      <c r="T136" s="367">
        <f t="shared" si="11"/>
        <v>4992</v>
      </c>
      <c r="U136" s="367">
        <f t="shared" si="12"/>
        <v>52</v>
      </c>
      <c r="V136" s="334"/>
    </row>
    <row r="137" s="158" customFormat="1" ht="14.55" outlineLevel="1" spans="2:22">
      <c r="B137" s="355"/>
      <c r="C137" s="356" t="s">
        <v>1397</v>
      </c>
      <c r="D137" s="357" t="s">
        <v>177</v>
      </c>
      <c r="E137" s="357" t="s">
        <v>373</v>
      </c>
      <c r="F137" s="357" t="s">
        <v>374</v>
      </c>
      <c r="G137" s="358" t="s">
        <v>375</v>
      </c>
      <c r="H137" s="359">
        <v>36</v>
      </c>
      <c r="I137" s="360">
        <v>0.05</v>
      </c>
      <c r="J137" s="361">
        <f t="shared" si="8"/>
        <v>0.0263888888888889</v>
      </c>
      <c r="K137" s="362">
        <v>1850</v>
      </c>
      <c r="L137" s="362">
        <v>1757.5</v>
      </c>
      <c r="M137" s="362"/>
      <c r="N137" s="362">
        <f t="shared" si="9"/>
        <v>92.5</v>
      </c>
      <c r="O137" s="362">
        <v>0</v>
      </c>
      <c r="P137" s="363">
        <f t="shared" si="14"/>
        <v>36</v>
      </c>
      <c r="Q137" s="364">
        <v>0.04</v>
      </c>
      <c r="R137" s="365">
        <f t="shared" si="10"/>
        <v>49.3333333333333</v>
      </c>
      <c r="S137" s="366">
        <f t="shared" si="13"/>
        <v>36</v>
      </c>
      <c r="T137" s="367">
        <f t="shared" si="11"/>
        <v>1776</v>
      </c>
      <c r="U137" s="367">
        <f t="shared" si="12"/>
        <v>18.5</v>
      </c>
      <c r="V137" s="334"/>
    </row>
    <row r="138" s="158" customFormat="1" ht="14.55" outlineLevel="1" spans="2:22">
      <c r="B138" s="355"/>
      <c r="C138" s="356" t="s">
        <v>1397</v>
      </c>
      <c r="D138" s="357" t="s">
        <v>177</v>
      </c>
      <c r="E138" s="357" t="s">
        <v>376</v>
      </c>
      <c r="F138" s="357" t="s">
        <v>377</v>
      </c>
      <c r="G138" s="358" t="s">
        <v>375</v>
      </c>
      <c r="H138" s="359">
        <v>36</v>
      </c>
      <c r="I138" s="360">
        <v>0.05</v>
      </c>
      <c r="J138" s="361">
        <f t="shared" si="8"/>
        <v>0.0263888888888889</v>
      </c>
      <c r="K138" s="362">
        <v>1900</v>
      </c>
      <c r="L138" s="362">
        <v>1805</v>
      </c>
      <c r="M138" s="362"/>
      <c r="N138" s="362">
        <f t="shared" si="9"/>
        <v>95</v>
      </c>
      <c r="O138" s="362">
        <v>0</v>
      </c>
      <c r="P138" s="363">
        <f t="shared" si="14"/>
        <v>36</v>
      </c>
      <c r="Q138" s="364">
        <v>0.04</v>
      </c>
      <c r="R138" s="365">
        <f t="shared" si="10"/>
        <v>50.6666666666667</v>
      </c>
      <c r="S138" s="366">
        <f t="shared" si="13"/>
        <v>36</v>
      </c>
      <c r="T138" s="367">
        <f t="shared" si="11"/>
        <v>1824</v>
      </c>
      <c r="U138" s="367">
        <f t="shared" si="12"/>
        <v>19</v>
      </c>
      <c r="V138" s="334"/>
    </row>
    <row r="139" s="158" customFormat="1" ht="14.55" outlineLevel="1" spans="2:22">
      <c r="B139" s="355"/>
      <c r="C139" s="356" t="s">
        <v>1397</v>
      </c>
      <c r="D139" s="357" t="s">
        <v>177</v>
      </c>
      <c r="E139" s="357" t="s">
        <v>378</v>
      </c>
      <c r="F139" s="357" t="s">
        <v>379</v>
      </c>
      <c r="G139" s="358" t="s">
        <v>380</v>
      </c>
      <c r="H139" s="359">
        <v>60</v>
      </c>
      <c r="I139" s="360">
        <v>0.05</v>
      </c>
      <c r="J139" s="361">
        <f t="shared" si="8"/>
        <v>0.0158333333333333</v>
      </c>
      <c r="K139" s="362">
        <v>118704</v>
      </c>
      <c r="L139" s="362">
        <v>81224.97</v>
      </c>
      <c r="M139" s="362"/>
      <c r="N139" s="362">
        <f t="shared" si="9"/>
        <v>37479.03</v>
      </c>
      <c r="O139" s="362">
        <v>19922.52</v>
      </c>
      <c r="P139" s="363">
        <f t="shared" si="14"/>
        <v>36</v>
      </c>
      <c r="Q139" s="364">
        <v>0.04</v>
      </c>
      <c r="R139" s="365">
        <f t="shared" si="10"/>
        <v>3165.44</v>
      </c>
      <c r="S139" s="366">
        <f t="shared" si="13"/>
        <v>36</v>
      </c>
      <c r="T139" s="367">
        <f t="shared" si="11"/>
        <v>113955.84</v>
      </c>
      <c r="U139" s="367">
        <f t="shared" si="12"/>
        <v>32730.87</v>
      </c>
      <c r="V139" s="334"/>
    </row>
    <row r="140" s="158" customFormat="1" ht="14.55" outlineLevel="1" spans="2:22">
      <c r="B140" s="355"/>
      <c r="C140" s="356" t="s">
        <v>1397</v>
      </c>
      <c r="D140" s="357" t="s">
        <v>177</v>
      </c>
      <c r="E140" s="357" t="s">
        <v>381</v>
      </c>
      <c r="F140" s="357" t="s">
        <v>382</v>
      </c>
      <c r="G140" s="358" t="s">
        <v>383</v>
      </c>
      <c r="H140" s="359">
        <v>60</v>
      </c>
      <c r="I140" s="360">
        <v>0.05</v>
      </c>
      <c r="J140" s="361">
        <f t="shared" si="8"/>
        <v>0.0158333333333333</v>
      </c>
      <c r="K140" s="362">
        <v>45176</v>
      </c>
      <c r="L140" s="362">
        <v>29326.89</v>
      </c>
      <c r="M140" s="362"/>
      <c r="N140" s="362">
        <f t="shared" si="9"/>
        <v>15849.11</v>
      </c>
      <c r="O140" s="362">
        <v>8583.48</v>
      </c>
      <c r="P140" s="363">
        <f t="shared" si="14"/>
        <v>36</v>
      </c>
      <c r="Q140" s="364">
        <v>0.04</v>
      </c>
      <c r="R140" s="365">
        <f t="shared" si="10"/>
        <v>1204.69333333333</v>
      </c>
      <c r="S140" s="366">
        <f t="shared" si="13"/>
        <v>36</v>
      </c>
      <c r="T140" s="367">
        <f t="shared" si="11"/>
        <v>43368.96</v>
      </c>
      <c r="U140" s="367">
        <f t="shared" si="12"/>
        <v>14042.07</v>
      </c>
      <c r="V140" s="334"/>
    </row>
    <row r="141" s="158" customFormat="1" ht="14.55" outlineLevel="1" spans="2:22">
      <c r="B141" s="355"/>
      <c r="C141" s="356" t="s">
        <v>1397</v>
      </c>
      <c r="D141" s="357" t="s">
        <v>177</v>
      </c>
      <c r="E141" s="357" t="s">
        <v>384</v>
      </c>
      <c r="F141" s="357" t="s">
        <v>385</v>
      </c>
      <c r="G141" s="358" t="s">
        <v>386</v>
      </c>
      <c r="H141" s="359">
        <v>60</v>
      </c>
      <c r="I141" s="360">
        <v>0.05</v>
      </c>
      <c r="J141" s="361">
        <f t="shared" si="8"/>
        <v>0.0158333333333333</v>
      </c>
      <c r="K141" s="362">
        <v>3190</v>
      </c>
      <c r="L141" s="362">
        <v>2020.4</v>
      </c>
      <c r="M141" s="362"/>
      <c r="N141" s="362">
        <f t="shared" si="9"/>
        <v>1169.6</v>
      </c>
      <c r="O141" s="362">
        <v>606.12</v>
      </c>
      <c r="P141" s="363">
        <f t="shared" si="14"/>
        <v>36</v>
      </c>
      <c r="Q141" s="364">
        <v>0.04</v>
      </c>
      <c r="R141" s="365">
        <f t="shared" si="10"/>
        <v>85.0666666666667</v>
      </c>
      <c r="S141" s="366">
        <f t="shared" si="13"/>
        <v>36</v>
      </c>
      <c r="T141" s="367">
        <f t="shared" si="11"/>
        <v>3062.4</v>
      </c>
      <c r="U141" s="367">
        <f t="shared" si="12"/>
        <v>1042</v>
      </c>
      <c r="V141" s="334"/>
    </row>
    <row r="142" s="158" customFormat="1" ht="14.55" outlineLevel="1" spans="2:22">
      <c r="B142" s="355"/>
      <c r="C142" s="356" t="s">
        <v>1397</v>
      </c>
      <c r="D142" s="357" t="s">
        <v>177</v>
      </c>
      <c r="E142" s="357" t="s">
        <v>387</v>
      </c>
      <c r="F142" s="357" t="s">
        <v>388</v>
      </c>
      <c r="G142" s="358" t="s">
        <v>386</v>
      </c>
      <c r="H142" s="359">
        <v>60</v>
      </c>
      <c r="I142" s="360">
        <v>0.05</v>
      </c>
      <c r="J142" s="361">
        <f t="shared" si="8"/>
        <v>0.0158333333333333</v>
      </c>
      <c r="K142" s="362">
        <v>1580</v>
      </c>
      <c r="L142" s="362">
        <v>1000.8</v>
      </c>
      <c r="M142" s="362"/>
      <c r="N142" s="362">
        <f t="shared" si="9"/>
        <v>579.2</v>
      </c>
      <c r="O142" s="362">
        <v>300.24</v>
      </c>
      <c r="P142" s="363">
        <f t="shared" si="14"/>
        <v>36</v>
      </c>
      <c r="Q142" s="364">
        <v>0.04</v>
      </c>
      <c r="R142" s="365">
        <f t="shared" si="10"/>
        <v>42.1333333333333</v>
      </c>
      <c r="S142" s="366">
        <f t="shared" si="13"/>
        <v>36</v>
      </c>
      <c r="T142" s="367">
        <f t="shared" si="11"/>
        <v>1516.8</v>
      </c>
      <c r="U142" s="367">
        <f t="shared" si="12"/>
        <v>516</v>
      </c>
      <c r="V142" s="334"/>
    </row>
    <row r="143" s="158" customFormat="1" ht="14.55" outlineLevel="1" spans="2:22">
      <c r="B143" s="355"/>
      <c r="C143" s="356" t="s">
        <v>1397</v>
      </c>
      <c r="D143" s="357" t="s">
        <v>177</v>
      </c>
      <c r="E143" s="357" t="s">
        <v>389</v>
      </c>
      <c r="F143" s="357" t="s">
        <v>390</v>
      </c>
      <c r="G143" s="358" t="s">
        <v>386</v>
      </c>
      <c r="H143" s="359">
        <v>60</v>
      </c>
      <c r="I143" s="360">
        <v>0.05</v>
      </c>
      <c r="J143" s="361">
        <f t="shared" si="8"/>
        <v>0.0158333333333333</v>
      </c>
      <c r="K143" s="362">
        <v>7857.01</v>
      </c>
      <c r="L143" s="362">
        <v>4976</v>
      </c>
      <c r="M143" s="362"/>
      <c r="N143" s="362">
        <f t="shared" si="9"/>
        <v>2881.01</v>
      </c>
      <c r="O143" s="362">
        <v>1492.8</v>
      </c>
      <c r="P143" s="363">
        <f t="shared" si="14"/>
        <v>36</v>
      </c>
      <c r="Q143" s="364">
        <v>0.04</v>
      </c>
      <c r="R143" s="365">
        <f t="shared" si="10"/>
        <v>209.520266666667</v>
      </c>
      <c r="S143" s="366">
        <f t="shared" si="13"/>
        <v>36</v>
      </c>
      <c r="T143" s="367">
        <f t="shared" si="11"/>
        <v>7542.7296</v>
      </c>
      <c r="U143" s="367">
        <f t="shared" si="12"/>
        <v>2566.7296</v>
      </c>
      <c r="V143" s="334"/>
    </row>
    <row r="144" s="158" customFormat="1" ht="14.55" outlineLevel="1" spans="2:22">
      <c r="B144" s="355"/>
      <c r="C144" s="356" t="s">
        <v>1397</v>
      </c>
      <c r="D144" s="357" t="s">
        <v>177</v>
      </c>
      <c r="E144" s="357" t="s">
        <v>391</v>
      </c>
      <c r="F144" s="357" t="s">
        <v>392</v>
      </c>
      <c r="G144" s="358" t="s">
        <v>393</v>
      </c>
      <c r="H144" s="359">
        <v>60</v>
      </c>
      <c r="I144" s="360">
        <v>0.05</v>
      </c>
      <c r="J144" s="361">
        <f t="shared" si="8"/>
        <v>0.0158333333333333</v>
      </c>
      <c r="K144" s="362">
        <v>4940</v>
      </c>
      <c r="L144" s="362">
        <v>3050.58</v>
      </c>
      <c r="M144" s="362"/>
      <c r="N144" s="362">
        <f t="shared" si="9"/>
        <v>1889.42</v>
      </c>
      <c r="O144" s="362">
        <v>938.64</v>
      </c>
      <c r="P144" s="363">
        <f t="shared" si="14"/>
        <v>36</v>
      </c>
      <c r="Q144" s="364">
        <v>0.04</v>
      </c>
      <c r="R144" s="365">
        <f t="shared" si="10"/>
        <v>131.733333333333</v>
      </c>
      <c r="S144" s="366">
        <f t="shared" si="13"/>
        <v>36</v>
      </c>
      <c r="T144" s="367">
        <f t="shared" si="11"/>
        <v>4742.4</v>
      </c>
      <c r="U144" s="367">
        <f t="shared" si="12"/>
        <v>1691.82</v>
      </c>
      <c r="V144" s="334"/>
    </row>
    <row r="145" s="158" customFormat="1" ht="14.55" outlineLevel="1" spans="2:22">
      <c r="B145" s="355"/>
      <c r="C145" s="356" t="s">
        <v>1397</v>
      </c>
      <c r="D145" s="357" t="s">
        <v>177</v>
      </c>
      <c r="E145" s="357" t="s">
        <v>394</v>
      </c>
      <c r="F145" s="357" t="s">
        <v>395</v>
      </c>
      <c r="G145" s="358" t="s">
        <v>386</v>
      </c>
      <c r="H145" s="359">
        <v>36</v>
      </c>
      <c r="I145" s="360">
        <v>0.05</v>
      </c>
      <c r="J145" s="361">
        <f t="shared" si="8"/>
        <v>0.0263888888888889</v>
      </c>
      <c r="K145" s="362">
        <v>4098</v>
      </c>
      <c r="L145" s="362">
        <v>3893.1</v>
      </c>
      <c r="M145" s="362"/>
      <c r="N145" s="362">
        <f t="shared" si="9"/>
        <v>204.9</v>
      </c>
      <c r="O145" s="362">
        <v>865.18</v>
      </c>
      <c r="P145" s="363">
        <f t="shared" si="14"/>
        <v>36</v>
      </c>
      <c r="Q145" s="364">
        <v>0.04</v>
      </c>
      <c r="R145" s="365">
        <f t="shared" si="10"/>
        <v>109.28</v>
      </c>
      <c r="S145" s="366">
        <f t="shared" si="13"/>
        <v>36</v>
      </c>
      <c r="T145" s="367">
        <f t="shared" si="11"/>
        <v>3934.08</v>
      </c>
      <c r="U145" s="367">
        <f t="shared" si="12"/>
        <v>40.98</v>
      </c>
      <c r="V145" s="334"/>
    </row>
    <row r="146" s="158" customFormat="1" ht="14.55" outlineLevel="1" spans="2:22">
      <c r="B146" s="355"/>
      <c r="C146" s="356" t="s">
        <v>1397</v>
      </c>
      <c r="D146" s="357" t="s">
        <v>177</v>
      </c>
      <c r="E146" s="357" t="s">
        <v>396</v>
      </c>
      <c r="F146" s="357" t="s">
        <v>397</v>
      </c>
      <c r="G146" s="358" t="s">
        <v>386</v>
      </c>
      <c r="H146" s="359">
        <v>36</v>
      </c>
      <c r="I146" s="360">
        <v>0.05</v>
      </c>
      <c r="J146" s="361">
        <f t="shared" si="8"/>
        <v>0.0263888888888889</v>
      </c>
      <c r="K146" s="362">
        <v>999</v>
      </c>
      <c r="L146" s="362">
        <v>949.05</v>
      </c>
      <c r="M146" s="362"/>
      <c r="N146" s="362">
        <f t="shared" si="9"/>
        <v>49.95</v>
      </c>
      <c r="O146" s="362">
        <v>210.97</v>
      </c>
      <c r="P146" s="363">
        <f t="shared" si="14"/>
        <v>36</v>
      </c>
      <c r="Q146" s="364">
        <v>0.04</v>
      </c>
      <c r="R146" s="365">
        <f t="shared" si="10"/>
        <v>26.64</v>
      </c>
      <c r="S146" s="366">
        <f t="shared" si="13"/>
        <v>36</v>
      </c>
      <c r="T146" s="367">
        <f t="shared" si="11"/>
        <v>959.04</v>
      </c>
      <c r="U146" s="367">
        <f t="shared" si="12"/>
        <v>9.99000000000001</v>
      </c>
      <c r="V146" s="334"/>
    </row>
    <row r="147" s="158" customFormat="1" ht="14.55" outlineLevel="1" spans="2:22">
      <c r="B147" s="355"/>
      <c r="C147" s="356" t="s">
        <v>1397</v>
      </c>
      <c r="D147" s="357" t="s">
        <v>177</v>
      </c>
      <c r="E147" s="357" t="s">
        <v>398</v>
      </c>
      <c r="F147" s="357" t="s">
        <v>399</v>
      </c>
      <c r="G147" s="358" t="s">
        <v>400</v>
      </c>
      <c r="H147" s="359">
        <v>36</v>
      </c>
      <c r="I147" s="360">
        <v>0.05</v>
      </c>
      <c r="J147" s="361">
        <f t="shared" si="8"/>
        <v>0.0263888888888889</v>
      </c>
      <c r="K147" s="362">
        <v>55530</v>
      </c>
      <c r="L147" s="362">
        <v>52753.5</v>
      </c>
      <c r="M147" s="362"/>
      <c r="N147" s="362">
        <f t="shared" si="9"/>
        <v>2776.5</v>
      </c>
      <c r="O147" s="362">
        <v>11722.86</v>
      </c>
      <c r="P147" s="363">
        <f t="shared" si="14"/>
        <v>36</v>
      </c>
      <c r="Q147" s="364">
        <v>0.04</v>
      </c>
      <c r="R147" s="365">
        <f t="shared" si="10"/>
        <v>1480.8</v>
      </c>
      <c r="S147" s="366">
        <f t="shared" si="13"/>
        <v>36</v>
      </c>
      <c r="T147" s="367">
        <f t="shared" si="11"/>
        <v>53308.8</v>
      </c>
      <c r="U147" s="367">
        <f t="shared" si="12"/>
        <v>555.299999999996</v>
      </c>
      <c r="V147" s="334"/>
    </row>
    <row r="148" s="158" customFormat="1" ht="14.55" outlineLevel="1" spans="2:22">
      <c r="B148" s="355"/>
      <c r="C148" s="356" t="s">
        <v>1397</v>
      </c>
      <c r="D148" s="357" t="s">
        <v>177</v>
      </c>
      <c r="E148" s="357" t="s">
        <v>401</v>
      </c>
      <c r="F148" s="357" t="s">
        <v>402</v>
      </c>
      <c r="G148" s="358" t="s">
        <v>403</v>
      </c>
      <c r="H148" s="359">
        <v>60</v>
      </c>
      <c r="I148" s="360">
        <v>0.05</v>
      </c>
      <c r="J148" s="361">
        <f t="shared" si="8"/>
        <v>0.0158333333333333</v>
      </c>
      <c r="K148" s="362">
        <v>2088</v>
      </c>
      <c r="L148" s="362">
        <v>1950.54</v>
      </c>
      <c r="M148" s="362"/>
      <c r="N148" s="362">
        <f t="shared" si="9"/>
        <v>137.46</v>
      </c>
      <c r="O148" s="362">
        <v>396.72</v>
      </c>
      <c r="P148" s="363">
        <f t="shared" si="14"/>
        <v>36</v>
      </c>
      <c r="Q148" s="364">
        <v>0.04</v>
      </c>
      <c r="R148" s="365">
        <f t="shared" si="10"/>
        <v>55.68</v>
      </c>
      <c r="S148" s="366">
        <f t="shared" si="13"/>
        <v>36</v>
      </c>
      <c r="T148" s="367">
        <f t="shared" si="11"/>
        <v>2004.48</v>
      </c>
      <c r="U148" s="367">
        <f t="shared" si="12"/>
        <v>53.9400000000001</v>
      </c>
      <c r="V148" s="334"/>
    </row>
    <row r="149" s="158" customFormat="1" ht="14.55" outlineLevel="1" spans="2:22">
      <c r="B149" s="355"/>
      <c r="C149" s="356" t="s">
        <v>1397</v>
      </c>
      <c r="D149" s="357" t="s">
        <v>177</v>
      </c>
      <c r="E149" s="357" t="s">
        <v>404</v>
      </c>
      <c r="F149" s="357" t="s">
        <v>388</v>
      </c>
      <c r="G149" s="358" t="s">
        <v>405</v>
      </c>
      <c r="H149" s="359">
        <v>60</v>
      </c>
      <c r="I149" s="360">
        <v>0.05</v>
      </c>
      <c r="J149" s="361">
        <f t="shared" si="8"/>
        <v>0.0158333333333333</v>
      </c>
      <c r="K149" s="362">
        <v>11888</v>
      </c>
      <c r="L149" s="362">
        <v>7152.74</v>
      </c>
      <c r="M149" s="362"/>
      <c r="N149" s="362">
        <f t="shared" si="9"/>
        <v>4735.26</v>
      </c>
      <c r="O149" s="362">
        <v>2258.76</v>
      </c>
      <c r="P149" s="363">
        <f t="shared" si="14"/>
        <v>36</v>
      </c>
      <c r="Q149" s="364">
        <v>0.04</v>
      </c>
      <c r="R149" s="365">
        <f t="shared" si="10"/>
        <v>317.013333333333</v>
      </c>
      <c r="S149" s="366">
        <f t="shared" si="13"/>
        <v>36</v>
      </c>
      <c r="T149" s="367">
        <f t="shared" si="11"/>
        <v>11412.48</v>
      </c>
      <c r="U149" s="367">
        <f t="shared" si="12"/>
        <v>4259.74</v>
      </c>
      <c r="V149" s="334"/>
    </row>
    <row r="150" s="158" customFormat="1" ht="14.55" outlineLevel="1" spans="2:22">
      <c r="B150" s="355"/>
      <c r="C150" s="356" t="s">
        <v>1397</v>
      </c>
      <c r="D150" s="357" t="s">
        <v>177</v>
      </c>
      <c r="E150" s="357" t="s">
        <v>406</v>
      </c>
      <c r="F150" s="357" t="s">
        <v>407</v>
      </c>
      <c r="G150" s="358" t="s">
        <v>405</v>
      </c>
      <c r="H150" s="359">
        <v>60</v>
      </c>
      <c r="I150" s="360">
        <v>0.05</v>
      </c>
      <c r="J150" s="361">
        <f t="shared" si="8"/>
        <v>0.0158333333333333</v>
      </c>
      <c r="K150" s="362">
        <v>16200</v>
      </c>
      <c r="L150" s="362">
        <v>9747</v>
      </c>
      <c r="M150" s="362"/>
      <c r="N150" s="362">
        <f t="shared" si="9"/>
        <v>6453</v>
      </c>
      <c r="O150" s="362">
        <v>3078</v>
      </c>
      <c r="P150" s="363">
        <f t="shared" si="14"/>
        <v>36</v>
      </c>
      <c r="Q150" s="364">
        <v>0.04</v>
      </c>
      <c r="R150" s="365">
        <f t="shared" si="10"/>
        <v>432</v>
      </c>
      <c r="S150" s="366">
        <f t="shared" si="13"/>
        <v>36</v>
      </c>
      <c r="T150" s="367">
        <f t="shared" si="11"/>
        <v>15552</v>
      </c>
      <c r="U150" s="367">
        <f t="shared" si="12"/>
        <v>5805</v>
      </c>
      <c r="V150" s="334"/>
    </row>
    <row r="151" s="158" customFormat="1" ht="14.55" outlineLevel="1" spans="2:22">
      <c r="B151" s="355"/>
      <c r="C151" s="356" t="s">
        <v>1397</v>
      </c>
      <c r="D151" s="357" t="s">
        <v>177</v>
      </c>
      <c r="E151" s="357" t="s">
        <v>408</v>
      </c>
      <c r="F151" s="357" t="s">
        <v>409</v>
      </c>
      <c r="G151" s="358" t="s">
        <v>405</v>
      </c>
      <c r="H151" s="359">
        <v>60</v>
      </c>
      <c r="I151" s="360">
        <v>0.05</v>
      </c>
      <c r="J151" s="361">
        <f t="shared" si="8"/>
        <v>0.0158333333333333</v>
      </c>
      <c r="K151" s="362">
        <v>3600</v>
      </c>
      <c r="L151" s="362">
        <v>2166</v>
      </c>
      <c r="M151" s="362"/>
      <c r="N151" s="362">
        <f t="shared" si="9"/>
        <v>1434</v>
      </c>
      <c r="O151" s="362">
        <v>684</v>
      </c>
      <c r="P151" s="363">
        <f t="shared" si="14"/>
        <v>36</v>
      </c>
      <c r="Q151" s="364">
        <v>0.04</v>
      </c>
      <c r="R151" s="365">
        <f t="shared" si="10"/>
        <v>96</v>
      </c>
      <c r="S151" s="366">
        <f t="shared" si="13"/>
        <v>36</v>
      </c>
      <c r="T151" s="367">
        <f t="shared" si="11"/>
        <v>3456</v>
      </c>
      <c r="U151" s="367">
        <f t="shared" si="12"/>
        <v>1290</v>
      </c>
      <c r="V151" s="334"/>
    </row>
    <row r="152" s="158" customFormat="1" ht="14.55" outlineLevel="1" spans="2:22">
      <c r="B152" s="355"/>
      <c r="C152" s="356" t="s">
        <v>1397</v>
      </c>
      <c r="D152" s="357" t="s">
        <v>177</v>
      </c>
      <c r="E152" s="357" t="s">
        <v>410</v>
      </c>
      <c r="F152" s="357" t="s">
        <v>411</v>
      </c>
      <c r="G152" s="358" t="s">
        <v>412</v>
      </c>
      <c r="H152" s="359">
        <v>60</v>
      </c>
      <c r="I152" s="360">
        <v>0.05</v>
      </c>
      <c r="J152" s="361">
        <f t="shared" si="8"/>
        <v>0.0158333333333333</v>
      </c>
      <c r="K152" s="362">
        <v>25500</v>
      </c>
      <c r="L152" s="362">
        <v>14938.75</v>
      </c>
      <c r="M152" s="362"/>
      <c r="N152" s="362">
        <f t="shared" si="9"/>
        <v>10561.25</v>
      </c>
      <c r="O152" s="362">
        <v>4845</v>
      </c>
      <c r="P152" s="363">
        <f t="shared" si="14"/>
        <v>36</v>
      </c>
      <c r="Q152" s="364">
        <v>0.04</v>
      </c>
      <c r="R152" s="365">
        <f t="shared" si="10"/>
        <v>680</v>
      </c>
      <c r="S152" s="366">
        <f t="shared" si="13"/>
        <v>36</v>
      </c>
      <c r="T152" s="367">
        <f t="shared" si="11"/>
        <v>24480</v>
      </c>
      <c r="U152" s="367">
        <f t="shared" si="12"/>
        <v>9541.25</v>
      </c>
      <c r="V152" s="334"/>
    </row>
    <row r="153" s="158" customFormat="1" ht="14.55" outlineLevel="1" spans="2:22">
      <c r="B153" s="355"/>
      <c r="C153" s="356" t="s">
        <v>1397</v>
      </c>
      <c r="D153" s="357" t="s">
        <v>177</v>
      </c>
      <c r="E153" s="357" t="s">
        <v>413</v>
      </c>
      <c r="F153" s="357" t="s">
        <v>414</v>
      </c>
      <c r="G153" s="358" t="s">
        <v>412</v>
      </c>
      <c r="H153" s="359">
        <v>60</v>
      </c>
      <c r="I153" s="360">
        <v>0.05</v>
      </c>
      <c r="J153" s="361">
        <f t="shared" si="8"/>
        <v>0.0158333333333333</v>
      </c>
      <c r="K153" s="362">
        <v>6200</v>
      </c>
      <c r="L153" s="362">
        <v>3632.29</v>
      </c>
      <c r="M153" s="362"/>
      <c r="N153" s="362">
        <f t="shared" si="9"/>
        <v>2567.71</v>
      </c>
      <c r="O153" s="362">
        <v>1178.04</v>
      </c>
      <c r="P153" s="363">
        <f t="shared" si="14"/>
        <v>36</v>
      </c>
      <c r="Q153" s="364">
        <v>0.04</v>
      </c>
      <c r="R153" s="365">
        <f t="shared" si="10"/>
        <v>165.333333333333</v>
      </c>
      <c r="S153" s="366">
        <f t="shared" si="13"/>
        <v>36</v>
      </c>
      <c r="T153" s="367">
        <f t="shared" si="11"/>
        <v>5952</v>
      </c>
      <c r="U153" s="367">
        <f t="shared" si="12"/>
        <v>2319.71</v>
      </c>
      <c r="V153" s="334"/>
    </row>
    <row r="154" s="158" customFormat="1" ht="14.55" outlineLevel="1" spans="2:22">
      <c r="B154" s="355"/>
      <c r="C154" s="356" t="s">
        <v>1397</v>
      </c>
      <c r="D154" s="357" t="s">
        <v>177</v>
      </c>
      <c r="E154" s="357" t="s">
        <v>415</v>
      </c>
      <c r="F154" s="357" t="s">
        <v>409</v>
      </c>
      <c r="G154" s="358" t="s">
        <v>412</v>
      </c>
      <c r="H154" s="359">
        <v>60</v>
      </c>
      <c r="I154" s="360">
        <v>0.05</v>
      </c>
      <c r="J154" s="361">
        <f t="shared" si="8"/>
        <v>0.0158333333333333</v>
      </c>
      <c r="K154" s="362">
        <v>2900</v>
      </c>
      <c r="L154" s="362">
        <v>1699.04</v>
      </c>
      <c r="M154" s="362"/>
      <c r="N154" s="362">
        <f t="shared" si="9"/>
        <v>1200.96</v>
      </c>
      <c r="O154" s="362">
        <v>551.04</v>
      </c>
      <c r="P154" s="363">
        <f t="shared" si="14"/>
        <v>36</v>
      </c>
      <c r="Q154" s="364">
        <v>0.04</v>
      </c>
      <c r="R154" s="365">
        <f t="shared" si="10"/>
        <v>77.3333333333333</v>
      </c>
      <c r="S154" s="366">
        <f t="shared" si="13"/>
        <v>36</v>
      </c>
      <c r="T154" s="367">
        <f t="shared" si="11"/>
        <v>2784</v>
      </c>
      <c r="U154" s="367">
        <f t="shared" si="12"/>
        <v>1084.96</v>
      </c>
      <c r="V154" s="334"/>
    </row>
    <row r="155" s="158" customFormat="1" ht="14.55" outlineLevel="1" spans="2:22">
      <c r="B155" s="355"/>
      <c r="C155" s="356" t="s">
        <v>1397</v>
      </c>
      <c r="D155" s="357" t="s">
        <v>177</v>
      </c>
      <c r="E155" s="357" t="s">
        <v>416</v>
      </c>
      <c r="F155" s="357" t="s">
        <v>417</v>
      </c>
      <c r="G155" s="358" t="s">
        <v>412</v>
      </c>
      <c r="H155" s="359">
        <v>60</v>
      </c>
      <c r="I155" s="360">
        <v>0.05</v>
      </c>
      <c r="J155" s="361">
        <f t="shared" si="8"/>
        <v>0.0158333333333333</v>
      </c>
      <c r="K155" s="362">
        <v>1700</v>
      </c>
      <c r="L155" s="362">
        <v>996.04</v>
      </c>
      <c r="M155" s="362"/>
      <c r="N155" s="362">
        <f t="shared" si="9"/>
        <v>703.96</v>
      </c>
      <c r="O155" s="362">
        <v>323.04</v>
      </c>
      <c r="P155" s="363">
        <f t="shared" si="14"/>
        <v>36</v>
      </c>
      <c r="Q155" s="364">
        <v>0.04</v>
      </c>
      <c r="R155" s="365">
        <f t="shared" si="10"/>
        <v>45.3333333333333</v>
      </c>
      <c r="S155" s="366">
        <f t="shared" si="13"/>
        <v>36</v>
      </c>
      <c r="T155" s="367">
        <f t="shared" si="11"/>
        <v>1632</v>
      </c>
      <c r="U155" s="367">
        <f t="shared" si="12"/>
        <v>635.96</v>
      </c>
      <c r="V155" s="334"/>
    </row>
    <row r="156" s="158" customFormat="1" ht="14.55" outlineLevel="1" spans="2:22">
      <c r="B156" s="355"/>
      <c r="C156" s="356" t="s">
        <v>1397</v>
      </c>
      <c r="D156" s="357" t="s">
        <v>177</v>
      </c>
      <c r="E156" s="357" t="s">
        <v>418</v>
      </c>
      <c r="F156" s="357" t="s">
        <v>417</v>
      </c>
      <c r="G156" s="358" t="s">
        <v>419</v>
      </c>
      <c r="H156" s="359">
        <v>60</v>
      </c>
      <c r="I156" s="360">
        <v>0.05</v>
      </c>
      <c r="J156" s="361">
        <f t="shared" si="8"/>
        <v>0.0158333333333333</v>
      </c>
      <c r="K156" s="362">
        <v>1700</v>
      </c>
      <c r="L156" s="362">
        <v>969.12</v>
      </c>
      <c r="M156" s="362"/>
      <c r="N156" s="362">
        <f t="shared" si="9"/>
        <v>730.88</v>
      </c>
      <c r="O156" s="362">
        <v>323.04</v>
      </c>
      <c r="P156" s="363">
        <f t="shared" si="14"/>
        <v>36</v>
      </c>
      <c r="Q156" s="364">
        <v>0.04</v>
      </c>
      <c r="R156" s="365">
        <f t="shared" si="10"/>
        <v>45.3333333333333</v>
      </c>
      <c r="S156" s="366">
        <f t="shared" si="13"/>
        <v>36</v>
      </c>
      <c r="T156" s="367">
        <f t="shared" si="11"/>
        <v>1632</v>
      </c>
      <c r="U156" s="367">
        <f t="shared" si="12"/>
        <v>662.88</v>
      </c>
      <c r="V156" s="334"/>
    </row>
    <row r="157" s="158" customFormat="1" ht="14.55" outlineLevel="1" spans="2:22">
      <c r="B157" s="355"/>
      <c r="C157" s="356" t="s">
        <v>1397</v>
      </c>
      <c r="D157" s="357" t="s">
        <v>177</v>
      </c>
      <c r="E157" s="357" t="s">
        <v>420</v>
      </c>
      <c r="F157" s="357" t="s">
        <v>409</v>
      </c>
      <c r="G157" s="358" t="s">
        <v>419</v>
      </c>
      <c r="H157" s="359">
        <v>60</v>
      </c>
      <c r="I157" s="360">
        <v>0.05</v>
      </c>
      <c r="J157" s="361">
        <f t="shared" si="8"/>
        <v>0.0158333333333333</v>
      </c>
      <c r="K157" s="362">
        <v>6800</v>
      </c>
      <c r="L157" s="362">
        <v>3876.12</v>
      </c>
      <c r="M157" s="362"/>
      <c r="N157" s="362">
        <f t="shared" si="9"/>
        <v>2923.88</v>
      </c>
      <c r="O157" s="362">
        <v>1292.04</v>
      </c>
      <c r="P157" s="363">
        <f t="shared" ref="P157:P163" si="15">_xlfn.XLOOKUP(D157,$C$484:$C$489,$E$484:$E$489)</f>
        <v>36</v>
      </c>
      <c r="Q157" s="364">
        <v>0.04</v>
      </c>
      <c r="R157" s="365">
        <f t="shared" si="10"/>
        <v>181.333333333333</v>
      </c>
      <c r="S157" s="366">
        <f t="shared" si="13"/>
        <v>36</v>
      </c>
      <c r="T157" s="367">
        <f t="shared" si="11"/>
        <v>6528</v>
      </c>
      <c r="U157" s="367">
        <f t="shared" si="12"/>
        <v>2651.88</v>
      </c>
      <c r="V157" s="334"/>
    </row>
    <row r="158" s="158" customFormat="1" ht="14.55" outlineLevel="1" spans="2:22">
      <c r="B158" s="355"/>
      <c r="C158" s="356" t="s">
        <v>1397</v>
      </c>
      <c r="D158" s="357" t="s">
        <v>177</v>
      </c>
      <c r="E158" s="357" t="s">
        <v>421</v>
      </c>
      <c r="F158" s="357" t="s">
        <v>417</v>
      </c>
      <c r="G158" s="358" t="s">
        <v>419</v>
      </c>
      <c r="H158" s="359">
        <v>60</v>
      </c>
      <c r="I158" s="360">
        <v>0.05</v>
      </c>
      <c r="J158" s="361">
        <f t="shared" si="8"/>
        <v>0.0158333333333333</v>
      </c>
      <c r="K158" s="362">
        <v>12640</v>
      </c>
      <c r="L158" s="362">
        <v>7204.68</v>
      </c>
      <c r="M158" s="362"/>
      <c r="N158" s="362">
        <f t="shared" ref="N158:N163" si="16">K158-L158</f>
        <v>5435.32</v>
      </c>
      <c r="O158" s="362">
        <v>2401.56</v>
      </c>
      <c r="P158" s="363">
        <f t="shared" si="15"/>
        <v>36</v>
      </c>
      <c r="Q158" s="364">
        <v>0.04</v>
      </c>
      <c r="R158" s="365">
        <f t="shared" ref="R158:R163" si="17">K158*(1-Q158)/P158</f>
        <v>337.066666666667</v>
      </c>
      <c r="S158" s="366">
        <f t="shared" si="13"/>
        <v>36</v>
      </c>
      <c r="T158" s="367">
        <f t="shared" ref="T158:T163" si="18">S158*R158</f>
        <v>12134.4</v>
      </c>
      <c r="U158" s="367">
        <f t="shared" ref="U158:U163" si="19">T158-L158</f>
        <v>4929.72</v>
      </c>
      <c r="V158" s="334"/>
    </row>
    <row r="159" s="158" customFormat="1" ht="14.55" outlineLevel="1" spans="2:22">
      <c r="B159" s="355"/>
      <c r="C159" s="356" t="s">
        <v>1397</v>
      </c>
      <c r="D159" s="357" t="s">
        <v>177</v>
      </c>
      <c r="E159" s="357" t="s">
        <v>422</v>
      </c>
      <c r="F159" s="357" t="s">
        <v>423</v>
      </c>
      <c r="G159" s="358" t="s">
        <v>419</v>
      </c>
      <c r="H159" s="359">
        <v>60</v>
      </c>
      <c r="I159" s="360">
        <v>0.05</v>
      </c>
      <c r="J159" s="361">
        <f t="shared" si="8"/>
        <v>0.0158333333333333</v>
      </c>
      <c r="K159" s="362">
        <v>7380</v>
      </c>
      <c r="L159" s="362">
        <v>4206.6</v>
      </c>
      <c r="M159" s="362"/>
      <c r="N159" s="362">
        <f t="shared" si="16"/>
        <v>3173.4</v>
      </c>
      <c r="O159" s="362">
        <v>1402.2</v>
      </c>
      <c r="P159" s="363">
        <f t="shared" si="15"/>
        <v>36</v>
      </c>
      <c r="Q159" s="364">
        <v>0.05</v>
      </c>
      <c r="R159" s="365">
        <f t="shared" si="17"/>
        <v>194.75</v>
      </c>
      <c r="S159" s="366">
        <f t="shared" ref="S159:S163" si="20">IF(YEAR(G159)=YEAR($P$85),MIN(DATEDIF(EOMONTH(G159,-1)+1,$P$85,"m"),P159),MIN(P159,DATEDIF(EOMONTH(G159,-1)+1,$P$85,"m")))</f>
        <v>36</v>
      </c>
      <c r="T159" s="367">
        <f t="shared" si="18"/>
        <v>7011</v>
      </c>
      <c r="U159" s="367">
        <f t="shared" si="19"/>
        <v>2804.4</v>
      </c>
      <c r="V159" s="334"/>
    </row>
    <row r="160" s="158" customFormat="1" ht="14.55" outlineLevel="1" spans="2:22">
      <c r="B160" s="355"/>
      <c r="C160" s="356" t="s">
        <v>1397</v>
      </c>
      <c r="D160" s="357" t="s">
        <v>177</v>
      </c>
      <c r="E160" s="357" t="s">
        <v>424</v>
      </c>
      <c r="F160" s="357" t="s">
        <v>388</v>
      </c>
      <c r="G160" s="358" t="s">
        <v>419</v>
      </c>
      <c r="H160" s="359">
        <v>60</v>
      </c>
      <c r="I160" s="360">
        <v>0.05</v>
      </c>
      <c r="J160" s="361">
        <f t="shared" si="8"/>
        <v>0.0158333333333333</v>
      </c>
      <c r="K160" s="362">
        <v>8100</v>
      </c>
      <c r="L160" s="362">
        <v>4617</v>
      </c>
      <c r="M160" s="362"/>
      <c r="N160" s="362">
        <f t="shared" si="16"/>
        <v>3483</v>
      </c>
      <c r="O160" s="362">
        <v>1539</v>
      </c>
      <c r="P160" s="363">
        <f t="shared" si="15"/>
        <v>36</v>
      </c>
      <c r="Q160" s="364">
        <v>0.05</v>
      </c>
      <c r="R160" s="365">
        <f t="shared" si="17"/>
        <v>213.75</v>
      </c>
      <c r="S160" s="366">
        <f t="shared" si="20"/>
        <v>36</v>
      </c>
      <c r="T160" s="367">
        <f t="shared" si="18"/>
        <v>7695</v>
      </c>
      <c r="U160" s="367">
        <f t="shared" si="19"/>
        <v>3078</v>
      </c>
      <c r="V160" s="334"/>
    </row>
    <row r="161" s="158" customFormat="1" ht="14.55" outlineLevel="1" spans="2:22">
      <c r="B161" s="355"/>
      <c r="C161" s="356" t="s">
        <v>1397</v>
      </c>
      <c r="D161" s="357" t="s">
        <v>177</v>
      </c>
      <c r="E161" s="357" t="s">
        <v>425</v>
      </c>
      <c r="F161" s="357" t="s">
        <v>388</v>
      </c>
      <c r="G161" s="358" t="s">
        <v>419</v>
      </c>
      <c r="H161" s="359">
        <v>60</v>
      </c>
      <c r="I161" s="360">
        <v>0.05</v>
      </c>
      <c r="J161" s="361">
        <f t="shared" si="8"/>
        <v>0.0158333333333333</v>
      </c>
      <c r="K161" s="362">
        <v>11000</v>
      </c>
      <c r="L161" s="362">
        <v>6270.12</v>
      </c>
      <c r="M161" s="362"/>
      <c r="N161" s="362">
        <f t="shared" si="16"/>
        <v>4729.88</v>
      </c>
      <c r="O161" s="362">
        <v>2090.04</v>
      </c>
      <c r="P161" s="363">
        <f t="shared" si="15"/>
        <v>36</v>
      </c>
      <c r="Q161" s="364">
        <v>0.05</v>
      </c>
      <c r="R161" s="365">
        <f t="shared" si="17"/>
        <v>290.277777777778</v>
      </c>
      <c r="S161" s="366">
        <f t="shared" si="20"/>
        <v>36</v>
      </c>
      <c r="T161" s="367">
        <f t="shared" si="18"/>
        <v>10450</v>
      </c>
      <c r="U161" s="367">
        <f t="shared" si="19"/>
        <v>4179.88</v>
      </c>
      <c r="V161" s="334"/>
    </row>
    <row r="162" s="158" customFormat="1" ht="14.55" outlineLevel="1" spans="2:22">
      <c r="B162" s="355"/>
      <c r="C162" s="356" t="s">
        <v>1397</v>
      </c>
      <c r="D162" s="357" t="s">
        <v>177</v>
      </c>
      <c r="E162" s="357" t="s">
        <v>426</v>
      </c>
      <c r="F162" s="357" t="s">
        <v>427</v>
      </c>
      <c r="G162" s="358" t="s">
        <v>428</v>
      </c>
      <c r="H162" s="359">
        <v>36</v>
      </c>
      <c r="I162" s="360">
        <v>0.05</v>
      </c>
      <c r="J162" s="361">
        <f t="shared" si="8"/>
        <v>0.0263888888888889</v>
      </c>
      <c r="K162" s="362">
        <v>2180</v>
      </c>
      <c r="L162" s="362">
        <v>1898.49</v>
      </c>
      <c r="M162" s="362"/>
      <c r="N162" s="362">
        <f t="shared" si="16"/>
        <v>281.51</v>
      </c>
      <c r="O162" s="362">
        <v>690.36</v>
      </c>
      <c r="P162" s="363">
        <f t="shared" si="15"/>
        <v>36</v>
      </c>
      <c r="Q162" s="364">
        <v>0.05</v>
      </c>
      <c r="R162" s="365">
        <f t="shared" si="17"/>
        <v>57.5277777777778</v>
      </c>
      <c r="S162" s="366">
        <f t="shared" si="20"/>
        <v>33</v>
      </c>
      <c r="T162" s="367">
        <f t="shared" si="18"/>
        <v>1898.41666666667</v>
      </c>
      <c r="U162" s="367">
        <f t="shared" si="19"/>
        <v>-0.0733333333332666</v>
      </c>
      <c r="V162" s="334"/>
    </row>
    <row r="163" s="158" customFormat="1" ht="14.55" outlineLevel="1" spans="2:22">
      <c r="B163" s="355"/>
      <c r="C163" s="356" t="s">
        <v>1397</v>
      </c>
      <c r="D163" s="357" t="s">
        <v>177</v>
      </c>
      <c r="E163" s="357" t="s">
        <v>813</v>
      </c>
      <c r="F163" s="357" t="s">
        <v>814</v>
      </c>
      <c r="G163" s="358" t="s">
        <v>815</v>
      </c>
      <c r="H163" s="359">
        <v>36</v>
      </c>
      <c r="I163" s="360">
        <v>0.05</v>
      </c>
      <c r="J163" s="361">
        <f t="shared" si="8"/>
        <v>0.0263888888888889</v>
      </c>
      <c r="K163" s="362">
        <v>1399</v>
      </c>
      <c r="L163" s="362">
        <v>1033.76</v>
      </c>
      <c r="M163" s="362"/>
      <c r="N163" s="362">
        <f t="shared" si="16"/>
        <v>365.24</v>
      </c>
      <c r="O163" s="362">
        <v>443.04</v>
      </c>
      <c r="P163" s="363">
        <f t="shared" si="15"/>
        <v>36</v>
      </c>
      <c r="Q163" s="364">
        <v>0.05</v>
      </c>
      <c r="R163" s="365">
        <f t="shared" si="17"/>
        <v>36.9180555555556</v>
      </c>
      <c r="S163" s="366">
        <f t="shared" si="20"/>
        <v>28</v>
      </c>
      <c r="T163" s="367">
        <f t="shared" si="18"/>
        <v>1033.70555555556</v>
      </c>
      <c r="U163" s="367">
        <f t="shared" si="19"/>
        <v>-0.0544444444444707</v>
      </c>
      <c r="V163" s="334"/>
    </row>
    <row r="164" s="158" customFormat="1" ht="14.55" spans="2:22">
      <c r="B164" s="355"/>
      <c r="C164" s="356"/>
      <c r="D164" s="369" t="s">
        <v>177</v>
      </c>
      <c r="E164" s="357"/>
      <c r="F164" s="357"/>
      <c r="G164" s="358"/>
      <c r="H164" s="359"/>
      <c r="I164" s="360"/>
      <c r="J164" s="361"/>
      <c r="K164" s="370">
        <f>SUM(K93:K163)</f>
        <v>899364.01</v>
      </c>
      <c r="L164" s="370">
        <f>SUM(L93:L163)</f>
        <v>765690.88</v>
      </c>
      <c r="M164" s="370">
        <f>SUM(M93:M163)</f>
        <v>0</v>
      </c>
      <c r="N164" s="370">
        <f>SUM(N93:N163)</f>
        <v>133673.13</v>
      </c>
      <c r="O164" s="370">
        <f>SUM(O93:O163)</f>
        <v>68138.69</v>
      </c>
      <c r="P164" s="363"/>
      <c r="Q164" s="364"/>
      <c r="R164" s="365"/>
      <c r="S164" s="366"/>
      <c r="T164" s="367"/>
      <c r="U164" s="367"/>
      <c r="V164" s="334"/>
    </row>
    <row r="165" s="158" customFormat="1" ht="14.55" spans="2:22">
      <c r="B165" s="355"/>
      <c r="C165" s="356"/>
      <c r="D165" s="357"/>
      <c r="E165" s="357"/>
      <c r="F165" s="357"/>
      <c r="G165" s="358"/>
      <c r="H165" s="359"/>
      <c r="I165" s="360"/>
      <c r="J165" s="361"/>
      <c r="K165" s="362"/>
      <c r="L165" s="362"/>
      <c r="M165" s="362"/>
      <c r="N165" s="362"/>
      <c r="O165" s="362"/>
      <c r="P165" s="363"/>
      <c r="Q165" s="364"/>
      <c r="R165" s="365"/>
      <c r="S165" s="366"/>
      <c r="T165" s="367"/>
      <c r="U165" s="367"/>
      <c r="V165" s="334"/>
    </row>
    <row r="166" s="158" customFormat="1" ht="14.55" outlineLevel="1" spans="2:22">
      <c r="B166" s="355"/>
      <c r="C166" s="356" t="s">
        <v>1397</v>
      </c>
      <c r="D166" s="357" t="s">
        <v>178</v>
      </c>
      <c r="E166" s="357" t="s">
        <v>429</v>
      </c>
      <c r="F166" s="357" t="s">
        <v>333</v>
      </c>
      <c r="G166" s="358" t="s">
        <v>430</v>
      </c>
      <c r="H166" s="359">
        <v>36</v>
      </c>
      <c r="I166" s="360">
        <v>0.04</v>
      </c>
      <c r="J166" s="361">
        <f t="shared" si="8"/>
        <v>0.0266666666666667</v>
      </c>
      <c r="K166" s="362">
        <v>6500</v>
      </c>
      <c r="L166" s="362">
        <v>6240</v>
      </c>
      <c r="M166" s="362"/>
      <c r="N166" s="362">
        <f>K166-L166</f>
        <v>260</v>
      </c>
      <c r="O166" s="362">
        <f>_xlfn.XLOOKUP(E166,'K.01.1a FA list'!D17:D329,'K.01.1a FA list'!K17:K329)</f>
        <v>0</v>
      </c>
      <c r="P166" s="363">
        <f t="shared" ref="P166:P197" si="21">_xlfn.XLOOKUP(D166,$C$484:$C$489,$E$484:$E$489)</f>
        <v>36</v>
      </c>
      <c r="Q166" s="364">
        <v>0.05</v>
      </c>
      <c r="R166" s="365">
        <f t="shared" ref="R166:R229" si="22">K166*(1-Q166)/P166</f>
        <v>171.527777777778</v>
      </c>
      <c r="S166" s="366">
        <f t="shared" ref="S166:S229" si="23">IF(YEAR(G166)=YEAR($P$85),MIN(DATEDIF(EOMONTH(G166,-1)+1,$P$85,"m"),P166),MIN(P166,DATEDIF(EOMONTH(G166,-1)+1,$P$85,"m")))</f>
        <v>36</v>
      </c>
      <c r="T166" s="367">
        <f t="shared" ref="T166:T229" si="24">S166*R166</f>
        <v>6175</v>
      </c>
      <c r="U166" s="367">
        <f t="shared" ref="U166:U229" si="25">T166-L166</f>
        <v>-65</v>
      </c>
      <c r="V166" s="334"/>
    </row>
    <row r="167" s="158" customFormat="1" ht="14.55" outlineLevel="1" spans="2:22">
      <c r="B167" s="355"/>
      <c r="C167" s="356" t="s">
        <v>1397</v>
      </c>
      <c r="D167" s="357" t="s">
        <v>178</v>
      </c>
      <c r="E167" s="357" t="s">
        <v>431</v>
      </c>
      <c r="F167" s="357" t="s">
        <v>432</v>
      </c>
      <c r="G167" s="358" t="s">
        <v>433</v>
      </c>
      <c r="H167" s="359">
        <v>36</v>
      </c>
      <c r="I167" s="360">
        <v>0.05</v>
      </c>
      <c r="J167" s="361">
        <f t="shared" si="8"/>
        <v>0.0263888888888889</v>
      </c>
      <c r="K167" s="362">
        <v>22960</v>
      </c>
      <c r="L167" s="362">
        <v>21812</v>
      </c>
      <c r="M167" s="362"/>
      <c r="N167" s="362">
        <f t="shared" ref="N167:N230" si="26">K167-L167</f>
        <v>1148</v>
      </c>
      <c r="O167" s="362">
        <f>_xlfn.XLOOKUP(E167,'K.01.1a FA list'!D18:D330,'K.01.1a FA list'!K18:K330)</f>
        <v>0</v>
      </c>
      <c r="P167" s="363">
        <f t="shared" si="21"/>
        <v>36</v>
      </c>
      <c r="Q167" s="364">
        <v>0.05</v>
      </c>
      <c r="R167" s="365">
        <f t="shared" si="22"/>
        <v>605.888888888889</v>
      </c>
      <c r="S167" s="366">
        <f t="shared" si="23"/>
        <v>36</v>
      </c>
      <c r="T167" s="367">
        <f t="shared" si="24"/>
        <v>21812</v>
      </c>
      <c r="U167" s="367">
        <f t="shared" si="25"/>
        <v>0</v>
      </c>
      <c r="V167" s="334"/>
    </row>
    <row r="168" s="158" customFormat="1" ht="14.55" outlineLevel="1" spans="2:22">
      <c r="B168" s="355"/>
      <c r="C168" s="356" t="s">
        <v>1397</v>
      </c>
      <c r="D168" s="357" t="s">
        <v>178</v>
      </c>
      <c r="E168" s="357" t="s">
        <v>434</v>
      </c>
      <c r="F168" s="357" t="s">
        <v>435</v>
      </c>
      <c r="G168" s="358" t="s">
        <v>436</v>
      </c>
      <c r="H168" s="359">
        <v>36</v>
      </c>
      <c r="I168" s="360">
        <v>0.05</v>
      </c>
      <c r="J168" s="361">
        <f t="shared" si="8"/>
        <v>0.0263888888888889</v>
      </c>
      <c r="K168" s="362">
        <v>5499</v>
      </c>
      <c r="L168" s="362">
        <v>5224.05</v>
      </c>
      <c r="M168" s="362"/>
      <c r="N168" s="362">
        <f t="shared" si="26"/>
        <v>274.95</v>
      </c>
      <c r="O168" s="362">
        <f>_xlfn.XLOOKUP(E168,'K.01.1a FA list'!D19:D331,'K.01.1a FA list'!K19:K331)</f>
        <v>0</v>
      </c>
      <c r="P168" s="363">
        <f t="shared" si="21"/>
        <v>36</v>
      </c>
      <c r="Q168" s="364">
        <v>0.05</v>
      </c>
      <c r="R168" s="365">
        <f t="shared" si="22"/>
        <v>145.1125</v>
      </c>
      <c r="S168" s="366">
        <f t="shared" si="23"/>
        <v>36</v>
      </c>
      <c r="T168" s="367">
        <f t="shared" si="24"/>
        <v>5224.05</v>
      </c>
      <c r="U168" s="367">
        <f t="shared" si="25"/>
        <v>0</v>
      </c>
      <c r="V168" s="334"/>
    </row>
    <row r="169" s="158" customFormat="1" ht="14.55" outlineLevel="1" spans="2:22">
      <c r="B169" s="355"/>
      <c r="C169" s="356" t="s">
        <v>1397</v>
      </c>
      <c r="D169" s="357" t="s">
        <v>178</v>
      </c>
      <c r="E169" s="357" t="s">
        <v>437</v>
      </c>
      <c r="F169" s="357" t="s">
        <v>438</v>
      </c>
      <c r="G169" s="358" t="s">
        <v>439</v>
      </c>
      <c r="H169" s="359">
        <v>36</v>
      </c>
      <c r="I169" s="360">
        <v>0.05</v>
      </c>
      <c r="J169" s="361">
        <f t="shared" si="8"/>
        <v>0.0263888888888889</v>
      </c>
      <c r="K169" s="362">
        <v>7150</v>
      </c>
      <c r="L169" s="362">
        <v>6792.5</v>
      </c>
      <c r="M169" s="362"/>
      <c r="N169" s="362">
        <f t="shared" si="26"/>
        <v>357.5</v>
      </c>
      <c r="O169" s="362">
        <f>_xlfn.XLOOKUP(E169,'K.01.1a FA list'!D20:D332,'K.01.1a FA list'!K20:K332)</f>
        <v>0</v>
      </c>
      <c r="P169" s="363">
        <f t="shared" si="21"/>
        <v>36</v>
      </c>
      <c r="Q169" s="364">
        <v>0.05</v>
      </c>
      <c r="R169" s="365">
        <f t="shared" si="22"/>
        <v>188.680555555556</v>
      </c>
      <c r="S169" s="366">
        <f t="shared" si="23"/>
        <v>36</v>
      </c>
      <c r="T169" s="367">
        <f t="shared" si="24"/>
        <v>6792.5</v>
      </c>
      <c r="U169" s="367">
        <f t="shared" si="25"/>
        <v>0</v>
      </c>
      <c r="V169" s="334"/>
    </row>
    <row r="170" s="158" customFormat="1" ht="14.55" outlineLevel="1" spans="2:22">
      <c r="B170" s="355"/>
      <c r="C170" s="356" t="s">
        <v>1397</v>
      </c>
      <c r="D170" s="357" t="s">
        <v>178</v>
      </c>
      <c r="E170" s="357" t="s">
        <v>440</v>
      </c>
      <c r="F170" s="357" t="s">
        <v>441</v>
      </c>
      <c r="G170" s="358" t="s">
        <v>439</v>
      </c>
      <c r="H170" s="359">
        <v>36</v>
      </c>
      <c r="I170" s="360">
        <v>0.05</v>
      </c>
      <c r="J170" s="361">
        <f t="shared" si="8"/>
        <v>0.0263888888888889</v>
      </c>
      <c r="K170" s="362">
        <v>2800</v>
      </c>
      <c r="L170" s="362">
        <v>2660</v>
      </c>
      <c r="M170" s="362"/>
      <c r="N170" s="362">
        <f t="shared" si="26"/>
        <v>140</v>
      </c>
      <c r="O170" s="362">
        <f>_xlfn.XLOOKUP(E170,'K.01.1a FA list'!D21:D333,'K.01.1a FA list'!K21:K333)</f>
        <v>0</v>
      </c>
      <c r="P170" s="363">
        <f t="shared" si="21"/>
        <v>36</v>
      </c>
      <c r="Q170" s="364">
        <v>0.05</v>
      </c>
      <c r="R170" s="365">
        <f t="shared" si="22"/>
        <v>73.8888888888889</v>
      </c>
      <c r="S170" s="366">
        <f t="shared" si="23"/>
        <v>36</v>
      </c>
      <c r="T170" s="367">
        <f t="shared" si="24"/>
        <v>2660</v>
      </c>
      <c r="U170" s="367">
        <f t="shared" si="25"/>
        <v>0</v>
      </c>
      <c r="V170" s="334"/>
    </row>
    <row r="171" s="158" customFormat="1" ht="14.55" outlineLevel="1" spans="2:22">
      <c r="B171" s="355"/>
      <c r="C171" s="356" t="s">
        <v>1397</v>
      </c>
      <c r="D171" s="357" t="s">
        <v>178</v>
      </c>
      <c r="E171" s="357" t="s">
        <v>442</v>
      </c>
      <c r="F171" s="357" t="s">
        <v>443</v>
      </c>
      <c r="G171" s="358" t="s">
        <v>444</v>
      </c>
      <c r="H171" s="359">
        <v>36</v>
      </c>
      <c r="I171" s="360">
        <v>0.05</v>
      </c>
      <c r="J171" s="361">
        <f t="shared" si="8"/>
        <v>0.0263888888888889</v>
      </c>
      <c r="K171" s="362">
        <v>3150</v>
      </c>
      <c r="L171" s="362">
        <v>2992.5</v>
      </c>
      <c r="M171" s="362"/>
      <c r="N171" s="362">
        <f t="shared" si="26"/>
        <v>157.5</v>
      </c>
      <c r="O171" s="362">
        <f>_xlfn.XLOOKUP(E171,'K.01.1a FA list'!D22:D334,'K.01.1a FA list'!K22:K334)</f>
        <v>0</v>
      </c>
      <c r="P171" s="363">
        <f t="shared" si="21"/>
        <v>36</v>
      </c>
      <c r="Q171" s="364">
        <v>0.05</v>
      </c>
      <c r="R171" s="365">
        <f t="shared" si="22"/>
        <v>83.125</v>
      </c>
      <c r="S171" s="366">
        <f t="shared" si="23"/>
        <v>36</v>
      </c>
      <c r="T171" s="367">
        <f t="shared" si="24"/>
        <v>2992.5</v>
      </c>
      <c r="U171" s="367">
        <f t="shared" si="25"/>
        <v>0</v>
      </c>
      <c r="V171" s="334"/>
    </row>
    <row r="172" s="158" customFormat="1" ht="14.55" outlineLevel="1" spans="2:22">
      <c r="B172" s="355"/>
      <c r="C172" s="356" t="s">
        <v>1397</v>
      </c>
      <c r="D172" s="357" t="s">
        <v>178</v>
      </c>
      <c r="E172" s="357" t="s">
        <v>445</v>
      </c>
      <c r="F172" s="357" t="s">
        <v>446</v>
      </c>
      <c r="G172" s="358" t="s">
        <v>444</v>
      </c>
      <c r="H172" s="359">
        <v>36</v>
      </c>
      <c r="I172" s="360">
        <v>0.05</v>
      </c>
      <c r="J172" s="361">
        <f t="shared" si="8"/>
        <v>0.0263888888888889</v>
      </c>
      <c r="K172" s="362">
        <v>6100</v>
      </c>
      <c r="L172" s="362">
        <v>5795</v>
      </c>
      <c r="M172" s="362"/>
      <c r="N172" s="362">
        <f t="shared" si="26"/>
        <v>305</v>
      </c>
      <c r="O172" s="362">
        <f>_xlfn.XLOOKUP(E172,'K.01.1a FA list'!D23:D335,'K.01.1a FA list'!K23:K335)</f>
        <v>0</v>
      </c>
      <c r="P172" s="363">
        <f t="shared" si="21"/>
        <v>36</v>
      </c>
      <c r="Q172" s="364">
        <v>0.05</v>
      </c>
      <c r="R172" s="365">
        <f t="shared" si="22"/>
        <v>160.972222222222</v>
      </c>
      <c r="S172" s="366">
        <f t="shared" si="23"/>
        <v>36</v>
      </c>
      <c r="T172" s="367">
        <f t="shared" si="24"/>
        <v>5795</v>
      </c>
      <c r="U172" s="367">
        <f t="shared" si="25"/>
        <v>0</v>
      </c>
      <c r="V172" s="334"/>
    </row>
    <row r="173" s="158" customFormat="1" ht="14.55" outlineLevel="1" spans="2:22">
      <c r="B173" s="355"/>
      <c r="C173" s="356" t="s">
        <v>1397</v>
      </c>
      <c r="D173" s="357" t="s">
        <v>178</v>
      </c>
      <c r="E173" s="357" t="s">
        <v>447</v>
      </c>
      <c r="F173" s="357" t="s">
        <v>438</v>
      </c>
      <c r="G173" s="358" t="s">
        <v>448</v>
      </c>
      <c r="H173" s="359">
        <v>36</v>
      </c>
      <c r="I173" s="360">
        <v>0.05</v>
      </c>
      <c r="J173" s="361">
        <f t="shared" si="8"/>
        <v>0.0263888888888889</v>
      </c>
      <c r="K173" s="362">
        <v>6800</v>
      </c>
      <c r="L173" s="362">
        <v>6460</v>
      </c>
      <c r="M173" s="362"/>
      <c r="N173" s="362">
        <f t="shared" si="26"/>
        <v>340</v>
      </c>
      <c r="O173" s="362">
        <f>_xlfn.XLOOKUP(E173,'K.01.1a FA list'!D24:D336,'K.01.1a FA list'!K24:K336)</f>
        <v>0</v>
      </c>
      <c r="P173" s="363">
        <f t="shared" si="21"/>
        <v>36</v>
      </c>
      <c r="Q173" s="364">
        <v>0.05</v>
      </c>
      <c r="R173" s="365">
        <f t="shared" si="22"/>
        <v>179.444444444444</v>
      </c>
      <c r="S173" s="366">
        <f t="shared" si="23"/>
        <v>36</v>
      </c>
      <c r="T173" s="367">
        <f t="shared" si="24"/>
        <v>6460</v>
      </c>
      <c r="U173" s="367">
        <f t="shared" si="25"/>
        <v>0</v>
      </c>
      <c r="V173" s="334"/>
    </row>
    <row r="174" s="158" customFormat="1" ht="14.55" outlineLevel="1" spans="2:22">
      <c r="B174" s="355"/>
      <c r="C174" s="356" t="s">
        <v>1397</v>
      </c>
      <c r="D174" s="357" t="s">
        <v>178</v>
      </c>
      <c r="E174" s="357" t="s">
        <v>449</v>
      </c>
      <c r="F174" s="357" t="s">
        <v>450</v>
      </c>
      <c r="G174" s="358" t="s">
        <v>448</v>
      </c>
      <c r="H174" s="359">
        <v>36</v>
      </c>
      <c r="I174" s="360">
        <v>0.05</v>
      </c>
      <c r="J174" s="361">
        <f t="shared" si="8"/>
        <v>0.0263888888888889</v>
      </c>
      <c r="K174" s="362">
        <v>3150</v>
      </c>
      <c r="L174" s="362">
        <v>2992.5</v>
      </c>
      <c r="M174" s="362"/>
      <c r="N174" s="362">
        <f t="shared" si="26"/>
        <v>157.5</v>
      </c>
      <c r="O174" s="362">
        <f>_xlfn.XLOOKUP(E174,'K.01.1a FA list'!D25:D337,'K.01.1a FA list'!K25:K337)</f>
        <v>0</v>
      </c>
      <c r="P174" s="363">
        <f t="shared" si="21"/>
        <v>36</v>
      </c>
      <c r="Q174" s="364">
        <v>0.05</v>
      </c>
      <c r="R174" s="365">
        <f t="shared" si="22"/>
        <v>83.125</v>
      </c>
      <c r="S174" s="366">
        <f t="shared" si="23"/>
        <v>36</v>
      </c>
      <c r="T174" s="367">
        <f t="shared" si="24"/>
        <v>2992.5</v>
      </c>
      <c r="U174" s="367">
        <f t="shared" si="25"/>
        <v>0</v>
      </c>
      <c r="V174" s="334"/>
    </row>
    <row r="175" s="158" customFormat="1" ht="14.55" outlineLevel="1" spans="2:22">
      <c r="B175" s="355"/>
      <c r="C175" s="356" t="s">
        <v>1397</v>
      </c>
      <c r="D175" s="357" t="s">
        <v>178</v>
      </c>
      <c r="E175" s="357" t="s">
        <v>451</v>
      </c>
      <c r="F175" s="357" t="s">
        <v>452</v>
      </c>
      <c r="G175" s="358" t="s">
        <v>453</v>
      </c>
      <c r="H175" s="359">
        <v>36</v>
      </c>
      <c r="I175" s="360">
        <v>0.05</v>
      </c>
      <c r="J175" s="361">
        <f t="shared" si="8"/>
        <v>0.0263888888888889</v>
      </c>
      <c r="K175" s="362">
        <v>2980</v>
      </c>
      <c r="L175" s="362">
        <v>2831</v>
      </c>
      <c r="M175" s="362"/>
      <c r="N175" s="362">
        <f t="shared" si="26"/>
        <v>149</v>
      </c>
      <c r="O175" s="362">
        <f>_xlfn.XLOOKUP(E175,'K.01.1a FA list'!D26:D338,'K.01.1a FA list'!K26:K338)</f>
        <v>0</v>
      </c>
      <c r="P175" s="363">
        <f t="shared" si="21"/>
        <v>36</v>
      </c>
      <c r="Q175" s="364">
        <v>0.05</v>
      </c>
      <c r="R175" s="365">
        <f t="shared" si="22"/>
        <v>78.6388888888889</v>
      </c>
      <c r="S175" s="366">
        <f t="shared" si="23"/>
        <v>36</v>
      </c>
      <c r="T175" s="367">
        <f t="shared" si="24"/>
        <v>2831</v>
      </c>
      <c r="U175" s="367">
        <f t="shared" si="25"/>
        <v>0</v>
      </c>
      <c r="V175" s="334"/>
    </row>
    <row r="176" s="158" customFormat="1" ht="14.55" outlineLevel="1" spans="2:22">
      <c r="B176" s="355"/>
      <c r="C176" s="356" t="s">
        <v>1397</v>
      </c>
      <c r="D176" s="357" t="s">
        <v>178</v>
      </c>
      <c r="E176" s="357" t="s">
        <v>454</v>
      </c>
      <c r="F176" s="357" t="s">
        <v>446</v>
      </c>
      <c r="G176" s="358" t="s">
        <v>453</v>
      </c>
      <c r="H176" s="359">
        <v>36</v>
      </c>
      <c r="I176" s="360">
        <v>0.05</v>
      </c>
      <c r="J176" s="361">
        <f t="shared" ref="J176:J275" si="27">(1-I176)/H176</f>
        <v>0.0263888888888889</v>
      </c>
      <c r="K176" s="362">
        <v>5600</v>
      </c>
      <c r="L176" s="362">
        <v>5320</v>
      </c>
      <c r="M176" s="362"/>
      <c r="N176" s="362">
        <f t="shared" si="26"/>
        <v>280</v>
      </c>
      <c r="O176" s="362">
        <f>_xlfn.XLOOKUP(E176,'K.01.1a FA list'!D27:D339,'K.01.1a FA list'!K27:K339)</f>
        <v>0</v>
      </c>
      <c r="P176" s="363">
        <f t="shared" si="21"/>
        <v>36</v>
      </c>
      <c r="Q176" s="364">
        <v>0.05</v>
      </c>
      <c r="R176" s="365">
        <f t="shared" si="22"/>
        <v>147.777777777778</v>
      </c>
      <c r="S176" s="366">
        <f t="shared" si="23"/>
        <v>36</v>
      </c>
      <c r="T176" s="367">
        <f t="shared" si="24"/>
        <v>5320</v>
      </c>
      <c r="U176" s="367">
        <f t="shared" si="25"/>
        <v>0</v>
      </c>
      <c r="V176" s="334"/>
    </row>
    <row r="177" s="158" customFormat="1" ht="14.55" outlineLevel="1" spans="2:22">
      <c r="B177" s="355"/>
      <c r="C177" s="356" t="s">
        <v>1397</v>
      </c>
      <c r="D177" s="357" t="s">
        <v>178</v>
      </c>
      <c r="E177" s="357" t="s">
        <v>455</v>
      </c>
      <c r="F177" s="357" t="s">
        <v>456</v>
      </c>
      <c r="G177" s="358" t="s">
        <v>457</v>
      </c>
      <c r="H177" s="359">
        <v>36</v>
      </c>
      <c r="I177" s="360">
        <v>0.05</v>
      </c>
      <c r="J177" s="361">
        <f t="shared" si="27"/>
        <v>0.0263888888888889</v>
      </c>
      <c r="K177" s="362">
        <v>5500</v>
      </c>
      <c r="L177" s="362">
        <v>5225</v>
      </c>
      <c r="M177" s="362"/>
      <c r="N177" s="362">
        <f t="shared" si="26"/>
        <v>275</v>
      </c>
      <c r="O177" s="362">
        <f>_xlfn.XLOOKUP(E177,'K.01.1a FA list'!D28:D340,'K.01.1a FA list'!K28:K340)</f>
        <v>0</v>
      </c>
      <c r="P177" s="363">
        <f t="shared" si="21"/>
        <v>36</v>
      </c>
      <c r="Q177" s="364">
        <v>0.05</v>
      </c>
      <c r="R177" s="365">
        <f t="shared" si="22"/>
        <v>145.138888888889</v>
      </c>
      <c r="S177" s="366">
        <f t="shared" si="23"/>
        <v>36</v>
      </c>
      <c r="T177" s="367">
        <f t="shared" si="24"/>
        <v>5225</v>
      </c>
      <c r="U177" s="367">
        <f t="shared" si="25"/>
        <v>0</v>
      </c>
      <c r="V177" s="334"/>
    </row>
    <row r="178" s="158" customFormat="1" ht="14.55" outlineLevel="1" spans="2:22">
      <c r="B178" s="355"/>
      <c r="C178" s="356" t="s">
        <v>1397</v>
      </c>
      <c r="D178" s="357" t="s">
        <v>178</v>
      </c>
      <c r="E178" s="357" t="s">
        <v>458</v>
      </c>
      <c r="F178" s="357" t="s">
        <v>459</v>
      </c>
      <c r="G178" s="358" t="s">
        <v>457</v>
      </c>
      <c r="H178" s="359">
        <v>36</v>
      </c>
      <c r="I178" s="360">
        <v>0.05</v>
      </c>
      <c r="J178" s="361">
        <f t="shared" si="27"/>
        <v>0.0263888888888889</v>
      </c>
      <c r="K178" s="362">
        <v>5960</v>
      </c>
      <c r="L178" s="362">
        <v>5662</v>
      </c>
      <c r="M178" s="362"/>
      <c r="N178" s="362">
        <f t="shared" si="26"/>
        <v>298</v>
      </c>
      <c r="O178" s="362">
        <f>_xlfn.XLOOKUP(E178,'K.01.1a FA list'!D29:D341,'K.01.1a FA list'!K29:K341)</f>
        <v>0</v>
      </c>
      <c r="P178" s="363">
        <f t="shared" si="21"/>
        <v>36</v>
      </c>
      <c r="Q178" s="364">
        <v>0.05</v>
      </c>
      <c r="R178" s="365">
        <f t="shared" si="22"/>
        <v>157.277777777778</v>
      </c>
      <c r="S178" s="366">
        <f t="shared" si="23"/>
        <v>36</v>
      </c>
      <c r="T178" s="367">
        <f t="shared" si="24"/>
        <v>5662</v>
      </c>
      <c r="U178" s="367">
        <f t="shared" si="25"/>
        <v>0</v>
      </c>
      <c r="V178" s="334"/>
    </row>
    <row r="179" s="158" customFormat="1" ht="14.55" outlineLevel="1" spans="2:22">
      <c r="B179" s="355"/>
      <c r="C179" s="356" t="s">
        <v>1397</v>
      </c>
      <c r="D179" s="357" t="s">
        <v>178</v>
      </c>
      <c r="E179" s="357" t="s">
        <v>460</v>
      </c>
      <c r="F179" s="357" t="s">
        <v>459</v>
      </c>
      <c r="G179" s="358" t="s">
        <v>457</v>
      </c>
      <c r="H179" s="359">
        <v>36</v>
      </c>
      <c r="I179" s="360">
        <v>0.05</v>
      </c>
      <c r="J179" s="361">
        <f t="shared" si="27"/>
        <v>0.0263888888888889</v>
      </c>
      <c r="K179" s="362">
        <v>2800</v>
      </c>
      <c r="L179" s="362">
        <v>2660</v>
      </c>
      <c r="M179" s="362"/>
      <c r="N179" s="362">
        <f t="shared" si="26"/>
        <v>140</v>
      </c>
      <c r="O179" s="362">
        <f>_xlfn.XLOOKUP(E179,'K.01.1a FA list'!D30:D342,'K.01.1a FA list'!K30:K342)</f>
        <v>0</v>
      </c>
      <c r="P179" s="363">
        <f t="shared" si="21"/>
        <v>36</v>
      </c>
      <c r="Q179" s="364">
        <v>0.05</v>
      </c>
      <c r="R179" s="365">
        <f t="shared" si="22"/>
        <v>73.8888888888889</v>
      </c>
      <c r="S179" s="366">
        <f t="shared" si="23"/>
        <v>36</v>
      </c>
      <c r="T179" s="367">
        <f t="shared" si="24"/>
        <v>2660</v>
      </c>
      <c r="U179" s="367">
        <f t="shared" si="25"/>
        <v>0</v>
      </c>
      <c r="V179" s="334"/>
    </row>
    <row r="180" s="158" customFormat="1" ht="14.55" outlineLevel="1" spans="2:22">
      <c r="B180" s="355"/>
      <c r="C180" s="356" t="s">
        <v>1397</v>
      </c>
      <c r="D180" s="357" t="s">
        <v>178</v>
      </c>
      <c r="E180" s="357" t="s">
        <v>461</v>
      </c>
      <c r="F180" s="357" t="s">
        <v>459</v>
      </c>
      <c r="G180" s="358" t="s">
        <v>457</v>
      </c>
      <c r="H180" s="359">
        <v>36</v>
      </c>
      <c r="I180" s="360">
        <v>0.05</v>
      </c>
      <c r="J180" s="361">
        <f t="shared" si="27"/>
        <v>0.0263888888888889</v>
      </c>
      <c r="K180" s="362">
        <v>2600</v>
      </c>
      <c r="L180" s="362">
        <v>2470</v>
      </c>
      <c r="M180" s="362"/>
      <c r="N180" s="362">
        <f t="shared" si="26"/>
        <v>130</v>
      </c>
      <c r="O180" s="362">
        <f>_xlfn.XLOOKUP(E180,'K.01.1a FA list'!D31:D343,'K.01.1a FA list'!K31:K343)</f>
        <v>0</v>
      </c>
      <c r="P180" s="363">
        <f t="shared" si="21"/>
        <v>36</v>
      </c>
      <c r="Q180" s="364">
        <v>0.05</v>
      </c>
      <c r="R180" s="365">
        <f t="shared" si="22"/>
        <v>68.6111111111111</v>
      </c>
      <c r="S180" s="366">
        <f t="shared" si="23"/>
        <v>36</v>
      </c>
      <c r="T180" s="367">
        <f t="shared" si="24"/>
        <v>2470</v>
      </c>
      <c r="U180" s="367">
        <f t="shared" si="25"/>
        <v>0</v>
      </c>
      <c r="V180" s="334"/>
    </row>
    <row r="181" s="158" customFormat="1" ht="14.55" outlineLevel="1" spans="2:22">
      <c r="B181" s="355"/>
      <c r="C181" s="356" t="s">
        <v>1397</v>
      </c>
      <c r="D181" s="357" t="s">
        <v>178</v>
      </c>
      <c r="E181" s="357" t="s">
        <v>462</v>
      </c>
      <c r="F181" s="357" t="s">
        <v>459</v>
      </c>
      <c r="G181" s="358" t="s">
        <v>457</v>
      </c>
      <c r="H181" s="359">
        <v>36</v>
      </c>
      <c r="I181" s="360">
        <v>0.05</v>
      </c>
      <c r="J181" s="361">
        <f t="shared" si="27"/>
        <v>0.0263888888888889</v>
      </c>
      <c r="K181" s="362">
        <v>3000</v>
      </c>
      <c r="L181" s="362">
        <v>2850</v>
      </c>
      <c r="M181" s="362"/>
      <c r="N181" s="362">
        <f t="shared" si="26"/>
        <v>150</v>
      </c>
      <c r="O181" s="362">
        <f>_xlfn.XLOOKUP(E181,'K.01.1a FA list'!D32:D344,'K.01.1a FA list'!K32:K344)</f>
        <v>0</v>
      </c>
      <c r="P181" s="363">
        <f t="shared" si="21"/>
        <v>36</v>
      </c>
      <c r="Q181" s="364">
        <v>0.05</v>
      </c>
      <c r="R181" s="365">
        <f t="shared" si="22"/>
        <v>79.1666666666667</v>
      </c>
      <c r="S181" s="366">
        <f t="shared" si="23"/>
        <v>36</v>
      </c>
      <c r="T181" s="367">
        <f t="shared" si="24"/>
        <v>2850</v>
      </c>
      <c r="U181" s="367">
        <f t="shared" si="25"/>
        <v>0</v>
      </c>
      <c r="V181" s="334"/>
    </row>
    <row r="182" s="158" customFormat="1" ht="14.55" outlineLevel="1" spans="2:22">
      <c r="B182" s="355"/>
      <c r="C182" s="356" t="s">
        <v>1397</v>
      </c>
      <c r="D182" s="357" t="s">
        <v>178</v>
      </c>
      <c r="E182" s="357" t="s">
        <v>463</v>
      </c>
      <c r="F182" s="357" t="s">
        <v>459</v>
      </c>
      <c r="G182" s="358" t="s">
        <v>457</v>
      </c>
      <c r="H182" s="359">
        <v>36</v>
      </c>
      <c r="I182" s="360">
        <v>0.05</v>
      </c>
      <c r="J182" s="361">
        <f t="shared" si="27"/>
        <v>0.0263888888888889</v>
      </c>
      <c r="K182" s="362">
        <v>2800</v>
      </c>
      <c r="L182" s="362">
        <v>2660</v>
      </c>
      <c r="M182" s="362"/>
      <c r="N182" s="362">
        <f t="shared" si="26"/>
        <v>140</v>
      </c>
      <c r="O182" s="362">
        <f>_xlfn.XLOOKUP(E182,'K.01.1a FA list'!D33:D345,'K.01.1a FA list'!K33:K345)</f>
        <v>0</v>
      </c>
      <c r="P182" s="363">
        <f t="shared" si="21"/>
        <v>36</v>
      </c>
      <c r="Q182" s="364">
        <v>0.05</v>
      </c>
      <c r="R182" s="365">
        <f t="shared" si="22"/>
        <v>73.8888888888889</v>
      </c>
      <c r="S182" s="366">
        <f t="shared" si="23"/>
        <v>36</v>
      </c>
      <c r="T182" s="367">
        <f t="shared" si="24"/>
        <v>2660</v>
      </c>
      <c r="U182" s="367">
        <f t="shared" si="25"/>
        <v>0</v>
      </c>
      <c r="V182" s="334"/>
    </row>
    <row r="183" s="158" customFormat="1" ht="14.55" outlineLevel="1" spans="2:22">
      <c r="B183" s="355"/>
      <c r="C183" s="356" t="s">
        <v>1397</v>
      </c>
      <c r="D183" s="357" t="s">
        <v>178</v>
      </c>
      <c r="E183" s="357" t="s">
        <v>464</v>
      </c>
      <c r="F183" s="357" t="s">
        <v>465</v>
      </c>
      <c r="G183" s="358" t="s">
        <v>466</v>
      </c>
      <c r="H183" s="359">
        <v>36</v>
      </c>
      <c r="I183" s="360">
        <v>0.05</v>
      </c>
      <c r="J183" s="361">
        <f t="shared" si="27"/>
        <v>0.0263888888888889</v>
      </c>
      <c r="K183" s="362">
        <v>3988</v>
      </c>
      <c r="L183" s="362">
        <v>3788.6</v>
      </c>
      <c r="M183" s="362"/>
      <c r="N183" s="362">
        <f t="shared" si="26"/>
        <v>199.4</v>
      </c>
      <c r="O183" s="362">
        <f>_xlfn.XLOOKUP(E183,'K.01.1a FA list'!D34:D346,'K.01.1a FA list'!K34:K346)</f>
        <v>0</v>
      </c>
      <c r="P183" s="363">
        <f t="shared" si="21"/>
        <v>36</v>
      </c>
      <c r="Q183" s="364">
        <v>0.05</v>
      </c>
      <c r="R183" s="365">
        <f t="shared" si="22"/>
        <v>105.238888888889</v>
      </c>
      <c r="S183" s="366">
        <f t="shared" si="23"/>
        <v>36</v>
      </c>
      <c r="T183" s="367">
        <f t="shared" si="24"/>
        <v>3788.6</v>
      </c>
      <c r="U183" s="367">
        <f t="shared" si="25"/>
        <v>0</v>
      </c>
      <c r="V183" s="334"/>
    </row>
    <row r="184" s="158" customFormat="1" ht="14.55" outlineLevel="1" spans="2:22">
      <c r="B184" s="355"/>
      <c r="C184" s="356" t="s">
        <v>1397</v>
      </c>
      <c r="D184" s="357" t="s">
        <v>178</v>
      </c>
      <c r="E184" s="357" t="s">
        <v>467</v>
      </c>
      <c r="F184" s="357" t="s">
        <v>432</v>
      </c>
      <c r="G184" s="358" t="s">
        <v>468</v>
      </c>
      <c r="H184" s="359">
        <v>36</v>
      </c>
      <c r="I184" s="360">
        <v>0.05</v>
      </c>
      <c r="J184" s="361">
        <f t="shared" si="27"/>
        <v>0.0263888888888889</v>
      </c>
      <c r="K184" s="362">
        <v>2999</v>
      </c>
      <c r="L184" s="362">
        <v>2849.05</v>
      </c>
      <c r="M184" s="362"/>
      <c r="N184" s="362">
        <f t="shared" si="26"/>
        <v>149.95</v>
      </c>
      <c r="O184" s="362">
        <f>_xlfn.XLOOKUP(E184,'K.01.1a FA list'!D35:D347,'K.01.1a FA list'!K35:K347)</f>
        <v>0</v>
      </c>
      <c r="P184" s="363">
        <f t="shared" si="21"/>
        <v>36</v>
      </c>
      <c r="Q184" s="364">
        <v>0.05</v>
      </c>
      <c r="R184" s="365">
        <f t="shared" si="22"/>
        <v>79.1402777777778</v>
      </c>
      <c r="S184" s="366">
        <f t="shared" si="23"/>
        <v>36</v>
      </c>
      <c r="T184" s="367">
        <f t="shared" si="24"/>
        <v>2849.05</v>
      </c>
      <c r="U184" s="367">
        <f t="shared" si="25"/>
        <v>0</v>
      </c>
      <c r="V184" s="334"/>
    </row>
    <row r="185" s="158" customFormat="1" ht="14.55" outlineLevel="1" spans="2:22">
      <c r="B185" s="355"/>
      <c r="C185" s="356" t="s">
        <v>1397</v>
      </c>
      <c r="D185" s="357" t="s">
        <v>178</v>
      </c>
      <c r="E185" s="357" t="s">
        <v>469</v>
      </c>
      <c r="F185" s="357" t="s">
        <v>470</v>
      </c>
      <c r="G185" s="358" t="s">
        <v>471</v>
      </c>
      <c r="H185" s="359">
        <v>36</v>
      </c>
      <c r="I185" s="360">
        <v>0.05</v>
      </c>
      <c r="J185" s="361">
        <f t="shared" si="27"/>
        <v>0.0263888888888889</v>
      </c>
      <c r="K185" s="362">
        <v>6100</v>
      </c>
      <c r="L185" s="362">
        <v>5795</v>
      </c>
      <c r="M185" s="362"/>
      <c r="N185" s="362">
        <f t="shared" si="26"/>
        <v>305</v>
      </c>
      <c r="O185" s="362">
        <f>_xlfn.XLOOKUP(E185,'K.01.1a FA list'!D36:D348,'K.01.1a FA list'!K36:K348)</f>
        <v>0</v>
      </c>
      <c r="P185" s="363">
        <f t="shared" si="21"/>
        <v>36</v>
      </c>
      <c r="Q185" s="364">
        <v>0.05</v>
      </c>
      <c r="R185" s="365">
        <f t="shared" si="22"/>
        <v>160.972222222222</v>
      </c>
      <c r="S185" s="366">
        <f t="shared" si="23"/>
        <v>36</v>
      </c>
      <c r="T185" s="367">
        <f t="shared" si="24"/>
        <v>5795</v>
      </c>
      <c r="U185" s="367">
        <f t="shared" si="25"/>
        <v>0</v>
      </c>
      <c r="V185" s="334"/>
    </row>
    <row r="186" s="158" customFormat="1" ht="14.55" outlineLevel="1" spans="2:22">
      <c r="B186" s="355"/>
      <c r="C186" s="356" t="s">
        <v>1397</v>
      </c>
      <c r="D186" s="357" t="s">
        <v>178</v>
      </c>
      <c r="E186" s="357" t="s">
        <v>472</v>
      </c>
      <c r="F186" s="357" t="s">
        <v>473</v>
      </c>
      <c r="G186" s="358" t="s">
        <v>474</v>
      </c>
      <c r="H186" s="359">
        <v>36</v>
      </c>
      <c r="I186" s="360">
        <v>0.0499983306685858</v>
      </c>
      <c r="J186" s="361">
        <f t="shared" si="27"/>
        <v>0.026388935259206</v>
      </c>
      <c r="K186" s="362">
        <v>2695.69</v>
      </c>
      <c r="L186" s="362">
        <v>2560.91</v>
      </c>
      <c r="M186" s="362"/>
      <c r="N186" s="362">
        <f t="shared" si="26"/>
        <v>134.78</v>
      </c>
      <c r="O186" s="362">
        <f>_xlfn.XLOOKUP(E186,'K.01.1a FA list'!D37:D349,'K.01.1a FA list'!K37:K349)</f>
        <v>0</v>
      </c>
      <c r="P186" s="363">
        <f t="shared" si="21"/>
        <v>36</v>
      </c>
      <c r="Q186" s="364">
        <v>0.05</v>
      </c>
      <c r="R186" s="365">
        <f t="shared" si="22"/>
        <v>71.1362638888889</v>
      </c>
      <c r="S186" s="366">
        <f t="shared" si="23"/>
        <v>36</v>
      </c>
      <c r="T186" s="367">
        <f t="shared" si="24"/>
        <v>2560.9055</v>
      </c>
      <c r="U186" s="367">
        <f t="shared" si="25"/>
        <v>-0.00450000000000728</v>
      </c>
      <c r="V186" s="334"/>
    </row>
    <row r="187" s="158" customFormat="1" ht="14.55" outlineLevel="1" spans="2:22">
      <c r="B187" s="355"/>
      <c r="C187" s="356" t="s">
        <v>1397</v>
      </c>
      <c r="D187" s="357" t="s">
        <v>178</v>
      </c>
      <c r="E187" s="357" t="s">
        <v>475</v>
      </c>
      <c r="F187" s="357" t="s">
        <v>476</v>
      </c>
      <c r="G187" s="358" t="s">
        <v>302</v>
      </c>
      <c r="H187" s="359">
        <v>36</v>
      </c>
      <c r="I187" s="360">
        <v>0.04</v>
      </c>
      <c r="J187" s="361">
        <f t="shared" si="27"/>
        <v>0.0266666666666667</v>
      </c>
      <c r="K187" s="362">
        <v>2400</v>
      </c>
      <c r="L187" s="362">
        <v>2304</v>
      </c>
      <c r="M187" s="362"/>
      <c r="N187" s="362">
        <f t="shared" si="26"/>
        <v>96</v>
      </c>
      <c r="O187" s="362">
        <f>_xlfn.XLOOKUP(E187,'K.01.1a FA list'!D38:D350,'K.01.1a FA list'!K38:K350)</f>
        <v>0</v>
      </c>
      <c r="P187" s="363">
        <f t="shared" si="21"/>
        <v>36</v>
      </c>
      <c r="Q187" s="364">
        <v>0.05</v>
      </c>
      <c r="R187" s="365">
        <f t="shared" si="22"/>
        <v>63.3333333333333</v>
      </c>
      <c r="S187" s="366">
        <f t="shared" si="23"/>
        <v>36</v>
      </c>
      <c r="T187" s="367">
        <f t="shared" si="24"/>
        <v>2280</v>
      </c>
      <c r="U187" s="367">
        <f t="shared" si="25"/>
        <v>-24</v>
      </c>
      <c r="V187" s="334"/>
    </row>
    <row r="188" s="158" customFormat="1" ht="14.55" outlineLevel="1" spans="2:22">
      <c r="B188" s="355"/>
      <c r="C188" s="356" t="s">
        <v>1397</v>
      </c>
      <c r="D188" s="357" t="s">
        <v>178</v>
      </c>
      <c r="E188" s="357" t="s">
        <v>477</v>
      </c>
      <c r="F188" s="357" t="s">
        <v>478</v>
      </c>
      <c r="G188" s="358" t="s">
        <v>308</v>
      </c>
      <c r="H188" s="359">
        <v>36</v>
      </c>
      <c r="I188" s="360">
        <v>0.04</v>
      </c>
      <c r="J188" s="361">
        <f t="shared" si="27"/>
        <v>0.0266666666666667</v>
      </c>
      <c r="K188" s="362">
        <v>5400</v>
      </c>
      <c r="L188" s="362">
        <v>5184</v>
      </c>
      <c r="M188" s="362"/>
      <c r="N188" s="362">
        <f t="shared" si="26"/>
        <v>216</v>
      </c>
      <c r="O188" s="362">
        <f>_xlfn.XLOOKUP(E188,'K.01.1a FA list'!D39:D351,'K.01.1a FA list'!K39:K351)</f>
        <v>0</v>
      </c>
      <c r="P188" s="363">
        <f t="shared" si="21"/>
        <v>36</v>
      </c>
      <c r="Q188" s="364">
        <v>0.05</v>
      </c>
      <c r="R188" s="365">
        <f t="shared" si="22"/>
        <v>142.5</v>
      </c>
      <c r="S188" s="366">
        <f t="shared" si="23"/>
        <v>36</v>
      </c>
      <c r="T188" s="367">
        <f t="shared" si="24"/>
        <v>5130</v>
      </c>
      <c r="U188" s="367">
        <f t="shared" si="25"/>
        <v>-54</v>
      </c>
      <c r="V188" s="334"/>
    </row>
    <row r="189" s="158" customFormat="1" ht="14.55" outlineLevel="1" spans="2:22">
      <c r="B189" s="355"/>
      <c r="C189" s="356" t="s">
        <v>1397</v>
      </c>
      <c r="D189" s="357" t="s">
        <v>178</v>
      </c>
      <c r="E189" s="357" t="s">
        <v>479</v>
      </c>
      <c r="F189" s="357" t="s">
        <v>480</v>
      </c>
      <c r="G189" s="358" t="s">
        <v>308</v>
      </c>
      <c r="H189" s="359">
        <v>36</v>
      </c>
      <c r="I189" s="360">
        <v>0.04</v>
      </c>
      <c r="J189" s="361">
        <f t="shared" si="27"/>
        <v>0.0266666666666667</v>
      </c>
      <c r="K189" s="362">
        <v>46000</v>
      </c>
      <c r="L189" s="362">
        <v>44160</v>
      </c>
      <c r="M189" s="362"/>
      <c r="N189" s="362">
        <f t="shared" si="26"/>
        <v>1840</v>
      </c>
      <c r="O189" s="362">
        <f>_xlfn.XLOOKUP(E189,'K.01.1a FA list'!D40:D352,'K.01.1a FA list'!K40:K352)</f>
        <v>0</v>
      </c>
      <c r="P189" s="363">
        <f t="shared" si="21"/>
        <v>36</v>
      </c>
      <c r="Q189" s="364">
        <v>0.05</v>
      </c>
      <c r="R189" s="365">
        <f t="shared" si="22"/>
        <v>1213.88888888889</v>
      </c>
      <c r="S189" s="366">
        <f t="shared" si="23"/>
        <v>36</v>
      </c>
      <c r="T189" s="367">
        <f t="shared" si="24"/>
        <v>43700</v>
      </c>
      <c r="U189" s="367">
        <f t="shared" si="25"/>
        <v>-460</v>
      </c>
      <c r="V189" s="334"/>
    </row>
    <row r="190" s="158" customFormat="1" ht="14.55" outlineLevel="1" spans="2:22">
      <c r="B190" s="355"/>
      <c r="C190" s="356" t="s">
        <v>1397</v>
      </c>
      <c r="D190" s="357" t="s">
        <v>178</v>
      </c>
      <c r="E190" s="357" t="s">
        <v>481</v>
      </c>
      <c r="F190" s="357" t="s">
        <v>482</v>
      </c>
      <c r="G190" s="358" t="s">
        <v>323</v>
      </c>
      <c r="H190" s="359">
        <v>36</v>
      </c>
      <c r="I190" s="360">
        <v>0.04</v>
      </c>
      <c r="J190" s="361">
        <f t="shared" si="27"/>
        <v>0.0266666666666667</v>
      </c>
      <c r="K190" s="362">
        <v>4700</v>
      </c>
      <c r="L190" s="362">
        <v>4512</v>
      </c>
      <c r="M190" s="362"/>
      <c r="N190" s="362">
        <f t="shared" si="26"/>
        <v>188</v>
      </c>
      <c r="O190" s="362">
        <f>_xlfn.XLOOKUP(E190,'K.01.1a FA list'!D41:D353,'K.01.1a FA list'!K41:K353)</f>
        <v>0</v>
      </c>
      <c r="P190" s="363">
        <f t="shared" si="21"/>
        <v>36</v>
      </c>
      <c r="Q190" s="364">
        <v>0.05</v>
      </c>
      <c r="R190" s="365">
        <f t="shared" si="22"/>
        <v>124.027777777778</v>
      </c>
      <c r="S190" s="366">
        <f t="shared" si="23"/>
        <v>36</v>
      </c>
      <c r="T190" s="367">
        <f t="shared" si="24"/>
        <v>4465</v>
      </c>
      <c r="U190" s="367">
        <f t="shared" si="25"/>
        <v>-47</v>
      </c>
      <c r="V190" s="334"/>
    </row>
    <row r="191" s="158" customFormat="1" ht="14.55" outlineLevel="1" spans="2:22">
      <c r="B191" s="355"/>
      <c r="C191" s="356" t="s">
        <v>1397</v>
      </c>
      <c r="D191" s="357" t="s">
        <v>178</v>
      </c>
      <c r="E191" s="357" t="s">
        <v>483</v>
      </c>
      <c r="F191" s="357" t="s">
        <v>484</v>
      </c>
      <c r="G191" s="358" t="s">
        <v>323</v>
      </c>
      <c r="H191" s="359">
        <v>36</v>
      </c>
      <c r="I191" s="360">
        <v>0.04</v>
      </c>
      <c r="J191" s="361">
        <f t="shared" si="27"/>
        <v>0.0266666666666667</v>
      </c>
      <c r="K191" s="362">
        <v>3380</v>
      </c>
      <c r="L191" s="362">
        <v>3244.8</v>
      </c>
      <c r="M191" s="362"/>
      <c r="N191" s="362">
        <f t="shared" si="26"/>
        <v>135.2</v>
      </c>
      <c r="O191" s="362">
        <f>_xlfn.XLOOKUP(E191,'K.01.1a FA list'!D42:D354,'K.01.1a FA list'!K42:K354)</f>
        <v>0</v>
      </c>
      <c r="P191" s="363">
        <f t="shared" si="21"/>
        <v>36</v>
      </c>
      <c r="Q191" s="364">
        <v>0.05</v>
      </c>
      <c r="R191" s="365">
        <f t="shared" si="22"/>
        <v>89.1944444444444</v>
      </c>
      <c r="S191" s="366">
        <f t="shared" si="23"/>
        <v>36</v>
      </c>
      <c r="T191" s="367">
        <f t="shared" si="24"/>
        <v>3211</v>
      </c>
      <c r="U191" s="367">
        <f t="shared" si="25"/>
        <v>-33.8000000000002</v>
      </c>
      <c r="V191" s="334"/>
    </row>
    <row r="192" s="158" customFormat="1" ht="14.55" outlineLevel="1" spans="2:22">
      <c r="B192" s="355"/>
      <c r="C192" s="356" t="s">
        <v>1397</v>
      </c>
      <c r="D192" s="357" t="s">
        <v>178</v>
      </c>
      <c r="E192" s="357" t="s">
        <v>485</v>
      </c>
      <c r="F192" s="357" t="s">
        <v>486</v>
      </c>
      <c r="G192" s="358" t="s">
        <v>323</v>
      </c>
      <c r="H192" s="359">
        <v>36</v>
      </c>
      <c r="I192" s="360">
        <v>0.04</v>
      </c>
      <c r="J192" s="361">
        <f t="shared" si="27"/>
        <v>0.0266666666666667</v>
      </c>
      <c r="K192" s="362">
        <v>24600</v>
      </c>
      <c r="L192" s="362">
        <v>23616</v>
      </c>
      <c r="M192" s="362"/>
      <c r="N192" s="362">
        <f t="shared" si="26"/>
        <v>984</v>
      </c>
      <c r="O192" s="362">
        <f>_xlfn.XLOOKUP(E192,'K.01.1a FA list'!D43:D355,'K.01.1a FA list'!K43:K355)</f>
        <v>0</v>
      </c>
      <c r="P192" s="363">
        <f t="shared" si="21"/>
        <v>36</v>
      </c>
      <c r="Q192" s="364">
        <v>0.05</v>
      </c>
      <c r="R192" s="365">
        <f t="shared" si="22"/>
        <v>649.166666666667</v>
      </c>
      <c r="S192" s="366">
        <f t="shared" si="23"/>
        <v>36</v>
      </c>
      <c r="T192" s="367">
        <f t="shared" si="24"/>
        <v>23370</v>
      </c>
      <c r="U192" s="367">
        <f t="shared" si="25"/>
        <v>-246</v>
      </c>
      <c r="V192" s="334"/>
    </row>
    <row r="193" s="158" customFormat="1" ht="14.55" outlineLevel="1" spans="2:22">
      <c r="B193" s="355"/>
      <c r="C193" s="356" t="s">
        <v>1397</v>
      </c>
      <c r="D193" s="357" t="s">
        <v>178</v>
      </c>
      <c r="E193" s="357" t="s">
        <v>487</v>
      </c>
      <c r="F193" s="357" t="s">
        <v>488</v>
      </c>
      <c r="G193" s="358" t="s">
        <v>326</v>
      </c>
      <c r="H193" s="359">
        <v>48</v>
      </c>
      <c r="I193" s="360">
        <v>0.04</v>
      </c>
      <c r="J193" s="361">
        <f t="shared" si="27"/>
        <v>0.02</v>
      </c>
      <c r="K193" s="362">
        <v>6400</v>
      </c>
      <c r="L193" s="362">
        <v>6144</v>
      </c>
      <c r="M193" s="362"/>
      <c r="N193" s="362">
        <f t="shared" si="26"/>
        <v>256</v>
      </c>
      <c r="O193" s="362">
        <f>_xlfn.XLOOKUP(E193,'K.01.1a FA list'!D44:D356,'K.01.1a FA list'!K44:K356)</f>
        <v>0</v>
      </c>
      <c r="P193" s="363">
        <f t="shared" si="21"/>
        <v>36</v>
      </c>
      <c r="Q193" s="364">
        <v>0.05</v>
      </c>
      <c r="R193" s="365">
        <f t="shared" si="22"/>
        <v>168.888888888889</v>
      </c>
      <c r="S193" s="366">
        <f t="shared" si="23"/>
        <v>36</v>
      </c>
      <c r="T193" s="367">
        <f t="shared" si="24"/>
        <v>6080</v>
      </c>
      <c r="U193" s="367">
        <f t="shared" si="25"/>
        <v>-64</v>
      </c>
      <c r="V193" s="334"/>
    </row>
    <row r="194" s="158" customFormat="1" ht="14.55" outlineLevel="1" spans="2:22">
      <c r="B194" s="355"/>
      <c r="C194" s="356" t="s">
        <v>1397</v>
      </c>
      <c r="D194" s="357" t="s">
        <v>178</v>
      </c>
      <c r="E194" s="357" t="s">
        <v>489</v>
      </c>
      <c r="F194" s="357" t="s">
        <v>490</v>
      </c>
      <c r="G194" s="358" t="s">
        <v>491</v>
      </c>
      <c r="H194" s="359">
        <v>36</v>
      </c>
      <c r="I194" s="360">
        <v>0.04</v>
      </c>
      <c r="J194" s="361">
        <f t="shared" si="27"/>
        <v>0.0266666666666667</v>
      </c>
      <c r="K194" s="362">
        <v>23000</v>
      </c>
      <c r="L194" s="362">
        <v>22080</v>
      </c>
      <c r="M194" s="362"/>
      <c r="N194" s="362">
        <f t="shared" si="26"/>
        <v>920</v>
      </c>
      <c r="O194" s="362">
        <f>_xlfn.XLOOKUP(E194,'K.01.1a FA list'!D45:D357,'K.01.1a FA list'!K45:K357)</f>
        <v>0</v>
      </c>
      <c r="P194" s="363">
        <f t="shared" si="21"/>
        <v>36</v>
      </c>
      <c r="Q194" s="364">
        <v>0.05</v>
      </c>
      <c r="R194" s="365">
        <f t="shared" si="22"/>
        <v>606.944444444444</v>
      </c>
      <c r="S194" s="366">
        <f t="shared" si="23"/>
        <v>36</v>
      </c>
      <c r="T194" s="367">
        <f t="shared" si="24"/>
        <v>21850</v>
      </c>
      <c r="U194" s="367">
        <f t="shared" si="25"/>
        <v>-230</v>
      </c>
      <c r="V194" s="334"/>
    </row>
    <row r="195" s="158" customFormat="1" ht="14.55" outlineLevel="1" spans="2:22">
      <c r="B195" s="355"/>
      <c r="C195" s="356" t="s">
        <v>1397</v>
      </c>
      <c r="D195" s="357" t="s">
        <v>178</v>
      </c>
      <c r="E195" s="357" t="s">
        <v>492</v>
      </c>
      <c r="F195" s="357" t="s">
        <v>493</v>
      </c>
      <c r="G195" s="358" t="s">
        <v>491</v>
      </c>
      <c r="H195" s="359">
        <v>36</v>
      </c>
      <c r="I195" s="360">
        <v>0.04</v>
      </c>
      <c r="J195" s="361">
        <f t="shared" si="27"/>
        <v>0.0266666666666667</v>
      </c>
      <c r="K195" s="362">
        <v>51500</v>
      </c>
      <c r="L195" s="362">
        <v>49440</v>
      </c>
      <c r="M195" s="362"/>
      <c r="N195" s="362">
        <f t="shared" si="26"/>
        <v>2060</v>
      </c>
      <c r="O195" s="362">
        <f>_xlfn.XLOOKUP(E195,'K.01.1a FA list'!D46:D358,'K.01.1a FA list'!K46:K358)</f>
        <v>0</v>
      </c>
      <c r="P195" s="363">
        <f t="shared" si="21"/>
        <v>36</v>
      </c>
      <c r="Q195" s="364">
        <v>0.05</v>
      </c>
      <c r="R195" s="365">
        <f t="shared" si="22"/>
        <v>1359.02777777778</v>
      </c>
      <c r="S195" s="366">
        <f t="shared" si="23"/>
        <v>36</v>
      </c>
      <c r="T195" s="367">
        <f t="shared" si="24"/>
        <v>48925</v>
      </c>
      <c r="U195" s="367">
        <f t="shared" si="25"/>
        <v>-515</v>
      </c>
      <c r="V195" s="334"/>
    </row>
    <row r="196" s="158" customFormat="1" ht="14.55" outlineLevel="1" spans="2:22">
      <c r="B196" s="355"/>
      <c r="C196" s="356" t="s">
        <v>1397</v>
      </c>
      <c r="D196" s="357" t="s">
        <v>178</v>
      </c>
      <c r="E196" s="357" t="s">
        <v>494</v>
      </c>
      <c r="F196" s="357" t="s">
        <v>495</v>
      </c>
      <c r="G196" s="358" t="s">
        <v>496</v>
      </c>
      <c r="H196" s="359">
        <v>36</v>
      </c>
      <c r="I196" s="360">
        <v>0.04</v>
      </c>
      <c r="J196" s="361">
        <f t="shared" si="27"/>
        <v>0.0266666666666667</v>
      </c>
      <c r="K196" s="362">
        <v>9185</v>
      </c>
      <c r="L196" s="362">
        <v>8817.6</v>
      </c>
      <c r="M196" s="362"/>
      <c r="N196" s="362">
        <f t="shared" si="26"/>
        <v>367.4</v>
      </c>
      <c r="O196" s="362">
        <f>_xlfn.XLOOKUP(E196,'K.01.1a FA list'!D47:D359,'K.01.1a FA list'!K47:K359)</f>
        <v>0</v>
      </c>
      <c r="P196" s="363">
        <f t="shared" si="21"/>
        <v>36</v>
      </c>
      <c r="Q196" s="364">
        <v>0.05</v>
      </c>
      <c r="R196" s="365">
        <f t="shared" si="22"/>
        <v>242.381944444444</v>
      </c>
      <c r="S196" s="366">
        <f t="shared" si="23"/>
        <v>36</v>
      </c>
      <c r="T196" s="367">
        <f t="shared" si="24"/>
        <v>8725.75</v>
      </c>
      <c r="U196" s="367">
        <f t="shared" si="25"/>
        <v>-91.8500000000004</v>
      </c>
      <c r="V196" s="334"/>
    </row>
    <row r="197" s="158" customFormat="1" ht="14.55" outlineLevel="1" spans="2:22">
      <c r="B197" s="355"/>
      <c r="C197" s="356" t="s">
        <v>1397</v>
      </c>
      <c r="D197" s="357" t="s">
        <v>178</v>
      </c>
      <c r="E197" s="357" t="s">
        <v>497</v>
      </c>
      <c r="F197" s="357" t="s">
        <v>498</v>
      </c>
      <c r="G197" s="358" t="s">
        <v>403</v>
      </c>
      <c r="H197" s="359">
        <v>36</v>
      </c>
      <c r="I197" s="360">
        <v>0.05</v>
      </c>
      <c r="J197" s="361">
        <f t="shared" si="27"/>
        <v>0.0263888888888889</v>
      </c>
      <c r="K197" s="362">
        <v>5600</v>
      </c>
      <c r="L197" s="362">
        <v>5320</v>
      </c>
      <c r="M197" s="362"/>
      <c r="N197" s="362">
        <f t="shared" si="26"/>
        <v>280</v>
      </c>
      <c r="O197" s="362">
        <f>_xlfn.XLOOKUP(E197,'K.01.1a FA list'!D48:D360,'K.01.1a FA list'!K48:K360)</f>
        <v>0</v>
      </c>
      <c r="P197" s="363">
        <f t="shared" si="21"/>
        <v>36</v>
      </c>
      <c r="Q197" s="364">
        <v>0.05</v>
      </c>
      <c r="R197" s="365">
        <f t="shared" si="22"/>
        <v>147.777777777778</v>
      </c>
      <c r="S197" s="366">
        <f t="shared" si="23"/>
        <v>36</v>
      </c>
      <c r="T197" s="367">
        <f t="shared" si="24"/>
        <v>5320</v>
      </c>
      <c r="U197" s="367">
        <f t="shared" si="25"/>
        <v>0</v>
      </c>
      <c r="V197" s="334"/>
    </row>
    <row r="198" s="158" customFormat="1" ht="14.55" outlineLevel="1" spans="2:22">
      <c r="B198" s="355"/>
      <c r="C198" s="356" t="s">
        <v>1397</v>
      </c>
      <c r="D198" s="357" t="s">
        <v>178</v>
      </c>
      <c r="E198" s="357" t="s">
        <v>499</v>
      </c>
      <c r="F198" s="357" t="s">
        <v>500</v>
      </c>
      <c r="G198" s="358" t="s">
        <v>501</v>
      </c>
      <c r="H198" s="359">
        <v>36</v>
      </c>
      <c r="I198" s="360">
        <v>0.05</v>
      </c>
      <c r="J198" s="361">
        <f t="shared" si="27"/>
        <v>0.0263888888888889</v>
      </c>
      <c r="K198" s="362">
        <v>3288</v>
      </c>
      <c r="L198" s="362">
        <v>3123.6</v>
      </c>
      <c r="M198" s="362"/>
      <c r="N198" s="362">
        <f t="shared" si="26"/>
        <v>164.4</v>
      </c>
      <c r="O198" s="362">
        <f>_xlfn.XLOOKUP(E198,'K.01.1a FA list'!D49:D361,'K.01.1a FA list'!K49:K361)</f>
        <v>0</v>
      </c>
      <c r="P198" s="363">
        <f t="shared" ref="P198:P229" si="28">_xlfn.XLOOKUP(D198,$C$484:$C$489,$E$484:$E$489)</f>
        <v>36</v>
      </c>
      <c r="Q198" s="364">
        <v>0.05</v>
      </c>
      <c r="R198" s="365">
        <f t="shared" si="22"/>
        <v>86.7666666666667</v>
      </c>
      <c r="S198" s="366">
        <f t="shared" si="23"/>
        <v>36</v>
      </c>
      <c r="T198" s="367">
        <f t="shared" si="24"/>
        <v>3123.6</v>
      </c>
      <c r="U198" s="367">
        <f t="shared" si="25"/>
        <v>0</v>
      </c>
      <c r="V198" s="334"/>
    </row>
    <row r="199" s="158" customFormat="1" ht="14.55" outlineLevel="1" spans="2:22">
      <c r="B199" s="355"/>
      <c r="C199" s="356" t="s">
        <v>1397</v>
      </c>
      <c r="D199" s="357" t="s">
        <v>178</v>
      </c>
      <c r="E199" s="357" t="s">
        <v>502</v>
      </c>
      <c r="F199" s="357" t="s">
        <v>503</v>
      </c>
      <c r="G199" s="358" t="s">
        <v>504</v>
      </c>
      <c r="H199" s="359">
        <v>36</v>
      </c>
      <c r="I199" s="360">
        <v>0.05</v>
      </c>
      <c r="J199" s="361">
        <f t="shared" si="27"/>
        <v>0.0263888888888889</v>
      </c>
      <c r="K199" s="362">
        <v>9800</v>
      </c>
      <c r="L199" s="362">
        <v>9310</v>
      </c>
      <c r="M199" s="362"/>
      <c r="N199" s="362">
        <f t="shared" si="26"/>
        <v>490</v>
      </c>
      <c r="O199" s="362">
        <f>_xlfn.XLOOKUP(E199,'K.01.1a FA list'!D50:D362,'K.01.1a FA list'!K50:K362)</f>
        <v>0</v>
      </c>
      <c r="P199" s="363">
        <f t="shared" si="28"/>
        <v>36</v>
      </c>
      <c r="Q199" s="364">
        <v>0.05</v>
      </c>
      <c r="R199" s="365">
        <f t="shared" si="22"/>
        <v>258.611111111111</v>
      </c>
      <c r="S199" s="366">
        <f t="shared" si="23"/>
        <v>36</v>
      </c>
      <c r="T199" s="367">
        <f t="shared" si="24"/>
        <v>9310</v>
      </c>
      <c r="U199" s="367">
        <f t="shared" si="25"/>
        <v>0</v>
      </c>
      <c r="V199" s="334"/>
    </row>
    <row r="200" s="158" customFormat="1" ht="14.55" outlineLevel="1" spans="2:22">
      <c r="B200" s="355"/>
      <c r="C200" s="356" t="s">
        <v>1397</v>
      </c>
      <c r="D200" s="357" t="s">
        <v>178</v>
      </c>
      <c r="E200" s="357" t="s">
        <v>505</v>
      </c>
      <c r="F200" s="357" t="s">
        <v>506</v>
      </c>
      <c r="G200" s="358" t="s">
        <v>507</v>
      </c>
      <c r="H200" s="359">
        <v>36</v>
      </c>
      <c r="I200" s="360">
        <v>0.05</v>
      </c>
      <c r="J200" s="361">
        <f t="shared" si="27"/>
        <v>0.0263888888888889</v>
      </c>
      <c r="K200" s="362">
        <v>5199</v>
      </c>
      <c r="L200" s="362">
        <v>4939.05</v>
      </c>
      <c r="M200" s="362"/>
      <c r="N200" s="362">
        <f t="shared" si="26"/>
        <v>259.95</v>
      </c>
      <c r="O200" s="362">
        <f>_xlfn.XLOOKUP(E200,'K.01.1a FA list'!D51:D363,'K.01.1a FA list'!K51:K363)</f>
        <v>0</v>
      </c>
      <c r="P200" s="363">
        <f t="shared" si="28"/>
        <v>36</v>
      </c>
      <c r="Q200" s="364">
        <v>0.05</v>
      </c>
      <c r="R200" s="365">
        <f t="shared" si="22"/>
        <v>137.195833333333</v>
      </c>
      <c r="S200" s="366">
        <f t="shared" si="23"/>
        <v>36</v>
      </c>
      <c r="T200" s="367">
        <f t="shared" si="24"/>
        <v>4939.05</v>
      </c>
      <c r="U200" s="367">
        <f t="shared" si="25"/>
        <v>0</v>
      </c>
      <c r="V200" s="334"/>
    </row>
    <row r="201" s="158" customFormat="1" ht="14.55" outlineLevel="1" spans="2:22">
      <c r="B201" s="355"/>
      <c r="C201" s="356" t="s">
        <v>1397</v>
      </c>
      <c r="D201" s="357" t="s">
        <v>178</v>
      </c>
      <c r="E201" s="357" t="s">
        <v>508</v>
      </c>
      <c r="F201" s="357" t="s">
        <v>509</v>
      </c>
      <c r="G201" s="358" t="s">
        <v>510</v>
      </c>
      <c r="H201" s="359">
        <v>36</v>
      </c>
      <c r="I201" s="360">
        <v>0.05</v>
      </c>
      <c r="J201" s="361">
        <f t="shared" si="27"/>
        <v>0.0263888888888889</v>
      </c>
      <c r="K201" s="362">
        <v>10700</v>
      </c>
      <c r="L201" s="362">
        <v>10165</v>
      </c>
      <c r="M201" s="362"/>
      <c r="N201" s="362">
        <f t="shared" si="26"/>
        <v>535</v>
      </c>
      <c r="O201" s="362">
        <f>_xlfn.XLOOKUP(E201,'K.01.1a FA list'!D52:D364,'K.01.1a FA list'!K52:K364)</f>
        <v>282.4</v>
      </c>
      <c r="P201" s="363">
        <f t="shared" si="28"/>
        <v>36</v>
      </c>
      <c r="Q201" s="364">
        <v>0.05</v>
      </c>
      <c r="R201" s="365">
        <f t="shared" si="22"/>
        <v>282.361111111111</v>
      </c>
      <c r="S201" s="366">
        <f t="shared" si="23"/>
        <v>36</v>
      </c>
      <c r="T201" s="367">
        <f t="shared" si="24"/>
        <v>10165</v>
      </c>
      <c r="U201" s="367">
        <f t="shared" si="25"/>
        <v>0</v>
      </c>
      <c r="V201" s="334"/>
    </row>
    <row r="202" s="158" customFormat="1" ht="14.55" outlineLevel="1" spans="2:22">
      <c r="B202" s="355"/>
      <c r="C202" s="356" t="s">
        <v>1397</v>
      </c>
      <c r="D202" s="357" t="s">
        <v>178</v>
      </c>
      <c r="E202" s="357" t="s">
        <v>511</v>
      </c>
      <c r="F202" s="357" t="s">
        <v>512</v>
      </c>
      <c r="G202" s="358" t="s">
        <v>510</v>
      </c>
      <c r="H202" s="359">
        <v>36</v>
      </c>
      <c r="I202" s="360">
        <v>0.05</v>
      </c>
      <c r="J202" s="361">
        <f t="shared" si="27"/>
        <v>0.0263888888888889</v>
      </c>
      <c r="K202" s="362">
        <v>5950</v>
      </c>
      <c r="L202" s="362">
        <v>5652.5</v>
      </c>
      <c r="M202" s="362"/>
      <c r="N202" s="362">
        <f t="shared" si="26"/>
        <v>297.5</v>
      </c>
      <c r="O202" s="362">
        <f>_xlfn.XLOOKUP(E202,'K.01.1a FA list'!D53:D365,'K.01.1a FA list'!K53:K365)</f>
        <v>157.15</v>
      </c>
      <c r="P202" s="363">
        <f t="shared" si="28"/>
        <v>36</v>
      </c>
      <c r="Q202" s="364">
        <v>0.05</v>
      </c>
      <c r="R202" s="365">
        <f t="shared" si="22"/>
        <v>157.013888888889</v>
      </c>
      <c r="S202" s="366">
        <f t="shared" si="23"/>
        <v>36</v>
      </c>
      <c r="T202" s="367">
        <f t="shared" si="24"/>
        <v>5652.5</v>
      </c>
      <c r="U202" s="367">
        <f t="shared" si="25"/>
        <v>0</v>
      </c>
      <c r="V202" s="334"/>
    </row>
    <row r="203" s="158" customFormat="1" ht="14.55" outlineLevel="1" spans="2:22">
      <c r="B203" s="355"/>
      <c r="C203" s="356" t="s">
        <v>1397</v>
      </c>
      <c r="D203" s="357" t="s">
        <v>178</v>
      </c>
      <c r="E203" s="357" t="s">
        <v>513</v>
      </c>
      <c r="F203" s="357" t="s">
        <v>514</v>
      </c>
      <c r="G203" s="358" t="s">
        <v>515</v>
      </c>
      <c r="H203" s="359">
        <v>36</v>
      </c>
      <c r="I203" s="360">
        <v>0.05</v>
      </c>
      <c r="J203" s="361">
        <f t="shared" si="27"/>
        <v>0.0263888888888889</v>
      </c>
      <c r="K203" s="362">
        <v>22890</v>
      </c>
      <c r="L203" s="362">
        <v>21745.5</v>
      </c>
      <c r="M203" s="362"/>
      <c r="N203" s="362">
        <f t="shared" si="26"/>
        <v>1144.5</v>
      </c>
      <c r="O203" s="362">
        <f>_xlfn.XLOOKUP(E203,'K.01.1a FA list'!D54:D366,'K.01.1a FA list'!K54:K366)</f>
        <v>1208.14</v>
      </c>
      <c r="P203" s="363">
        <f t="shared" si="28"/>
        <v>36</v>
      </c>
      <c r="Q203" s="364">
        <v>0.05</v>
      </c>
      <c r="R203" s="365">
        <f t="shared" si="22"/>
        <v>604.041666666667</v>
      </c>
      <c r="S203" s="366">
        <f t="shared" si="23"/>
        <v>36</v>
      </c>
      <c r="T203" s="367">
        <f t="shared" si="24"/>
        <v>21745.5</v>
      </c>
      <c r="U203" s="367">
        <f t="shared" si="25"/>
        <v>0</v>
      </c>
      <c r="V203" s="334"/>
    </row>
    <row r="204" s="158" customFormat="1" ht="14.55" outlineLevel="1" spans="2:22">
      <c r="B204" s="355"/>
      <c r="C204" s="356" t="s">
        <v>1397</v>
      </c>
      <c r="D204" s="357" t="s">
        <v>178</v>
      </c>
      <c r="E204" s="357" t="s">
        <v>516</v>
      </c>
      <c r="F204" s="357" t="s">
        <v>514</v>
      </c>
      <c r="G204" s="358" t="s">
        <v>515</v>
      </c>
      <c r="H204" s="359">
        <v>36</v>
      </c>
      <c r="I204" s="360">
        <v>0.05</v>
      </c>
      <c r="J204" s="361">
        <f t="shared" si="27"/>
        <v>0.0263888888888889</v>
      </c>
      <c r="K204" s="362">
        <v>13100</v>
      </c>
      <c r="L204" s="362">
        <v>12445</v>
      </c>
      <c r="M204" s="362"/>
      <c r="N204" s="362">
        <f t="shared" si="26"/>
        <v>655</v>
      </c>
      <c r="O204" s="362">
        <f>_xlfn.XLOOKUP(E204,'K.01.1a FA list'!D55:D367,'K.01.1a FA list'!K55:K367)</f>
        <v>691.540000000001</v>
      </c>
      <c r="P204" s="363">
        <f t="shared" si="28"/>
        <v>36</v>
      </c>
      <c r="Q204" s="364">
        <v>0.05</v>
      </c>
      <c r="R204" s="365">
        <f t="shared" si="22"/>
        <v>345.694444444444</v>
      </c>
      <c r="S204" s="366">
        <f t="shared" si="23"/>
        <v>36</v>
      </c>
      <c r="T204" s="367">
        <f t="shared" si="24"/>
        <v>12445</v>
      </c>
      <c r="U204" s="367">
        <f t="shared" si="25"/>
        <v>0</v>
      </c>
      <c r="V204" s="334"/>
    </row>
    <row r="205" s="158" customFormat="1" ht="14.55" outlineLevel="1" spans="2:22">
      <c r="B205" s="355"/>
      <c r="C205" s="356" t="s">
        <v>1397</v>
      </c>
      <c r="D205" s="357" t="s">
        <v>178</v>
      </c>
      <c r="E205" s="357" t="s">
        <v>517</v>
      </c>
      <c r="F205" s="357" t="s">
        <v>518</v>
      </c>
      <c r="G205" s="358" t="s">
        <v>386</v>
      </c>
      <c r="H205" s="359">
        <v>36</v>
      </c>
      <c r="I205" s="360">
        <v>0.05</v>
      </c>
      <c r="J205" s="361">
        <f t="shared" si="27"/>
        <v>0.0263888888888889</v>
      </c>
      <c r="K205" s="362">
        <v>9300</v>
      </c>
      <c r="L205" s="362">
        <v>8835</v>
      </c>
      <c r="M205" s="362"/>
      <c r="N205" s="362">
        <f t="shared" si="26"/>
        <v>465</v>
      </c>
      <c r="O205" s="362">
        <f>_xlfn.XLOOKUP(E205,'K.01.1a FA list'!D56:D368,'K.01.1a FA list'!K56:K368)</f>
        <v>1963.24</v>
      </c>
      <c r="P205" s="363">
        <f t="shared" si="28"/>
        <v>36</v>
      </c>
      <c r="Q205" s="364">
        <v>0.05</v>
      </c>
      <c r="R205" s="365">
        <f t="shared" si="22"/>
        <v>245.416666666667</v>
      </c>
      <c r="S205" s="366">
        <f t="shared" si="23"/>
        <v>36</v>
      </c>
      <c r="T205" s="367">
        <f t="shared" si="24"/>
        <v>8835</v>
      </c>
      <c r="U205" s="367">
        <f t="shared" si="25"/>
        <v>0</v>
      </c>
      <c r="V205" s="334"/>
    </row>
    <row r="206" s="158" customFormat="1" ht="14.55" outlineLevel="1" spans="2:22">
      <c r="B206" s="355"/>
      <c r="C206" s="356" t="s">
        <v>1397</v>
      </c>
      <c r="D206" s="357" t="s">
        <v>178</v>
      </c>
      <c r="E206" s="357" t="s">
        <v>519</v>
      </c>
      <c r="F206" s="357" t="s">
        <v>520</v>
      </c>
      <c r="G206" s="358" t="s">
        <v>386</v>
      </c>
      <c r="H206" s="359">
        <v>36</v>
      </c>
      <c r="I206" s="360">
        <v>0.05</v>
      </c>
      <c r="J206" s="361">
        <f t="shared" si="27"/>
        <v>0.0263888888888889</v>
      </c>
      <c r="K206" s="362">
        <v>4500</v>
      </c>
      <c r="L206" s="362">
        <v>4275</v>
      </c>
      <c r="M206" s="362"/>
      <c r="N206" s="362">
        <f t="shared" si="26"/>
        <v>225</v>
      </c>
      <c r="O206" s="362">
        <f>_xlfn.XLOOKUP(E206,'K.01.1a FA list'!D57:D369,'K.01.1a FA list'!K57:K369)</f>
        <v>950</v>
      </c>
      <c r="P206" s="363">
        <f t="shared" si="28"/>
        <v>36</v>
      </c>
      <c r="Q206" s="364">
        <v>0.05</v>
      </c>
      <c r="R206" s="365">
        <f t="shared" si="22"/>
        <v>118.75</v>
      </c>
      <c r="S206" s="366">
        <f t="shared" si="23"/>
        <v>36</v>
      </c>
      <c r="T206" s="367">
        <f t="shared" si="24"/>
        <v>4275</v>
      </c>
      <c r="U206" s="367">
        <f t="shared" si="25"/>
        <v>0</v>
      </c>
      <c r="V206" s="334"/>
    </row>
    <row r="207" s="158" customFormat="1" ht="14.55" outlineLevel="1" spans="2:22">
      <c r="B207" s="355"/>
      <c r="C207" s="356" t="s">
        <v>1397</v>
      </c>
      <c r="D207" s="357" t="s">
        <v>178</v>
      </c>
      <c r="E207" s="357" t="s">
        <v>521</v>
      </c>
      <c r="F207" s="357" t="s">
        <v>520</v>
      </c>
      <c r="G207" s="358" t="s">
        <v>386</v>
      </c>
      <c r="H207" s="359">
        <v>36</v>
      </c>
      <c r="I207" s="360">
        <v>0.05</v>
      </c>
      <c r="J207" s="361">
        <f t="shared" si="27"/>
        <v>0.0263888888888889</v>
      </c>
      <c r="K207" s="362">
        <v>4500</v>
      </c>
      <c r="L207" s="362">
        <v>4275</v>
      </c>
      <c r="M207" s="362"/>
      <c r="N207" s="362">
        <f t="shared" si="26"/>
        <v>225</v>
      </c>
      <c r="O207" s="362">
        <f>_xlfn.XLOOKUP(E207,'K.01.1a FA list'!D58:D370,'K.01.1a FA list'!K58:K370)</f>
        <v>950</v>
      </c>
      <c r="P207" s="363">
        <f t="shared" si="28"/>
        <v>36</v>
      </c>
      <c r="Q207" s="364">
        <v>0.05</v>
      </c>
      <c r="R207" s="365">
        <f t="shared" si="22"/>
        <v>118.75</v>
      </c>
      <c r="S207" s="366">
        <f t="shared" si="23"/>
        <v>36</v>
      </c>
      <c r="T207" s="367">
        <f t="shared" si="24"/>
        <v>4275</v>
      </c>
      <c r="U207" s="367">
        <f t="shared" si="25"/>
        <v>0</v>
      </c>
      <c r="V207" s="334"/>
    </row>
    <row r="208" s="158" customFormat="1" ht="14.55" outlineLevel="1" spans="2:22">
      <c r="B208" s="355"/>
      <c r="C208" s="356" t="s">
        <v>1397</v>
      </c>
      <c r="D208" s="357" t="s">
        <v>178</v>
      </c>
      <c r="E208" s="357" t="s">
        <v>522</v>
      </c>
      <c r="F208" s="357" t="s">
        <v>509</v>
      </c>
      <c r="G208" s="358" t="s">
        <v>386</v>
      </c>
      <c r="H208" s="359">
        <v>36</v>
      </c>
      <c r="I208" s="360">
        <v>0.05</v>
      </c>
      <c r="J208" s="361">
        <f t="shared" si="27"/>
        <v>0.0263888888888889</v>
      </c>
      <c r="K208" s="362">
        <v>4200</v>
      </c>
      <c r="L208" s="362">
        <v>3990</v>
      </c>
      <c r="M208" s="362"/>
      <c r="N208" s="362">
        <f t="shared" si="26"/>
        <v>210</v>
      </c>
      <c r="O208" s="362">
        <f>_xlfn.XLOOKUP(E208,'K.01.1a FA list'!D59:D371,'K.01.1a FA list'!K59:K371)</f>
        <v>886.76</v>
      </c>
      <c r="P208" s="363">
        <f t="shared" si="28"/>
        <v>36</v>
      </c>
      <c r="Q208" s="364">
        <v>0.05</v>
      </c>
      <c r="R208" s="365">
        <f t="shared" si="22"/>
        <v>110.833333333333</v>
      </c>
      <c r="S208" s="366">
        <f t="shared" si="23"/>
        <v>36</v>
      </c>
      <c r="T208" s="367">
        <f t="shared" si="24"/>
        <v>3990</v>
      </c>
      <c r="U208" s="367">
        <f t="shared" si="25"/>
        <v>0</v>
      </c>
      <c r="V208" s="334"/>
    </row>
    <row r="209" s="158" customFormat="1" ht="14.55" outlineLevel="1" spans="2:22">
      <c r="B209" s="355"/>
      <c r="C209" s="356" t="s">
        <v>1397</v>
      </c>
      <c r="D209" s="357" t="s">
        <v>178</v>
      </c>
      <c r="E209" s="357" t="s">
        <v>523</v>
      </c>
      <c r="F209" s="357" t="s">
        <v>524</v>
      </c>
      <c r="G209" s="358" t="s">
        <v>386</v>
      </c>
      <c r="H209" s="359">
        <v>36</v>
      </c>
      <c r="I209" s="360">
        <v>0.05</v>
      </c>
      <c r="J209" s="361">
        <f t="shared" si="27"/>
        <v>0.0263888888888889</v>
      </c>
      <c r="K209" s="362">
        <v>2198.8</v>
      </c>
      <c r="L209" s="362">
        <v>2088.86</v>
      </c>
      <c r="M209" s="362"/>
      <c r="N209" s="362">
        <f t="shared" si="26"/>
        <v>109.94</v>
      </c>
      <c r="O209" s="362">
        <f>_xlfn.XLOOKUP(E209,'K.01.1a FA list'!D60:D372,'K.01.1a FA list'!K60:K372)</f>
        <v>464.3</v>
      </c>
      <c r="P209" s="363">
        <f t="shared" si="28"/>
        <v>36</v>
      </c>
      <c r="Q209" s="364">
        <v>0.05</v>
      </c>
      <c r="R209" s="365">
        <f t="shared" si="22"/>
        <v>58.0238888888889</v>
      </c>
      <c r="S209" s="366">
        <f t="shared" si="23"/>
        <v>36</v>
      </c>
      <c r="T209" s="367">
        <f t="shared" si="24"/>
        <v>2088.86</v>
      </c>
      <c r="U209" s="367">
        <f t="shared" si="25"/>
        <v>0</v>
      </c>
      <c r="V209" s="334"/>
    </row>
    <row r="210" s="158" customFormat="1" ht="14.55" outlineLevel="1" spans="2:22">
      <c r="B210" s="355"/>
      <c r="C210" s="356" t="s">
        <v>1397</v>
      </c>
      <c r="D210" s="357" t="s">
        <v>178</v>
      </c>
      <c r="E210" s="357" t="s">
        <v>525</v>
      </c>
      <c r="F210" s="357" t="s">
        <v>526</v>
      </c>
      <c r="G210" s="358" t="s">
        <v>386</v>
      </c>
      <c r="H210" s="359">
        <v>36</v>
      </c>
      <c r="I210" s="360">
        <v>0.05</v>
      </c>
      <c r="J210" s="361">
        <f t="shared" si="27"/>
        <v>0.0263888888888889</v>
      </c>
      <c r="K210" s="362">
        <v>3900</v>
      </c>
      <c r="L210" s="362">
        <v>3705</v>
      </c>
      <c r="M210" s="362"/>
      <c r="N210" s="362">
        <f t="shared" si="26"/>
        <v>195</v>
      </c>
      <c r="O210" s="362">
        <f>_xlfn.XLOOKUP(E210,'K.01.1a FA list'!D61:D373,'K.01.1a FA list'!K61:K373)</f>
        <v>823.24</v>
      </c>
      <c r="P210" s="363">
        <f t="shared" si="28"/>
        <v>36</v>
      </c>
      <c r="Q210" s="364">
        <v>0.05</v>
      </c>
      <c r="R210" s="365">
        <f t="shared" si="22"/>
        <v>102.916666666667</v>
      </c>
      <c r="S210" s="366">
        <f t="shared" si="23"/>
        <v>36</v>
      </c>
      <c r="T210" s="367">
        <f t="shared" si="24"/>
        <v>3705</v>
      </c>
      <c r="U210" s="367">
        <f t="shared" si="25"/>
        <v>0</v>
      </c>
      <c r="V210" s="334"/>
    </row>
    <row r="211" s="158" customFormat="1" ht="14.55" outlineLevel="1" spans="2:22">
      <c r="B211" s="355"/>
      <c r="C211" s="356" t="s">
        <v>1397</v>
      </c>
      <c r="D211" s="357" t="s">
        <v>178</v>
      </c>
      <c r="E211" s="357" t="s">
        <v>527</v>
      </c>
      <c r="F211" s="357" t="s">
        <v>528</v>
      </c>
      <c r="G211" s="358" t="s">
        <v>529</v>
      </c>
      <c r="H211" s="359">
        <v>36</v>
      </c>
      <c r="I211" s="360">
        <v>0.05</v>
      </c>
      <c r="J211" s="361">
        <f t="shared" si="27"/>
        <v>0.0263888888888889</v>
      </c>
      <c r="K211" s="362">
        <v>1600</v>
      </c>
      <c r="L211" s="362">
        <v>1520</v>
      </c>
      <c r="M211" s="362"/>
      <c r="N211" s="362">
        <f t="shared" si="26"/>
        <v>80</v>
      </c>
      <c r="O211" s="362">
        <f>_xlfn.XLOOKUP(E211,'K.01.1a FA list'!D62:D374,'K.01.1a FA list'!K62:K374)</f>
        <v>337.84</v>
      </c>
      <c r="P211" s="363">
        <f t="shared" si="28"/>
        <v>36</v>
      </c>
      <c r="Q211" s="364">
        <v>0.05</v>
      </c>
      <c r="R211" s="365">
        <f t="shared" si="22"/>
        <v>42.2222222222222</v>
      </c>
      <c r="S211" s="366">
        <f t="shared" si="23"/>
        <v>36</v>
      </c>
      <c r="T211" s="367">
        <f t="shared" si="24"/>
        <v>1520</v>
      </c>
      <c r="U211" s="367">
        <f t="shared" si="25"/>
        <v>0</v>
      </c>
      <c r="V211" s="334"/>
    </row>
    <row r="212" s="158" customFormat="1" ht="14.55" outlineLevel="1" spans="2:22">
      <c r="B212" s="355"/>
      <c r="C212" s="356" t="s">
        <v>1397</v>
      </c>
      <c r="D212" s="357" t="s">
        <v>178</v>
      </c>
      <c r="E212" s="357" t="s">
        <v>530</v>
      </c>
      <c r="F212" s="357" t="s">
        <v>518</v>
      </c>
      <c r="G212" s="358" t="s">
        <v>531</v>
      </c>
      <c r="H212" s="359">
        <v>36</v>
      </c>
      <c r="I212" s="360">
        <v>0.05</v>
      </c>
      <c r="J212" s="361">
        <f t="shared" si="27"/>
        <v>0.0263888888888889</v>
      </c>
      <c r="K212" s="362">
        <v>3100</v>
      </c>
      <c r="L212" s="362">
        <v>2945</v>
      </c>
      <c r="M212" s="362"/>
      <c r="N212" s="362">
        <f t="shared" si="26"/>
        <v>155</v>
      </c>
      <c r="O212" s="362">
        <f>_xlfn.XLOOKUP(E212,'K.01.1a FA list'!D63:D375,'K.01.1a FA list'!K63:K375)</f>
        <v>736.13</v>
      </c>
      <c r="P212" s="363">
        <f t="shared" si="28"/>
        <v>36</v>
      </c>
      <c r="Q212" s="364">
        <v>0.05</v>
      </c>
      <c r="R212" s="365">
        <f t="shared" si="22"/>
        <v>81.8055555555556</v>
      </c>
      <c r="S212" s="366">
        <f t="shared" si="23"/>
        <v>36</v>
      </c>
      <c r="T212" s="367">
        <f t="shared" si="24"/>
        <v>2945</v>
      </c>
      <c r="U212" s="367">
        <f t="shared" si="25"/>
        <v>0</v>
      </c>
      <c r="V212" s="334"/>
    </row>
    <row r="213" s="158" customFormat="1" ht="14.55" outlineLevel="1" spans="2:22">
      <c r="B213" s="355"/>
      <c r="C213" s="356" t="s">
        <v>1397</v>
      </c>
      <c r="D213" s="357" t="s">
        <v>178</v>
      </c>
      <c r="E213" s="357" t="s">
        <v>532</v>
      </c>
      <c r="F213" s="357" t="s">
        <v>533</v>
      </c>
      <c r="G213" s="358" t="s">
        <v>515</v>
      </c>
      <c r="H213" s="359">
        <v>36</v>
      </c>
      <c r="I213" s="360">
        <v>0.05</v>
      </c>
      <c r="J213" s="361">
        <f t="shared" si="27"/>
        <v>0.0263888888888889</v>
      </c>
      <c r="K213" s="362">
        <v>3100</v>
      </c>
      <c r="L213" s="362">
        <v>2945</v>
      </c>
      <c r="M213" s="362"/>
      <c r="N213" s="362">
        <f t="shared" si="26"/>
        <v>155</v>
      </c>
      <c r="O213" s="362">
        <f>_xlfn.XLOOKUP(E213,'K.01.1a FA list'!D64:D376,'K.01.1a FA list'!K64:K376)</f>
        <v>163.46</v>
      </c>
      <c r="P213" s="363">
        <f t="shared" si="28"/>
        <v>36</v>
      </c>
      <c r="Q213" s="364">
        <v>0.05</v>
      </c>
      <c r="R213" s="365">
        <f t="shared" si="22"/>
        <v>81.8055555555556</v>
      </c>
      <c r="S213" s="366">
        <f t="shared" si="23"/>
        <v>36</v>
      </c>
      <c r="T213" s="367">
        <f t="shared" si="24"/>
        <v>2945</v>
      </c>
      <c r="U213" s="367">
        <f t="shared" si="25"/>
        <v>0</v>
      </c>
      <c r="V213" s="334"/>
    </row>
    <row r="214" s="158" customFormat="1" ht="14.55" outlineLevel="1" spans="2:22">
      <c r="B214" s="355"/>
      <c r="C214" s="356" t="s">
        <v>1397</v>
      </c>
      <c r="D214" s="357" t="s">
        <v>178</v>
      </c>
      <c r="E214" s="357" t="s">
        <v>534</v>
      </c>
      <c r="F214" s="357" t="s">
        <v>535</v>
      </c>
      <c r="G214" s="358" t="s">
        <v>412</v>
      </c>
      <c r="H214" s="359">
        <v>36</v>
      </c>
      <c r="I214" s="360">
        <v>0.05</v>
      </c>
      <c r="J214" s="361">
        <f t="shared" si="27"/>
        <v>0.0263888888888889</v>
      </c>
      <c r="K214" s="362">
        <v>3800</v>
      </c>
      <c r="L214" s="362">
        <v>3610</v>
      </c>
      <c r="M214" s="362"/>
      <c r="N214" s="362">
        <f t="shared" si="26"/>
        <v>190</v>
      </c>
      <c r="O214" s="362">
        <f>_xlfn.XLOOKUP(E214,'K.01.1a FA list'!D65:D377,'K.01.1a FA list'!K65:K377)</f>
        <v>1103</v>
      </c>
      <c r="P214" s="363">
        <f t="shared" si="28"/>
        <v>36</v>
      </c>
      <c r="Q214" s="364">
        <v>0.05</v>
      </c>
      <c r="R214" s="365">
        <f t="shared" si="22"/>
        <v>100.277777777778</v>
      </c>
      <c r="S214" s="366">
        <f t="shared" si="23"/>
        <v>36</v>
      </c>
      <c r="T214" s="367">
        <f t="shared" si="24"/>
        <v>3610</v>
      </c>
      <c r="U214" s="367">
        <f t="shared" si="25"/>
        <v>0</v>
      </c>
      <c r="V214" s="334"/>
    </row>
    <row r="215" s="158" customFormat="1" ht="14.55" outlineLevel="1" spans="2:22">
      <c r="B215" s="355"/>
      <c r="C215" s="356" t="s">
        <v>1397</v>
      </c>
      <c r="D215" s="357" t="s">
        <v>178</v>
      </c>
      <c r="E215" s="357" t="s">
        <v>536</v>
      </c>
      <c r="F215" s="357" t="s">
        <v>526</v>
      </c>
      <c r="G215" s="358" t="s">
        <v>412</v>
      </c>
      <c r="H215" s="359">
        <v>36</v>
      </c>
      <c r="I215" s="360">
        <v>0.05</v>
      </c>
      <c r="J215" s="361">
        <f t="shared" si="27"/>
        <v>0.0263888888888889</v>
      </c>
      <c r="K215" s="362">
        <v>2150</v>
      </c>
      <c r="L215" s="362">
        <v>2042.5</v>
      </c>
      <c r="M215" s="362"/>
      <c r="N215" s="362">
        <f t="shared" si="26"/>
        <v>107.5</v>
      </c>
      <c r="O215" s="362">
        <f>_xlfn.XLOOKUP(E215,'K.01.1a FA list'!D66:D378,'K.01.1a FA list'!K66:K378)</f>
        <v>624</v>
      </c>
      <c r="P215" s="363">
        <f t="shared" si="28"/>
        <v>36</v>
      </c>
      <c r="Q215" s="364">
        <v>0.05</v>
      </c>
      <c r="R215" s="365">
        <f t="shared" si="22"/>
        <v>56.7361111111111</v>
      </c>
      <c r="S215" s="366">
        <f t="shared" si="23"/>
        <v>36</v>
      </c>
      <c r="T215" s="367">
        <f t="shared" si="24"/>
        <v>2042.5</v>
      </c>
      <c r="U215" s="367">
        <f t="shared" si="25"/>
        <v>0</v>
      </c>
      <c r="V215" s="334"/>
    </row>
    <row r="216" s="158" customFormat="1" ht="14.55" outlineLevel="1" spans="2:22">
      <c r="B216" s="355"/>
      <c r="C216" s="356" t="s">
        <v>1397</v>
      </c>
      <c r="D216" s="357" t="s">
        <v>178</v>
      </c>
      <c r="E216" s="357" t="s">
        <v>537</v>
      </c>
      <c r="F216" s="357" t="s">
        <v>538</v>
      </c>
      <c r="G216" s="358" t="s">
        <v>412</v>
      </c>
      <c r="H216" s="359">
        <v>36</v>
      </c>
      <c r="I216" s="360">
        <v>0.05</v>
      </c>
      <c r="J216" s="361">
        <f t="shared" si="27"/>
        <v>0.0263888888888889</v>
      </c>
      <c r="K216" s="362">
        <v>1600</v>
      </c>
      <c r="L216" s="362">
        <v>1520</v>
      </c>
      <c r="M216" s="362"/>
      <c r="N216" s="362">
        <f t="shared" si="26"/>
        <v>80</v>
      </c>
      <c r="O216" s="362">
        <f>_xlfn.XLOOKUP(E216,'K.01.1a FA list'!D67:D379,'K.01.1a FA list'!K67:K379)</f>
        <v>464.5</v>
      </c>
      <c r="P216" s="363">
        <f t="shared" si="28"/>
        <v>36</v>
      </c>
      <c r="Q216" s="364">
        <v>0.05</v>
      </c>
      <c r="R216" s="365">
        <f t="shared" si="22"/>
        <v>42.2222222222222</v>
      </c>
      <c r="S216" s="366">
        <f t="shared" si="23"/>
        <v>36</v>
      </c>
      <c r="T216" s="367">
        <f t="shared" si="24"/>
        <v>1520</v>
      </c>
      <c r="U216" s="367">
        <f t="shared" si="25"/>
        <v>0</v>
      </c>
      <c r="V216" s="334"/>
    </row>
    <row r="217" s="158" customFormat="1" ht="14.55" outlineLevel="1" spans="2:22">
      <c r="B217" s="355"/>
      <c r="C217" s="356" t="s">
        <v>1397</v>
      </c>
      <c r="D217" s="357" t="s">
        <v>178</v>
      </c>
      <c r="E217" s="357" t="s">
        <v>539</v>
      </c>
      <c r="F217" s="357" t="s">
        <v>540</v>
      </c>
      <c r="G217" s="358" t="s">
        <v>412</v>
      </c>
      <c r="H217" s="359">
        <v>36</v>
      </c>
      <c r="I217" s="360">
        <v>0.05</v>
      </c>
      <c r="J217" s="361">
        <f t="shared" si="27"/>
        <v>0.0263888888888889</v>
      </c>
      <c r="K217" s="362">
        <v>21400</v>
      </c>
      <c r="L217" s="362">
        <v>20330</v>
      </c>
      <c r="M217" s="362"/>
      <c r="N217" s="362">
        <f t="shared" si="26"/>
        <v>1070</v>
      </c>
      <c r="O217" s="362">
        <f>_xlfn.XLOOKUP(E217,'K.01.1a FA list'!D68:D380,'K.01.1a FA list'!K68:K380)</f>
        <v>6212</v>
      </c>
      <c r="P217" s="363">
        <f t="shared" si="28"/>
        <v>36</v>
      </c>
      <c r="Q217" s="364">
        <v>0.05</v>
      </c>
      <c r="R217" s="365">
        <f t="shared" si="22"/>
        <v>564.722222222222</v>
      </c>
      <c r="S217" s="366">
        <f t="shared" si="23"/>
        <v>36</v>
      </c>
      <c r="T217" s="367">
        <f t="shared" si="24"/>
        <v>20330</v>
      </c>
      <c r="U217" s="367">
        <f t="shared" si="25"/>
        <v>0</v>
      </c>
      <c r="V217" s="334"/>
    </row>
    <row r="218" s="158" customFormat="1" ht="14.55" outlineLevel="1" spans="2:22">
      <c r="B218" s="355"/>
      <c r="C218" s="356" t="s">
        <v>1397</v>
      </c>
      <c r="D218" s="357" t="s">
        <v>178</v>
      </c>
      <c r="E218" s="357" t="s">
        <v>541</v>
      </c>
      <c r="F218" s="357" t="s">
        <v>540</v>
      </c>
      <c r="G218" s="358" t="s">
        <v>412</v>
      </c>
      <c r="H218" s="359">
        <v>36</v>
      </c>
      <c r="I218" s="360">
        <v>0.05</v>
      </c>
      <c r="J218" s="361">
        <f t="shared" si="27"/>
        <v>0.0263888888888889</v>
      </c>
      <c r="K218" s="362">
        <v>4280</v>
      </c>
      <c r="L218" s="362">
        <v>4066</v>
      </c>
      <c r="M218" s="362"/>
      <c r="N218" s="362">
        <f t="shared" si="26"/>
        <v>214</v>
      </c>
      <c r="O218" s="362">
        <f>_xlfn.XLOOKUP(E218,'K.01.1a FA list'!D69:D381,'K.01.1a FA list'!K69:K381)</f>
        <v>1242.5</v>
      </c>
      <c r="P218" s="363">
        <f t="shared" si="28"/>
        <v>36</v>
      </c>
      <c r="Q218" s="364">
        <v>0.05</v>
      </c>
      <c r="R218" s="365">
        <f t="shared" si="22"/>
        <v>112.944444444444</v>
      </c>
      <c r="S218" s="366">
        <f t="shared" si="23"/>
        <v>36</v>
      </c>
      <c r="T218" s="367">
        <f t="shared" si="24"/>
        <v>4066</v>
      </c>
      <c r="U218" s="367">
        <f t="shared" si="25"/>
        <v>0</v>
      </c>
      <c r="V218" s="334"/>
    </row>
    <row r="219" s="158" customFormat="1" ht="14.55" outlineLevel="1" spans="2:22">
      <c r="B219" s="355"/>
      <c r="C219" s="356" t="s">
        <v>1397</v>
      </c>
      <c r="D219" s="357" t="s">
        <v>178</v>
      </c>
      <c r="E219" s="357" t="s">
        <v>542</v>
      </c>
      <c r="F219" s="357" t="s">
        <v>540</v>
      </c>
      <c r="G219" s="358" t="s">
        <v>412</v>
      </c>
      <c r="H219" s="359">
        <v>36</v>
      </c>
      <c r="I219" s="360">
        <v>0.05</v>
      </c>
      <c r="J219" s="361">
        <f t="shared" si="27"/>
        <v>0.0263888888888889</v>
      </c>
      <c r="K219" s="362">
        <v>8560</v>
      </c>
      <c r="L219" s="362">
        <v>8132</v>
      </c>
      <c r="M219" s="362"/>
      <c r="N219" s="362">
        <f t="shared" si="26"/>
        <v>428</v>
      </c>
      <c r="O219" s="362">
        <f>_xlfn.XLOOKUP(E219,'K.01.1a FA list'!D70:D382,'K.01.1a FA list'!K70:K382)</f>
        <v>2484.75</v>
      </c>
      <c r="P219" s="363">
        <f t="shared" si="28"/>
        <v>36</v>
      </c>
      <c r="Q219" s="364">
        <v>0.05</v>
      </c>
      <c r="R219" s="365">
        <f t="shared" si="22"/>
        <v>225.888888888889</v>
      </c>
      <c r="S219" s="366">
        <f t="shared" si="23"/>
        <v>36</v>
      </c>
      <c r="T219" s="367">
        <f t="shared" si="24"/>
        <v>8132</v>
      </c>
      <c r="U219" s="367">
        <f t="shared" si="25"/>
        <v>0</v>
      </c>
      <c r="V219" s="334"/>
    </row>
    <row r="220" s="158" customFormat="1" ht="14.55" spans="2:22">
      <c r="B220" s="355"/>
      <c r="C220" s="356" t="s">
        <v>1397</v>
      </c>
      <c r="D220" s="357" t="s">
        <v>178</v>
      </c>
      <c r="E220" s="357" t="s">
        <v>543</v>
      </c>
      <c r="F220" s="357" t="s">
        <v>544</v>
      </c>
      <c r="G220" s="358" t="s">
        <v>419</v>
      </c>
      <c r="H220" s="359">
        <v>36</v>
      </c>
      <c r="I220" s="360">
        <v>0.05</v>
      </c>
      <c r="J220" s="361">
        <f t="shared" si="27"/>
        <v>0.0263888888888889</v>
      </c>
      <c r="K220" s="362">
        <v>31000</v>
      </c>
      <c r="L220" s="362">
        <v>29450</v>
      </c>
      <c r="M220" s="362"/>
      <c r="N220" s="362">
        <f t="shared" si="26"/>
        <v>1550</v>
      </c>
      <c r="O220" s="362">
        <f>_xlfn.XLOOKUP(E220,'K.01.1a FA list'!D71:D383,'K.01.1a FA list'!K71:K383)</f>
        <v>9816.56</v>
      </c>
      <c r="P220" s="363">
        <f t="shared" si="28"/>
        <v>36</v>
      </c>
      <c r="Q220" s="364">
        <v>0.05</v>
      </c>
      <c r="R220" s="365">
        <f t="shared" si="22"/>
        <v>818.055555555556</v>
      </c>
      <c r="S220" s="366">
        <f t="shared" si="23"/>
        <v>36</v>
      </c>
      <c r="T220" s="367">
        <f t="shared" si="24"/>
        <v>29450</v>
      </c>
      <c r="U220" s="367">
        <f t="shared" si="25"/>
        <v>0</v>
      </c>
      <c r="V220" s="334"/>
    </row>
    <row r="221" s="158" customFormat="1" ht="14.55" spans="2:22">
      <c r="B221" s="355"/>
      <c r="C221" s="356" t="s">
        <v>1397</v>
      </c>
      <c r="D221" s="357" t="s">
        <v>178</v>
      </c>
      <c r="E221" s="357" t="s">
        <v>545</v>
      </c>
      <c r="F221" s="357" t="s">
        <v>546</v>
      </c>
      <c r="G221" s="358" t="s">
        <v>428</v>
      </c>
      <c r="H221" s="359">
        <v>36</v>
      </c>
      <c r="I221" s="360">
        <v>0.05</v>
      </c>
      <c r="J221" s="361">
        <f t="shared" si="27"/>
        <v>0.0263888888888889</v>
      </c>
      <c r="K221" s="362">
        <v>2208</v>
      </c>
      <c r="L221" s="362">
        <v>1922.91</v>
      </c>
      <c r="M221" s="362"/>
      <c r="N221" s="362">
        <f t="shared" si="26"/>
        <v>285.09</v>
      </c>
      <c r="O221" s="362">
        <f>_xlfn.XLOOKUP(E221,'K.01.1a FA list'!D72:D384,'K.01.1a FA list'!K72:K384)</f>
        <v>699.24</v>
      </c>
      <c r="P221" s="363">
        <f t="shared" si="28"/>
        <v>36</v>
      </c>
      <c r="Q221" s="364">
        <v>0.05</v>
      </c>
      <c r="R221" s="365">
        <f t="shared" si="22"/>
        <v>58.2666666666667</v>
      </c>
      <c r="S221" s="366">
        <f t="shared" si="23"/>
        <v>33</v>
      </c>
      <c r="T221" s="367">
        <f t="shared" si="24"/>
        <v>1922.8</v>
      </c>
      <c r="U221" s="367">
        <f t="shared" si="25"/>
        <v>-0.110000000000127</v>
      </c>
      <c r="V221" s="334"/>
    </row>
    <row r="222" s="158" customFormat="1" ht="14.55" outlineLevel="1" spans="2:22">
      <c r="B222" s="355"/>
      <c r="C222" s="356" t="s">
        <v>1397</v>
      </c>
      <c r="D222" s="357" t="s">
        <v>178</v>
      </c>
      <c r="E222" s="357" t="s">
        <v>547</v>
      </c>
      <c r="F222" s="357" t="s">
        <v>548</v>
      </c>
      <c r="G222" s="358" t="s">
        <v>428</v>
      </c>
      <c r="H222" s="359">
        <v>36</v>
      </c>
      <c r="I222" s="360">
        <v>0.05</v>
      </c>
      <c r="J222" s="361">
        <f t="shared" si="27"/>
        <v>0.0263888888888889</v>
      </c>
      <c r="K222" s="362">
        <v>2299</v>
      </c>
      <c r="L222" s="362">
        <v>2002.11</v>
      </c>
      <c r="M222" s="362"/>
      <c r="N222" s="362">
        <f t="shared" si="26"/>
        <v>296.89</v>
      </c>
      <c r="O222" s="362">
        <f>_xlfn.XLOOKUP(E222,'K.01.1a FA list'!D73:D385,'K.01.1a FA list'!K73:K385)</f>
        <v>728.04</v>
      </c>
      <c r="P222" s="363">
        <f t="shared" si="28"/>
        <v>36</v>
      </c>
      <c r="Q222" s="364">
        <v>0.05</v>
      </c>
      <c r="R222" s="365">
        <f t="shared" si="22"/>
        <v>60.6680555555555</v>
      </c>
      <c r="S222" s="366">
        <f t="shared" si="23"/>
        <v>33</v>
      </c>
      <c r="T222" s="367">
        <f t="shared" si="24"/>
        <v>2002.04583333333</v>
      </c>
      <c r="U222" s="367">
        <f t="shared" si="25"/>
        <v>-0.0641666666667788</v>
      </c>
      <c r="V222" s="334"/>
    </row>
    <row r="223" s="158" customFormat="1" ht="14.55" outlineLevel="1" spans="2:22">
      <c r="B223" s="355"/>
      <c r="C223" s="356" t="s">
        <v>1397</v>
      </c>
      <c r="D223" s="357" t="s">
        <v>178</v>
      </c>
      <c r="E223" s="357" t="s">
        <v>549</v>
      </c>
      <c r="F223" s="357" t="s">
        <v>550</v>
      </c>
      <c r="G223" s="358" t="s">
        <v>551</v>
      </c>
      <c r="H223" s="359">
        <v>36</v>
      </c>
      <c r="I223" s="360">
        <v>0.05</v>
      </c>
      <c r="J223" s="361">
        <f t="shared" si="27"/>
        <v>0.0263888888888889</v>
      </c>
      <c r="K223" s="362">
        <v>15000</v>
      </c>
      <c r="L223" s="362">
        <v>12666.56</v>
      </c>
      <c r="M223" s="362"/>
      <c r="N223" s="362">
        <f t="shared" si="26"/>
        <v>2333.44</v>
      </c>
      <c r="O223" s="362">
        <f>_xlfn.XLOOKUP(E223,'K.01.1a FA list'!D74:D386,'K.01.1a FA list'!K74:K386)</f>
        <v>4749.96</v>
      </c>
      <c r="P223" s="363">
        <f t="shared" si="28"/>
        <v>36</v>
      </c>
      <c r="Q223" s="364">
        <v>0.05</v>
      </c>
      <c r="R223" s="365">
        <f t="shared" si="22"/>
        <v>395.833333333333</v>
      </c>
      <c r="S223" s="366">
        <f t="shared" si="23"/>
        <v>32</v>
      </c>
      <c r="T223" s="367">
        <f t="shared" si="24"/>
        <v>12666.6666666667</v>
      </c>
      <c r="U223" s="367">
        <f t="shared" si="25"/>
        <v>0.10666666666657</v>
      </c>
      <c r="V223" s="334"/>
    </row>
    <row r="224" s="158" customFormat="1" ht="14.55" outlineLevel="1" spans="2:22">
      <c r="B224" s="355"/>
      <c r="C224" s="356" t="s">
        <v>1397</v>
      </c>
      <c r="D224" s="357" t="s">
        <v>178</v>
      </c>
      <c r="E224" s="357" t="s">
        <v>552</v>
      </c>
      <c r="F224" s="357" t="s">
        <v>465</v>
      </c>
      <c r="G224" s="358" t="s">
        <v>551</v>
      </c>
      <c r="H224" s="359">
        <v>36</v>
      </c>
      <c r="I224" s="360">
        <v>0.05</v>
      </c>
      <c r="J224" s="361">
        <f t="shared" si="27"/>
        <v>0.0263888888888889</v>
      </c>
      <c r="K224" s="362">
        <v>1779</v>
      </c>
      <c r="L224" s="362">
        <v>1502.4</v>
      </c>
      <c r="M224" s="362"/>
      <c r="N224" s="362">
        <f t="shared" si="26"/>
        <v>276.6</v>
      </c>
      <c r="O224" s="362">
        <f>_xlfn.XLOOKUP(E224,'K.01.1a FA list'!D75:D387,'K.01.1a FA list'!K75:K387)</f>
        <v>563.4</v>
      </c>
      <c r="P224" s="363">
        <f t="shared" si="28"/>
        <v>36</v>
      </c>
      <c r="Q224" s="364">
        <v>0.05</v>
      </c>
      <c r="R224" s="365">
        <f t="shared" si="22"/>
        <v>46.9458333333333</v>
      </c>
      <c r="S224" s="366">
        <f t="shared" si="23"/>
        <v>32</v>
      </c>
      <c r="T224" s="367">
        <f t="shared" si="24"/>
        <v>1502.26666666667</v>
      </c>
      <c r="U224" s="367">
        <f t="shared" si="25"/>
        <v>-0.133333333333439</v>
      </c>
      <c r="V224" s="334"/>
    </row>
    <row r="225" s="158" customFormat="1" ht="14.55" outlineLevel="1" spans="2:22">
      <c r="B225" s="355"/>
      <c r="C225" s="356" t="s">
        <v>1397</v>
      </c>
      <c r="D225" s="357" t="s">
        <v>178</v>
      </c>
      <c r="E225" s="357" t="s">
        <v>553</v>
      </c>
      <c r="F225" s="357" t="s">
        <v>554</v>
      </c>
      <c r="G225" s="358" t="s">
        <v>555</v>
      </c>
      <c r="H225" s="359">
        <v>36</v>
      </c>
      <c r="I225" s="360">
        <v>0.05</v>
      </c>
      <c r="J225" s="361">
        <f t="shared" si="27"/>
        <v>0.0263888888888889</v>
      </c>
      <c r="K225" s="362">
        <v>12800</v>
      </c>
      <c r="L225" s="362">
        <v>10133.4</v>
      </c>
      <c r="M225" s="362"/>
      <c r="N225" s="362">
        <f t="shared" si="26"/>
        <v>2666.6</v>
      </c>
      <c r="O225" s="362">
        <f>_xlfn.XLOOKUP(E225,'K.01.1a FA list'!D76:D388,'K.01.1a FA list'!K76:K388)</f>
        <v>4053.36</v>
      </c>
      <c r="P225" s="363">
        <f t="shared" si="28"/>
        <v>36</v>
      </c>
      <c r="Q225" s="364">
        <v>0.05</v>
      </c>
      <c r="R225" s="365">
        <f t="shared" si="22"/>
        <v>337.777777777778</v>
      </c>
      <c r="S225" s="366">
        <f t="shared" si="23"/>
        <v>30</v>
      </c>
      <c r="T225" s="367">
        <f t="shared" si="24"/>
        <v>10133.3333333333</v>
      </c>
      <c r="U225" s="367">
        <f t="shared" si="25"/>
        <v>-0.0666666666656965</v>
      </c>
      <c r="V225" s="334"/>
    </row>
    <row r="226" s="158" customFormat="1" ht="14.55" outlineLevel="1" spans="2:22">
      <c r="B226" s="355"/>
      <c r="C226" s="356" t="s">
        <v>1397</v>
      </c>
      <c r="D226" s="357" t="s">
        <v>178</v>
      </c>
      <c r="E226" s="357" t="s">
        <v>556</v>
      </c>
      <c r="F226" s="357" t="s">
        <v>514</v>
      </c>
      <c r="G226" s="358" t="s">
        <v>555</v>
      </c>
      <c r="H226" s="359">
        <v>36</v>
      </c>
      <c r="I226" s="360">
        <v>0.05</v>
      </c>
      <c r="J226" s="361">
        <f t="shared" si="27"/>
        <v>0.0263888888888889</v>
      </c>
      <c r="K226" s="362">
        <v>7000</v>
      </c>
      <c r="L226" s="362">
        <v>5541.6</v>
      </c>
      <c r="M226" s="362"/>
      <c r="N226" s="362">
        <f t="shared" si="26"/>
        <v>1458.4</v>
      </c>
      <c r="O226" s="362">
        <f>_xlfn.XLOOKUP(E226,'K.01.1a FA list'!D77:D389,'K.01.1a FA list'!K77:K389)</f>
        <v>2216.64</v>
      </c>
      <c r="P226" s="363">
        <f t="shared" si="28"/>
        <v>36</v>
      </c>
      <c r="Q226" s="364">
        <v>0.05</v>
      </c>
      <c r="R226" s="365">
        <f t="shared" si="22"/>
        <v>184.722222222222</v>
      </c>
      <c r="S226" s="366">
        <f t="shared" si="23"/>
        <v>30</v>
      </c>
      <c r="T226" s="367">
        <f t="shared" si="24"/>
        <v>5541.66666666667</v>
      </c>
      <c r="U226" s="367">
        <f t="shared" si="25"/>
        <v>0.066666666666606</v>
      </c>
      <c r="V226" s="334"/>
    </row>
    <row r="227" s="158" customFormat="1" ht="14.55" outlineLevel="1" spans="2:22">
      <c r="B227" s="355"/>
      <c r="C227" s="356" t="s">
        <v>1397</v>
      </c>
      <c r="D227" s="357" t="s">
        <v>178</v>
      </c>
      <c r="E227" s="357" t="s">
        <v>816</v>
      </c>
      <c r="F227" s="357" t="s">
        <v>817</v>
      </c>
      <c r="G227" s="358" t="s">
        <v>818</v>
      </c>
      <c r="H227" s="359">
        <v>36</v>
      </c>
      <c r="I227" s="360">
        <v>0.05</v>
      </c>
      <c r="J227" s="361">
        <f t="shared" si="27"/>
        <v>0.0263888888888889</v>
      </c>
      <c r="K227" s="362">
        <v>5399</v>
      </c>
      <c r="L227" s="362">
        <v>3989.16</v>
      </c>
      <c r="M227" s="362"/>
      <c r="N227" s="362">
        <f t="shared" si="26"/>
        <v>1409.84</v>
      </c>
      <c r="O227" s="362">
        <f>_xlfn.XLOOKUP(E227,'K.01.1a FA list'!D78:D390,'K.01.1a FA list'!K78:K390)</f>
        <v>1709.64</v>
      </c>
      <c r="P227" s="363">
        <f t="shared" si="28"/>
        <v>36</v>
      </c>
      <c r="Q227" s="364">
        <v>0.05</v>
      </c>
      <c r="R227" s="365">
        <f t="shared" si="22"/>
        <v>142.473611111111</v>
      </c>
      <c r="S227" s="366">
        <f t="shared" si="23"/>
        <v>28</v>
      </c>
      <c r="T227" s="367">
        <f t="shared" si="24"/>
        <v>3989.26111111111</v>
      </c>
      <c r="U227" s="367">
        <f t="shared" si="25"/>
        <v>0.10111111111155</v>
      </c>
      <c r="V227" s="334"/>
    </row>
    <row r="228" s="158" customFormat="1" ht="14.55" outlineLevel="1" spans="2:22">
      <c r="B228" s="355"/>
      <c r="C228" s="356" t="s">
        <v>1397</v>
      </c>
      <c r="D228" s="357" t="s">
        <v>178</v>
      </c>
      <c r="E228" s="357" t="s">
        <v>819</v>
      </c>
      <c r="F228" s="357" t="s">
        <v>820</v>
      </c>
      <c r="G228" s="358" t="s">
        <v>818</v>
      </c>
      <c r="H228" s="359">
        <v>36</v>
      </c>
      <c r="I228" s="360">
        <v>0.05</v>
      </c>
      <c r="J228" s="361">
        <f t="shared" si="27"/>
        <v>0.0263888888888889</v>
      </c>
      <c r="K228" s="362">
        <v>13000</v>
      </c>
      <c r="L228" s="362">
        <v>9605.68</v>
      </c>
      <c r="M228" s="362"/>
      <c r="N228" s="362">
        <f t="shared" si="26"/>
        <v>3394.32</v>
      </c>
      <c r="O228" s="362">
        <f>_xlfn.XLOOKUP(E228,'K.01.1a FA list'!D79:D391,'K.01.1a FA list'!K79:K391)</f>
        <v>4116.72</v>
      </c>
      <c r="P228" s="363">
        <f t="shared" si="28"/>
        <v>36</v>
      </c>
      <c r="Q228" s="364">
        <v>0.05</v>
      </c>
      <c r="R228" s="365">
        <f t="shared" si="22"/>
        <v>343.055555555556</v>
      </c>
      <c r="S228" s="366">
        <f t="shared" si="23"/>
        <v>28</v>
      </c>
      <c r="T228" s="367">
        <f t="shared" si="24"/>
        <v>9605.55555555555</v>
      </c>
      <c r="U228" s="367">
        <f t="shared" si="25"/>
        <v>-0.124444444445544</v>
      </c>
      <c r="V228" s="334"/>
    </row>
    <row r="229" s="158" customFormat="1" ht="14.55" outlineLevel="1" spans="2:22">
      <c r="B229" s="355"/>
      <c r="C229" s="356" t="s">
        <v>1397</v>
      </c>
      <c r="D229" s="357" t="s">
        <v>178</v>
      </c>
      <c r="E229" s="357" t="s">
        <v>821</v>
      </c>
      <c r="F229" s="357" t="s">
        <v>822</v>
      </c>
      <c r="G229" s="358" t="s">
        <v>823</v>
      </c>
      <c r="H229" s="359">
        <v>36</v>
      </c>
      <c r="I229" s="360">
        <v>0.05</v>
      </c>
      <c r="J229" s="361">
        <f t="shared" si="27"/>
        <v>0.0263888888888889</v>
      </c>
      <c r="K229" s="362">
        <v>5199</v>
      </c>
      <c r="L229" s="362">
        <v>3841.6</v>
      </c>
      <c r="M229" s="362"/>
      <c r="N229" s="362">
        <f t="shared" si="26"/>
        <v>1357.4</v>
      </c>
      <c r="O229" s="362">
        <f>_xlfn.XLOOKUP(E229,'K.01.1a FA list'!D80:D392,'K.01.1a FA list'!K80:K392)</f>
        <v>1646.4</v>
      </c>
      <c r="P229" s="363">
        <f t="shared" si="28"/>
        <v>36</v>
      </c>
      <c r="Q229" s="364">
        <v>0.05</v>
      </c>
      <c r="R229" s="365">
        <f t="shared" si="22"/>
        <v>137.195833333333</v>
      </c>
      <c r="S229" s="366">
        <f t="shared" si="23"/>
        <v>28</v>
      </c>
      <c r="T229" s="367">
        <f t="shared" si="24"/>
        <v>3841.48333333333</v>
      </c>
      <c r="U229" s="367">
        <f t="shared" si="25"/>
        <v>-0.116666666666788</v>
      </c>
      <c r="V229" s="334"/>
    </row>
    <row r="230" s="158" customFormat="1" ht="14.55" outlineLevel="1" spans="2:22">
      <c r="B230" s="355"/>
      <c r="C230" s="356" t="s">
        <v>1397</v>
      </c>
      <c r="D230" s="357" t="s">
        <v>178</v>
      </c>
      <c r="E230" s="357" t="s">
        <v>824</v>
      </c>
      <c r="F230" s="357" t="s">
        <v>825</v>
      </c>
      <c r="G230" s="358" t="s">
        <v>823</v>
      </c>
      <c r="H230" s="359">
        <v>36</v>
      </c>
      <c r="I230" s="360">
        <v>0.05</v>
      </c>
      <c r="J230" s="361">
        <f t="shared" si="27"/>
        <v>0.0263888888888889</v>
      </c>
      <c r="K230" s="362">
        <v>1569</v>
      </c>
      <c r="L230" s="362">
        <v>1159.2</v>
      </c>
      <c r="M230" s="362"/>
      <c r="N230" s="362">
        <f t="shared" si="26"/>
        <v>409.8</v>
      </c>
      <c r="O230" s="362">
        <f>_xlfn.XLOOKUP(E230,'K.01.1a FA list'!D81:D393,'K.01.1a FA list'!K81:K393)</f>
        <v>496.8</v>
      </c>
      <c r="P230" s="363">
        <f t="shared" ref="P230:P260" si="29">_xlfn.XLOOKUP(D230,$C$484:$C$489,$E$484:$E$489)</f>
        <v>36</v>
      </c>
      <c r="Q230" s="364">
        <v>0.05</v>
      </c>
      <c r="R230" s="365">
        <f t="shared" ref="R230:R260" si="30">K230*(1-Q230)/P230</f>
        <v>41.4041666666667</v>
      </c>
      <c r="S230" s="366">
        <f t="shared" ref="S230:S260" si="31">IF(YEAR(G230)=YEAR($P$85),MIN(DATEDIF(EOMONTH(G230,-1)+1,$P$85,"m"),P230),MIN(P230,DATEDIF(EOMONTH(G230,-1)+1,$P$85,"m")))</f>
        <v>28</v>
      </c>
      <c r="T230" s="367">
        <f t="shared" ref="T230:T260" si="32">S230*R230</f>
        <v>1159.31666666667</v>
      </c>
      <c r="U230" s="367">
        <f t="shared" ref="U230:U260" si="33">T230-L230</f>
        <v>0.116666666666561</v>
      </c>
      <c r="V230" s="334"/>
    </row>
    <row r="231" s="158" customFormat="1" ht="14.55" outlineLevel="1" spans="2:22">
      <c r="B231" s="355"/>
      <c r="C231" s="356" t="s">
        <v>1397</v>
      </c>
      <c r="D231" s="357" t="s">
        <v>178</v>
      </c>
      <c r="E231" s="357" t="s">
        <v>826</v>
      </c>
      <c r="F231" s="357" t="s">
        <v>827</v>
      </c>
      <c r="G231" s="358" t="s">
        <v>828</v>
      </c>
      <c r="H231" s="359">
        <v>36</v>
      </c>
      <c r="I231" s="360">
        <v>0.05</v>
      </c>
      <c r="J231" s="361">
        <f t="shared" si="27"/>
        <v>0.0263888888888889</v>
      </c>
      <c r="K231" s="362">
        <v>6276</v>
      </c>
      <c r="L231" s="362">
        <v>4471.74</v>
      </c>
      <c r="M231" s="362"/>
      <c r="N231" s="362">
        <f t="shared" ref="N231:N260" si="34">K231-L231</f>
        <v>1804.26</v>
      </c>
      <c r="O231" s="362">
        <f>_xlfn.XLOOKUP(E231,'K.01.1a FA list'!D82:D394,'K.01.1a FA list'!K82:K394)</f>
        <v>1987.44</v>
      </c>
      <c r="P231" s="363">
        <f t="shared" si="29"/>
        <v>36</v>
      </c>
      <c r="Q231" s="364">
        <v>0.05</v>
      </c>
      <c r="R231" s="365">
        <f t="shared" si="30"/>
        <v>165.616666666667</v>
      </c>
      <c r="S231" s="366">
        <f t="shared" si="31"/>
        <v>27</v>
      </c>
      <c r="T231" s="367">
        <f t="shared" si="32"/>
        <v>4471.65</v>
      </c>
      <c r="U231" s="367">
        <f t="shared" si="33"/>
        <v>-0.089999999999236</v>
      </c>
      <c r="V231" s="334"/>
    </row>
    <row r="232" s="158" customFormat="1" ht="14.55" outlineLevel="1" spans="2:22">
      <c r="B232" s="355"/>
      <c r="C232" s="356" t="s">
        <v>1397</v>
      </c>
      <c r="D232" s="357" t="s">
        <v>178</v>
      </c>
      <c r="E232" s="357" t="s">
        <v>829</v>
      </c>
      <c r="F232" s="357" t="s">
        <v>470</v>
      </c>
      <c r="G232" s="358" t="s">
        <v>830</v>
      </c>
      <c r="H232" s="359">
        <v>36</v>
      </c>
      <c r="I232" s="360">
        <v>0.05</v>
      </c>
      <c r="J232" s="361">
        <f t="shared" si="27"/>
        <v>0.0263888888888889</v>
      </c>
      <c r="K232" s="362">
        <v>30000</v>
      </c>
      <c r="L232" s="362">
        <v>21375.09</v>
      </c>
      <c r="M232" s="362"/>
      <c r="N232" s="362">
        <f t="shared" si="34"/>
        <v>8624.91</v>
      </c>
      <c r="O232" s="362">
        <f>_xlfn.XLOOKUP(E232,'K.01.1a FA list'!D83:D395,'K.01.1a FA list'!K83:K395)</f>
        <v>9500.04</v>
      </c>
      <c r="P232" s="363">
        <f t="shared" si="29"/>
        <v>36</v>
      </c>
      <c r="Q232" s="364">
        <v>0.05</v>
      </c>
      <c r="R232" s="365">
        <f t="shared" si="30"/>
        <v>791.666666666667</v>
      </c>
      <c r="S232" s="366">
        <f t="shared" si="31"/>
        <v>27</v>
      </c>
      <c r="T232" s="367">
        <f t="shared" si="32"/>
        <v>21375</v>
      </c>
      <c r="U232" s="367">
        <f t="shared" si="33"/>
        <v>-0.0900000000001455</v>
      </c>
      <c r="V232" s="334"/>
    </row>
    <row r="233" s="158" customFormat="1" ht="14.55" outlineLevel="1" spans="2:22">
      <c r="B233" s="355"/>
      <c r="C233" s="356" t="s">
        <v>1397</v>
      </c>
      <c r="D233" s="357" t="s">
        <v>178</v>
      </c>
      <c r="E233" s="357" t="s">
        <v>831</v>
      </c>
      <c r="F233" s="357" t="s">
        <v>832</v>
      </c>
      <c r="G233" s="358" t="s">
        <v>830</v>
      </c>
      <c r="H233" s="359">
        <v>36</v>
      </c>
      <c r="I233" s="360">
        <v>0.05</v>
      </c>
      <c r="J233" s="361">
        <f t="shared" si="27"/>
        <v>0.0263888888888889</v>
      </c>
      <c r="K233" s="362">
        <v>86560</v>
      </c>
      <c r="L233" s="362">
        <v>61673.94</v>
      </c>
      <c r="M233" s="362"/>
      <c r="N233" s="362">
        <f t="shared" si="34"/>
        <v>24886.06</v>
      </c>
      <c r="O233" s="362">
        <f>_xlfn.XLOOKUP(E233,'K.01.1a FA list'!D84:D396,'K.01.1a FA list'!K84:K396)</f>
        <v>27410.64</v>
      </c>
      <c r="P233" s="363">
        <f t="shared" si="29"/>
        <v>36</v>
      </c>
      <c r="Q233" s="364">
        <v>0.05</v>
      </c>
      <c r="R233" s="365">
        <f t="shared" si="30"/>
        <v>2284.22222222222</v>
      </c>
      <c r="S233" s="366">
        <f t="shared" si="31"/>
        <v>27</v>
      </c>
      <c r="T233" s="367">
        <f t="shared" si="32"/>
        <v>61674</v>
      </c>
      <c r="U233" s="367">
        <f t="shared" si="33"/>
        <v>0.0599999999976717</v>
      </c>
      <c r="V233" s="334"/>
    </row>
    <row r="234" s="158" customFormat="1" ht="14.55" outlineLevel="1" spans="2:22">
      <c r="B234" s="355"/>
      <c r="C234" s="356" t="s">
        <v>1397</v>
      </c>
      <c r="D234" s="357" t="s">
        <v>178</v>
      </c>
      <c r="E234" s="357" t="s">
        <v>833</v>
      </c>
      <c r="F234" s="357" t="s">
        <v>834</v>
      </c>
      <c r="G234" s="358" t="s">
        <v>830</v>
      </c>
      <c r="H234" s="359">
        <v>36</v>
      </c>
      <c r="I234" s="360">
        <v>0.05</v>
      </c>
      <c r="J234" s="361">
        <f t="shared" si="27"/>
        <v>0.0263888888888889</v>
      </c>
      <c r="K234" s="362">
        <v>29600</v>
      </c>
      <c r="L234" s="362">
        <v>21089.97</v>
      </c>
      <c r="M234" s="362"/>
      <c r="N234" s="362">
        <f t="shared" si="34"/>
        <v>8510.03</v>
      </c>
      <c r="O234" s="362">
        <f>_xlfn.XLOOKUP(E234,'K.01.1a FA list'!D85:D397,'K.01.1a FA list'!K85:K397)</f>
        <v>9373.32</v>
      </c>
      <c r="P234" s="363">
        <f t="shared" si="29"/>
        <v>36</v>
      </c>
      <c r="Q234" s="364">
        <v>0.05</v>
      </c>
      <c r="R234" s="365">
        <f t="shared" si="30"/>
        <v>781.111111111111</v>
      </c>
      <c r="S234" s="366">
        <f t="shared" si="31"/>
        <v>27</v>
      </c>
      <c r="T234" s="367">
        <f t="shared" si="32"/>
        <v>21090</v>
      </c>
      <c r="U234" s="367">
        <f t="shared" si="33"/>
        <v>0.0299999999988358</v>
      </c>
      <c r="V234" s="334"/>
    </row>
    <row r="235" s="158" customFormat="1" ht="14.55" outlineLevel="1" spans="2:22">
      <c r="B235" s="355"/>
      <c r="C235" s="356" t="s">
        <v>1397</v>
      </c>
      <c r="D235" s="357" t="s">
        <v>178</v>
      </c>
      <c r="E235" s="357" t="s">
        <v>835</v>
      </c>
      <c r="F235" s="357" t="s">
        <v>836</v>
      </c>
      <c r="G235" s="358" t="s">
        <v>830</v>
      </c>
      <c r="H235" s="359">
        <v>36</v>
      </c>
      <c r="I235" s="360">
        <v>0.05</v>
      </c>
      <c r="J235" s="361">
        <f t="shared" si="27"/>
        <v>0.0263888888888889</v>
      </c>
      <c r="K235" s="362">
        <v>43534</v>
      </c>
      <c r="L235" s="362">
        <v>31017.87</v>
      </c>
      <c r="M235" s="362"/>
      <c r="N235" s="362">
        <f t="shared" si="34"/>
        <v>12516.13</v>
      </c>
      <c r="O235" s="362">
        <f>_xlfn.XLOOKUP(E235,'K.01.1a FA list'!D86:D398,'K.01.1a FA list'!K86:K398)</f>
        <v>13785.72</v>
      </c>
      <c r="P235" s="363">
        <f t="shared" si="29"/>
        <v>36</v>
      </c>
      <c r="Q235" s="364">
        <v>0.05</v>
      </c>
      <c r="R235" s="365">
        <f t="shared" si="30"/>
        <v>1148.81388888889</v>
      </c>
      <c r="S235" s="366">
        <f t="shared" si="31"/>
        <v>27</v>
      </c>
      <c r="T235" s="367">
        <f t="shared" si="32"/>
        <v>31017.975</v>
      </c>
      <c r="U235" s="367">
        <f t="shared" si="33"/>
        <v>0.104999999999563</v>
      </c>
      <c r="V235" s="334"/>
    </row>
    <row r="236" s="158" customFormat="1" ht="14.55" outlineLevel="1" spans="2:22">
      <c r="B236" s="355"/>
      <c r="C236" s="356" t="s">
        <v>1397</v>
      </c>
      <c r="D236" s="357" t="s">
        <v>178</v>
      </c>
      <c r="E236" s="357" t="s">
        <v>837</v>
      </c>
      <c r="F236" s="357" t="s">
        <v>838</v>
      </c>
      <c r="G236" s="358" t="s">
        <v>839</v>
      </c>
      <c r="H236" s="359">
        <v>36</v>
      </c>
      <c r="I236" s="360">
        <v>0.05</v>
      </c>
      <c r="J236" s="361">
        <f t="shared" si="27"/>
        <v>0.0263888888888889</v>
      </c>
      <c r="K236" s="362">
        <v>3779</v>
      </c>
      <c r="L236" s="362">
        <v>2692.44</v>
      </c>
      <c r="M236" s="362"/>
      <c r="N236" s="362">
        <f t="shared" si="34"/>
        <v>1086.56</v>
      </c>
      <c r="O236" s="362">
        <f>_xlfn.XLOOKUP(E236,'K.01.1a FA list'!D87:D399,'K.01.1a FA list'!K87:K399)</f>
        <v>1196.64</v>
      </c>
      <c r="P236" s="363">
        <f t="shared" si="29"/>
        <v>36</v>
      </c>
      <c r="Q236" s="364">
        <v>0.05</v>
      </c>
      <c r="R236" s="365">
        <f t="shared" si="30"/>
        <v>99.7236111111111</v>
      </c>
      <c r="S236" s="366">
        <f t="shared" si="31"/>
        <v>27</v>
      </c>
      <c r="T236" s="367">
        <f t="shared" si="32"/>
        <v>2692.5375</v>
      </c>
      <c r="U236" s="367">
        <f t="shared" si="33"/>
        <v>0.0974999999993997</v>
      </c>
      <c r="V236" s="334"/>
    </row>
    <row r="237" s="158" customFormat="1" ht="14.55" outlineLevel="1" spans="2:22">
      <c r="B237" s="355"/>
      <c r="C237" s="356" t="s">
        <v>1397</v>
      </c>
      <c r="D237" s="357" t="s">
        <v>178</v>
      </c>
      <c r="E237" s="357" t="s">
        <v>840</v>
      </c>
      <c r="F237" s="357" t="s">
        <v>841</v>
      </c>
      <c r="G237" s="358" t="s">
        <v>842</v>
      </c>
      <c r="H237" s="359">
        <v>36</v>
      </c>
      <c r="I237" s="360">
        <v>0.05</v>
      </c>
      <c r="J237" s="361">
        <f t="shared" si="27"/>
        <v>0.0263888888888889</v>
      </c>
      <c r="K237" s="362">
        <v>17400</v>
      </c>
      <c r="L237" s="362">
        <v>11938.42</v>
      </c>
      <c r="M237" s="362"/>
      <c r="N237" s="362">
        <f t="shared" si="34"/>
        <v>5461.58</v>
      </c>
      <c r="O237" s="362">
        <f>_xlfn.XLOOKUP(E237,'K.01.1a FA list'!D88:D400,'K.01.1a FA list'!K88:K400)</f>
        <v>5510.04</v>
      </c>
      <c r="P237" s="363">
        <f t="shared" si="29"/>
        <v>36</v>
      </c>
      <c r="Q237" s="364">
        <v>0.05</v>
      </c>
      <c r="R237" s="365">
        <f t="shared" si="30"/>
        <v>459.166666666667</v>
      </c>
      <c r="S237" s="366">
        <f t="shared" si="31"/>
        <v>26</v>
      </c>
      <c r="T237" s="367">
        <f t="shared" si="32"/>
        <v>11938.3333333333</v>
      </c>
      <c r="U237" s="367">
        <f t="shared" si="33"/>
        <v>-0.0866666666661331</v>
      </c>
      <c r="V237" s="334"/>
    </row>
    <row r="238" s="158" customFormat="1" ht="14.55" outlineLevel="1" spans="2:22">
      <c r="B238" s="355"/>
      <c r="C238" s="356" t="s">
        <v>1397</v>
      </c>
      <c r="D238" s="357" t="s">
        <v>178</v>
      </c>
      <c r="E238" s="357" t="s">
        <v>843</v>
      </c>
      <c r="F238" s="357" t="s">
        <v>844</v>
      </c>
      <c r="G238" s="358" t="s">
        <v>842</v>
      </c>
      <c r="H238" s="359">
        <v>36</v>
      </c>
      <c r="I238" s="360">
        <v>0.05</v>
      </c>
      <c r="J238" s="361">
        <f t="shared" si="27"/>
        <v>0.0263888888888889</v>
      </c>
      <c r="K238" s="362">
        <v>4398</v>
      </c>
      <c r="L238" s="362">
        <v>3017.56</v>
      </c>
      <c r="M238" s="362"/>
      <c r="N238" s="362">
        <f t="shared" si="34"/>
        <v>1380.44</v>
      </c>
      <c r="O238" s="362">
        <f>_xlfn.XLOOKUP(E238,'K.01.1a FA list'!D89:D401,'K.01.1a FA list'!K89:K401)</f>
        <v>1392.72</v>
      </c>
      <c r="P238" s="363">
        <f t="shared" si="29"/>
        <v>36</v>
      </c>
      <c r="Q238" s="364">
        <v>0.05</v>
      </c>
      <c r="R238" s="365">
        <f t="shared" si="30"/>
        <v>116.058333333333</v>
      </c>
      <c r="S238" s="366">
        <f t="shared" si="31"/>
        <v>26</v>
      </c>
      <c r="T238" s="367">
        <f t="shared" si="32"/>
        <v>3017.51666666667</v>
      </c>
      <c r="U238" s="367">
        <f t="shared" si="33"/>
        <v>-0.0433333333335213</v>
      </c>
      <c r="V238" s="334"/>
    </row>
    <row r="239" s="158" customFormat="1" ht="14.55" outlineLevel="1" spans="2:22">
      <c r="B239" s="355"/>
      <c r="C239" s="356" t="s">
        <v>1397</v>
      </c>
      <c r="D239" s="357" t="s">
        <v>178</v>
      </c>
      <c r="E239" s="357" t="s">
        <v>845</v>
      </c>
      <c r="F239" s="357" t="s">
        <v>470</v>
      </c>
      <c r="G239" s="358" t="s">
        <v>846</v>
      </c>
      <c r="H239" s="359">
        <v>36</v>
      </c>
      <c r="I239" s="360">
        <v>0.05</v>
      </c>
      <c r="J239" s="361">
        <f t="shared" si="27"/>
        <v>0.0263888888888889</v>
      </c>
      <c r="K239" s="362">
        <v>11700</v>
      </c>
      <c r="L239" s="362">
        <v>7718.75</v>
      </c>
      <c r="M239" s="362"/>
      <c r="N239" s="362">
        <f t="shared" si="34"/>
        <v>3981.25</v>
      </c>
      <c r="O239" s="362">
        <f>_xlfn.XLOOKUP(E239,'K.01.1a FA list'!D90:D402,'K.01.1a FA list'!K90:K402)</f>
        <v>3705</v>
      </c>
      <c r="P239" s="363">
        <f t="shared" si="29"/>
        <v>36</v>
      </c>
      <c r="Q239" s="364">
        <v>0.05</v>
      </c>
      <c r="R239" s="365">
        <f t="shared" si="30"/>
        <v>308.75</v>
      </c>
      <c r="S239" s="366">
        <f t="shared" si="31"/>
        <v>25</v>
      </c>
      <c r="T239" s="367">
        <f t="shared" si="32"/>
        <v>7718.75</v>
      </c>
      <c r="U239" s="367">
        <f t="shared" si="33"/>
        <v>0</v>
      </c>
      <c r="V239" s="334"/>
    </row>
    <row r="240" s="158" customFormat="1" ht="14.55" outlineLevel="1" spans="2:22">
      <c r="B240" s="355"/>
      <c r="C240" s="356" t="s">
        <v>1397</v>
      </c>
      <c r="D240" s="357" t="s">
        <v>178</v>
      </c>
      <c r="E240" s="357" t="s">
        <v>847</v>
      </c>
      <c r="F240" s="357" t="s">
        <v>848</v>
      </c>
      <c r="G240" s="358" t="s">
        <v>849</v>
      </c>
      <c r="H240" s="35">
        <v>36</v>
      </c>
      <c r="I240" s="371">
        <v>0.05</v>
      </c>
      <c r="J240" s="361">
        <f t="shared" si="27"/>
        <v>0.0263888888888889</v>
      </c>
      <c r="K240" s="362">
        <v>11114</v>
      </c>
      <c r="L240" s="362">
        <v>7332.25</v>
      </c>
      <c r="M240" s="362"/>
      <c r="N240" s="362">
        <f t="shared" si="34"/>
        <v>3781.75</v>
      </c>
      <c r="O240" s="362">
        <f>_xlfn.XLOOKUP(E240,'K.01.1a FA list'!D91:D403,'K.01.1a FA list'!K91:K403)</f>
        <v>3519.48</v>
      </c>
      <c r="P240" s="363">
        <f t="shared" si="29"/>
        <v>36</v>
      </c>
      <c r="Q240" s="364">
        <v>0.05</v>
      </c>
      <c r="R240" s="365">
        <f t="shared" si="30"/>
        <v>293.286111111111</v>
      </c>
      <c r="S240" s="366">
        <f t="shared" si="31"/>
        <v>25</v>
      </c>
      <c r="T240" s="367">
        <f t="shared" si="32"/>
        <v>7332.15277777778</v>
      </c>
      <c r="U240" s="367">
        <f t="shared" si="33"/>
        <v>-0.0972222222226264</v>
      </c>
      <c r="V240" s="334"/>
    </row>
    <row r="241" s="158" customFormat="1" ht="14.55" outlineLevel="1" spans="2:22">
      <c r="B241" s="355"/>
      <c r="C241" s="356" t="s">
        <v>1397</v>
      </c>
      <c r="D241" s="357" t="s">
        <v>178</v>
      </c>
      <c r="E241" s="357" t="s">
        <v>850</v>
      </c>
      <c r="F241" s="357" t="s">
        <v>848</v>
      </c>
      <c r="G241" s="358" t="s">
        <v>849</v>
      </c>
      <c r="H241" s="35">
        <v>36</v>
      </c>
      <c r="I241" s="371">
        <v>0.05</v>
      </c>
      <c r="J241" s="361">
        <f t="shared" si="27"/>
        <v>0.0263888888888889</v>
      </c>
      <c r="K241" s="362">
        <v>2718</v>
      </c>
      <c r="L241" s="362">
        <v>1793.25</v>
      </c>
      <c r="M241" s="362"/>
      <c r="N241" s="362">
        <f t="shared" si="34"/>
        <v>924.75</v>
      </c>
      <c r="O241" s="362">
        <f>_xlfn.XLOOKUP(E241,'K.01.1a FA list'!D92:D404,'K.01.1a FA list'!K92:K404)</f>
        <v>860.76</v>
      </c>
      <c r="P241" s="363">
        <f t="shared" si="29"/>
        <v>36</v>
      </c>
      <c r="Q241" s="364">
        <v>0.05</v>
      </c>
      <c r="R241" s="365">
        <f t="shared" si="30"/>
        <v>71.725</v>
      </c>
      <c r="S241" s="366">
        <f t="shared" si="31"/>
        <v>25</v>
      </c>
      <c r="T241" s="367">
        <f t="shared" si="32"/>
        <v>1793.125</v>
      </c>
      <c r="U241" s="367">
        <f t="shared" si="33"/>
        <v>-0.125000000000227</v>
      </c>
      <c r="V241" s="334"/>
    </row>
    <row r="242" s="158" customFormat="1" ht="14.55" outlineLevel="1" spans="2:22">
      <c r="B242" s="355"/>
      <c r="C242" s="356" t="s">
        <v>1397</v>
      </c>
      <c r="D242" s="357" t="s">
        <v>178</v>
      </c>
      <c r="E242" s="357" t="s">
        <v>851</v>
      </c>
      <c r="F242" s="357" t="s">
        <v>852</v>
      </c>
      <c r="G242" s="358" t="s">
        <v>849</v>
      </c>
      <c r="H242" s="35">
        <v>36</v>
      </c>
      <c r="I242" s="371">
        <v>0.05</v>
      </c>
      <c r="J242" s="361">
        <f t="shared" si="27"/>
        <v>0.0263888888888889</v>
      </c>
      <c r="K242" s="362">
        <v>1765</v>
      </c>
      <c r="L242" s="362">
        <v>1164.5</v>
      </c>
      <c r="M242" s="362"/>
      <c r="N242" s="362">
        <f t="shared" si="34"/>
        <v>600.5</v>
      </c>
      <c r="O242" s="362">
        <f>_xlfn.XLOOKUP(E242,'K.01.1a FA list'!D93:D405,'K.01.1a FA list'!K93:K405)</f>
        <v>558.96</v>
      </c>
      <c r="P242" s="363">
        <f t="shared" si="29"/>
        <v>36</v>
      </c>
      <c r="Q242" s="364">
        <v>0.05</v>
      </c>
      <c r="R242" s="365">
        <f t="shared" si="30"/>
        <v>46.5763888888889</v>
      </c>
      <c r="S242" s="366">
        <f t="shared" si="31"/>
        <v>25</v>
      </c>
      <c r="T242" s="367">
        <f t="shared" si="32"/>
        <v>1164.40972222222</v>
      </c>
      <c r="U242" s="367">
        <f t="shared" si="33"/>
        <v>-0.0902777777778283</v>
      </c>
      <c r="V242" s="334"/>
    </row>
    <row r="243" s="158" customFormat="1" ht="14.55" outlineLevel="1" spans="2:22">
      <c r="B243" s="355"/>
      <c r="C243" s="356" t="s">
        <v>1397</v>
      </c>
      <c r="D243" s="357" t="s">
        <v>178</v>
      </c>
      <c r="E243" s="357" t="s">
        <v>853</v>
      </c>
      <c r="F243" s="357" t="s">
        <v>848</v>
      </c>
      <c r="G243" s="358" t="s">
        <v>849</v>
      </c>
      <c r="H243" s="35">
        <v>36</v>
      </c>
      <c r="I243" s="371">
        <v>0.05</v>
      </c>
      <c r="J243" s="361">
        <f t="shared" si="27"/>
        <v>0.0263888888888889</v>
      </c>
      <c r="K243" s="362">
        <v>1854</v>
      </c>
      <c r="L243" s="362">
        <v>1223.25</v>
      </c>
      <c r="M243" s="362"/>
      <c r="N243" s="362">
        <f t="shared" si="34"/>
        <v>630.75</v>
      </c>
      <c r="O243" s="362">
        <f>_xlfn.XLOOKUP(E243,'K.01.1a FA list'!D94:D406,'K.01.1a FA list'!K94:K406)</f>
        <v>587.16</v>
      </c>
      <c r="P243" s="363">
        <f t="shared" si="29"/>
        <v>36</v>
      </c>
      <c r="Q243" s="364">
        <v>0.05</v>
      </c>
      <c r="R243" s="365">
        <f t="shared" si="30"/>
        <v>48.925</v>
      </c>
      <c r="S243" s="366">
        <f t="shared" si="31"/>
        <v>25</v>
      </c>
      <c r="T243" s="367">
        <f t="shared" si="32"/>
        <v>1223.125</v>
      </c>
      <c r="U243" s="367">
        <f t="shared" si="33"/>
        <v>-0.125</v>
      </c>
      <c r="V243" s="334"/>
    </row>
    <row r="244" s="158" customFormat="1" ht="14.55" outlineLevel="1" spans="2:22">
      <c r="B244" s="355"/>
      <c r="C244" s="356" t="s">
        <v>1397</v>
      </c>
      <c r="D244" s="357" t="s">
        <v>178</v>
      </c>
      <c r="E244" s="357" t="s">
        <v>854</v>
      </c>
      <c r="F244" s="357" t="s">
        <v>855</v>
      </c>
      <c r="G244" s="358" t="s">
        <v>849</v>
      </c>
      <c r="H244" s="35">
        <v>36</v>
      </c>
      <c r="I244" s="371">
        <v>0.05</v>
      </c>
      <c r="J244" s="361">
        <f t="shared" si="27"/>
        <v>0.0263888888888889</v>
      </c>
      <c r="K244" s="362">
        <v>5832</v>
      </c>
      <c r="L244" s="362">
        <v>3847.5</v>
      </c>
      <c r="M244" s="362"/>
      <c r="N244" s="362">
        <f t="shared" si="34"/>
        <v>1984.5</v>
      </c>
      <c r="O244" s="362">
        <f>_xlfn.XLOOKUP(E244,'K.01.1a FA list'!D95:D407,'K.01.1a FA list'!K95:K407)</f>
        <v>1846.8</v>
      </c>
      <c r="P244" s="363">
        <f t="shared" si="29"/>
        <v>36</v>
      </c>
      <c r="Q244" s="364">
        <v>0.05</v>
      </c>
      <c r="R244" s="365">
        <f t="shared" si="30"/>
        <v>153.9</v>
      </c>
      <c r="S244" s="366">
        <f t="shared" si="31"/>
        <v>25</v>
      </c>
      <c r="T244" s="367">
        <f t="shared" si="32"/>
        <v>3847.5</v>
      </c>
      <c r="U244" s="367">
        <f t="shared" si="33"/>
        <v>0</v>
      </c>
      <c r="V244" s="334"/>
    </row>
    <row r="245" s="158" customFormat="1" ht="14.55" outlineLevel="1" spans="2:22">
      <c r="B245" s="355"/>
      <c r="C245" s="356" t="s">
        <v>1397</v>
      </c>
      <c r="D245" s="357" t="s">
        <v>178</v>
      </c>
      <c r="E245" s="357" t="s">
        <v>856</v>
      </c>
      <c r="F245" s="357" t="s">
        <v>857</v>
      </c>
      <c r="G245" s="358" t="s">
        <v>858</v>
      </c>
      <c r="H245" s="35">
        <v>36</v>
      </c>
      <c r="I245" s="371">
        <v>0.05</v>
      </c>
      <c r="J245" s="361">
        <f t="shared" si="27"/>
        <v>0.0263888888888889</v>
      </c>
      <c r="K245" s="362">
        <v>12840</v>
      </c>
      <c r="L245" s="362">
        <v>8131.92</v>
      </c>
      <c r="M245" s="362"/>
      <c r="N245" s="362">
        <f t="shared" si="34"/>
        <v>4708.08</v>
      </c>
      <c r="O245" s="362">
        <f>_xlfn.XLOOKUP(E245,'K.01.1a FA list'!D96:D408,'K.01.1a FA list'!K96:K408)</f>
        <v>4065.96</v>
      </c>
      <c r="P245" s="363">
        <f t="shared" si="29"/>
        <v>36</v>
      </c>
      <c r="Q245" s="364">
        <v>0.05</v>
      </c>
      <c r="R245" s="365">
        <f t="shared" si="30"/>
        <v>338.833333333333</v>
      </c>
      <c r="S245" s="366">
        <f t="shared" si="31"/>
        <v>24</v>
      </c>
      <c r="T245" s="367">
        <f t="shared" si="32"/>
        <v>8132</v>
      </c>
      <c r="U245" s="367">
        <f t="shared" si="33"/>
        <v>0.0799999999999272</v>
      </c>
      <c r="V245" s="334"/>
    </row>
    <row r="246" s="158" customFormat="1" ht="14.55" outlineLevel="1" spans="2:22">
      <c r="B246" s="355"/>
      <c r="C246" s="356" t="s">
        <v>1397</v>
      </c>
      <c r="D246" s="357" t="s">
        <v>178</v>
      </c>
      <c r="E246" s="357" t="s">
        <v>859</v>
      </c>
      <c r="F246" s="357" t="s">
        <v>860</v>
      </c>
      <c r="G246" s="358" t="s">
        <v>858</v>
      </c>
      <c r="H246" s="35">
        <v>36</v>
      </c>
      <c r="I246" s="371">
        <v>0.05</v>
      </c>
      <c r="J246" s="361">
        <f t="shared" si="27"/>
        <v>0.0263888888888889</v>
      </c>
      <c r="K246" s="362">
        <v>5700</v>
      </c>
      <c r="L246" s="362">
        <v>3610.08</v>
      </c>
      <c r="M246" s="362"/>
      <c r="N246" s="362">
        <f t="shared" si="34"/>
        <v>2089.92</v>
      </c>
      <c r="O246" s="362">
        <f>_xlfn.XLOOKUP(E246,'K.01.1a FA list'!D97:D409,'K.01.1a FA list'!K97:K409)</f>
        <v>1805.04</v>
      </c>
      <c r="P246" s="363">
        <f t="shared" si="29"/>
        <v>36</v>
      </c>
      <c r="Q246" s="364">
        <v>0.05</v>
      </c>
      <c r="R246" s="365">
        <f t="shared" si="30"/>
        <v>150.416666666667</v>
      </c>
      <c r="S246" s="366">
        <f t="shared" si="31"/>
        <v>24</v>
      </c>
      <c r="T246" s="367">
        <f t="shared" si="32"/>
        <v>3610</v>
      </c>
      <c r="U246" s="367">
        <f t="shared" si="33"/>
        <v>-0.0799999999999272</v>
      </c>
      <c r="V246" s="334"/>
    </row>
    <row r="247" s="158" customFormat="1" ht="14.55" outlineLevel="1" spans="2:22">
      <c r="B247" s="355"/>
      <c r="C247" s="356" t="s">
        <v>1397</v>
      </c>
      <c r="D247" s="357" t="s">
        <v>178</v>
      </c>
      <c r="E247" s="357" t="s">
        <v>861</v>
      </c>
      <c r="F247" s="357" t="s">
        <v>862</v>
      </c>
      <c r="G247" s="358" t="s">
        <v>858</v>
      </c>
      <c r="H247" s="35">
        <v>36</v>
      </c>
      <c r="I247" s="371">
        <v>0.05</v>
      </c>
      <c r="J247" s="361">
        <f t="shared" si="27"/>
        <v>0.0263888888888889</v>
      </c>
      <c r="K247" s="362">
        <v>33550</v>
      </c>
      <c r="L247" s="362">
        <v>21248.4</v>
      </c>
      <c r="M247" s="362"/>
      <c r="N247" s="362">
        <f t="shared" si="34"/>
        <v>12301.6</v>
      </c>
      <c r="O247" s="362">
        <f>_xlfn.XLOOKUP(E247,'K.01.1a FA list'!D98:D410,'K.01.1a FA list'!K98:K410)</f>
        <v>10624.2</v>
      </c>
      <c r="P247" s="363">
        <f t="shared" si="29"/>
        <v>36</v>
      </c>
      <c r="Q247" s="364">
        <v>0.05</v>
      </c>
      <c r="R247" s="365">
        <f t="shared" si="30"/>
        <v>885.347222222222</v>
      </c>
      <c r="S247" s="366">
        <f t="shared" si="31"/>
        <v>24</v>
      </c>
      <c r="T247" s="367">
        <f t="shared" si="32"/>
        <v>21248.3333333333</v>
      </c>
      <c r="U247" s="367">
        <f t="shared" si="33"/>
        <v>-0.0666666666693345</v>
      </c>
      <c r="V247" s="334"/>
    </row>
    <row r="248" s="158" customFormat="1" ht="14.55" outlineLevel="1" spans="2:22">
      <c r="B248" s="355"/>
      <c r="C248" s="356" t="s">
        <v>1397</v>
      </c>
      <c r="D248" s="357" t="s">
        <v>178</v>
      </c>
      <c r="E248" s="357" t="s">
        <v>863</v>
      </c>
      <c r="F248" s="357" t="s">
        <v>446</v>
      </c>
      <c r="G248" s="358" t="s">
        <v>858</v>
      </c>
      <c r="H248" s="35">
        <v>36</v>
      </c>
      <c r="I248" s="371">
        <v>0.05</v>
      </c>
      <c r="J248" s="361">
        <f t="shared" si="27"/>
        <v>0.0263888888888889</v>
      </c>
      <c r="K248" s="362">
        <v>48900</v>
      </c>
      <c r="L248" s="362">
        <v>30970.08</v>
      </c>
      <c r="M248" s="362"/>
      <c r="N248" s="362">
        <f t="shared" si="34"/>
        <v>17929.92</v>
      </c>
      <c r="O248" s="362">
        <f>_xlfn.XLOOKUP(E248,'K.01.1a FA list'!D99:D411,'K.01.1a FA list'!K99:K411)</f>
        <v>15485.04</v>
      </c>
      <c r="P248" s="363">
        <f t="shared" si="29"/>
        <v>36</v>
      </c>
      <c r="Q248" s="364">
        <v>0.05</v>
      </c>
      <c r="R248" s="365">
        <f t="shared" si="30"/>
        <v>1290.41666666667</v>
      </c>
      <c r="S248" s="366">
        <f t="shared" si="31"/>
        <v>24</v>
      </c>
      <c r="T248" s="367">
        <f t="shared" si="32"/>
        <v>30970</v>
      </c>
      <c r="U248" s="367">
        <f t="shared" si="33"/>
        <v>-0.0800000000017462</v>
      </c>
      <c r="V248" s="334"/>
    </row>
    <row r="249" s="158" customFormat="1" ht="14.55" outlineLevel="1" spans="2:22">
      <c r="B249" s="355"/>
      <c r="C249" s="356" t="s">
        <v>1397</v>
      </c>
      <c r="D249" s="357" t="s">
        <v>178</v>
      </c>
      <c r="E249" s="357" t="s">
        <v>864</v>
      </c>
      <c r="F249" s="357" t="s">
        <v>857</v>
      </c>
      <c r="G249" s="358" t="s">
        <v>858</v>
      </c>
      <c r="H249" s="35">
        <v>36</v>
      </c>
      <c r="I249" s="371">
        <v>0.05</v>
      </c>
      <c r="J249" s="361">
        <f t="shared" si="27"/>
        <v>0.0263888888888889</v>
      </c>
      <c r="K249" s="362">
        <v>3840</v>
      </c>
      <c r="L249" s="362">
        <v>2431.92</v>
      </c>
      <c r="M249" s="362"/>
      <c r="N249" s="362">
        <f t="shared" si="34"/>
        <v>1408.08</v>
      </c>
      <c r="O249" s="362">
        <f>_xlfn.XLOOKUP(E249,'K.01.1a FA list'!D100:D412,'K.01.1a FA list'!K100:K412)</f>
        <v>1215.96</v>
      </c>
      <c r="P249" s="363">
        <f t="shared" si="29"/>
        <v>36</v>
      </c>
      <c r="Q249" s="364">
        <v>0.05</v>
      </c>
      <c r="R249" s="365">
        <f t="shared" si="30"/>
        <v>101.333333333333</v>
      </c>
      <c r="S249" s="366">
        <f t="shared" si="31"/>
        <v>24</v>
      </c>
      <c r="T249" s="367">
        <f t="shared" si="32"/>
        <v>2432</v>
      </c>
      <c r="U249" s="367">
        <f t="shared" si="33"/>
        <v>0.0799999999999272</v>
      </c>
      <c r="V249" s="334"/>
    </row>
    <row r="250" s="158" customFormat="1" ht="14.55" outlineLevel="1" spans="2:22">
      <c r="B250" s="355"/>
      <c r="C250" s="356" t="s">
        <v>1397</v>
      </c>
      <c r="D250" s="357" t="s">
        <v>178</v>
      </c>
      <c r="E250" s="357" t="s">
        <v>865</v>
      </c>
      <c r="F250" s="357" t="s">
        <v>866</v>
      </c>
      <c r="G250" s="358" t="s">
        <v>858</v>
      </c>
      <c r="H250" s="35">
        <v>36</v>
      </c>
      <c r="I250" s="371">
        <v>0.05</v>
      </c>
      <c r="J250" s="361">
        <f t="shared" si="27"/>
        <v>0.0263888888888889</v>
      </c>
      <c r="K250" s="362">
        <v>34650</v>
      </c>
      <c r="L250" s="362">
        <v>21945.12</v>
      </c>
      <c r="M250" s="362"/>
      <c r="N250" s="362">
        <f t="shared" si="34"/>
        <v>12704.88</v>
      </c>
      <c r="O250" s="362">
        <f>_xlfn.XLOOKUP(E250,'K.01.1a FA list'!D101:D413,'K.01.1a FA list'!K101:K413)</f>
        <v>10972.56</v>
      </c>
      <c r="P250" s="363">
        <f t="shared" si="29"/>
        <v>36</v>
      </c>
      <c r="Q250" s="364">
        <v>0.05</v>
      </c>
      <c r="R250" s="365">
        <f t="shared" si="30"/>
        <v>914.375</v>
      </c>
      <c r="S250" s="366">
        <f t="shared" si="31"/>
        <v>24</v>
      </c>
      <c r="T250" s="367">
        <f t="shared" si="32"/>
        <v>21945</v>
      </c>
      <c r="U250" s="367">
        <f t="shared" si="33"/>
        <v>-0.119999999998981</v>
      </c>
      <c r="V250" s="334"/>
    </row>
    <row r="251" s="158" customFormat="1" ht="14.55" outlineLevel="1" spans="2:22">
      <c r="B251" s="355"/>
      <c r="C251" s="356" t="s">
        <v>1397</v>
      </c>
      <c r="D251" s="357" t="s">
        <v>178</v>
      </c>
      <c r="E251" s="357" t="s">
        <v>867</v>
      </c>
      <c r="F251" s="357" t="s">
        <v>868</v>
      </c>
      <c r="G251" s="358" t="s">
        <v>869</v>
      </c>
      <c r="H251" s="35">
        <v>36</v>
      </c>
      <c r="I251" s="371">
        <v>0.05</v>
      </c>
      <c r="J251" s="361">
        <f t="shared" si="27"/>
        <v>0.0263888888888889</v>
      </c>
      <c r="K251" s="362">
        <v>2040</v>
      </c>
      <c r="L251" s="362">
        <v>1291.92</v>
      </c>
      <c r="M251" s="362"/>
      <c r="N251" s="362">
        <f t="shared" si="34"/>
        <v>748.08</v>
      </c>
      <c r="O251" s="362">
        <f>_xlfn.XLOOKUP(E251,'K.01.1a FA list'!D102:D414,'K.01.1a FA list'!K102:K414)</f>
        <v>645.96</v>
      </c>
      <c r="P251" s="363">
        <f t="shared" si="29"/>
        <v>36</v>
      </c>
      <c r="Q251" s="364">
        <v>0.05</v>
      </c>
      <c r="R251" s="365">
        <f t="shared" si="30"/>
        <v>53.8333333333333</v>
      </c>
      <c r="S251" s="366">
        <f t="shared" si="31"/>
        <v>24</v>
      </c>
      <c r="T251" s="367">
        <f t="shared" si="32"/>
        <v>1292</v>
      </c>
      <c r="U251" s="367">
        <f t="shared" si="33"/>
        <v>0.0799999999999272</v>
      </c>
      <c r="V251" s="334"/>
    </row>
    <row r="252" s="158" customFormat="1" ht="14.55" outlineLevel="1" spans="2:22">
      <c r="B252" s="355"/>
      <c r="C252" s="356" t="s">
        <v>1397</v>
      </c>
      <c r="D252" s="357" t="s">
        <v>178</v>
      </c>
      <c r="E252" s="357" t="s">
        <v>887</v>
      </c>
      <c r="F252" s="357" t="s">
        <v>888</v>
      </c>
      <c r="G252" s="358" t="s">
        <v>889</v>
      </c>
      <c r="H252" s="35">
        <v>36</v>
      </c>
      <c r="I252" s="371">
        <v>0.05</v>
      </c>
      <c r="J252" s="361">
        <f t="shared" si="27"/>
        <v>0.0263888888888889</v>
      </c>
      <c r="K252" s="362">
        <v>1149</v>
      </c>
      <c r="L252" s="362">
        <v>636.72</v>
      </c>
      <c r="M252" s="362"/>
      <c r="N252" s="362">
        <f t="shared" si="34"/>
        <v>512.28</v>
      </c>
      <c r="O252" s="362">
        <f>_xlfn.XLOOKUP(E252,'K.01.1a FA list'!D103:D415,'K.01.1a FA list'!K103:K415)</f>
        <v>363.84</v>
      </c>
      <c r="P252" s="363">
        <f t="shared" si="29"/>
        <v>36</v>
      </c>
      <c r="Q252" s="364">
        <v>0.05</v>
      </c>
      <c r="R252" s="365">
        <f t="shared" si="30"/>
        <v>30.3208333333333</v>
      </c>
      <c r="S252" s="366">
        <f t="shared" si="31"/>
        <v>21</v>
      </c>
      <c r="T252" s="367">
        <f t="shared" si="32"/>
        <v>636.7375</v>
      </c>
      <c r="U252" s="367">
        <f t="shared" si="33"/>
        <v>0.0174999999999272</v>
      </c>
      <c r="V252" s="334"/>
    </row>
    <row r="253" s="158" customFormat="1" ht="14.55" outlineLevel="1" spans="2:22">
      <c r="B253" s="355"/>
      <c r="C253" s="356" t="s">
        <v>1397</v>
      </c>
      <c r="D253" s="357" t="s">
        <v>178</v>
      </c>
      <c r="E253" s="357" t="s">
        <v>927</v>
      </c>
      <c r="F253" s="357" t="s">
        <v>928</v>
      </c>
      <c r="G253" s="358" t="s">
        <v>929</v>
      </c>
      <c r="H253" s="35">
        <v>36</v>
      </c>
      <c r="I253" s="371">
        <v>0.05</v>
      </c>
      <c r="J253" s="361">
        <f t="shared" si="27"/>
        <v>0.0263888888888889</v>
      </c>
      <c r="K253" s="362">
        <v>1449</v>
      </c>
      <c r="L253" s="362">
        <v>382.4</v>
      </c>
      <c r="M253" s="362"/>
      <c r="N253" s="362">
        <f t="shared" si="34"/>
        <v>1066.6</v>
      </c>
      <c r="O253" s="362">
        <f>_xlfn.XLOOKUP(E253,'K.01.1a FA list'!D104:D416,'K.01.1a FA list'!K104:K416)</f>
        <v>382.4</v>
      </c>
      <c r="P253" s="363">
        <f t="shared" si="29"/>
        <v>36</v>
      </c>
      <c r="Q253" s="364">
        <v>0.05</v>
      </c>
      <c r="R253" s="365">
        <f t="shared" si="30"/>
        <v>38.2375</v>
      </c>
      <c r="S253" s="366">
        <f t="shared" si="31"/>
        <v>10</v>
      </c>
      <c r="T253" s="367">
        <f t="shared" si="32"/>
        <v>382.375</v>
      </c>
      <c r="U253" s="367">
        <f t="shared" si="33"/>
        <v>-0.0249999999999773</v>
      </c>
      <c r="V253" s="334"/>
    </row>
    <row r="254" s="158" customFormat="1" ht="14.55" outlineLevel="1" spans="2:22">
      <c r="B254" s="355"/>
      <c r="C254" s="356" t="s">
        <v>1397</v>
      </c>
      <c r="D254" s="357" t="s">
        <v>178</v>
      </c>
      <c r="E254" s="357" t="s">
        <v>930</v>
      </c>
      <c r="F254" s="357" t="s">
        <v>432</v>
      </c>
      <c r="G254" s="358" t="s">
        <v>931</v>
      </c>
      <c r="H254" s="35">
        <v>36</v>
      </c>
      <c r="I254" s="371">
        <v>0.05</v>
      </c>
      <c r="J254" s="361">
        <f t="shared" si="27"/>
        <v>0.0263888888888889</v>
      </c>
      <c r="K254" s="362">
        <v>2103</v>
      </c>
      <c r="L254" s="362">
        <v>499.5</v>
      </c>
      <c r="M254" s="362"/>
      <c r="N254" s="362">
        <f t="shared" si="34"/>
        <v>1603.5</v>
      </c>
      <c r="O254" s="362">
        <f>_xlfn.XLOOKUP(E254,'K.01.1a FA list'!D105:D417,'K.01.1a FA list'!K105:K417)</f>
        <v>499.5</v>
      </c>
      <c r="P254" s="363">
        <f t="shared" si="29"/>
        <v>36</v>
      </c>
      <c r="Q254" s="364">
        <v>0.05</v>
      </c>
      <c r="R254" s="365">
        <f t="shared" si="30"/>
        <v>55.4958333333333</v>
      </c>
      <c r="S254" s="366">
        <f t="shared" si="31"/>
        <v>9</v>
      </c>
      <c r="T254" s="367">
        <f t="shared" si="32"/>
        <v>499.4625</v>
      </c>
      <c r="U254" s="367">
        <f t="shared" si="33"/>
        <v>-0.0375000000000227</v>
      </c>
      <c r="V254" s="334"/>
    </row>
    <row r="255" s="158" customFormat="1" ht="14.55" outlineLevel="1" spans="2:22">
      <c r="B255" s="355"/>
      <c r="C255" s="356" t="s">
        <v>1397</v>
      </c>
      <c r="D255" s="357" t="s">
        <v>178</v>
      </c>
      <c r="E255" s="357" t="s">
        <v>932</v>
      </c>
      <c r="F255" s="357" t="s">
        <v>868</v>
      </c>
      <c r="G255" s="358" t="s">
        <v>933</v>
      </c>
      <c r="H255" s="35">
        <v>36</v>
      </c>
      <c r="I255" s="371">
        <v>0.05</v>
      </c>
      <c r="J255" s="361">
        <f t="shared" si="27"/>
        <v>0.0263888888888889</v>
      </c>
      <c r="K255" s="362">
        <v>7500</v>
      </c>
      <c r="L255" s="362">
        <v>1583.36</v>
      </c>
      <c r="M255" s="362"/>
      <c r="N255" s="362">
        <f t="shared" si="34"/>
        <v>5916.64</v>
      </c>
      <c r="O255" s="362">
        <f>_xlfn.XLOOKUP(E255,'K.01.1a FA list'!D106:D418,'K.01.1a FA list'!K106:K418)</f>
        <v>1583.36</v>
      </c>
      <c r="P255" s="363">
        <f t="shared" si="29"/>
        <v>36</v>
      </c>
      <c r="Q255" s="364">
        <v>0.05</v>
      </c>
      <c r="R255" s="365">
        <f t="shared" si="30"/>
        <v>197.916666666667</v>
      </c>
      <c r="S255" s="366">
        <f t="shared" si="31"/>
        <v>8</v>
      </c>
      <c r="T255" s="367">
        <f t="shared" si="32"/>
        <v>1583.33333333333</v>
      </c>
      <c r="U255" s="367">
        <f t="shared" si="33"/>
        <v>-0.0266666666666424</v>
      </c>
      <c r="V255" s="334"/>
    </row>
    <row r="256" s="158" customFormat="1" ht="14.55" outlineLevel="1" spans="2:22">
      <c r="B256" s="355"/>
      <c r="C256" s="356" t="s">
        <v>1397</v>
      </c>
      <c r="D256" s="357" t="s">
        <v>178</v>
      </c>
      <c r="E256" s="357" t="s">
        <v>934</v>
      </c>
      <c r="F256" s="357" t="s">
        <v>935</v>
      </c>
      <c r="G256" s="358" t="s">
        <v>936</v>
      </c>
      <c r="H256" s="35">
        <v>36</v>
      </c>
      <c r="I256" s="371">
        <v>0.05</v>
      </c>
      <c r="J256" s="361">
        <f t="shared" si="27"/>
        <v>0.0263888888888889</v>
      </c>
      <c r="K256" s="362">
        <v>4750</v>
      </c>
      <c r="L256" s="362">
        <v>626.75</v>
      </c>
      <c r="M256" s="362"/>
      <c r="N256" s="362">
        <f t="shared" si="34"/>
        <v>4123.25</v>
      </c>
      <c r="O256" s="362">
        <f>_xlfn.XLOOKUP(E256,'K.01.1a FA list'!D107:D419,'K.01.1a FA list'!K107:K419)</f>
        <v>626.75</v>
      </c>
      <c r="P256" s="363">
        <f t="shared" si="29"/>
        <v>36</v>
      </c>
      <c r="Q256" s="364">
        <v>0.05</v>
      </c>
      <c r="R256" s="365">
        <f t="shared" si="30"/>
        <v>125.347222222222</v>
      </c>
      <c r="S256" s="366">
        <f t="shared" si="31"/>
        <v>5</v>
      </c>
      <c r="T256" s="367">
        <f t="shared" si="32"/>
        <v>626.736111111111</v>
      </c>
      <c r="U256" s="367">
        <f t="shared" si="33"/>
        <v>-0.0138888888889142</v>
      </c>
      <c r="V256" s="334"/>
    </row>
    <row r="257" s="158" customFormat="1" ht="14.55" outlineLevel="1" spans="2:22">
      <c r="B257" s="355"/>
      <c r="C257" s="356" t="s">
        <v>1397</v>
      </c>
      <c r="D257" s="357" t="s">
        <v>178</v>
      </c>
      <c r="E257" s="357" t="s">
        <v>937</v>
      </c>
      <c r="F257" s="357" t="s">
        <v>514</v>
      </c>
      <c r="G257" s="358" t="s">
        <v>938</v>
      </c>
      <c r="H257" s="35">
        <v>36</v>
      </c>
      <c r="I257" s="371">
        <v>0.0499985828066098</v>
      </c>
      <c r="J257" s="361">
        <f t="shared" si="27"/>
        <v>0.0263889282553719</v>
      </c>
      <c r="K257" s="362">
        <v>2469.67</v>
      </c>
      <c r="L257" s="362">
        <v>260.68</v>
      </c>
      <c r="M257" s="362"/>
      <c r="N257" s="362">
        <f t="shared" si="34"/>
        <v>2208.99</v>
      </c>
      <c r="O257" s="362">
        <f>_xlfn.XLOOKUP(E257,'K.01.1a FA list'!D108:D420,'K.01.1a FA list'!K108:K420)</f>
        <v>260.68</v>
      </c>
      <c r="P257" s="363">
        <f t="shared" si="29"/>
        <v>36</v>
      </c>
      <c r="Q257" s="364">
        <v>0.05</v>
      </c>
      <c r="R257" s="365">
        <f t="shared" si="30"/>
        <v>65.1718472222222</v>
      </c>
      <c r="S257" s="366">
        <f t="shared" si="31"/>
        <v>4</v>
      </c>
      <c r="T257" s="367">
        <f t="shared" si="32"/>
        <v>260.687388888889</v>
      </c>
      <c r="U257" s="367">
        <f t="shared" si="33"/>
        <v>0.00738888888884048</v>
      </c>
      <c r="V257" s="334"/>
    </row>
    <row r="258" s="158" customFormat="1" ht="14.55" outlineLevel="1" spans="2:22">
      <c r="B258" s="355"/>
      <c r="C258" s="356" t="s">
        <v>1397</v>
      </c>
      <c r="D258" s="357" t="s">
        <v>178</v>
      </c>
      <c r="E258" s="357" t="s">
        <v>939</v>
      </c>
      <c r="F258" s="357" t="s">
        <v>940</v>
      </c>
      <c r="G258" s="358" t="s">
        <v>941</v>
      </c>
      <c r="H258" s="35">
        <v>36</v>
      </c>
      <c r="I258" s="371">
        <v>0.05</v>
      </c>
      <c r="J258" s="361">
        <f t="shared" si="27"/>
        <v>0.0263888888888889</v>
      </c>
      <c r="K258" s="362">
        <v>2850</v>
      </c>
      <c r="L258" s="362">
        <v>150.42</v>
      </c>
      <c r="M258" s="362"/>
      <c r="N258" s="362">
        <f t="shared" si="34"/>
        <v>2699.58</v>
      </c>
      <c r="O258" s="362">
        <f>_xlfn.XLOOKUP(E258,'K.01.1a FA list'!D109:D421,'K.01.1a FA list'!K109:K421)</f>
        <v>150.42</v>
      </c>
      <c r="P258" s="363">
        <f t="shared" si="29"/>
        <v>36</v>
      </c>
      <c r="Q258" s="364">
        <v>0.05</v>
      </c>
      <c r="R258" s="365">
        <f t="shared" si="30"/>
        <v>75.2083333333333</v>
      </c>
      <c r="S258" s="366">
        <f t="shared" si="31"/>
        <v>2</v>
      </c>
      <c r="T258" s="367">
        <f t="shared" si="32"/>
        <v>150.416666666667</v>
      </c>
      <c r="U258" s="367">
        <f t="shared" si="33"/>
        <v>-0.0033333333333303</v>
      </c>
      <c r="V258" s="334"/>
    </row>
    <row r="259" s="158" customFormat="1" ht="14.55" outlineLevel="1" spans="2:22">
      <c r="B259" s="355"/>
      <c r="C259" s="356" t="s">
        <v>1397</v>
      </c>
      <c r="D259" s="357" t="s">
        <v>178</v>
      </c>
      <c r="E259" s="357" t="s">
        <v>942</v>
      </c>
      <c r="F259" s="357" t="s">
        <v>943</v>
      </c>
      <c r="G259" s="358" t="s">
        <v>944</v>
      </c>
      <c r="H259" s="35">
        <v>36</v>
      </c>
      <c r="I259" s="371">
        <v>0.05</v>
      </c>
      <c r="J259" s="361">
        <f t="shared" si="27"/>
        <v>0.0263888888888889</v>
      </c>
      <c r="K259" s="362">
        <v>3897</v>
      </c>
      <c r="L259" s="362">
        <v>102.84</v>
      </c>
      <c r="M259" s="362"/>
      <c r="N259" s="362">
        <f t="shared" si="34"/>
        <v>3794.16</v>
      </c>
      <c r="O259" s="362">
        <f>_xlfn.XLOOKUP(E259,'K.01.1a FA list'!D110:D422,'K.01.1a FA list'!K110:K422)</f>
        <v>102.84</v>
      </c>
      <c r="P259" s="363">
        <f t="shared" si="29"/>
        <v>36</v>
      </c>
      <c r="Q259" s="364">
        <v>0.05</v>
      </c>
      <c r="R259" s="365">
        <f t="shared" si="30"/>
        <v>102.8375</v>
      </c>
      <c r="S259" s="366">
        <f t="shared" si="31"/>
        <v>1</v>
      </c>
      <c r="T259" s="367">
        <f t="shared" si="32"/>
        <v>102.8375</v>
      </c>
      <c r="U259" s="367">
        <f t="shared" si="33"/>
        <v>-0.00250000000001194</v>
      </c>
      <c r="V259" s="334"/>
    </row>
    <row r="260" s="158" customFormat="1" ht="14.55" outlineLevel="1" spans="2:22">
      <c r="B260" s="355"/>
      <c r="C260" s="356" t="s">
        <v>1397</v>
      </c>
      <c r="D260" s="357" t="s">
        <v>178</v>
      </c>
      <c r="E260" s="357" t="s">
        <v>945</v>
      </c>
      <c r="F260" s="357" t="s">
        <v>946</v>
      </c>
      <c r="G260" s="358" t="s">
        <v>947</v>
      </c>
      <c r="H260" s="35">
        <v>36</v>
      </c>
      <c r="I260" s="371">
        <v>0.05</v>
      </c>
      <c r="J260" s="361">
        <f t="shared" si="27"/>
        <v>0.0263888888888889</v>
      </c>
      <c r="K260" s="362">
        <v>728</v>
      </c>
      <c r="L260" s="362">
        <v>19.21</v>
      </c>
      <c r="M260" s="362"/>
      <c r="N260" s="362">
        <f t="shared" si="34"/>
        <v>708.79</v>
      </c>
      <c r="O260" s="362">
        <f>_xlfn.XLOOKUP(E260,'K.01.1a FA list'!D111:D423,'K.01.1a FA list'!K111:K423)</f>
        <v>19.21</v>
      </c>
      <c r="P260" s="363">
        <f t="shared" si="29"/>
        <v>36</v>
      </c>
      <c r="Q260" s="364">
        <v>0.05</v>
      </c>
      <c r="R260" s="365">
        <f t="shared" si="30"/>
        <v>19.2111111111111</v>
      </c>
      <c r="S260" s="366">
        <f t="shared" si="31"/>
        <v>1</v>
      </c>
      <c r="T260" s="367">
        <f t="shared" si="32"/>
        <v>19.2111111111111</v>
      </c>
      <c r="U260" s="367">
        <f t="shared" si="33"/>
        <v>0.00111111111111128</v>
      </c>
      <c r="V260" s="334"/>
    </row>
    <row r="261" s="158" customFormat="1" ht="14.55" outlineLevel="1" spans="2:22">
      <c r="B261" s="355"/>
      <c r="C261" s="356"/>
      <c r="D261" s="369" t="s">
        <v>178</v>
      </c>
      <c r="E261" s="357"/>
      <c r="F261" s="357"/>
      <c r="G261" s="358"/>
      <c r="H261" s="359"/>
      <c r="I261" s="360"/>
      <c r="J261" s="361"/>
      <c r="K261" s="370">
        <f>SUM(K166:K260)</f>
        <v>964611.16</v>
      </c>
      <c r="L261" s="370">
        <f>SUM(L166:L260)</f>
        <v>778184.99</v>
      </c>
      <c r="M261" s="370">
        <f>SUM(M166:M260)</f>
        <v>0</v>
      </c>
      <c r="N261" s="372">
        <f>SUM(N166:N260)</f>
        <v>186426.17</v>
      </c>
      <c r="O261" s="370">
        <f>SUM(O166:O260)</f>
        <v>182580.15</v>
      </c>
      <c r="P261" s="363"/>
      <c r="Q261" s="364"/>
      <c r="R261" s="365"/>
      <c r="S261" s="366"/>
      <c r="T261" s="367"/>
      <c r="U261" s="367"/>
      <c r="V261" s="334"/>
    </row>
    <row r="262" s="158" customFormat="1" ht="14.55" outlineLevel="1" spans="2:22">
      <c r="B262" s="355"/>
      <c r="C262" s="356"/>
      <c r="D262" s="357"/>
      <c r="E262" s="357"/>
      <c r="F262" s="357"/>
      <c r="G262" s="358"/>
      <c r="H262" s="359"/>
      <c r="I262" s="360"/>
      <c r="J262" s="361"/>
      <c r="K262" s="362"/>
      <c r="L262" s="362"/>
      <c r="M262" s="362"/>
      <c r="N262" s="362">
        <f t="shared" ref="N262:N325" si="35">K262-L262</f>
        <v>0</v>
      </c>
      <c r="O262" s="362"/>
      <c r="P262" s="363"/>
      <c r="Q262" s="364"/>
      <c r="R262" s="365"/>
      <c r="S262" s="366"/>
      <c r="T262" s="367"/>
      <c r="U262" s="367"/>
      <c r="V262" s="334"/>
    </row>
    <row r="263" s="158" customFormat="1" ht="14.55" outlineLevel="1" spans="2:22">
      <c r="B263" s="355"/>
      <c r="C263" s="356" t="s">
        <v>1397</v>
      </c>
      <c r="D263" s="357" t="s">
        <v>179</v>
      </c>
      <c r="E263" s="373" t="s">
        <v>557</v>
      </c>
      <c r="F263" s="374" t="s">
        <v>558</v>
      </c>
      <c r="G263" s="374" t="s">
        <v>559</v>
      </c>
      <c r="H263" s="374">
        <v>60</v>
      </c>
      <c r="I263" s="375">
        <v>0.05</v>
      </c>
      <c r="J263" s="361">
        <f t="shared" si="27"/>
        <v>0.0158333333333333</v>
      </c>
      <c r="K263" s="362">
        <v>43000</v>
      </c>
      <c r="L263" s="362">
        <v>40850</v>
      </c>
      <c r="M263" s="362"/>
      <c r="N263" s="362">
        <f t="shared" si="35"/>
        <v>2150</v>
      </c>
      <c r="O263" s="362">
        <v>0</v>
      </c>
      <c r="P263" s="363">
        <f t="shared" ref="P263:P294" si="36">_xlfn.XLOOKUP(D263,$C$484:$C$489,$E$484:$E$489)</f>
        <v>60</v>
      </c>
      <c r="Q263" s="364">
        <v>0.05</v>
      </c>
      <c r="R263" s="365">
        <f t="shared" ref="R263:R326" si="37">K263*(1-Q263)/P263</f>
        <v>680.833333333333</v>
      </c>
      <c r="S263" s="366">
        <f t="shared" ref="S263:S326" si="38">IF(YEAR(G263)=YEAR($P$85),MIN(DATEDIF(EOMONTH(G263,-1)+1,$P$85,"m"),P263),MIN(P263,DATEDIF(EOMONTH(G263,-1)+1,$P$85,"m")))</f>
        <v>60</v>
      </c>
      <c r="T263" s="367">
        <f t="shared" ref="T263:T326" si="39">S263*R263</f>
        <v>40850</v>
      </c>
      <c r="U263" s="367">
        <f t="shared" ref="U263:U326" si="40">T263-L263</f>
        <v>0</v>
      </c>
      <c r="V263" s="334"/>
    </row>
    <row r="264" s="158" customFormat="1" ht="14.55" outlineLevel="1" spans="2:22">
      <c r="B264" s="355"/>
      <c r="C264" s="356" t="s">
        <v>1397</v>
      </c>
      <c r="D264" s="357" t="s">
        <v>179</v>
      </c>
      <c r="E264" s="373" t="s">
        <v>560</v>
      </c>
      <c r="F264" s="374" t="s">
        <v>561</v>
      </c>
      <c r="G264" s="374" t="s">
        <v>559</v>
      </c>
      <c r="H264" s="374">
        <v>60</v>
      </c>
      <c r="I264" s="375">
        <v>0.05</v>
      </c>
      <c r="J264" s="361">
        <f t="shared" si="27"/>
        <v>0.0158333333333333</v>
      </c>
      <c r="K264" s="362">
        <v>62000</v>
      </c>
      <c r="L264" s="362">
        <v>58900</v>
      </c>
      <c r="M264" s="362"/>
      <c r="N264" s="362">
        <f t="shared" si="35"/>
        <v>3100</v>
      </c>
      <c r="O264" s="362">
        <v>0</v>
      </c>
      <c r="P264" s="363">
        <f t="shared" si="36"/>
        <v>60</v>
      </c>
      <c r="Q264" s="364">
        <v>0.05</v>
      </c>
      <c r="R264" s="365">
        <f t="shared" si="37"/>
        <v>981.666666666667</v>
      </c>
      <c r="S264" s="366">
        <f t="shared" si="38"/>
        <v>60</v>
      </c>
      <c r="T264" s="367">
        <f t="shared" si="39"/>
        <v>58900</v>
      </c>
      <c r="U264" s="367">
        <f t="shared" si="40"/>
        <v>0</v>
      </c>
      <c r="V264" s="334"/>
    </row>
    <row r="265" s="158" customFormat="1" ht="14.55" outlineLevel="1" spans="2:22">
      <c r="B265" s="355"/>
      <c r="C265" s="356" t="s">
        <v>1397</v>
      </c>
      <c r="D265" s="357" t="s">
        <v>179</v>
      </c>
      <c r="E265" s="373" t="s">
        <v>562</v>
      </c>
      <c r="F265" s="374" t="s">
        <v>563</v>
      </c>
      <c r="G265" s="374" t="s">
        <v>564</v>
      </c>
      <c r="H265" s="374">
        <v>60</v>
      </c>
      <c r="I265" s="375">
        <v>0.05</v>
      </c>
      <c r="J265" s="361">
        <f t="shared" si="27"/>
        <v>0.0158333333333333</v>
      </c>
      <c r="K265" s="362">
        <v>16000</v>
      </c>
      <c r="L265" s="362">
        <v>15200</v>
      </c>
      <c r="M265" s="362"/>
      <c r="N265" s="362">
        <f t="shared" si="35"/>
        <v>800</v>
      </c>
      <c r="O265" s="362">
        <v>0</v>
      </c>
      <c r="P265" s="363">
        <f t="shared" si="36"/>
        <v>60</v>
      </c>
      <c r="Q265" s="364">
        <v>0.05</v>
      </c>
      <c r="R265" s="365">
        <f t="shared" si="37"/>
        <v>253.333333333333</v>
      </c>
      <c r="S265" s="366">
        <f t="shared" si="38"/>
        <v>60</v>
      </c>
      <c r="T265" s="367">
        <f t="shared" si="39"/>
        <v>15200</v>
      </c>
      <c r="U265" s="367">
        <f t="shared" si="40"/>
        <v>0</v>
      </c>
      <c r="V265" s="334"/>
    </row>
    <row r="266" s="158" customFormat="1" ht="14.55" outlineLevel="1" spans="2:22">
      <c r="B266" s="355"/>
      <c r="C266" s="356" t="s">
        <v>1397</v>
      </c>
      <c r="D266" s="357" t="s">
        <v>179</v>
      </c>
      <c r="E266" s="373" t="s">
        <v>565</v>
      </c>
      <c r="F266" s="374" t="s">
        <v>566</v>
      </c>
      <c r="G266" s="374" t="s">
        <v>564</v>
      </c>
      <c r="H266" s="374">
        <v>60</v>
      </c>
      <c r="I266" s="375">
        <v>0.05</v>
      </c>
      <c r="J266" s="361">
        <f t="shared" si="27"/>
        <v>0.0158333333333333</v>
      </c>
      <c r="K266" s="362">
        <v>39000</v>
      </c>
      <c r="L266" s="362">
        <v>37050</v>
      </c>
      <c r="M266" s="362"/>
      <c r="N266" s="362">
        <f t="shared" si="35"/>
        <v>1950</v>
      </c>
      <c r="O266" s="362">
        <v>0</v>
      </c>
      <c r="P266" s="363">
        <f t="shared" si="36"/>
        <v>60</v>
      </c>
      <c r="Q266" s="364">
        <v>0.05</v>
      </c>
      <c r="R266" s="365">
        <f t="shared" si="37"/>
        <v>617.5</v>
      </c>
      <c r="S266" s="366">
        <f t="shared" si="38"/>
        <v>60</v>
      </c>
      <c r="T266" s="367">
        <f t="shared" si="39"/>
        <v>37050</v>
      </c>
      <c r="U266" s="367">
        <f t="shared" si="40"/>
        <v>0</v>
      </c>
      <c r="V266" s="334"/>
    </row>
    <row r="267" s="158" customFormat="1" ht="14.55" outlineLevel="1" spans="2:22">
      <c r="B267" s="355"/>
      <c r="C267" s="356" t="s">
        <v>1397</v>
      </c>
      <c r="D267" s="357" t="s">
        <v>179</v>
      </c>
      <c r="E267" s="373" t="s">
        <v>567</v>
      </c>
      <c r="F267" s="374" t="s">
        <v>568</v>
      </c>
      <c r="G267" s="374" t="s">
        <v>569</v>
      </c>
      <c r="H267" s="374">
        <v>60</v>
      </c>
      <c r="I267" s="375">
        <v>0.05</v>
      </c>
      <c r="J267" s="361">
        <f t="shared" si="27"/>
        <v>0.0158333333333333</v>
      </c>
      <c r="K267" s="362">
        <v>20250</v>
      </c>
      <c r="L267" s="362">
        <v>19237.5</v>
      </c>
      <c r="M267" s="362"/>
      <c r="N267" s="362">
        <f t="shared" si="35"/>
        <v>1012.5</v>
      </c>
      <c r="O267" s="362">
        <v>0</v>
      </c>
      <c r="P267" s="363">
        <f t="shared" si="36"/>
        <v>60</v>
      </c>
      <c r="Q267" s="364">
        <v>0.05</v>
      </c>
      <c r="R267" s="365">
        <f t="shared" si="37"/>
        <v>320.625</v>
      </c>
      <c r="S267" s="366">
        <f t="shared" si="38"/>
        <v>60</v>
      </c>
      <c r="T267" s="367">
        <f t="shared" si="39"/>
        <v>19237.5</v>
      </c>
      <c r="U267" s="367">
        <f t="shared" si="40"/>
        <v>0</v>
      </c>
      <c r="V267" s="334"/>
    </row>
    <row r="268" s="158" customFormat="1" ht="14.55" outlineLevel="1" spans="2:22">
      <c r="B268" s="355"/>
      <c r="C268" s="356" t="s">
        <v>1397</v>
      </c>
      <c r="D268" s="357" t="s">
        <v>179</v>
      </c>
      <c r="E268" s="373" t="s">
        <v>570</v>
      </c>
      <c r="F268" s="374" t="s">
        <v>571</v>
      </c>
      <c r="G268" s="374" t="s">
        <v>572</v>
      </c>
      <c r="H268" s="374">
        <v>36</v>
      </c>
      <c r="I268" s="375">
        <v>0.05</v>
      </c>
      <c r="J268" s="361">
        <f t="shared" si="27"/>
        <v>0.0263888888888889</v>
      </c>
      <c r="K268" s="362">
        <v>47000</v>
      </c>
      <c r="L268" s="362">
        <v>44650</v>
      </c>
      <c r="M268" s="362"/>
      <c r="N268" s="362">
        <f t="shared" si="35"/>
        <v>2350</v>
      </c>
      <c r="O268" s="362">
        <v>0</v>
      </c>
      <c r="P268" s="363">
        <f t="shared" si="36"/>
        <v>60</v>
      </c>
      <c r="Q268" s="364">
        <v>0.05</v>
      </c>
      <c r="R268" s="365">
        <f t="shared" si="37"/>
        <v>744.166666666667</v>
      </c>
      <c r="S268" s="366">
        <f t="shared" si="38"/>
        <v>60</v>
      </c>
      <c r="T268" s="367">
        <f t="shared" si="39"/>
        <v>44650</v>
      </c>
      <c r="U268" s="367">
        <f t="shared" si="40"/>
        <v>0</v>
      </c>
      <c r="V268" s="334"/>
    </row>
    <row r="269" s="158" customFormat="1" ht="14.55" outlineLevel="1" spans="2:22">
      <c r="B269" s="355"/>
      <c r="C269" s="356" t="s">
        <v>1397</v>
      </c>
      <c r="D269" s="357" t="s">
        <v>179</v>
      </c>
      <c r="E269" s="373" t="s">
        <v>573</v>
      </c>
      <c r="F269" s="374" t="s">
        <v>574</v>
      </c>
      <c r="G269" s="374" t="s">
        <v>575</v>
      </c>
      <c r="H269" s="374">
        <v>60</v>
      </c>
      <c r="I269" s="375">
        <v>0.05</v>
      </c>
      <c r="J269" s="361">
        <f t="shared" si="27"/>
        <v>0.0158333333333333</v>
      </c>
      <c r="K269" s="362">
        <v>18000</v>
      </c>
      <c r="L269" s="362">
        <v>17100</v>
      </c>
      <c r="M269" s="362"/>
      <c r="N269" s="362">
        <f t="shared" si="35"/>
        <v>900</v>
      </c>
      <c r="O269" s="362">
        <v>0</v>
      </c>
      <c r="P269" s="363">
        <f t="shared" si="36"/>
        <v>60</v>
      </c>
      <c r="Q269" s="364">
        <v>0.05</v>
      </c>
      <c r="R269" s="365">
        <f t="shared" si="37"/>
        <v>285</v>
      </c>
      <c r="S269" s="366">
        <f t="shared" si="38"/>
        <v>60</v>
      </c>
      <c r="T269" s="367">
        <f t="shared" si="39"/>
        <v>17100</v>
      </c>
      <c r="U269" s="367">
        <f t="shared" si="40"/>
        <v>0</v>
      </c>
      <c r="V269" s="334"/>
    </row>
    <row r="270" s="158" customFormat="1" ht="14.55" outlineLevel="1" spans="2:22">
      <c r="B270" s="355"/>
      <c r="C270" s="356" t="s">
        <v>1397</v>
      </c>
      <c r="D270" s="357" t="s">
        <v>179</v>
      </c>
      <c r="E270" s="373" t="s">
        <v>576</v>
      </c>
      <c r="F270" s="374" t="s">
        <v>577</v>
      </c>
      <c r="G270" s="374" t="s">
        <v>575</v>
      </c>
      <c r="H270" s="374">
        <v>60</v>
      </c>
      <c r="I270" s="375">
        <v>0.05</v>
      </c>
      <c r="J270" s="361">
        <f t="shared" si="27"/>
        <v>0.0158333333333333</v>
      </c>
      <c r="K270" s="362">
        <v>6500</v>
      </c>
      <c r="L270" s="362">
        <v>6175</v>
      </c>
      <c r="M270" s="362"/>
      <c r="N270" s="362">
        <f t="shared" si="35"/>
        <v>325</v>
      </c>
      <c r="O270" s="362">
        <v>0</v>
      </c>
      <c r="P270" s="363">
        <f t="shared" si="36"/>
        <v>60</v>
      </c>
      <c r="Q270" s="364">
        <v>0.05</v>
      </c>
      <c r="R270" s="365">
        <f t="shared" si="37"/>
        <v>102.916666666667</v>
      </c>
      <c r="S270" s="366">
        <f t="shared" si="38"/>
        <v>60</v>
      </c>
      <c r="T270" s="367">
        <f t="shared" si="39"/>
        <v>6175</v>
      </c>
      <c r="U270" s="367">
        <f t="shared" si="40"/>
        <v>0</v>
      </c>
      <c r="V270" s="334"/>
    </row>
    <row r="271" s="158" customFormat="1" ht="14.55" outlineLevel="1" spans="2:22">
      <c r="B271" s="355"/>
      <c r="C271" s="356" t="s">
        <v>1397</v>
      </c>
      <c r="D271" s="357" t="s">
        <v>179</v>
      </c>
      <c r="E271" s="373" t="s">
        <v>578</v>
      </c>
      <c r="F271" s="374" t="s">
        <v>579</v>
      </c>
      <c r="G271" s="374" t="s">
        <v>580</v>
      </c>
      <c r="H271" s="374">
        <v>60</v>
      </c>
      <c r="I271" s="375">
        <v>0.05</v>
      </c>
      <c r="J271" s="361">
        <f t="shared" si="27"/>
        <v>0.0158333333333333</v>
      </c>
      <c r="K271" s="362">
        <v>9200</v>
      </c>
      <c r="L271" s="362">
        <v>8740</v>
      </c>
      <c r="M271" s="362"/>
      <c r="N271" s="362">
        <f t="shared" si="35"/>
        <v>460</v>
      </c>
      <c r="O271" s="362">
        <v>0</v>
      </c>
      <c r="P271" s="363">
        <f t="shared" si="36"/>
        <v>60</v>
      </c>
      <c r="Q271" s="364">
        <v>0.05</v>
      </c>
      <c r="R271" s="365">
        <f t="shared" si="37"/>
        <v>145.666666666667</v>
      </c>
      <c r="S271" s="366">
        <f t="shared" si="38"/>
        <v>60</v>
      </c>
      <c r="T271" s="367">
        <f t="shared" si="39"/>
        <v>8740</v>
      </c>
      <c r="U271" s="367">
        <f t="shared" si="40"/>
        <v>0</v>
      </c>
      <c r="V271" s="334"/>
    </row>
    <row r="272" s="158" customFormat="1" ht="14.55" outlineLevel="1" spans="2:22">
      <c r="B272" s="355"/>
      <c r="C272" s="356" t="s">
        <v>1397</v>
      </c>
      <c r="D272" s="357" t="s">
        <v>179</v>
      </c>
      <c r="E272" s="373" t="s">
        <v>581</v>
      </c>
      <c r="F272" s="374" t="s">
        <v>582</v>
      </c>
      <c r="G272" s="374" t="s">
        <v>583</v>
      </c>
      <c r="H272" s="374">
        <v>60</v>
      </c>
      <c r="I272" s="375">
        <v>0.05</v>
      </c>
      <c r="J272" s="361">
        <f t="shared" si="27"/>
        <v>0.0158333333333333</v>
      </c>
      <c r="K272" s="362">
        <v>265000</v>
      </c>
      <c r="L272" s="362">
        <v>251750</v>
      </c>
      <c r="M272" s="362"/>
      <c r="N272" s="362">
        <f t="shared" si="35"/>
        <v>13250</v>
      </c>
      <c r="O272" s="362">
        <v>0</v>
      </c>
      <c r="P272" s="363">
        <f t="shared" si="36"/>
        <v>60</v>
      </c>
      <c r="Q272" s="364">
        <v>0.05</v>
      </c>
      <c r="R272" s="365">
        <f t="shared" si="37"/>
        <v>4195.83333333333</v>
      </c>
      <c r="S272" s="366">
        <f t="shared" si="38"/>
        <v>60</v>
      </c>
      <c r="T272" s="367">
        <f t="shared" si="39"/>
        <v>251750</v>
      </c>
      <c r="U272" s="367">
        <f t="shared" si="40"/>
        <v>0</v>
      </c>
      <c r="V272" s="334"/>
    </row>
    <row r="273" s="158" customFormat="1" ht="14.55" outlineLevel="1" spans="2:22">
      <c r="B273" s="355"/>
      <c r="C273" s="356" t="s">
        <v>1397</v>
      </c>
      <c r="D273" s="357" t="s">
        <v>179</v>
      </c>
      <c r="E273" s="373" t="s">
        <v>584</v>
      </c>
      <c r="F273" s="374" t="s">
        <v>585</v>
      </c>
      <c r="G273" s="374" t="s">
        <v>586</v>
      </c>
      <c r="H273" s="374">
        <v>60</v>
      </c>
      <c r="I273" s="375">
        <v>0.05</v>
      </c>
      <c r="J273" s="361">
        <f t="shared" si="27"/>
        <v>0.0158333333333333</v>
      </c>
      <c r="K273" s="362">
        <v>6800</v>
      </c>
      <c r="L273" s="362">
        <v>6460</v>
      </c>
      <c r="M273" s="362"/>
      <c r="N273" s="362">
        <f t="shared" si="35"/>
        <v>340</v>
      </c>
      <c r="O273" s="362">
        <v>0</v>
      </c>
      <c r="P273" s="363">
        <f t="shared" si="36"/>
        <v>60</v>
      </c>
      <c r="Q273" s="364">
        <v>0.05</v>
      </c>
      <c r="R273" s="365">
        <f t="shared" si="37"/>
        <v>107.666666666667</v>
      </c>
      <c r="S273" s="366">
        <f t="shared" si="38"/>
        <v>60</v>
      </c>
      <c r="T273" s="367">
        <f t="shared" si="39"/>
        <v>6460</v>
      </c>
      <c r="U273" s="367">
        <f t="shared" si="40"/>
        <v>0</v>
      </c>
      <c r="V273" s="334"/>
    </row>
    <row r="274" s="158" customFormat="1" ht="14.55" outlineLevel="1" spans="2:22">
      <c r="B274" s="355"/>
      <c r="C274" s="356" t="s">
        <v>1397</v>
      </c>
      <c r="D274" s="357" t="s">
        <v>179</v>
      </c>
      <c r="E274" s="373" t="s">
        <v>587</v>
      </c>
      <c r="F274" s="374" t="s">
        <v>588</v>
      </c>
      <c r="G274" s="374" t="s">
        <v>586</v>
      </c>
      <c r="H274" s="374">
        <v>60</v>
      </c>
      <c r="I274" s="375">
        <v>0.05</v>
      </c>
      <c r="J274" s="361">
        <f t="shared" si="27"/>
        <v>0.0158333333333333</v>
      </c>
      <c r="K274" s="362">
        <v>10000</v>
      </c>
      <c r="L274" s="362">
        <v>9500</v>
      </c>
      <c r="M274" s="362"/>
      <c r="N274" s="362">
        <f t="shared" si="35"/>
        <v>500</v>
      </c>
      <c r="O274" s="362">
        <v>0</v>
      </c>
      <c r="P274" s="363">
        <f t="shared" si="36"/>
        <v>60</v>
      </c>
      <c r="Q274" s="364">
        <v>0.05</v>
      </c>
      <c r="R274" s="365">
        <f t="shared" si="37"/>
        <v>158.333333333333</v>
      </c>
      <c r="S274" s="366">
        <f t="shared" si="38"/>
        <v>60</v>
      </c>
      <c r="T274" s="367">
        <f t="shared" si="39"/>
        <v>9500</v>
      </c>
      <c r="U274" s="367">
        <f t="shared" si="40"/>
        <v>0</v>
      </c>
      <c r="V274" s="334"/>
    </row>
    <row r="275" s="158" customFormat="1" ht="14.55" outlineLevel="1" spans="2:22">
      <c r="B275" s="355"/>
      <c r="C275" s="356" t="s">
        <v>1397</v>
      </c>
      <c r="D275" s="357" t="s">
        <v>179</v>
      </c>
      <c r="E275" s="373" t="s">
        <v>589</v>
      </c>
      <c r="F275" s="374" t="s">
        <v>590</v>
      </c>
      <c r="G275" s="374" t="s">
        <v>591</v>
      </c>
      <c r="H275" s="374">
        <v>60</v>
      </c>
      <c r="I275" s="375">
        <v>0.05</v>
      </c>
      <c r="J275" s="361">
        <f t="shared" si="27"/>
        <v>0.0158333333333333</v>
      </c>
      <c r="K275" s="362">
        <v>15000</v>
      </c>
      <c r="L275" s="362">
        <v>14250</v>
      </c>
      <c r="M275" s="362"/>
      <c r="N275" s="362">
        <f t="shared" si="35"/>
        <v>750</v>
      </c>
      <c r="O275" s="362">
        <v>0</v>
      </c>
      <c r="P275" s="363">
        <f t="shared" si="36"/>
        <v>60</v>
      </c>
      <c r="Q275" s="364">
        <v>0.05</v>
      </c>
      <c r="R275" s="365">
        <f t="shared" si="37"/>
        <v>237.5</v>
      </c>
      <c r="S275" s="366">
        <f t="shared" si="38"/>
        <v>60</v>
      </c>
      <c r="T275" s="367">
        <f t="shared" si="39"/>
        <v>14250</v>
      </c>
      <c r="U275" s="367">
        <f t="shared" si="40"/>
        <v>0</v>
      </c>
      <c r="V275" s="334"/>
    </row>
    <row r="276" s="158" customFormat="1" ht="14.55" outlineLevel="1" spans="2:22">
      <c r="B276" s="355"/>
      <c r="C276" s="356" t="s">
        <v>1397</v>
      </c>
      <c r="D276" s="357" t="s">
        <v>179</v>
      </c>
      <c r="E276" s="373" t="s">
        <v>592</v>
      </c>
      <c r="F276" s="374" t="s">
        <v>593</v>
      </c>
      <c r="G276" s="374" t="s">
        <v>594</v>
      </c>
      <c r="H276" s="374">
        <v>60</v>
      </c>
      <c r="I276" s="375">
        <v>0.05</v>
      </c>
      <c r="J276" s="361">
        <f t="shared" ref="J276:J339" si="41">(1-I276)/H276</f>
        <v>0.0158333333333333</v>
      </c>
      <c r="K276" s="362">
        <v>28000</v>
      </c>
      <c r="L276" s="362">
        <v>26600</v>
      </c>
      <c r="M276" s="362"/>
      <c r="N276" s="362">
        <f t="shared" si="35"/>
        <v>1400</v>
      </c>
      <c r="O276" s="362">
        <v>0</v>
      </c>
      <c r="P276" s="363">
        <f t="shared" si="36"/>
        <v>60</v>
      </c>
      <c r="Q276" s="364">
        <v>0.05</v>
      </c>
      <c r="R276" s="365">
        <f t="shared" si="37"/>
        <v>443.333333333333</v>
      </c>
      <c r="S276" s="366">
        <f t="shared" si="38"/>
        <v>60</v>
      </c>
      <c r="T276" s="367">
        <f t="shared" si="39"/>
        <v>26600</v>
      </c>
      <c r="U276" s="367">
        <f t="shared" si="40"/>
        <v>0</v>
      </c>
      <c r="V276" s="334"/>
    </row>
    <row r="277" s="158" customFormat="1" ht="14.55" outlineLevel="1" spans="2:22">
      <c r="B277" s="355"/>
      <c r="C277" s="356" t="s">
        <v>1397</v>
      </c>
      <c r="D277" s="357" t="s">
        <v>179</v>
      </c>
      <c r="E277" s="373" t="s">
        <v>595</v>
      </c>
      <c r="F277" s="374" t="s">
        <v>596</v>
      </c>
      <c r="G277" s="374" t="s">
        <v>597</v>
      </c>
      <c r="H277" s="374">
        <v>60</v>
      </c>
      <c r="I277" s="375">
        <v>0.05</v>
      </c>
      <c r="J277" s="361">
        <f t="shared" si="41"/>
        <v>0.0158333333333333</v>
      </c>
      <c r="K277" s="362">
        <v>700000</v>
      </c>
      <c r="L277" s="362">
        <v>665000</v>
      </c>
      <c r="M277" s="362"/>
      <c r="N277" s="362">
        <f t="shared" si="35"/>
        <v>35000</v>
      </c>
      <c r="O277" s="362">
        <v>0</v>
      </c>
      <c r="P277" s="363">
        <f t="shared" si="36"/>
        <v>60</v>
      </c>
      <c r="Q277" s="364">
        <v>0.05</v>
      </c>
      <c r="R277" s="365">
        <f t="shared" si="37"/>
        <v>11083.3333333333</v>
      </c>
      <c r="S277" s="366">
        <f t="shared" si="38"/>
        <v>60</v>
      </c>
      <c r="T277" s="367">
        <f t="shared" si="39"/>
        <v>665000</v>
      </c>
      <c r="U277" s="367">
        <f t="shared" si="40"/>
        <v>0</v>
      </c>
      <c r="V277" s="334"/>
    </row>
    <row r="278" s="158" customFormat="1" ht="14.55" outlineLevel="1" spans="2:22">
      <c r="B278" s="355"/>
      <c r="C278" s="356" t="s">
        <v>1397</v>
      </c>
      <c r="D278" s="357" t="s">
        <v>179</v>
      </c>
      <c r="E278" s="373" t="s">
        <v>598</v>
      </c>
      <c r="F278" s="374" t="s">
        <v>599</v>
      </c>
      <c r="G278" s="374" t="s">
        <v>600</v>
      </c>
      <c r="H278" s="374">
        <v>60</v>
      </c>
      <c r="I278" s="375">
        <v>0.05</v>
      </c>
      <c r="J278" s="361">
        <f t="shared" si="41"/>
        <v>0.0158333333333333</v>
      </c>
      <c r="K278" s="362">
        <v>24000</v>
      </c>
      <c r="L278" s="362">
        <v>22800</v>
      </c>
      <c r="M278" s="362"/>
      <c r="N278" s="362">
        <f t="shared" si="35"/>
        <v>1200</v>
      </c>
      <c r="O278" s="362">
        <v>0</v>
      </c>
      <c r="P278" s="363">
        <f t="shared" si="36"/>
        <v>60</v>
      </c>
      <c r="Q278" s="364">
        <v>0.05</v>
      </c>
      <c r="R278" s="365">
        <f t="shared" si="37"/>
        <v>380</v>
      </c>
      <c r="S278" s="366">
        <f t="shared" si="38"/>
        <v>60</v>
      </c>
      <c r="T278" s="367">
        <f t="shared" si="39"/>
        <v>22800</v>
      </c>
      <c r="U278" s="367">
        <f t="shared" si="40"/>
        <v>0</v>
      </c>
      <c r="V278" s="334"/>
    </row>
    <row r="279" s="158" customFormat="1" ht="14.55" outlineLevel="1" spans="2:22">
      <c r="B279" s="355"/>
      <c r="C279" s="356" t="s">
        <v>1397</v>
      </c>
      <c r="D279" s="357" t="s">
        <v>179</v>
      </c>
      <c r="E279" s="373" t="s">
        <v>601</v>
      </c>
      <c r="F279" s="374" t="s">
        <v>602</v>
      </c>
      <c r="G279" s="374" t="s">
        <v>603</v>
      </c>
      <c r="H279" s="374">
        <v>60</v>
      </c>
      <c r="I279" s="375">
        <v>0.05</v>
      </c>
      <c r="J279" s="361">
        <f t="shared" si="41"/>
        <v>0.0158333333333333</v>
      </c>
      <c r="K279" s="362">
        <v>6500</v>
      </c>
      <c r="L279" s="362">
        <v>6175</v>
      </c>
      <c r="M279" s="362"/>
      <c r="N279" s="362">
        <f t="shared" si="35"/>
        <v>325</v>
      </c>
      <c r="O279" s="362">
        <v>0</v>
      </c>
      <c r="P279" s="363">
        <f t="shared" si="36"/>
        <v>60</v>
      </c>
      <c r="Q279" s="364">
        <v>0.05</v>
      </c>
      <c r="R279" s="365">
        <f t="shared" si="37"/>
        <v>102.916666666667</v>
      </c>
      <c r="S279" s="366">
        <f t="shared" si="38"/>
        <v>60</v>
      </c>
      <c r="T279" s="367">
        <f t="shared" si="39"/>
        <v>6175</v>
      </c>
      <c r="U279" s="367">
        <f t="shared" si="40"/>
        <v>0</v>
      </c>
      <c r="V279" s="334"/>
    </row>
    <row r="280" s="158" customFormat="1" ht="14.55" outlineLevel="1" spans="2:22">
      <c r="B280" s="355"/>
      <c r="C280" s="356" t="s">
        <v>1397</v>
      </c>
      <c r="D280" s="357" t="s">
        <v>179</v>
      </c>
      <c r="E280" s="373" t="s">
        <v>604</v>
      </c>
      <c r="F280" s="374" t="s">
        <v>605</v>
      </c>
      <c r="G280" s="374" t="s">
        <v>603</v>
      </c>
      <c r="H280" s="374">
        <v>60</v>
      </c>
      <c r="I280" s="375">
        <v>0.05</v>
      </c>
      <c r="J280" s="361">
        <f t="shared" si="41"/>
        <v>0.0158333333333333</v>
      </c>
      <c r="K280" s="362">
        <v>2000</v>
      </c>
      <c r="L280" s="362">
        <v>1900</v>
      </c>
      <c r="M280" s="362"/>
      <c r="N280" s="362">
        <f t="shared" si="35"/>
        <v>100</v>
      </c>
      <c r="O280" s="362">
        <v>0</v>
      </c>
      <c r="P280" s="363">
        <f t="shared" si="36"/>
        <v>60</v>
      </c>
      <c r="Q280" s="364">
        <v>0.05</v>
      </c>
      <c r="R280" s="365">
        <f t="shared" si="37"/>
        <v>31.6666666666667</v>
      </c>
      <c r="S280" s="366">
        <f t="shared" si="38"/>
        <v>60</v>
      </c>
      <c r="T280" s="367">
        <f t="shared" si="39"/>
        <v>1900</v>
      </c>
      <c r="U280" s="367">
        <f t="shared" si="40"/>
        <v>0</v>
      </c>
      <c r="V280" s="334"/>
    </row>
    <row r="281" s="158" customFormat="1" ht="14.55" outlineLevel="1" spans="2:22">
      <c r="B281" s="355"/>
      <c r="C281" s="356" t="s">
        <v>1397</v>
      </c>
      <c r="D281" s="357" t="s">
        <v>179</v>
      </c>
      <c r="E281" s="373" t="s">
        <v>606</v>
      </c>
      <c r="F281" s="374" t="s">
        <v>607</v>
      </c>
      <c r="G281" s="374" t="s">
        <v>603</v>
      </c>
      <c r="H281" s="374">
        <v>60</v>
      </c>
      <c r="I281" s="375">
        <v>0.05</v>
      </c>
      <c r="J281" s="361">
        <f t="shared" si="41"/>
        <v>0.0158333333333333</v>
      </c>
      <c r="K281" s="362">
        <v>11500</v>
      </c>
      <c r="L281" s="362">
        <v>10925</v>
      </c>
      <c r="M281" s="362"/>
      <c r="N281" s="362">
        <f t="shared" si="35"/>
        <v>575</v>
      </c>
      <c r="O281" s="362">
        <v>0</v>
      </c>
      <c r="P281" s="363">
        <f t="shared" si="36"/>
        <v>60</v>
      </c>
      <c r="Q281" s="364">
        <v>0.05</v>
      </c>
      <c r="R281" s="365">
        <f t="shared" si="37"/>
        <v>182.083333333333</v>
      </c>
      <c r="S281" s="366">
        <f t="shared" si="38"/>
        <v>60</v>
      </c>
      <c r="T281" s="367">
        <f t="shared" si="39"/>
        <v>10925</v>
      </c>
      <c r="U281" s="367">
        <f t="shared" si="40"/>
        <v>0</v>
      </c>
      <c r="V281" s="334"/>
    </row>
    <row r="282" s="158" customFormat="1" ht="14.55" outlineLevel="1" spans="2:22">
      <c r="B282" s="355"/>
      <c r="C282" s="356" t="s">
        <v>1397</v>
      </c>
      <c r="D282" s="357" t="s">
        <v>179</v>
      </c>
      <c r="E282" s="373" t="s">
        <v>608</v>
      </c>
      <c r="F282" s="374" t="s">
        <v>609</v>
      </c>
      <c r="G282" s="374" t="s">
        <v>610</v>
      </c>
      <c r="H282" s="374">
        <v>60</v>
      </c>
      <c r="I282" s="375">
        <v>0.05</v>
      </c>
      <c r="J282" s="361">
        <f t="shared" si="41"/>
        <v>0.0158333333333333</v>
      </c>
      <c r="K282" s="362">
        <v>22000</v>
      </c>
      <c r="L282" s="362">
        <v>20900</v>
      </c>
      <c r="M282" s="362"/>
      <c r="N282" s="362">
        <f t="shared" si="35"/>
        <v>1100</v>
      </c>
      <c r="O282" s="362">
        <v>0</v>
      </c>
      <c r="P282" s="363">
        <f t="shared" si="36"/>
        <v>60</v>
      </c>
      <c r="Q282" s="364">
        <v>0.05</v>
      </c>
      <c r="R282" s="365">
        <f t="shared" si="37"/>
        <v>348.333333333333</v>
      </c>
      <c r="S282" s="366">
        <f t="shared" si="38"/>
        <v>60</v>
      </c>
      <c r="T282" s="367">
        <f t="shared" si="39"/>
        <v>20900</v>
      </c>
      <c r="U282" s="367">
        <f t="shared" si="40"/>
        <v>0</v>
      </c>
      <c r="V282" s="334"/>
    </row>
    <row r="283" s="158" customFormat="1" ht="14.55" outlineLevel="1" spans="2:22">
      <c r="B283" s="355"/>
      <c r="C283" s="356" t="s">
        <v>1397</v>
      </c>
      <c r="D283" s="357" t="s">
        <v>179</v>
      </c>
      <c r="E283" s="373" t="s">
        <v>611</v>
      </c>
      <c r="F283" s="374" t="s">
        <v>612</v>
      </c>
      <c r="G283" s="374" t="s">
        <v>610</v>
      </c>
      <c r="H283" s="374">
        <v>60</v>
      </c>
      <c r="I283" s="375">
        <v>0.05</v>
      </c>
      <c r="J283" s="361">
        <f t="shared" si="41"/>
        <v>0.0158333333333333</v>
      </c>
      <c r="K283" s="362">
        <v>53000</v>
      </c>
      <c r="L283" s="362">
        <v>50350</v>
      </c>
      <c r="M283" s="362"/>
      <c r="N283" s="362">
        <f t="shared" si="35"/>
        <v>2650</v>
      </c>
      <c r="O283" s="362">
        <v>0</v>
      </c>
      <c r="P283" s="363">
        <f t="shared" si="36"/>
        <v>60</v>
      </c>
      <c r="Q283" s="364">
        <v>0.05</v>
      </c>
      <c r="R283" s="365">
        <f t="shared" si="37"/>
        <v>839.166666666667</v>
      </c>
      <c r="S283" s="366">
        <f t="shared" si="38"/>
        <v>60</v>
      </c>
      <c r="T283" s="367">
        <f t="shared" si="39"/>
        <v>50350</v>
      </c>
      <c r="U283" s="367">
        <f t="shared" si="40"/>
        <v>0</v>
      </c>
      <c r="V283" s="334"/>
    </row>
    <row r="284" s="158" customFormat="1" ht="14.55" outlineLevel="1" spans="2:22">
      <c r="B284" s="355"/>
      <c r="C284" s="356" t="s">
        <v>1397</v>
      </c>
      <c r="D284" s="357" t="s">
        <v>179</v>
      </c>
      <c r="E284" s="373" t="s">
        <v>613</v>
      </c>
      <c r="F284" s="374" t="s">
        <v>614</v>
      </c>
      <c r="G284" s="374" t="s">
        <v>610</v>
      </c>
      <c r="H284" s="374">
        <v>60</v>
      </c>
      <c r="I284" s="375">
        <v>0.05</v>
      </c>
      <c r="J284" s="361">
        <f t="shared" si="41"/>
        <v>0.0158333333333333</v>
      </c>
      <c r="K284" s="362">
        <v>6000</v>
      </c>
      <c r="L284" s="362">
        <v>5700</v>
      </c>
      <c r="M284" s="362"/>
      <c r="N284" s="362">
        <f t="shared" si="35"/>
        <v>300</v>
      </c>
      <c r="O284" s="362">
        <v>0</v>
      </c>
      <c r="P284" s="363">
        <f t="shared" si="36"/>
        <v>60</v>
      </c>
      <c r="Q284" s="364">
        <v>0.05</v>
      </c>
      <c r="R284" s="365">
        <f t="shared" si="37"/>
        <v>95</v>
      </c>
      <c r="S284" s="366">
        <f t="shared" si="38"/>
        <v>60</v>
      </c>
      <c r="T284" s="367">
        <f t="shared" si="39"/>
        <v>5700</v>
      </c>
      <c r="U284" s="367">
        <f t="shared" si="40"/>
        <v>0</v>
      </c>
      <c r="V284" s="334"/>
    </row>
    <row r="285" s="158" customFormat="1" ht="14.55" outlineLevel="1" spans="2:22">
      <c r="B285" s="355"/>
      <c r="C285" s="356" t="s">
        <v>1397</v>
      </c>
      <c r="D285" s="357" t="s">
        <v>179</v>
      </c>
      <c r="E285" s="373" t="s">
        <v>615</v>
      </c>
      <c r="F285" s="374" t="s">
        <v>616</v>
      </c>
      <c r="G285" s="374" t="s">
        <v>617</v>
      </c>
      <c r="H285" s="374">
        <v>60</v>
      </c>
      <c r="I285" s="375">
        <v>0.05</v>
      </c>
      <c r="J285" s="361">
        <f t="shared" si="41"/>
        <v>0.0158333333333333</v>
      </c>
      <c r="K285" s="362">
        <v>20000</v>
      </c>
      <c r="L285" s="362">
        <v>19000</v>
      </c>
      <c r="M285" s="362"/>
      <c r="N285" s="362">
        <f t="shared" si="35"/>
        <v>1000</v>
      </c>
      <c r="O285" s="362">
        <v>0</v>
      </c>
      <c r="P285" s="363">
        <f t="shared" si="36"/>
        <v>60</v>
      </c>
      <c r="Q285" s="364">
        <v>0.05</v>
      </c>
      <c r="R285" s="365">
        <f t="shared" si="37"/>
        <v>316.666666666667</v>
      </c>
      <c r="S285" s="366">
        <f t="shared" si="38"/>
        <v>60</v>
      </c>
      <c r="T285" s="367">
        <f t="shared" si="39"/>
        <v>19000</v>
      </c>
      <c r="U285" s="367">
        <f t="shared" si="40"/>
        <v>0</v>
      </c>
      <c r="V285" s="334"/>
    </row>
    <row r="286" s="158" customFormat="1" ht="14.55" outlineLevel="1" spans="2:22">
      <c r="B286" s="355"/>
      <c r="C286" s="356" t="s">
        <v>1397</v>
      </c>
      <c r="D286" s="357" t="s">
        <v>179</v>
      </c>
      <c r="E286" s="373" t="s">
        <v>618</v>
      </c>
      <c r="F286" s="374" t="s">
        <v>619</v>
      </c>
      <c r="G286" s="374" t="s">
        <v>617</v>
      </c>
      <c r="H286" s="374">
        <v>60</v>
      </c>
      <c r="I286" s="375">
        <v>0.05</v>
      </c>
      <c r="J286" s="361">
        <f t="shared" si="41"/>
        <v>0.0158333333333333</v>
      </c>
      <c r="K286" s="362">
        <v>259800</v>
      </c>
      <c r="L286" s="362">
        <v>246810</v>
      </c>
      <c r="M286" s="362"/>
      <c r="N286" s="362">
        <f t="shared" si="35"/>
        <v>12990</v>
      </c>
      <c r="O286" s="362">
        <v>0</v>
      </c>
      <c r="P286" s="363">
        <f t="shared" si="36"/>
        <v>60</v>
      </c>
      <c r="Q286" s="364">
        <v>0.05</v>
      </c>
      <c r="R286" s="365">
        <f t="shared" si="37"/>
        <v>4113.5</v>
      </c>
      <c r="S286" s="366">
        <f t="shared" si="38"/>
        <v>60</v>
      </c>
      <c r="T286" s="367">
        <f t="shared" si="39"/>
        <v>246810</v>
      </c>
      <c r="U286" s="367">
        <f t="shared" si="40"/>
        <v>0</v>
      </c>
      <c r="V286" s="334"/>
    </row>
    <row r="287" s="158" customFormat="1" ht="14.55" outlineLevel="1" spans="2:22">
      <c r="B287" s="355"/>
      <c r="C287" s="356" t="s">
        <v>1397</v>
      </c>
      <c r="D287" s="357" t="s">
        <v>179</v>
      </c>
      <c r="E287" s="373" t="s">
        <v>620</v>
      </c>
      <c r="F287" s="374" t="s">
        <v>621</v>
      </c>
      <c r="G287" s="374" t="s">
        <v>617</v>
      </c>
      <c r="H287" s="374">
        <v>60</v>
      </c>
      <c r="I287" s="375">
        <v>0.05</v>
      </c>
      <c r="J287" s="361">
        <f t="shared" si="41"/>
        <v>0.0158333333333333</v>
      </c>
      <c r="K287" s="362">
        <v>280000</v>
      </c>
      <c r="L287" s="362">
        <v>266000</v>
      </c>
      <c r="M287" s="362"/>
      <c r="N287" s="362">
        <f t="shared" si="35"/>
        <v>14000</v>
      </c>
      <c r="O287" s="362">
        <v>0</v>
      </c>
      <c r="P287" s="363">
        <f t="shared" si="36"/>
        <v>60</v>
      </c>
      <c r="Q287" s="364">
        <v>0.05</v>
      </c>
      <c r="R287" s="365">
        <f t="shared" si="37"/>
        <v>4433.33333333333</v>
      </c>
      <c r="S287" s="366">
        <f t="shared" si="38"/>
        <v>60</v>
      </c>
      <c r="T287" s="367">
        <f t="shared" si="39"/>
        <v>266000</v>
      </c>
      <c r="U287" s="367">
        <f t="shared" si="40"/>
        <v>0</v>
      </c>
      <c r="V287" s="334"/>
    </row>
    <row r="288" s="158" customFormat="1" ht="14.55" outlineLevel="1" spans="2:22">
      <c r="B288" s="355"/>
      <c r="C288" s="356" t="s">
        <v>1397</v>
      </c>
      <c r="D288" s="357" t="s">
        <v>179</v>
      </c>
      <c r="E288" s="373" t="s">
        <v>622</v>
      </c>
      <c r="F288" s="374" t="s">
        <v>623</v>
      </c>
      <c r="G288" s="374" t="s">
        <v>617</v>
      </c>
      <c r="H288" s="374">
        <v>60</v>
      </c>
      <c r="I288" s="375">
        <v>0.05</v>
      </c>
      <c r="J288" s="361">
        <f t="shared" si="41"/>
        <v>0.0158333333333333</v>
      </c>
      <c r="K288" s="362">
        <v>600000</v>
      </c>
      <c r="L288" s="362">
        <v>570000</v>
      </c>
      <c r="M288" s="362"/>
      <c r="N288" s="362">
        <f t="shared" si="35"/>
        <v>30000</v>
      </c>
      <c r="O288" s="362">
        <v>0</v>
      </c>
      <c r="P288" s="363">
        <f t="shared" si="36"/>
        <v>60</v>
      </c>
      <c r="Q288" s="364">
        <v>0.05</v>
      </c>
      <c r="R288" s="365">
        <f t="shared" si="37"/>
        <v>9500</v>
      </c>
      <c r="S288" s="366">
        <f t="shared" si="38"/>
        <v>60</v>
      </c>
      <c r="T288" s="367">
        <f t="shared" si="39"/>
        <v>570000</v>
      </c>
      <c r="U288" s="367">
        <f t="shared" si="40"/>
        <v>0</v>
      </c>
      <c r="V288" s="334"/>
    </row>
    <row r="289" s="158" customFormat="1" ht="14.55" outlineLevel="1" spans="2:22">
      <c r="B289" s="355"/>
      <c r="C289" s="356" t="s">
        <v>1397</v>
      </c>
      <c r="D289" s="357" t="s">
        <v>179</v>
      </c>
      <c r="E289" s="373" t="s">
        <v>624</v>
      </c>
      <c r="F289" s="374" t="s">
        <v>625</v>
      </c>
      <c r="G289" s="374" t="s">
        <v>617</v>
      </c>
      <c r="H289" s="374">
        <v>60</v>
      </c>
      <c r="I289" s="375">
        <v>0.05</v>
      </c>
      <c r="J289" s="361">
        <f t="shared" si="41"/>
        <v>0.0158333333333333</v>
      </c>
      <c r="K289" s="362">
        <v>1050000</v>
      </c>
      <c r="L289" s="362">
        <v>997500</v>
      </c>
      <c r="M289" s="362"/>
      <c r="N289" s="362">
        <f t="shared" si="35"/>
        <v>52500</v>
      </c>
      <c r="O289" s="362">
        <v>0</v>
      </c>
      <c r="P289" s="363">
        <f t="shared" si="36"/>
        <v>60</v>
      </c>
      <c r="Q289" s="364">
        <v>0.05</v>
      </c>
      <c r="R289" s="365">
        <f t="shared" si="37"/>
        <v>16625</v>
      </c>
      <c r="S289" s="366">
        <f t="shared" si="38"/>
        <v>60</v>
      </c>
      <c r="T289" s="367">
        <f t="shared" si="39"/>
        <v>997500</v>
      </c>
      <c r="U289" s="367">
        <f t="shared" si="40"/>
        <v>0</v>
      </c>
      <c r="V289" s="334"/>
    </row>
    <row r="290" s="158" customFormat="1" ht="14.55" outlineLevel="1" spans="2:22">
      <c r="B290" s="355"/>
      <c r="C290" s="356" t="s">
        <v>1397</v>
      </c>
      <c r="D290" s="357" t="s">
        <v>179</v>
      </c>
      <c r="E290" s="373" t="s">
        <v>626</v>
      </c>
      <c r="F290" s="374" t="s">
        <v>627</v>
      </c>
      <c r="G290" s="374" t="s">
        <v>274</v>
      </c>
      <c r="H290" s="374">
        <v>60</v>
      </c>
      <c r="I290" s="375">
        <v>0.05</v>
      </c>
      <c r="J290" s="361">
        <f t="shared" si="41"/>
        <v>0.0158333333333333</v>
      </c>
      <c r="K290" s="362">
        <v>130000</v>
      </c>
      <c r="L290" s="362">
        <v>123500</v>
      </c>
      <c r="M290" s="362"/>
      <c r="N290" s="362">
        <f t="shared" si="35"/>
        <v>6500</v>
      </c>
      <c r="O290" s="362">
        <v>0</v>
      </c>
      <c r="P290" s="363">
        <f t="shared" si="36"/>
        <v>60</v>
      </c>
      <c r="Q290" s="364">
        <v>0.05</v>
      </c>
      <c r="R290" s="365">
        <f t="shared" si="37"/>
        <v>2058.33333333333</v>
      </c>
      <c r="S290" s="366">
        <f t="shared" si="38"/>
        <v>60</v>
      </c>
      <c r="T290" s="367">
        <f t="shared" si="39"/>
        <v>123500</v>
      </c>
      <c r="U290" s="367">
        <f t="shared" si="40"/>
        <v>0</v>
      </c>
      <c r="V290" s="334"/>
    </row>
    <row r="291" s="158" customFormat="1" ht="14.55" outlineLevel="1" spans="2:22">
      <c r="B291" s="355"/>
      <c r="C291" s="356" t="s">
        <v>1397</v>
      </c>
      <c r="D291" s="357" t="s">
        <v>179</v>
      </c>
      <c r="E291" s="373" t="s">
        <v>628</v>
      </c>
      <c r="F291" s="374" t="s">
        <v>593</v>
      </c>
      <c r="G291" s="374" t="s">
        <v>629</v>
      </c>
      <c r="H291" s="374">
        <v>60</v>
      </c>
      <c r="I291" s="375">
        <v>0.05</v>
      </c>
      <c r="J291" s="361">
        <f t="shared" si="41"/>
        <v>0.0158333333333333</v>
      </c>
      <c r="K291" s="362">
        <v>41000</v>
      </c>
      <c r="L291" s="362">
        <v>38950</v>
      </c>
      <c r="M291" s="362"/>
      <c r="N291" s="362">
        <f t="shared" si="35"/>
        <v>2050</v>
      </c>
      <c r="O291" s="362">
        <v>0</v>
      </c>
      <c r="P291" s="363">
        <f t="shared" si="36"/>
        <v>60</v>
      </c>
      <c r="Q291" s="364">
        <v>0.05</v>
      </c>
      <c r="R291" s="365">
        <f t="shared" si="37"/>
        <v>649.166666666667</v>
      </c>
      <c r="S291" s="366">
        <f t="shared" si="38"/>
        <v>60</v>
      </c>
      <c r="T291" s="367">
        <f t="shared" si="39"/>
        <v>38950</v>
      </c>
      <c r="U291" s="367">
        <f t="shared" si="40"/>
        <v>0</v>
      </c>
      <c r="V291" s="334"/>
    </row>
    <row r="292" s="158" customFormat="1" ht="14.55" outlineLevel="1" spans="2:22">
      <c r="B292" s="355"/>
      <c r="C292" s="356" t="s">
        <v>1397</v>
      </c>
      <c r="D292" s="357" t="s">
        <v>179</v>
      </c>
      <c r="E292" s="373" t="s">
        <v>630</v>
      </c>
      <c r="F292" s="374" t="s">
        <v>631</v>
      </c>
      <c r="G292" s="374" t="s">
        <v>629</v>
      </c>
      <c r="H292" s="374">
        <v>60</v>
      </c>
      <c r="I292" s="375">
        <v>0.05</v>
      </c>
      <c r="J292" s="361">
        <f t="shared" si="41"/>
        <v>0.0158333333333333</v>
      </c>
      <c r="K292" s="362">
        <v>138000</v>
      </c>
      <c r="L292" s="362">
        <v>131100</v>
      </c>
      <c r="M292" s="362"/>
      <c r="N292" s="362">
        <f t="shared" si="35"/>
        <v>6900</v>
      </c>
      <c r="O292" s="362">
        <v>0</v>
      </c>
      <c r="P292" s="363">
        <f t="shared" si="36"/>
        <v>60</v>
      </c>
      <c r="Q292" s="364">
        <v>0.05</v>
      </c>
      <c r="R292" s="365">
        <f t="shared" si="37"/>
        <v>2185</v>
      </c>
      <c r="S292" s="366">
        <f t="shared" si="38"/>
        <v>60</v>
      </c>
      <c r="T292" s="367">
        <f t="shared" si="39"/>
        <v>131100</v>
      </c>
      <c r="U292" s="367">
        <f t="shared" si="40"/>
        <v>0</v>
      </c>
      <c r="V292" s="334"/>
    </row>
    <row r="293" s="158" customFormat="1" ht="14.55" outlineLevel="1" spans="2:22">
      <c r="B293" s="355"/>
      <c r="C293" s="356" t="s">
        <v>1397</v>
      </c>
      <c r="D293" s="357" t="s">
        <v>179</v>
      </c>
      <c r="E293" s="373" t="s">
        <v>632</v>
      </c>
      <c r="F293" s="374" t="s">
        <v>633</v>
      </c>
      <c r="G293" s="374" t="s">
        <v>629</v>
      </c>
      <c r="H293" s="374">
        <v>60</v>
      </c>
      <c r="I293" s="375">
        <v>0.05</v>
      </c>
      <c r="J293" s="361">
        <f t="shared" si="41"/>
        <v>0.0158333333333333</v>
      </c>
      <c r="K293" s="362">
        <v>8000</v>
      </c>
      <c r="L293" s="362">
        <v>7600</v>
      </c>
      <c r="M293" s="362"/>
      <c r="N293" s="362">
        <f t="shared" si="35"/>
        <v>400</v>
      </c>
      <c r="O293" s="362">
        <v>0</v>
      </c>
      <c r="P293" s="363">
        <f t="shared" si="36"/>
        <v>60</v>
      </c>
      <c r="Q293" s="364">
        <v>0.05</v>
      </c>
      <c r="R293" s="365">
        <f t="shared" si="37"/>
        <v>126.666666666667</v>
      </c>
      <c r="S293" s="366">
        <f t="shared" si="38"/>
        <v>60</v>
      </c>
      <c r="T293" s="367">
        <f t="shared" si="39"/>
        <v>7600</v>
      </c>
      <c r="U293" s="367">
        <f t="shared" si="40"/>
        <v>0</v>
      </c>
      <c r="V293" s="334"/>
    </row>
    <row r="294" s="158" customFormat="1" ht="14.55" outlineLevel="1" spans="2:22">
      <c r="B294" s="355"/>
      <c r="C294" s="356" t="s">
        <v>1397</v>
      </c>
      <c r="D294" s="357" t="s">
        <v>179</v>
      </c>
      <c r="E294" s="373" t="s">
        <v>634</v>
      </c>
      <c r="F294" s="374" t="s">
        <v>635</v>
      </c>
      <c r="G294" s="374" t="s">
        <v>629</v>
      </c>
      <c r="H294" s="374">
        <v>60</v>
      </c>
      <c r="I294" s="375">
        <v>0.05</v>
      </c>
      <c r="J294" s="361">
        <f t="shared" si="41"/>
        <v>0.0158333333333333</v>
      </c>
      <c r="K294" s="362">
        <v>88000</v>
      </c>
      <c r="L294" s="362">
        <v>83600</v>
      </c>
      <c r="M294" s="362"/>
      <c r="N294" s="362">
        <f t="shared" si="35"/>
        <v>4400</v>
      </c>
      <c r="O294" s="362">
        <v>0</v>
      </c>
      <c r="P294" s="363">
        <f t="shared" si="36"/>
        <v>60</v>
      </c>
      <c r="Q294" s="364">
        <v>0.05</v>
      </c>
      <c r="R294" s="365">
        <f t="shared" si="37"/>
        <v>1393.33333333333</v>
      </c>
      <c r="S294" s="366">
        <f t="shared" si="38"/>
        <v>60</v>
      </c>
      <c r="T294" s="367">
        <f t="shared" si="39"/>
        <v>83600</v>
      </c>
      <c r="U294" s="367">
        <f t="shared" si="40"/>
        <v>0</v>
      </c>
      <c r="V294" s="334"/>
    </row>
    <row r="295" s="158" customFormat="1" ht="14.55" outlineLevel="1" spans="2:22">
      <c r="B295" s="355"/>
      <c r="C295" s="356" t="s">
        <v>1397</v>
      </c>
      <c r="D295" s="357" t="s">
        <v>179</v>
      </c>
      <c r="E295" s="373" t="s">
        <v>636</v>
      </c>
      <c r="F295" s="374" t="s">
        <v>637</v>
      </c>
      <c r="G295" s="374" t="s">
        <v>638</v>
      </c>
      <c r="H295" s="374">
        <v>60</v>
      </c>
      <c r="I295" s="375">
        <v>0.05</v>
      </c>
      <c r="J295" s="361">
        <f t="shared" si="41"/>
        <v>0.0158333333333333</v>
      </c>
      <c r="K295" s="362">
        <v>36000</v>
      </c>
      <c r="L295" s="362">
        <v>34200</v>
      </c>
      <c r="M295" s="362"/>
      <c r="N295" s="362">
        <f t="shared" si="35"/>
        <v>1800</v>
      </c>
      <c r="O295" s="362">
        <v>2280</v>
      </c>
      <c r="P295" s="363">
        <f t="shared" ref="P295:P326" si="42">_xlfn.XLOOKUP(D295,$C$484:$C$489,$E$484:$E$489)</f>
        <v>60</v>
      </c>
      <c r="Q295" s="364">
        <v>0.05</v>
      </c>
      <c r="R295" s="365">
        <f t="shared" si="37"/>
        <v>570</v>
      </c>
      <c r="S295" s="366">
        <f t="shared" si="38"/>
        <v>60</v>
      </c>
      <c r="T295" s="367">
        <f t="shared" si="39"/>
        <v>34200</v>
      </c>
      <c r="U295" s="367">
        <f t="shared" si="40"/>
        <v>0</v>
      </c>
      <c r="V295" s="334"/>
    </row>
    <row r="296" s="158" customFormat="1" ht="14.55" outlineLevel="1" spans="2:22">
      <c r="B296" s="355"/>
      <c r="C296" s="356" t="s">
        <v>1397</v>
      </c>
      <c r="D296" s="357" t="s">
        <v>179</v>
      </c>
      <c r="E296" s="373" t="s">
        <v>639</v>
      </c>
      <c r="F296" s="374" t="s">
        <v>640</v>
      </c>
      <c r="G296" s="374" t="s">
        <v>638</v>
      </c>
      <c r="H296" s="374">
        <v>60</v>
      </c>
      <c r="I296" s="375">
        <v>0.05</v>
      </c>
      <c r="J296" s="361">
        <f t="shared" si="41"/>
        <v>0.0158333333333333</v>
      </c>
      <c r="K296" s="362">
        <v>125000</v>
      </c>
      <c r="L296" s="362">
        <v>118750</v>
      </c>
      <c r="M296" s="362"/>
      <c r="N296" s="362">
        <f t="shared" si="35"/>
        <v>6250</v>
      </c>
      <c r="O296" s="362">
        <v>7916.48</v>
      </c>
      <c r="P296" s="363">
        <f t="shared" si="42"/>
        <v>60</v>
      </c>
      <c r="Q296" s="364">
        <v>0.05</v>
      </c>
      <c r="R296" s="365">
        <f t="shared" si="37"/>
        <v>1979.16666666667</v>
      </c>
      <c r="S296" s="366">
        <f t="shared" si="38"/>
        <v>60</v>
      </c>
      <c r="T296" s="367">
        <f t="shared" si="39"/>
        <v>118750</v>
      </c>
      <c r="U296" s="367">
        <f t="shared" si="40"/>
        <v>0</v>
      </c>
      <c r="V296" s="334"/>
    </row>
    <row r="297" s="158" customFormat="1" ht="14.55" outlineLevel="1" spans="2:22">
      <c r="B297" s="355"/>
      <c r="C297" s="356" t="s">
        <v>1397</v>
      </c>
      <c r="D297" s="357" t="s">
        <v>179</v>
      </c>
      <c r="E297" s="373" t="s">
        <v>641</v>
      </c>
      <c r="F297" s="374" t="s">
        <v>642</v>
      </c>
      <c r="G297" s="374" t="s">
        <v>457</v>
      </c>
      <c r="H297" s="374">
        <v>60</v>
      </c>
      <c r="I297" s="375">
        <v>0.05</v>
      </c>
      <c r="J297" s="361">
        <f t="shared" si="41"/>
        <v>0.0158333333333333</v>
      </c>
      <c r="K297" s="362">
        <v>9800</v>
      </c>
      <c r="L297" s="362">
        <v>9310</v>
      </c>
      <c r="M297" s="362"/>
      <c r="N297" s="362">
        <f t="shared" si="35"/>
        <v>490</v>
      </c>
      <c r="O297" s="362">
        <v>465.309999999999</v>
      </c>
      <c r="P297" s="363">
        <f t="shared" si="42"/>
        <v>60</v>
      </c>
      <c r="Q297" s="364">
        <v>0.05</v>
      </c>
      <c r="R297" s="365">
        <f t="shared" si="37"/>
        <v>155.166666666667</v>
      </c>
      <c r="S297" s="366">
        <f t="shared" si="38"/>
        <v>60</v>
      </c>
      <c r="T297" s="367">
        <f t="shared" si="39"/>
        <v>9310</v>
      </c>
      <c r="U297" s="367">
        <f t="shared" si="40"/>
        <v>0</v>
      </c>
      <c r="V297" s="334"/>
    </row>
    <row r="298" s="158" customFormat="1" ht="14.55" outlineLevel="1" spans="2:22">
      <c r="B298" s="355"/>
      <c r="C298" s="356" t="s">
        <v>1397</v>
      </c>
      <c r="D298" s="357" t="s">
        <v>179</v>
      </c>
      <c r="E298" s="373" t="s">
        <v>643</v>
      </c>
      <c r="F298" s="374" t="s">
        <v>644</v>
      </c>
      <c r="G298" s="374" t="s">
        <v>645</v>
      </c>
      <c r="H298" s="374">
        <v>60</v>
      </c>
      <c r="I298" s="375">
        <v>0.05</v>
      </c>
      <c r="J298" s="361">
        <f t="shared" si="41"/>
        <v>0.0158333333333333</v>
      </c>
      <c r="K298" s="362">
        <v>3800</v>
      </c>
      <c r="L298" s="362">
        <v>3610</v>
      </c>
      <c r="M298" s="362"/>
      <c r="N298" s="362">
        <f t="shared" si="35"/>
        <v>190</v>
      </c>
      <c r="O298" s="362">
        <v>240.48</v>
      </c>
      <c r="P298" s="363">
        <f t="shared" si="42"/>
        <v>60</v>
      </c>
      <c r="Q298" s="364">
        <v>0.05</v>
      </c>
      <c r="R298" s="365">
        <f t="shared" si="37"/>
        <v>60.1666666666667</v>
      </c>
      <c r="S298" s="366">
        <f t="shared" si="38"/>
        <v>60</v>
      </c>
      <c r="T298" s="367">
        <f t="shared" si="39"/>
        <v>3610</v>
      </c>
      <c r="U298" s="367">
        <f t="shared" si="40"/>
        <v>0</v>
      </c>
      <c r="V298" s="334"/>
    </row>
    <row r="299" s="158" customFormat="1" ht="14.55" outlineLevel="1" spans="2:22">
      <c r="B299" s="355"/>
      <c r="C299" s="356" t="s">
        <v>1397</v>
      </c>
      <c r="D299" s="357" t="s">
        <v>179</v>
      </c>
      <c r="E299" s="373" t="s">
        <v>646</v>
      </c>
      <c r="F299" s="374" t="s">
        <v>647</v>
      </c>
      <c r="G299" s="374" t="s">
        <v>645</v>
      </c>
      <c r="H299" s="374">
        <v>60</v>
      </c>
      <c r="I299" s="375">
        <v>0.05</v>
      </c>
      <c r="J299" s="361">
        <f t="shared" si="41"/>
        <v>0.0158333333333333</v>
      </c>
      <c r="K299" s="362">
        <v>4000</v>
      </c>
      <c r="L299" s="362">
        <v>3800</v>
      </c>
      <c r="M299" s="362"/>
      <c r="N299" s="362">
        <f t="shared" si="35"/>
        <v>200</v>
      </c>
      <c r="O299" s="362">
        <v>253.52</v>
      </c>
      <c r="P299" s="363">
        <f t="shared" si="42"/>
        <v>60</v>
      </c>
      <c r="Q299" s="364">
        <v>0.05</v>
      </c>
      <c r="R299" s="365">
        <f t="shared" si="37"/>
        <v>63.3333333333333</v>
      </c>
      <c r="S299" s="366">
        <f t="shared" si="38"/>
        <v>60</v>
      </c>
      <c r="T299" s="367">
        <f t="shared" si="39"/>
        <v>3800</v>
      </c>
      <c r="U299" s="367">
        <f t="shared" si="40"/>
        <v>0</v>
      </c>
      <c r="V299" s="334"/>
    </row>
    <row r="300" s="158" customFormat="1" ht="14.55" outlineLevel="1" spans="2:22">
      <c r="B300" s="355"/>
      <c r="C300" s="356" t="s">
        <v>1397</v>
      </c>
      <c r="D300" s="357" t="s">
        <v>179</v>
      </c>
      <c r="E300" s="373" t="s">
        <v>648</v>
      </c>
      <c r="F300" s="374" t="s">
        <v>649</v>
      </c>
      <c r="G300" s="374" t="s">
        <v>645</v>
      </c>
      <c r="H300" s="374">
        <v>60</v>
      </c>
      <c r="I300" s="375">
        <v>0.05</v>
      </c>
      <c r="J300" s="361">
        <f t="shared" si="41"/>
        <v>0.0158333333333333</v>
      </c>
      <c r="K300" s="362">
        <v>18000</v>
      </c>
      <c r="L300" s="362">
        <v>17100</v>
      </c>
      <c r="M300" s="362"/>
      <c r="N300" s="362">
        <f t="shared" si="35"/>
        <v>900</v>
      </c>
      <c r="O300" s="362">
        <v>1140</v>
      </c>
      <c r="P300" s="363">
        <f t="shared" si="42"/>
        <v>60</v>
      </c>
      <c r="Q300" s="364">
        <v>0.05</v>
      </c>
      <c r="R300" s="365">
        <f t="shared" si="37"/>
        <v>285</v>
      </c>
      <c r="S300" s="366">
        <f t="shared" si="38"/>
        <v>60</v>
      </c>
      <c r="T300" s="367">
        <f t="shared" si="39"/>
        <v>17100</v>
      </c>
      <c r="U300" s="367">
        <f t="shared" si="40"/>
        <v>0</v>
      </c>
      <c r="V300" s="334"/>
    </row>
    <row r="301" s="158" customFormat="1" ht="14.55" outlineLevel="1" spans="2:22">
      <c r="B301" s="355"/>
      <c r="C301" s="356" t="s">
        <v>1397</v>
      </c>
      <c r="D301" s="357" t="s">
        <v>179</v>
      </c>
      <c r="E301" s="373" t="s">
        <v>650</v>
      </c>
      <c r="F301" s="374" t="s">
        <v>651</v>
      </c>
      <c r="G301" s="374" t="s">
        <v>652</v>
      </c>
      <c r="H301" s="374">
        <v>60</v>
      </c>
      <c r="I301" s="375">
        <v>0.05</v>
      </c>
      <c r="J301" s="361">
        <f t="shared" si="41"/>
        <v>0.0158333333333333</v>
      </c>
      <c r="K301" s="362">
        <v>600000</v>
      </c>
      <c r="L301" s="362">
        <v>570000</v>
      </c>
      <c r="M301" s="362"/>
      <c r="N301" s="362">
        <f t="shared" si="35"/>
        <v>30000</v>
      </c>
      <c r="O301" s="362">
        <v>66500</v>
      </c>
      <c r="P301" s="363">
        <f t="shared" si="42"/>
        <v>60</v>
      </c>
      <c r="Q301" s="364">
        <v>0.05</v>
      </c>
      <c r="R301" s="365">
        <f t="shared" si="37"/>
        <v>9500</v>
      </c>
      <c r="S301" s="366">
        <f t="shared" si="38"/>
        <v>60</v>
      </c>
      <c r="T301" s="367">
        <f t="shared" si="39"/>
        <v>570000</v>
      </c>
      <c r="U301" s="367">
        <f t="shared" si="40"/>
        <v>0</v>
      </c>
      <c r="V301" s="334"/>
    </row>
    <row r="302" s="158" customFormat="1" ht="14.55" outlineLevel="1" spans="2:22">
      <c r="B302" s="355"/>
      <c r="C302" s="356" t="s">
        <v>1397</v>
      </c>
      <c r="D302" s="357" t="s">
        <v>179</v>
      </c>
      <c r="E302" s="373" t="s">
        <v>653</v>
      </c>
      <c r="F302" s="374" t="s">
        <v>571</v>
      </c>
      <c r="G302" s="374" t="s">
        <v>654</v>
      </c>
      <c r="H302" s="374">
        <v>60</v>
      </c>
      <c r="I302" s="375">
        <v>0.05</v>
      </c>
      <c r="J302" s="361">
        <f t="shared" si="41"/>
        <v>0.0158333333333333</v>
      </c>
      <c r="K302" s="362">
        <v>47000</v>
      </c>
      <c r="L302" s="362">
        <v>44650</v>
      </c>
      <c r="M302" s="362"/>
      <c r="N302" s="362">
        <f t="shared" si="35"/>
        <v>2350</v>
      </c>
      <c r="O302" s="362">
        <v>5953.16</v>
      </c>
      <c r="P302" s="363">
        <f t="shared" si="42"/>
        <v>60</v>
      </c>
      <c r="Q302" s="364">
        <v>0.05</v>
      </c>
      <c r="R302" s="365">
        <f t="shared" si="37"/>
        <v>744.166666666667</v>
      </c>
      <c r="S302" s="366">
        <f t="shared" si="38"/>
        <v>60</v>
      </c>
      <c r="T302" s="367">
        <f t="shared" si="39"/>
        <v>44650</v>
      </c>
      <c r="U302" s="367">
        <f t="shared" si="40"/>
        <v>0</v>
      </c>
      <c r="V302" s="334"/>
    </row>
    <row r="303" s="158" customFormat="1" ht="14.55" outlineLevel="1" spans="2:22">
      <c r="B303" s="355"/>
      <c r="C303" s="356" t="s">
        <v>1397</v>
      </c>
      <c r="D303" s="357" t="s">
        <v>179</v>
      </c>
      <c r="E303" s="373" t="s">
        <v>655</v>
      </c>
      <c r="F303" s="374" t="s">
        <v>656</v>
      </c>
      <c r="G303" s="374" t="s">
        <v>654</v>
      </c>
      <c r="H303" s="374">
        <v>60</v>
      </c>
      <c r="I303" s="375">
        <v>0.05</v>
      </c>
      <c r="J303" s="361">
        <f t="shared" si="41"/>
        <v>0.0158333333333333</v>
      </c>
      <c r="K303" s="362">
        <v>37000</v>
      </c>
      <c r="L303" s="362">
        <v>35150</v>
      </c>
      <c r="M303" s="362"/>
      <c r="N303" s="362">
        <f t="shared" si="35"/>
        <v>1850</v>
      </c>
      <c r="O303" s="362">
        <v>4686.84</v>
      </c>
      <c r="P303" s="363">
        <f t="shared" si="42"/>
        <v>60</v>
      </c>
      <c r="Q303" s="364">
        <v>0.05</v>
      </c>
      <c r="R303" s="365">
        <f t="shared" si="37"/>
        <v>585.833333333333</v>
      </c>
      <c r="S303" s="366">
        <f t="shared" si="38"/>
        <v>60</v>
      </c>
      <c r="T303" s="367">
        <f t="shared" si="39"/>
        <v>35150</v>
      </c>
      <c r="U303" s="367">
        <f t="shared" si="40"/>
        <v>0</v>
      </c>
      <c r="V303" s="334"/>
    </row>
    <row r="304" s="158" customFormat="1" ht="14.55" outlineLevel="1" spans="2:22">
      <c r="B304" s="355"/>
      <c r="C304" s="356" t="s">
        <v>1397</v>
      </c>
      <c r="D304" s="357" t="s">
        <v>179</v>
      </c>
      <c r="E304" s="373" t="s">
        <v>657</v>
      </c>
      <c r="F304" s="374" t="s">
        <v>658</v>
      </c>
      <c r="G304" s="374" t="s">
        <v>659</v>
      </c>
      <c r="H304" s="374">
        <v>60</v>
      </c>
      <c r="I304" s="375">
        <v>0.05</v>
      </c>
      <c r="J304" s="361">
        <f t="shared" si="41"/>
        <v>0.0158333333333333</v>
      </c>
      <c r="K304" s="362">
        <v>7500</v>
      </c>
      <c r="L304" s="362">
        <v>7125</v>
      </c>
      <c r="M304" s="362"/>
      <c r="N304" s="362">
        <f t="shared" si="35"/>
        <v>375</v>
      </c>
      <c r="O304" s="362">
        <v>950</v>
      </c>
      <c r="P304" s="363">
        <f t="shared" si="42"/>
        <v>60</v>
      </c>
      <c r="Q304" s="364">
        <v>0.05</v>
      </c>
      <c r="R304" s="365">
        <f t="shared" si="37"/>
        <v>118.75</v>
      </c>
      <c r="S304" s="366">
        <f t="shared" si="38"/>
        <v>60</v>
      </c>
      <c r="T304" s="367">
        <f t="shared" si="39"/>
        <v>7125</v>
      </c>
      <c r="U304" s="367">
        <f t="shared" si="40"/>
        <v>0</v>
      </c>
      <c r="V304" s="334"/>
    </row>
    <row r="305" s="158" customFormat="1" ht="14.55" outlineLevel="1" spans="2:22">
      <c r="B305" s="355"/>
      <c r="C305" s="356" t="s">
        <v>1397</v>
      </c>
      <c r="D305" s="357" t="s">
        <v>179</v>
      </c>
      <c r="E305" s="373" t="s">
        <v>660</v>
      </c>
      <c r="F305" s="374" t="s">
        <v>596</v>
      </c>
      <c r="G305" s="374" t="s">
        <v>661</v>
      </c>
      <c r="H305" s="374">
        <v>60</v>
      </c>
      <c r="I305" s="375">
        <v>0.05</v>
      </c>
      <c r="J305" s="361">
        <f t="shared" si="41"/>
        <v>0.0158333333333333</v>
      </c>
      <c r="K305" s="362">
        <v>120000</v>
      </c>
      <c r="L305" s="362">
        <v>114000</v>
      </c>
      <c r="M305" s="362"/>
      <c r="N305" s="362">
        <f t="shared" si="35"/>
        <v>6000</v>
      </c>
      <c r="O305" s="362">
        <v>17100</v>
      </c>
      <c r="P305" s="363">
        <f t="shared" si="42"/>
        <v>60</v>
      </c>
      <c r="Q305" s="364">
        <v>0.05</v>
      </c>
      <c r="R305" s="365">
        <f t="shared" si="37"/>
        <v>1900</v>
      </c>
      <c r="S305" s="366">
        <f t="shared" si="38"/>
        <v>60</v>
      </c>
      <c r="T305" s="367">
        <f t="shared" si="39"/>
        <v>114000</v>
      </c>
      <c r="U305" s="367">
        <f t="shared" si="40"/>
        <v>0</v>
      </c>
      <c r="V305" s="334"/>
    </row>
    <row r="306" s="158" customFormat="1" ht="14.55" outlineLevel="1" spans="2:22">
      <c r="B306" s="355"/>
      <c r="C306" s="356" t="s">
        <v>1397</v>
      </c>
      <c r="D306" s="357" t="s">
        <v>179</v>
      </c>
      <c r="E306" s="373" t="s">
        <v>662</v>
      </c>
      <c r="F306" s="374" t="s">
        <v>663</v>
      </c>
      <c r="G306" s="374" t="s">
        <v>474</v>
      </c>
      <c r="H306" s="374">
        <v>60</v>
      </c>
      <c r="I306" s="375">
        <v>0.05</v>
      </c>
      <c r="J306" s="361">
        <f t="shared" si="41"/>
        <v>0.0158333333333333</v>
      </c>
      <c r="K306" s="362">
        <v>136000</v>
      </c>
      <c r="L306" s="362">
        <v>129200</v>
      </c>
      <c r="M306" s="362"/>
      <c r="N306" s="362">
        <f t="shared" si="35"/>
        <v>6800</v>
      </c>
      <c r="O306" s="362">
        <v>23686.83</v>
      </c>
      <c r="P306" s="363">
        <f t="shared" si="42"/>
        <v>60</v>
      </c>
      <c r="Q306" s="364">
        <v>0.05</v>
      </c>
      <c r="R306" s="365">
        <f t="shared" si="37"/>
        <v>2153.33333333333</v>
      </c>
      <c r="S306" s="366">
        <f t="shared" si="38"/>
        <v>60</v>
      </c>
      <c r="T306" s="367">
        <f t="shared" si="39"/>
        <v>129200</v>
      </c>
      <c r="U306" s="367">
        <f t="shared" si="40"/>
        <v>0</v>
      </c>
      <c r="V306" s="334"/>
    </row>
    <row r="307" s="158" customFormat="1" ht="14.55" outlineLevel="1" spans="2:22">
      <c r="B307" s="355"/>
      <c r="C307" s="356" t="s">
        <v>1397</v>
      </c>
      <c r="D307" s="357" t="s">
        <v>179</v>
      </c>
      <c r="E307" s="373" t="s">
        <v>664</v>
      </c>
      <c r="F307" s="374" t="s">
        <v>665</v>
      </c>
      <c r="G307" s="374" t="s">
        <v>474</v>
      </c>
      <c r="H307" s="374">
        <v>60</v>
      </c>
      <c r="I307" s="375">
        <v>0.05</v>
      </c>
      <c r="J307" s="361">
        <f t="shared" si="41"/>
        <v>0.0158333333333333</v>
      </c>
      <c r="K307" s="362">
        <v>55000</v>
      </c>
      <c r="L307" s="362">
        <v>52250</v>
      </c>
      <c r="M307" s="362"/>
      <c r="N307" s="362">
        <f t="shared" si="35"/>
        <v>2750</v>
      </c>
      <c r="O307" s="362">
        <v>9579.33</v>
      </c>
      <c r="P307" s="363">
        <f t="shared" si="42"/>
        <v>60</v>
      </c>
      <c r="Q307" s="364">
        <v>0.05</v>
      </c>
      <c r="R307" s="365">
        <f t="shared" si="37"/>
        <v>870.833333333333</v>
      </c>
      <c r="S307" s="366">
        <f t="shared" si="38"/>
        <v>60</v>
      </c>
      <c r="T307" s="367">
        <f t="shared" si="39"/>
        <v>52250</v>
      </c>
      <c r="U307" s="367">
        <f t="shared" si="40"/>
        <v>0</v>
      </c>
      <c r="V307" s="334"/>
    </row>
    <row r="308" s="158" customFormat="1" ht="14.55" outlineLevel="1" spans="2:22">
      <c r="B308" s="355"/>
      <c r="C308" s="356" t="s">
        <v>1397</v>
      </c>
      <c r="D308" s="357" t="s">
        <v>179</v>
      </c>
      <c r="E308" s="373" t="s">
        <v>666</v>
      </c>
      <c r="F308" s="374" t="s">
        <v>667</v>
      </c>
      <c r="G308" s="374" t="s">
        <v>474</v>
      </c>
      <c r="H308" s="374">
        <v>60</v>
      </c>
      <c r="I308" s="375">
        <v>0.05</v>
      </c>
      <c r="J308" s="361">
        <f t="shared" si="41"/>
        <v>0.0158333333333333</v>
      </c>
      <c r="K308" s="362">
        <v>35000</v>
      </c>
      <c r="L308" s="362">
        <v>33250</v>
      </c>
      <c r="M308" s="362"/>
      <c r="N308" s="362">
        <f t="shared" si="35"/>
        <v>1750</v>
      </c>
      <c r="O308" s="362">
        <v>6095.67</v>
      </c>
      <c r="P308" s="363">
        <f t="shared" si="42"/>
        <v>60</v>
      </c>
      <c r="Q308" s="364">
        <v>0.05</v>
      </c>
      <c r="R308" s="365">
        <f t="shared" si="37"/>
        <v>554.166666666667</v>
      </c>
      <c r="S308" s="366">
        <f t="shared" si="38"/>
        <v>60</v>
      </c>
      <c r="T308" s="367">
        <f t="shared" si="39"/>
        <v>33250</v>
      </c>
      <c r="U308" s="367">
        <f t="shared" si="40"/>
        <v>0</v>
      </c>
      <c r="V308" s="334"/>
    </row>
    <row r="309" s="158" customFormat="1" ht="14.55" outlineLevel="1" spans="2:22">
      <c r="B309" s="355"/>
      <c r="C309" s="356" t="s">
        <v>1397</v>
      </c>
      <c r="D309" s="357" t="s">
        <v>179</v>
      </c>
      <c r="E309" s="373" t="s">
        <v>668</v>
      </c>
      <c r="F309" s="374" t="s">
        <v>669</v>
      </c>
      <c r="G309" s="374" t="s">
        <v>474</v>
      </c>
      <c r="H309" s="374">
        <v>60</v>
      </c>
      <c r="I309" s="375">
        <v>0.05</v>
      </c>
      <c r="J309" s="361">
        <f t="shared" si="41"/>
        <v>0.0158333333333333</v>
      </c>
      <c r="K309" s="362">
        <v>800000</v>
      </c>
      <c r="L309" s="362">
        <v>760000</v>
      </c>
      <c r="M309" s="362"/>
      <c r="N309" s="362">
        <f t="shared" si="35"/>
        <v>40000</v>
      </c>
      <c r="O309" s="362">
        <v>139333.17</v>
      </c>
      <c r="P309" s="363">
        <f t="shared" si="42"/>
        <v>60</v>
      </c>
      <c r="Q309" s="364">
        <v>0.05</v>
      </c>
      <c r="R309" s="365">
        <f t="shared" si="37"/>
        <v>12666.6666666667</v>
      </c>
      <c r="S309" s="366">
        <f t="shared" si="38"/>
        <v>60</v>
      </c>
      <c r="T309" s="367">
        <f t="shared" si="39"/>
        <v>760000</v>
      </c>
      <c r="U309" s="367">
        <f t="shared" si="40"/>
        <v>0</v>
      </c>
      <c r="V309" s="334"/>
    </row>
    <row r="310" s="158" customFormat="1" ht="14.55" outlineLevel="1" spans="2:22">
      <c r="B310" s="355"/>
      <c r="C310" s="356" t="s">
        <v>1397</v>
      </c>
      <c r="D310" s="357" t="s">
        <v>179</v>
      </c>
      <c r="E310" s="373" t="s">
        <v>670</v>
      </c>
      <c r="F310" s="374" t="s">
        <v>671</v>
      </c>
      <c r="G310" s="374" t="s">
        <v>474</v>
      </c>
      <c r="H310" s="374">
        <v>60</v>
      </c>
      <c r="I310" s="375">
        <v>0.05</v>
      </c>
      <c r="J310" s="361">
        <f t="shared" si="41"/>
        <v>0.0158333333333333</v>
      </c>
      <c r="K310" s="362">
        <v>1400000</v>
      </c>
      <c r="L310" s="362">
        <v>1330000</v>
      </c>
      <c r="M310" s="362"/>
      <c r="N310" s="362">
        <f t="shared" si="35"/>
        <v>70000</v>
      </c>
      <c r="O310" s="362">
        <v>243833.17</v>
      </c>
      <c r="P310" s="363">
        <f t="shared" si="42"/>
        <v>60</v>
      </c>
      <c r="Q310" s="364">
        <v>0.05</v>
      </c>
      <c r="R310" s="365">
        <f t="shared" si="37"/>
        <v>22166.6666666667</v>
      </c>
      <c r="S310" s="366">
        <f t="shared" si="38"/>
        <v>60</v>
      </c>
      <c r="T310" s="367">
        <f t="shared" si="39"/>
        <v>1330000</v>
      </c>
      <c r="U310" s="367">
        <f t="shared" si="40"/>
        <v>0</v>
      </c>
      <c r="V310" s="334"/>
    </row>
    <row r="311" s="158" customFormat="1" ht="14.55" outlineLevel="1" spans="2:22">
      <c r="B311" s="355"/>
      <c r="C311" s="356" t="s">
        <v>1397</v>
      </c>
      <c r="D311" s="357" t="s">
        <v>179</v>
      </c>
      <c r="E311" s="373" t="s">
        <v>672</v>
      </c>
      <c r="F311" s="374" t="s">
        <v>673</v>
      </c>
      <c r="G311" s="374" t="s">
        <v>302</v>
      </c>
      <c r="H311" s="374">
        <v>36</v>
      </c>
      <c r="I311" s="375">
        <v>0.04</v>
      </c>
      <c r="J311" s="361">
        <f t="shared" si="41"/>
        <v>0.0266666666666667</v>
      </c>
      <c r="K311" s="362">
        <v>9800</v>
      </c>
      <c r="L311" s="362">
        <v>9408</v>
      </c>
      <c r="M311" s="362"/>
      <c r="N311" s="362">
        <f t="shared" si="35"/>
        <v>392</v>
      </c>
      <c r="O311" s="362">
        <v>0</v>
      </c>
      <c r="P311" s="363">
        <f t="shared" si="42"/>
        <v>60</v>
      </c>
      <c r="Q311" s="364">
        <v>0.05</v>
      </c>
      <c r="R311" s="365">
        <f t="shared" si="37"/>
        <v>155.166666666667</v>
      </c>
      <c r="S311" s="366">
        <f t="shared" si="38"/>
        <v>60</v>
      </c>
      <c r="T311" s="367">
        <f t="shared" si="39"/>
        <v>9310</v>
      </c>
      <c r="U311" s="367">
        <f t="shared" si="40"/>
        <v>-98</v>
      </c>
      <c r="V311" s="334"/>
    </row>
    <row r="312" s="158" customFormat="1" ht="14.55" outlineLevel="1" spans="2:22">
      <c r="B312" s="355"/>
      <c r="C312" s="356" t="s">
        <v>1397</v>
      </c>
      <c r="D312" s="357" t="s">
        <v>179</v>
      </c>
      <c r="E312" s="373" t="s">
        <v>674</v>
      </c>
      <c r="F312" s="374" t="s">
        <v>675</v>
      </c>
      <c r="G312" s="374" t="s">
        <v>302</v>
      </c>
      <c r="H312" s="374">
        <v>36</v>
      </c>
      <c r="I312" s="375">
        <v>0.04</v>
      </c>
      <c r="J312" s="361">
        <f t="shared" si="41"/>
        <v>0.0266666666666667</v>
      </c>
      <c r="K312" s="362">
        <v>8200</v>
      </c>
      <c r="L312" s="362">
        <v>7872</v>
      </c>
      <c r="M312" s="362"/>
      <c r="N312" s="362">
        <f t="shared" si="35"/>
        <v>328</v>
      </c>
      <c r="O312" s="362">
        <v>0</v>
      </c>
      <c r="P312" s="363">
        <f t="shared" si="42"/>
        <v>60</v>
      </c>
      <c r="Q312" s="364">
        <v>0.05</v>
      </c>
      <c r="R312" s="365">
        <f t="shared" si="37"/>
        <v>129.833333333333</v>
      </c>
      <c r="S312" s="366">
        <f t="shared" si="38"/>
        <v>60</v>
      </c>
      <c r="T312" s="367">
        <f t="shared" si="39"/>
        <v>7790</v>
      </c>
      <c r="U312" s="367">
        <f t="shared" si="40"/>
        <v>-81.9999999999991</v>
      </c>
      <c r="V312" s="334"/>
    </row>
    <row r="313" s="158" customFormat="1" ht="14.55" outlineLevel="1" spans="2:22">
      <c r="B313" s="355"/>
      <c r="C313" s="356" t="s">
        <v>1397</v>
      </c>
      <c r="D313" s="357" t="s">
        <v>179</v>
      </c>
      <c r="E313" s="373" t="s">
        <v>676</v>
      </c>
      <c r="F313" s="374" t="s">
        <v>677</v>
      </c>
      <c r="G313" s="374" t="s">
        <v>302</v>
      </c>
      <c r="H313" s="374">
        <v>36</v>
      </c>
      <c r="I313" s="375">
        <v>0.04</v>
      </c>
      <c r="J313" s="361">
        <f t="shared" si="41"/>
        <v>0.0266666666666667</v>
      </c>
      <c r="K313" s="362">
        <v>10000</v>
      </c>
      <c r="L313" s="362">
        <v>9600</v>
      </c>
      <c r="M313" s="362"/>
      <c r="N313" s="362">
        <f t="shared" si="35"/>
        <v>400</v>
      </c>
      <c r="O313" s="362">
        <v>0</v>
      </c>
      <c r="P313" s="363">
        <f t="shared" si="42"/>
        <v>60</v>
      </c>
      <c r="Q313" s="364">
        <v>0.05</v>
      </c>
      <c r="R313" s="365">
        <f t="shared" si="37"/>
        <v>158.333333333333</v>
      </c>
      <c r="S313" s="366">
        <f t="shared" si="38"/>
        <v>60</v>
      </c>
      <c r="T313" s="367">
        <f t="shared" si="39"/>
        <v>9500</v>
      </c>
      <c r="U313" s="367">
        <f t="shared" si="40"/>
        <v>-100</v>
      </c>
      <c r="V313" s="334"/>
    </row>
    <row r="314" s="158" customFormat="1" ht="14.55" outlineLevel="1" spans="2:22">
      <c r="B314" s="355"/>
      <c r="C314" s="356" t="s">
        <v>1397</v>
      </c>
      <c r="D314" s="357" t="s">
        <v>179</v>
      </c>
      <c r="E314" s="373" t="s">
        <v>678</v>
      </c>
      <c r="F314" s="374" t="s">
        <v>574</v>
      </c>
      <c r="G314" s="374" t="s">
        <v>308</v>
      </c>
      <c r="H314" s="374">
        <v>36</v>
      </c>
      <c r="I314" s="375">
        <v>0.04</v>
      </c>
      <c r="J314" s="361">
        <f t="shared" si="41"/>
        <v>0.0266666666666667</v>
      </c>
      <c r="K314" s="362">
        <v>18000</v>
      </c>
      <c r="L314" s="362">
        <v>17280</v>
      </c>
      <c r="M314" s="362"/>
      <c r="N314" s="362">
        <f t="shared" si="35"/>
        <v>720</v>
      </c>
      <c r="O314" s="362">
        <v>0</v>
      </c>
      <c r="P314" s="363">
        <f t="shared" si="42"/>
        <v>60</v>
      </c>
      <c r="Q314" s="364">
        <v>0.05</v>
      </c>
      <c r="R314" s="365">
        <f t="shared" si="37"/>
        <v>285</v>
      </c>
      <c r="S314" s="366">
        <f t="shared" si="38"/>
        <v>60</v>
      </c>
      <c r="T314" s="367">
        <f t="shared" si="39"/>
        <v>17100</v>
      </c>
      <c r="U314" s="367">
        <f t="shared" si="40"/>
        <v>-180</v>
      </c>
      <c r="V314" s="334"/>
    </row>
    <row r="315" s="158" customFormat="1" ht="14.55" outlineLevel="1" spans="2:22">
      <c r="B315" s="355"/>
      <c r="C315" s="356" t="s">
        <v>1397</v>
      </c>
      <c r="D315" s="357" t="s">
        <v>179</v>
      </c>
      <c r="E315" s="373" t="s">
        <v>679</v>
      </c>
      <c r="F315" s="374" t="s">
        <v>680</v>
      </c>
      <c r="G315" s="374" t="s">
        <v>308</v>
      </c>
      <c r="H315" s="374">
        <v>36</v>
      </c>
      <c r="I315" s="375">
        <v>0.04</v>
      </c>
      <c r="J315" s="361">
        <f t="shared" si="41"/>
        <v>0.0266666666666667</v>
      </c>
      <c r="K315" s="362">
        <v>30000</v>
      </c>
      <c r="L315" s="362">
        <v>28800</v>
      </c>
      <c r="M315" s="362"/>
      <c r="N315" s="362">
        <f t="shared" si="35"/>
        <v>1200</v>
      </c>
      <c r="O315" s="362">
        <v>0</v>
      </c>
      <c r="P315" s="363">
        <f t="shared" si="42"/>
        <v>60</v>
      </c>
      <c r="Q315" s="364">
        <v>0.05</v>
      </c>
      <c r="R315" s="365">
        <f t="shared" si="37"/>
        <v>475</v>
      </c>
      <c r="S315" s="366">
        <f t="shared" si="38"/>
        <v>60</v>
      </c>
      <c r="T315" s="367">
        <f t="shared" si="39"/>
        <v>28500</v>
      </c>
      <c r="U315" s="367">
        <f t="shared" si="40"/>
        <v>-300</v>
      </c>
      <c r="V315" s="334"/>
    </row>
    <row r="316" s="158" customFormat="1" ht="14.55" outlineLevel="1" spans="2:22">
      <c r="B316" s="355"/>
      <c r="C316" s="356" t="s">
        <v>1397</v>
      </c>
      <c r="D316" s="357" t="s">
        <v>179</v>
      </c>
      <c r="E316" s="373" t="s">
        <v>681</v>
      </c>
      <c r="F316" s="374" t="s">
        <v>682</v>
      </c>
      <c r="G316" s="374" t="s">
        <v>308</v>
      </c>
      <c r="H316" s="374">
        <v>36</v>
      </c>
      <c r="I316" s="375">
        <v>0.04</v>
      </c>
      <c r="J316" s="361">
        <f t="shared" si="41"/>
        <v>0.0266666666666667</v>
      </c>
      <c r="K316" s="362">
        <v>6000</v>
      </c>
      <c r="L316" s="362">
        <v>5760</v>
      </c>
      <c r="M316" s="362"/>
      <c r="N316" s="362">
        <f t="shared" si="35"/>
        <v>240</v>
      </c>
      <c r="O316" s="362">
        <v>0</v>
      </c>
      <c r="P316" s="363">
        <f t="shared" si="42"/>
        <v>60</v>
      </c>
      <c r="Q316" s="364">
        <v>0.05</v>
      </c>
      <c r="R316" s="365">
        <f t="shared" si="37"/>
        <v>95</v>
      </c>
      <c r="S316" s="366">
        <f t="shared" si="38"/>
        <v>60</v>
      </c>
      <c r="T316" s="367">
        <f t="shared" si="39"/>
        <v>5700</v>
      </c>
      <c r="U316" s="367">
        <f t="shared" si="40"/>
        <v>-60</v>
      </c>
      <c r="V316" s="334"/>
    </row>
    <row r="317" s="158" customFormat="1" ht="14.55" outlineLevel="1" spans="2:22">
      <c r="B317" s="355"/>
      <c r="C317" s="356" t="s">
        <v>1397</v>
      </c>
      <c r="D317" s="357" t="s">
        <v>179</v>
      </c>
      <c r="E317" s="373" t="s">
        <v>683</v>
      </c>
      <c r="F317" s="374" t="s">
        <v>684</v>
      </c>
      <c r="G317" s="374" t="s">
        <v>308</v>
      </c>
      <c r="H317" s="374">
        <v>36</v>
      </c>
      <c r="I317" s="375">
        <v>0.04</v>
      </c>
      <c r="J317" s="361">
        <f t="shared" si="41"/>
        <v>0.0266666666666667</v>
      </c>
      <c r="K317" s="362">
        <v>7000</v>
      </c>
      <c r="L317" s="362">
        <v>6720</v>
      </c>
      <c r="M317" s="362"/>
      <c r="N317" s="362">
        <f t="shared" si="35"/>
        <v>280</v>
      </c>
      <c r="O317" s="362">
        <v>0</v>
      </c>
      <c r="P317" s="363">
        <f t="shared" si="42"/>
        <v>60</v>
      </c>
      <c r="Q317" s="364">
        <v>0.05</v>
      </c>
      <c r="R317" s="365">
        <f t="shared" si="37"/>
        <v>110.833333333333</v>
      </c>
      <c r="S317" s="366">
        <f t="shared" si="38"/>
        <v>60</v>
      </c>
      <c r="T317" s="367">
        <f t="shared" si="39"/>
        <v>6650</v>
      </c>
      <c r="U317" s="367">
        <f t="shared" si="40"/>
        <v>-70</v>
      </c>
      <c r="V317" s="334"/>
    </row>
    <row r="318" s="158" customFormat="1" ht="14.55" outlineLevel="1" spans="2:22">
      <c r="B318" s="355"/>
      <c r="C318" s="356" t="s">
        <v>1397</v>
      </c>
      <c r="D318" s="357" t="s">
        <v>179</v>
      </c>
      <c r="E318" s="373" t="s">
        <v>685</v>
      </c>
      <c r="F318" s="374" t="s">
        <v>686</v>
      </c>
      <c r="G318" s="374" t="s">
        <v>308</v>
      </c>
      <c r="H318" s="374">
        <v>36</v>
      </c>
      <c r="I318" s="375">
        <v>0.04</v>
      </c>
      <c r="J318" s="361">
        <f t="shared" si="41"/>
        <v>0.0266666666666667</v>
      </c>
      <c r="K318" s="362">
        <v>16660</v>
      </c>
      <c r="L318" s="362">
        <v>15993.6</v>
      </c>
      <c r="M318" s="362"/>
      <c r="N318" s="362">
        <f t="shared" si="35"/>
        <v>666.4</v>
      </c>
      <c r="O318" s="362">
        <v>0</v>
      </c>
      <c r="P318" s="363">
        <f t="shared" si="42"/>
        <v>60</v>
      </c>
      <c r="Q318" s="364">
        <v>0.05</v>
      </c>
      <c r="R318" s="365">
        <f t="shared" si="37"/>
        <v>263.783333333333</v>
      </c>
      <c r="S318" s="366">
        <f t="shared" si="38"/>
        <v>60</v>
      </c>
      <c r="T318" s="367">
        <f t="shared" si="39"/>
        <v>15827</v>
      </c>
      <c r="U318" s="367">
        <f t="shared" si="40"/>
        <v>-166.599999999999</v>
      </c>
      <c r="V318" s="334"/>
    </row>
    <row r="319" s="158" customFormat="1" ht="14.55" outlineLevel="1" spans="2:22">
      <c r="B319" s="355"/>
      <c r="C319" s="356" t="s">
        <v>1397</v>
      </c>
      <c r="D319" s="357" t="s">
        <v>179</v>
      </c>
      <c r="E319" s="373" t="s">
        <v>687</v>
      </c>
      <c r="F319" s="374" t="s">
        <v>688</v>
      </c>
      <c r="G319" s="374" t="s">
        <v>308</v>
      </c>
      <c r="H319" s="374">
        <v>36</v>
      </c>
      <c r="I319" s="375">
        <v>0.04</v>
      </c>
      <c r="J319" s="361">
        <f t="shared" si="41"/>
        <v>0.0266666666666667</v>
      </c>
      <c r="K319" s="362">
        <v>14800</v>
      </c>
      <c r="L319" s="362">
        <v>14208</v>
      </c>
      <c r="M319" s="362"/>
      <c r="N319" s="362">
        <f t="shared" si="35"/>
        <v>592</v>
      </c>
      <c r="O319" s="362">
        <v>0</v>
      </c>
      <c r="P319" s="363">
        <f t="shared" si="42"/>
        <v>60</v>
      </c>
      <c r="Q319" s="364">
        <v>0.05</v>
      </c>
      <c r="R319" s="365">
        <f t="shared" si="37"/>
        <v>234.333333333333</v>
      </c>
      <c r="S319" s="366">
        <f t="shared" si="38"/>
        <v>60</v>
      </c>
      <c r="T319" s="367">
        <f t="shared" si="39"/>
        <v>14060</v>
      </c>
      <c r="U319" s="367">
        <f t="shared" si="40"/>
        <v>-148</v>
      </c>
      <c r="V319" s="334"/>
    </row>
    <row r="320" s="158" customFormat="1" ht="14.55" outlineLevel="1" spans="2:22">
      <c r="B320" s="355"/>
      <c r="C320" s="356" t="s">
        <v>1397</v>
      </c>
      <c r="D320" s="357" t="s">
        <v>179</v>
      </c>
      <c r="E320" s="373" t="s">
        <v>689</v>
      </c>
      <c r="F320" s="374" t="s">
        <v>690</v>
      </c>
      <c r="G320" s="374" t="s">
        <v>308</v>
      </c>
      <c r="H320" s="374">
        <v>36</v>
      </c>
      <c r="I320" s="375">
        <v>0.04</v>
      </c>
      <c r="J320" s="361">
        <f t="shared" si="41"/>
        <v>0.0266666666666667</v>
      </c>
      <c r="K320" s="362">
        <v>36400</v>
      </c>
      <c r="L320" s="362">
        <v>34944</v>
      </c>
      <c r="M320" s="362"/>
      <c r="N320" s="362">
        <f t="shared" si="35"/>
        <v>1456</v>
      </c>
      <c r="O320" s="362">
        <v>0</v>
      </c>
      <c r="P320" s="363">
        <f t="shared" si="42"/>
        <v>60</v>
      </c>
      <c r="Q320" s="364">
        <v>0.05</v>
      </c>
      <c r="R320" s="365">
        <f t="shared" si="37"/>
        <v>576.333333333333</v>
      </c>
      <c r="S320" s="366">
        <f t="shared" si="38"/>
        <v>60</v>
      </c>
      <c r="T320" s="367">
        <f t="shared" si="39"/>
        <v>34580</v>
      </c>
      <c r="U320" s="367">
        <f t="shared" si="40"/>
        <v>-364</v>
      </c>
      <c r="V320" s="334"/>
    </row>
    <row r="321" s="158" customFormat="1" ht="14.55" outlineLevel="1" spans="2:22">
      <c r="B321" s="355"/>
      <c r="C321" s="356" t="s">
        <v>1397</v>
      </c>
      <c r="D321" s="357" t="s">
        <v>179</v>
      </c>
      <c r="E321" s="373" t="s">
        <v>691</v>
      </c>
      <c r="F321" s="374" t="s">
        <v>692</v>
      </c>
      <c r="G321" s="374" t="s">
        <v>308</v>
      </c>
      <c r="H321" s="374">
        <v>36</v>
      </c>
      <c r="I321" s="375">
        <v>0.04</v>
      </c>
      <c r="J321" s="361">
        <f t="shared" si="41"/>
        <v>0.0266666666666667</v>
      </c>
      <c r="K321" s="362">
        <v>21840</v>
      </c>
      <c r="L321" s="362">
        <v>20966.4</v>
      </c>
      <c r="M321" s="362"/>
      <c r="N321" s="362">
        <f t="shared" si="35"/>
        <v>873.599999999999</v>
      </c>
      <c r="O321" s="362">
        <v>0</v>
      </c>
      <c r="P321" s="363">
        <f t="shared" si="42"/>
        <v>60</v>
      </c>
      <c r="Q321" s="364">
        <v>0.05</v>
      </c>
      <c r="R321" s="365">
        <f t="shared" si="37"/>
        <v>345.8</v>
      </c>
      <c r="S321" s="366">
        <f t="shared" si="38"/>
        <v>60</v>
      </c>
      <c r="T321" s="367">
        <f t="shared" si="39"/>
        <v>20748</v>
      </c>
      <c r="U321" s="367">
        <f t="shared" si="40"/>
        <v>-218.400000000001</v>
      </c>
      <c r="V321" s="334"/>
    </row>
    <row r="322" s="158" customFormat="1" ht="14.55" outlineLevel="1" spans="2:22">
      <c r="B322" s="355"/>
      <c r="C322" s="356" t="s">
        <v>1397</v>
      </c>
      <c r="D322" s="357" t="s">
        <v>179</v>
      </c>
      <c r="E322" s="373" t="s">
        <v>693</v>
      </c>
      <c r="F322" s="374" t="s">
        <v>694</v>
      </c>
      <c r="G322" s="374" t="s">
        <v>323</v>
      </c>
      <c r="H322" s="374">
        <v>36</v>
      </c>
      <c r="I322" s="375">
        <v>0.04</v>
      </c>
      <c r="J322" s="361">
        <f t="shared" si="41"/>
        <v>0.0266666666666667</v>
      </c>
      <c r="K322" s="362">
        <v>4100</v>
      </c>
      <c r="L322" s="362">
        <v>3936</v>
      </c>
      <c r="M322" s="362"/>
      <c r="N322" s="362">
        <f t="shared" si="35"/>
        <v>164</v>
      </c>
      <c r="O322" s="362">
        <v>0</v>
      </c>
      <c r="P322" s="363">
        <f t="shared" si="42"/>
        <v>60</v>
      </c>
      <c r="Q322" s="364">
        <v>0.05</v>
      </c>
      <c r="R322" s="365">
        <f t="shared" si="37"/>
        <v>64.9166666666667</v>
      </c>
      <c r="S322" s="366">
        <f t="shared" si="38"/>
        <v>60</v>
      </c>
      <c r="T322" s="367">
        <f t="shared" si="39"/>
        <v>3895</v>
      </c>
      <c r="U322" s="367">
        <f t="shared" si="40"/>
        <v>-40.9999999999995</v>
      </c>
      <c r="V322" s="334"/>
    </row>
    <row r="323" s="158" customFormat="1" ht="14.55" outlineLevel="1" spans="2:22">
      <c r="B323" s="355"/>
      <c r="C323" s="356" t="s">
        <v>1397</v>
      </c>
      <c r="D323" s="357" t="s">
        <v>179</v>
      </c>
      <c r="E323" s="373" t="s">
        <v>695</v>
      </c>
      <c r="F323" s="374" t="s">
        <v>696</v>
      </c>
      <c r="G323" s="374" t="s">
        <v>323</v>
      </c>
      <c r="H323" s="374">
        <v>60</v>
      </c>
      <c r="I323" s="375">
        <v>0.04</v>
      </c>
      <c r="J323" s="361">
        <f t="shared" si="41"/>
        <v>0.016</v>
      </c>
      <c r="K323" s="362">
        <v>90000</v>
      </c>
      <c r="L323" s="362">
        <v>86400</v>
      </c>
      <c r="M323" s="362"/>
      <c r="N323" s="362">
        <f t="shared" si="35"/>
        <v>3600</v>
      </c>
      <c r="O323" s="362">
        <v>0</v>
      </c>
      <c r="P323" s="363">
        <f t="shared" si="42"/>
        <v>60</v>
      </c>
      <c r="Q323" s="364">
        <v>0.05</v>
      </c>
      <c r="R323" s="365">
        <f t="shared" si="37"/>
        <v>1425</v>
      </c>
      <c r="S323" s="366">
        <f t="shared" si="38"/>
        <v>60</v>
      </c>
      <c r="T323" s="367">
        <f t="shared" si="39"/>
        <v>85500</v>
      </c>
      <c r="U323" s="367">
        <f t="shared" si="40"/>
        <v>-900</v>
      </c>
      <c r="V323" s="334"/>
    </row>
    <row r="324" s="158" customFormat="1" ht="14.55" outlineLevel="1" spans="2:22">
      <c r="B324" s="355"/>
      <c r="C324" s="356" t="s">
        <v>1397</v>
      </c>
      <c r="D324" s="357" t="s">
        <v>179</v>
      </c>
      <c r="E324" s="373" t="s">
        <v>697</v>
      </c>
      <c r="F324" s="374" t="s">
        <v>698</v>
      </c>
      <c r="G324" s="374" t="s">
        <v>326</v>
      </c>
      <c r="H324" s="374">
        <v>60</v>
      </c>
      <c r="I324" s="375">
        <v>0.04</v>
      </c>
      <c r="J324" s="361">
        <f t="shared" si="41"/>
        <v>0.016</v>
      </c>
      <c r="K324" s="362">
        <v>9000</v>
      </c>
      <c r="L324" s="362">
        <v>8640</v>
      </c>
      <c r="M324" s="362"/>
      <c r="N324" s="362">
        <f t="shared" si="35"/>
        <v>360</v>
      </c>
      <c r="O324" s="362">
        <v>0</v>
      </c>
      <c r="P324" s="363">
        <f t="shared" si="42"/>
        <v>60</v>
      </c>
      <c r="Q324" s="364">
        <v>0.05</v>
      </c>
      <c r="R324" s="365">
        <f t="shared" si="37"/>
        <v>142.5</v>
      </c>
      <c r="S324" s="366">
        <f t="shared" si="38"/>
        <v>60</v>
      </c>
      <c r="T324" s="367">
        <f t="shared" si="39"/>
        <v>8550</v>
      </c>
      <c r="U324" s="367">
        <f t="shared" si="40"/>
        <v>-90</v>
      </c>
      <c r="V324" s="334"/>
    </row>
    <row r="325" s="158" customFormat="1" ht="14.55" outlineLevel="1" spans="2:22">
      <c r="B325" s="355"/>
      <c r="C325" s="356" t="s">
        <v>1397</v>
      </c>
      <c r="D325" s="357" t="s">
        <v>179</v>
      </c>
      <c r="E325" s="373" t="s">
        <v>699</v>
      </c>
      <c r="F325" s="374" t="s">
        <v>700</v>
      </c>
      <c r="G325" s="374" t="s">
        <v>326</v>
      </c>
      <c r="H325" s="374">
        <v>60</v>
      </c>
      <c r="I325" s="375">
        <v>0.04</v>
      </c>
      <c r="J325" s="361">
        <f t="shared" si="41"/>
        <v>0.016</v>
      </c>
      <c r="K325" s="362">
        <v>600000</v>
      </c>
      <c r="L325" s="362">
        <v>576000</v>
      </c>
      <c r="M325" s="362"/>
      <c r="N325" s="362">
        <f t="shared" si="35"/>
        <v>24000</v>
      </c>
      <c r="O325" s="362">
        <v>0</v>
      </c>
      <c r="P325" s="363">
        <f t="shared" si="42"/>
        <v>60</v>
      </c>
      <c r="Q325" s="364">
        <v>0.05</v>
      </c>
      <c r="R325" s="365">
        <f t="shared" si="37"/>
        <v>9500</v>
      </c>
      <c r="S325" s="366">
        <f t="shared" si="38"/>
        <v>60</v>
      </c>
      <c r="T325" s="367">
        <f t="shared" si="39"/>
        <v>570000</v>
      </c>
      <c r="U325" s="367">
        <f t="shared" si="40"/>
        <v>-6000</v>
      </c>
      <c r="V325" s="334"/>
    </row>
    <row r="326" s="158" customFormat="1" ht="14.55" outlineLevel="1" spans="2:22">
      <c r="B326" s="355"/>
      <c r="C326" s="356" t="s">
        <v>1397</v>
      </c>
      <c r="D326" s="357" t="s">
        <v>179</v>
      </c>
      <c r="E326" s="373" t="s">
        <v>701</v>
      </c>
      <c r="F326" s="374" t="s">
        <v>702</v>
      </c>
      <c r="G326" s="374" t="s">
        <v>703</v>
      </c>
      <c r="H326" s="374">
        <v>36</v>
      </c>
      <c r="I326" s="375">
        <v>0.04</v>
      </c>
      <c r="J326" s="361">
        <f t="shared" si="41"/>
        <v>0.0266666666666667</v>
      </c>
      <c r="K326" s="362">
        <v>3750</v>
      </c>
      <c r="L326" s="362">
        <v>3600</v>
      </c>
      <c r="M326" s="362"/>
      <c r="N326" s="362">
        <f t="shared" ref="N326:N389" si="43">K326-L326</f>
        <v>150</v>
      </c>
      <c r="O326" s="362">
        <v>0</v>
      </c>
      <c r="P326" s="363">
        <f t="shared" si="42"/>
        <v>60</v>
      </c>
      <c r="Q326" s="364">
        <v>0.05</v>
      </c>
      <c r="R326" s="365">
        <f t="shared" si="37"/>
        <v>59.375</v>
      </c>
      <c r="S326" s="366">
        <f t="shared" si="38"/>
        <v>60</v>
      </c>
      <c r="T326" s="367">
        <f t="shared" si="39"/>
        <v>3562.5</v>
      </c>
      <c r="U326" s="367">
        <f t="shared" si="40"/>
        <v>-37.5</v>
      </c>
      <c r="V326" s="334"/>
    </row>
    <row r="327" s="158" customFormat="1" ht="14.55" outlineLevel="1" spans="2:22">
      <c r="B327" s="355"/>
      <c r="C327" s="356" t="s">
        <v>1397</v>
      </c>
      <c r="D327" s="357" t="s">
        <v>179</v>
      </c>
      <c r="E327" s="373" t="s">
        <v>704</v>
      </c>
      <c r="F327" s="374" t="s">
        <v>705</v>
      </c>
      <c r="G327" s="374" t="s">
        <v>703</v>
      </c>
      <c r="H327" s="374">
        <v>36</v>
      </c>
      <c r="I327" s="375">
        <v>0.04</v>
      </c>
      <c r="J327" s="361">
        <f t="shared" si="41"/>
        <v>0.0266666666666667</v>
      </c>
      <c r="K327" s="362">
        <v>2700</v>
      </c>
      <c r="L327" s="362">
        <v>2592</v>
      </c>
      <c r="M327" s="362"/>
      <c r="N327" s="362">
        <f t="shared" si="43"/>
        <v>108</v>
      </c>
      <c r="O327" s="362">
        <v>0</v>
      </c>
      <c r="P327" s="363">
        <f t="shared" ref="P327:P358" si="44">_xlfn.XLOOKUP(D327,$C$484:$C$489,$E$484:$E$489)</f>
        <v>60</v>
      </c>
      <c r="Q327" s="364">
        <v>0.05</v>
      </c>
      <c r="R327" s="365">
        <f t="shared" ref="R327:R390" si="45">K327*(1-Q327)/P327</f>
        <v>42.75</v>
      </c>
      <c r="S327" s="366">
        <f t="shared" ref="S327:S390" si="46">IF(YEAR(G327)=YEAR($P$85),MIN(DATEDIF(EOMONTH(G327,-1)+1,$P$85,"m"),P327),MIN(P327,DATEDIF(EOMONTH(G327,-1)+1,$P$85,"m")))</f>
        <v>60</v>
      </c>
      <c r="T327" s="367">
        <f t="shared" ref="T327:T390" si="47">S327*R327</f>
        <v>2565</v>
      </c>
      <c r="U327" s="367">
        <f t="shared" ref="U327:U390" si="48">T327-L327</f>
        <v>-27</v>
      </c>
      <c r="V327" s="334"/>
    </row>
    <row r="328" s="158" customFormat="1" ht="14.55" outlineLevel="1" spans="2:22">
      <c r="B328" s="355"/>
      <c r="C328" s="356" t="s">
        <v>1397</v>
      </c>
      <c r="D328" s="357" t="s">
        <v>179</v>
      </c>
      <c r="E328" s="373" t="s">
        <v>706</v>
      </c>
      <c r="F328" s="374" t="s">
        <v>707</v>
      </c>
      <c r="G328" s="374" t="s">
        <v>289</v>
      </c>
      <c r="H328" s="374">
        <v>36</v>
      </c>
      <c r="I328" s="375">
        <v>0.04</v>
      </c>
      <c r="J328" s="361">
        <f t="shared" si="41"/>
        <v>0.0266666666666667</v>
      </c>
      <c r="K328" s="362">
        <v>39000</v>
      </c>
      <c r="L328" s="362">
        <v>37440</v>
      </c>
      <c r="M328" s="362"/>
      <c r="N328" s="362">
        <f t="shared" si="43"/>
        <v>1560</v>
      </c>
      <c r="O328" s="362">
        <v>0</v>
      </c>
      <c r="P328" s="363">
        <f t="shared" si="44"/>
        <v>60</v>
      </c>
      <c r="Q328" s="364">
        <v>0.05</v>
      </c>
      <c r="R328" s="365">
        <f t="shared" si="45"/>
        <v>617.5</v>
      </c>
      <c r="S328" s="366">
        <f t="shared" si="46"/>
        <v>60</v>
      </c>
      <c r="T328" s="367">
        <f t="shared" si="47"/>
        <v>37050</v>
      </c>
      <c r="U328" s="367">
        <f t="shared" si="48"/>
        <v>-390</v>
      </c>
      <c r="V328" s="334"/>
    </row>
    <row r="329" s="158" customFormat="1" ht="14.55" outlineLevel="1" spans="2:22">
      <c r="B329" s="355"/>
      <c r="C329" s="356" t="s">
        <v>1397</v>
      </c>
      <c r="D329" s="357" t="s">
        <v>179</v>
      </c>
      <c r="E329" s="373" t="s">
        <v>708</v>
      </c>
      <c r="F329" s="374" t="s">
        <v>709</v>
      </c>
      <c r="G329" s="374" t="s">
        <v>710</v>
      </c>
      <c r="H329" s="374">
        <v>36</v>
      </c>
      <c r="I329" s="375">
        <v>0.04</v>
      </c>
      <c r="J329" s="361">
        <f t="shared" si="41"/>
        <v>0.0266666666666667</v>
      </c>
      <c r="K329" s="362">
        <v>4250</v>
      </c>
      <c r="L329" s="362">
        <v>4080</v>
      </c>
      <c r="M329" s="362"/>
      <c r="N329" s="362">
        <f t="shared" si="43"/>
        <v>170</v>
      </c>
      <c r="O329" s="362">
        <v>0</v>
      </c>
      <c r="P329" s="363">
        <f t="shared" si="44"/>
        <v>60</v>
      </c>
      <c r="Q329" s="364">
        <v>0.05</v>
      </c>
      <c r="R329" s="365">
        <f t="shared" si="45"/>
        <v>67.2916666666667</v>
      </c>
      <c r="S329" s="366">
        <f t="shared" si="46"/>
        <v>60</v>
      </c>
      <c r="T329" s="367">
        <f t="shared" si="47"/>
        <v>4037.5</v>
      </c>
      <c r="U329" s="367">
        <f t="shared" si="48"/>
        <v>-42.4999999999995</v>
      </c>
      <c r="V329" s="334"/>
    </row>
    <row r="330" s="158" customFormat="1" ht="14.55" outlineLevel="1" spans="2:22">
      <c r="B330" s="355"/>
      <c r="C330" s="356" t="s">
        <v>1397</v>
      </c>
      <c r="D330" s="357" t="s">
        <v>179</v>
      </c>
      <c r="E330" s="373" t="s">
        <v>711</v>
      </c>
      <c r="F330" s="374" t="s">
        <v>712</v>
      </c>
      <c r="G330" s="374" t="s">
        <v>713</v>
      </c>
      <c r="H330" s="374">
        <v>36</v>
      </c>
      <c r="I330" s="375">
        <v>0.04</v>
      </c>
      <c r="J330" s="361">
        <f t="shared" si="41"/>
        <v>0.0266666666666667</v>
      </c>
      <c r="K330" s="362">
        <v>6500</v>
      </c>
      <c r="L330" s="362">
        <v>6240</v>
      </c>
      <c r="M330" s="362"/>
      <c r="N330" s="362">
        <f t="shared" si="43"/>
        <v>260</v>
      </c>
      <c r="O330" s="362">
        <v>0</v>
      </c>
      <c r="P330" s="363">
        <f t="shared" si="44"/>
        <v>60</v>
      </c>
      <c r="Q330" s="364">
        <v>0.05</v>
      </c>
      <c r="R330" s="365">
        <f t="shared" si="45"/>
        <v>102.916666666667</v>
      </c>
      <c r="S330" s="366">
        <f t="shared" si="46"/>
        <v>60</v>
      </c>
      <c r="T330" s="367">
        <f t="shared" si="47"/>
        <v>6175</v>
      </c>
      <c r="U330" s="367">
        <f t="shared" si="48"/>
        <v>-65</v>
      </c>
      <c r="V330" s="334"/>
    </row>
    <row r="331" s="158" customFormat="1" ht="14.55" outlineLevel="1" spans="2:22">
      <c r="B331" s="355"/>
      <c r="C331" s="356" t="s">
        <v>1397</v>
      </c>
      <c r="D331" s="357" t="s">
        <v>179</v>
      </c>
      <c r="E331" s="373" t="s">
        <v>714</v>
      </c>
      <c r="F331" s="374" t="s">
        <v>715</v>
      </c>
      <c r="G331" s="374" t="s">
        <v>716</v>
      </c>
      <c r="H331" s="374">
        <v>60</v>
      </c>
      <c r="I331" s="375">
        <v>0.04</v>
      </c>
      <c r="J331" s="361">
        <f t="shared" si="41"/>
        <v>0.016</v>
      </c>
      <c r="K331" s="362">
        <v>40000</v>
      </c>
      <c r="L331" s="362">
        <v>38400</v>
      </c>
      <c r="M331" s="362"/>
      <c r="N331" s="362">
        <f t="shared" si="43"/>
        <v>1600</v>
      </c>
      <c r="O331" s="362">
        <v>0</v>
      </c>
      <c r="P331" s="363">
        <f t="shared" si="44"/>
        <v>60</v>
      </c>
      <c r="Q331" s="364">
        <v>0.05</v>
      </c>
      <c r="R331" s="365">
        <f t="shared" si="45"/>
        <v>633.333333333333</v>
      </c>
      <c r="S331" s="366">
        <f t="shared" si="46"/>
        <v>60</v>
      </c>
      <c r="T331" s="367">
        <f t="shared" si="47"/>
        <v>38000</v>
      </c>
      <c r="U331" s="367">
        <f t="shared" si="48"/>
        <v>-400</v>
      </c>
      <c r="V331" s="334"/>
    </row>
    <row r="332" s="158" customFormat="1" ht="14.55" outlineLevel="1" spans="2:22">
      <c r="B332" s="355"/>
      <c r="C332" s="356" t="s">
        <v>1397</v>
      </c>
      <c r="D332" s="357" t="s">
        <v>179</v>
      </c>
      <c r="E332" s="373" t="s">
        <v>717</v>
      </c>
      <c r="F332" s="374" t="s">
        <v>718</v>
      </c>
      <c r="G332" s="374" t="s">
        <v>719</v>
      </c>
      <c r="H332" s="374">
        <v>36</v>
      </c>
      <c r="I332" s="375">
        <v>0.04</v>
      </c>
      <c r="J332" s="361">
        <f t="shared" si="41"/>
        <v>0.0266666666666667</v>
      </c>
      <c r="K332" s="362">
        <v>9500</v>
      </c>
      <c r="L332" s="362">
        <v>9120</v>
      </c>
      <c r="M332" s="362"/>
      <c r="N332" s="362">
        <f t="shared" si="43"/>
        <v>380</v>
      </c>
      <c r="O332" s="362">
        <v>0</v>
      </c>
      <c r="P332" s="363">
        <f t="shared" si="44"/>
        <v>60</v>
      </c>
      <c r="Q332" s="364">
        <v>0.05</v>
      </c>
      <c r="R332" s="365">
        <f t="shared" si="45"/>
        <v>150.416666666667</v>
      </c>
      <c r="S332" s="366">
        <f t="shared" si="46"/>
        <v>60</v>
      </c>
      <c r="T332" s="367">
        <f t="shared" si="47"/>
        <v>9025</v>
      </c>
      <c r="U332" s="367">
        <f t="shared" si="48"/>
        <v>-95</v>
      </c>
      <c r="V332" s="334"/>
    </row>
    <row r="333" s="158" customFormat="1" ht="14.55" outlineLevel="1" spans="2:22">
      <c r="B333" s="355"/>
      <c r="C333" s="356" t="s">
        <v>1397</v>
      </c>
      <c r="D333" s="357" t="s">
        <v>179</v>
      </c>
      <c r="E333" s="373" t="s">
        <v>720</v>
      </c>
      <c r="F333" s="374" t="s">
        <v>721</v>
      </c>
      <c r="G333" s="374" t="s">
        <v>719</v>
      </c>
      <c r="H333" s="374">
        <v>36</v>
      </c>
      <c r="I333" s="375">
        <v>0.04</v>
      </c>
      <c r="J333" s="361">
        <f t="shared" si="41"/>
        <v>0.0266666666666667</v>
      </c>
      <c r="K333" s="362">
        <v>45000</v>
      </c>
      <c r="L333" s="362">
        <v>43200</v>
      </c>
      <c r="M333" s="362"/>
      <c r="N333" s="362">
        <f t="shared" si="43"/>
        <v>1800</v>
      </c>
      <c r="O333" s="362">
        <v>0</v>
      </c>
      <c r="P333" s="363">
        <f t="shared" si="44"/>
        <v>60</v>
      </c>
      <c r="Q333" s="364">
        <v>0.05</v>
      </c>
      <c r="R333" s="365">
        <f t="shared" si="45"/>
        <v>712.5</v>
      </c>
      <c r="S333" s="366">
        <f t="shared" si="46"/>
        <v>60</v>
      </c>
      <c r="T333" s="367">
        <f t="shared" si="47"/>
        <v>42750</v>
      </c>
      <c r="U333" s="367">
        <f t="shared" si="48"/>
        <v>-450</v>
      </c>
      <c r="V333" s="334"/>
    </row>
    <row r="334" s="158" customFormat="1" ht="14.55" outlineLevel="1" spans="2:22">
      <c r="B334" s="355"/>
      <c r="C334" s="356" t="s">
        <v>1397</v>
      </c>
      <c r="D334" s="357" t="s">
        <v>179</v>
      </c>
      <c r="E334" s="373" t="s">
        <v>722</v>
      </c>
      <c r="F334" s="374" t="s">
        <v>723</v>
      </c>
      <c r="G334" s="374" t="s">
        <v>724</v>
      </c>
      <c r="H334" s="374">
        <v>60</v>
      </c>
      <c r="I334" s="375">
        <v>0.04</v>
      </c>
      <c r="J334" s="361">
        <f t="shared" si="41"/>
        <v>0.016</v>
      </c>
      <c r="K334" s="362">
        <v>30800</v>
      </c>
      <c r="L334" s="362">
        <v>29568</v>
      </c>
      <c r="M334" s="362"/>
      <c r="N334" s="362">
        <f t="shared" si="43"/>
        <v>1232</v>
      </c>
      <c r="O334" s="362">
        <v>0</v>
      </c>
      <c r="P334" s="363">
        <f t="shared" si="44"/>
        <v>60</v>
      </c>
      <c r="Q334" s="364">
        <v>0.05</v>
      </c>
      <c r="R334" s="365">
        <f t="shared" si="45"/>
        <v>487.666666666667</v>
      </c>
      <c r="S334" s="366">
        <f t="shared" si="46"/>
        <v>60</v>
      </c>
      <c r="T334" s="367">
        <f t="shared" si="47"/>
        <v>29260</v>
      </c>
      <c r="U334" s="367">
        <f t="shared" si="48"/>
        <v>-308</v>
      </c>
      <c r="V334" s="334"/>
    </row>
    <row r="335" s="158" customFormat="1" ht="14.55" outlineLevel="1" spans="2:22">
      <c r="B335" s="355"/>
      <c r="C335" s="356" t="s">
        <v>1397</v>
      </c>
      <c r="D335" s="357" t="s">
        <v>179</v>
      </c>
      <c r="E335" s="373" t="s">
        <v>725</v>
      </c>
      <c r="F335" s="374" t="s">
        <v>726</v>
      </c>
      <c r="G335" s="374" t="s">
        <v>727</v>
      </c>
      <c r="H335" s="374">
        <v>36</v>
      </c>
      <c r="I335" s="375">
        <v>0.04</v>
      </c>
      <c r="J335" s="361">
        <f t="shared" si="41"/>
        <v>0.0266666666666667</v>
      </c>
      <c r="K335" s="362">
        <v>117760</v>
      </c>
      <c r="L335" s="362">
        <v>113049.6</v>
      </c>
      <c r="M335" s="362"/>
      <c r="N335" s="362">
        <f t="shared" si="43"/>
        <v>4710.39999999999</v>
      </c>
      <c r="O335" s="362">
        <v>0</v>
      </c>
      <c r="P335" s="363">
        <f t="shared" si="44"/>
        <v>60</v>
      </c>
      <c r="Q335" s="364">
        <v>0.05</v>
      </c>
      <c r="R335" s="365">
        <f t="shared" si="45"/>
        <v>1864.53333333333</v>
      </c>
      <c r="S335" s="366">
        <f t="shared" si="46"/>
        <v>60</v>
      </c>
      <c r="T335" s="367">
        <f t="shared" si="47"/>
        <v>111872</v>
      </c>
      <c r="U335" s="367">
        <f t="shared" si="48"/>
        <v>-1177.60000000001</v>
      </c>
      <c r="V335" s="334"/>
    </row>
    <row r="336" s="158" customFormat="1" ht="14.55" outlineLevel="1" spans="2:22">
      <c r="B336" s="355"/>
      <c r="C336" s="356" t="s">
        <v>1397</v>
      </c>
      <c r="D336" s="357" t="s">
        <v>179</v>
      </c>
      <c r="E336" s="373" t="s">
        <v>728</v>
      </c>
      <c r="F336" s="374" t="s">
        <v>729</v>
      </c>
      <c r="G336" s="374" t="s">
        <v>727</v>
      </c>
      <c r="H336" s="374">
        <v>60</v>
      </c>
      <c r="I336" s="375">
        <v>0.04</v>
      </c>
      <c r="J336" s="361">
        <f t="shared" si="41"/>
        <v>0.016</v>
      </c>
      <c r="K336" s="362">
        <v>5850</v>
      </c>
      <c r="L336" s="362">
        <v>5616</v>
      </c>
      <c r="M336" s="362"/>
      <c r="N336" s="362">
        <f t="shared" si="43"/>
        <v>234</v>
      </c>
      <c r="O336" s="362">
        <v>0</v>
      </c>
      <c r="P336" s="363">
        <f t="shared" si="44"/>
        <v>60</v>
      </c>
      <c r="Q336" s="364">
        <v>0.05</v>
      </c>
      <c r="R336" s="365">
        <f t="shared" si="45"/>
        <v>92.625</v>
      </c>
      <c r="S336" s="366">
        <f t="shared" si="46"/>
        <v>60</v>
      </c>
      <c r="T336" s="367">
        <f t="shared" si="47"/>
        <v>5557.5</v>
      </c>
      <c r="U336" s="367">
        <f t="shared" si="48"/>
        <v>-58.5</v>
      </c>
      <c r="V336" s="334"/>
    </row>
    <row r="337" s="158" customFormat="1" ht="14.55" outlineLevel="1" spans="2:22">
      <c r="B337" s="355"/>
      <c r="C337" s="356" t="s">
        <v>1397</v>
      </c>
      <c r="D337" s="357" t="s">
        <v>179</v>
      </c>
      <c r="E337" s="373" t="s">
        <v>730</v>
      </c>
      <c r="F337" s="374" t="s">
        <v>731</v>
      </c>
      <c r="G337" s="374" t="s">
        <v>295</v>
      </c>
      <c r="H337" s="374">
        <v>60</v>
      </c>
      <c r="I337" s="375">
        <v>0.04</v>
      </c>
      <c r="J337" s="361">
        <f t="shared" si="41"/>
        <v>0.016</v>
      </c>
      <c r="K337" s="362">
        <v>32000</v>
      </c>
      <c r="L337" s="362">
        <v>30720</v>
      </c>
      <c r="M337" s="362"/>
      <c r="N337" s="362">
        <f t="shared" si="43"/>
        <v>1280</v>
      </c>
      <c r="O337" s="362">
        <v>0</v>
      </c>
      <c r="P337" s="363">
        <f t="shared" si="44"/>
        <v>60</v>
      </c>
      <c r="Q337" s="364">
        <v>0.05</v>
      </c>
      <c r="R337" s="365">
        <f t="shared" si="45"/>
        <v>506.666666666667</v>
      </c>
      <c r="S337" s="366">
        <f t="shared" si="46"/>
        <v>60</v>
      </c>
      <c r="T337" s="367">
        <f t="shared" si="47"/>
        <v>30400</v>
      </c>
      <c r="U337" s="367">
        <f t="shared" si="48"/>
        <v>-320</v>
      </c>
      <c r="V337" s="334"/>
    </row>
    <row r="338" s="158" customFormat="1" ht="14.55" outlineLevel="1" spans="2:22">
      <c r="B338" s="355"/>
      <c r="C338" s="356" t="s">
        <v>1397</v>
      </c>
      <c r="D338" s="357" t="s">
        <v>179</v>
      </c>
      <c r="E338" s="373" t="s">
        <v>732</v>
      </c>
      <c r="F338" s="374" t="s">
        <v>733</v>
      </c>
      <c r="G338" s="374" t="s">
        <v>295</v>
      </c>
      <c r="H338" s="374">
        <v>60</v>
      </c>
      <c r="I338" s="375">
        <v>0.04</v>
      </c>
      <c r="J338" s="361">
        <f t="shared" si="41"/>
        <v>0.016</v>
      </c>
      <c r="K338" s="362">
        <v>2800</v>
      </c>
      <c r="L338" s="362">
        <v>2688</v>
      </c>
      <c r="M338" s="362"/>
      <c r="N338" s="362">
        <f t="shared" si="43"/>
        <v>112</v>
      </c>
      <c r="O338" s="362">
        <v>0</v>
      </c>
      <c r="P338" s="363">
        <f t="shared" si="44"/>
        <v>60</v>
      </c>
      <c r="Q338" s="364">
        <v>0.05</v>
      </c>
      <c r="R338" s="365">
        <f t="shared" si="45"/>
        <v>44.3333333333333</v>
      </c>
      <c r="S338" s="366">
        <f t="shared" si="46"/>
        <v>60</v>
      </c>
      <c r="T338" s="367">
        <f t="shared" si="47"/>
        <v>2660</v>
      </c>
      <c r="U338" s="367">
        <f t="shared" si="48"/>
        <v>-28</v>
      </c>
      <c r="V338" s="334"/>
    </row>
    <row r="339" s="158" customFormat="1" ht="14.55" outlineLevel="1" spans="2:22">
      <c r="B339" s="355"/>
      <c r="C339" s="356" t="s">
        <v>1397</v>
      </c>
      <c r="D339" s="357" t="s">
        <v>179</v>
      </c>
      <c r="E339" s="373" t="s">
        <v>734</v>
      </c>
      <c r="F339" s="374" t="s">
        <v>735</v>
      </c>
      <c r="G339" s="374" t="s">
        <v>363</v>
      </c>
      <c r="H339" s="374">
        <v>60</v>
      </c>
      <c r="I339" s="375">
        <v>0.04</v>
      </c>
      <c r="J339" s="361">
        <f t="shared" si="41"/>
        <v>0.016</v>
      </c>
      <c r="K339" s="362">
        <v>42500</v>
      </c>
      <c r="L339" s="362">
        <v>40800</v>
      </c>
      <c r="M339" s="362"/>
      <c r="N339" s="362">
        <f t="shared" si="43"/>
        <v>1700</v>
      </c>
      <c r="O339" s="362">
        <v>0</v>
      </c>
      <c r="P339" s="363">
        <f t="shared" si="44"/>
        <v>60</v>
      </c>
      <c r="Q339" s="364">
        <v>0.05</v>
      </c>
      <c r="R339" s="365">
        <f t="shared" si="45"/>
        <v>672.916666666667</v>
      </c>
      <c r="S339" s="366">
        <f t="shared" si="46"/>
        <v>60</v>
      </c>
      <c r="T339" s="367">
        <f t="shared" si="47"/>
        <v>40375</v>
      </c>
      <c r="U339" s="367">
        <f t="shared" si="48"/>
        <v>-425</v>
      </c>
      <c r="V339" s="334"/>
    </row>
    <row r="340" s="158" customFormat="1" ht="14.55" outlineLevel="1" spans="2:22">
      <c r="B340" s="355"/>
      <c r="C340" s="356" t="s">
        <v>1397</v>
      </c>
      <c r="D340" s="357" t="s">
        <v>179</v>
      </c>
      <c r="E340" s="373" t="s">
        <v>736</v>
      </c>
      <c r="F340" s="374" t="s">
        <v>737</v>
      </c>
      <c r="G340" s="374" t="s">
        <v>738</v>
      </c>
      <c r="H340" s="374">
        <v>60</v>
      </c>
      <c r="I340" s="375">
        <v>0.04</v>
      </c>
      <c r="J340" s="361">
        <f t="shared" ref="J340:J409" si="49">(1-I340)/H340</f>
        <v>0.016</v>
      </c>
      <c r="K340" s="362">
        <v>64000</v>
      </c>
      <c r="L340" s="362">
        <v>61440</v>
      </c>
      <c r="M340" s="362"/>
      <c r="N340" s="362">
        <f t="shared" si="43"/>
        <v>2560</v>
      </c>
      <c r="O340" s="362">
        <v>0</v>
      </c>
      <c r="P340" s="363">
        <f t="shared" si="44"/>
        <v>60</v>
      </c>
      <c r="Q340" s="364">
        <v>0.05</v>
      </c>
      <c r="R340" s="365">
        <f t="shared" si="45"/>
        <v>1013.33333333333</v>
      </c>
      <c r="S340" s="366">
        <f t="shared" si="46"/>
        <v>60</v>
      </c>
      <c r="T340" s="367">
        <f t="shared" si="47"/>
        <v>60800</v>
      </c>
      <c r="U340" s="367">
        <f t="shared" si="48"/>
        <v>-640</v>
      </c>
      <c r="V340" s="334"/>
    </row>
    <row r="341" s="158" customFormat="1" ht="14.55" outlineLevel="1" spans="2:22">
      <c r="B341" s="355"/>
      <c r="C341" s="356" t="s">
        <v>1397</v>
      </c>
      <c r="D341" s="357" t="s">
        <v>179</v>
      </c>
      <c r="E341" s="373" t="s">
        <v>739</v>
      </c>
      <c r="F341" s="374" t="s">
        <v>740</v>
      </c>
      <c r="G341" s="374" t="s">
        <v>741</v>
      </c>
      <c r="H341" s="374">
        <v>60</v>
      </c>
      <c r="I341" s="375">
        <v>0.05</v>
      </c>
      <c r="J341" s="361">
        <f t="shared" si="49"/>
        <v>0.0158333333333333</v>
      </c>
      <c r="K341" s="362">
        <v>520000</v>
      </c>
      <c r="L341" s="362">
        <v>469299.81</v>
      </c>
      <c r="M341" s="362"/>
      <c r="N341" s="362">
        <f t="shared" si="43"/>
        <v>50700.19</v>
      </c>
      <c r="O341" s="362">
        <v>98799.96</v>
      </c>
      <c r="P341" s="363">
        <f t="shared" si="44"/>
        <v>60</v>
      </c>
      <c r="Q341" s="364">
        <v>0.05</v>
      </c>
      <c r="R341" s="365">
        <f t="shared" si="45"/>
        <v>8233.33333333333</v>
      </c>
      <c r="S341" s="366">
        <f t="shared" si="46"/>
        <v>57</v>
      </c>
      <c r="T341" s="367">
        <f t="shared" si="47"/>
        <v>469300</v>
      </c>
      <c r="U341" s="367">
        <f t="shared" si="48"/>
        <v>0.190000000060536</v>
      </c>
      <c r="V341" s="334"/>
    </row>
    <row r="342" s="158" customFormat="1" ht="14.55" outlineLevel="1" spans="2:22">
      <c r="B342" s="355"/>
      <c r="C342" s="356" t="s">
        <v>1397</v>
      </c>
      <c r="D342" s="357" t="s">
        <v>179</v>
      </c>
      <c r="E342" s="373" t="s">
        <v>742</v>
      </c>
      <c r="F342" s="374" t="s">
        <v>743</v>
      </c>
      <c r="G342" s="374" t="s">
        <v>741</v>
      </c>
      <c r="H342" s="374">
        <v>60</v>
      </c>
      <c r="I342" s="375">
        <v>0.05</v>
      </c>
      <c r="J342" s="361">
        <f t="shared" si="49"/>
        <v>0.0158333333333333</v>
      </c>
      <c r="K342" s="362">
        <v>500000</v>
      </c>
      <c r="L342" s="362">
        <v>451250.19</v>
      </c>
      <c r="M342" s="362"/>
      <c r="N342" s="362">
        <f t="shared" si="43"/>
        <v>48749.81</v>
      </c>
      <c r="O342" s="362">
        <v>95000.04</v>
      </c>
      <c r="P342" s="363">
        <f t="shared" si="44"/>
        <v>60</v>
      </c>
      <c r="Q342" s="364">
        <v>0.05</v>
      </c>
      <c r="R342" s="365">
        <f t="shared" si="45"/>
        <v>7916.66666666667</v>
      </c>
      <c r="S342" s="366">
        <f t="shared" si="46"/>
        <v>57</v>
      </c>
      <c r="T342" s="367">
        <f t="shared" si="47"/>
        <v>451250</v>
      </c>
      <c r="U342" s="367">
        <f t="shared" si="48"/>
        <v>-0.190000000002328</v>
      </c>
      <c r="V342" s="334"/>
    </row>
    <row r="343" s="158" customFormat="1" ht="14.55" outlineLevel="1" spans="2:22">
      <c r="B343" s="355"/>
      <c r="C343" s="356" t="s">
        <v>1397</v>
      </c>
      <c r="D343" s="357" t="s">
        <v>179</v>
      </c>
      <c r="E343" s="373" t="s">
        <v>744</v>
      </c>
      <c r="F343" s="374" t="s">
        <v>745</v>
      </c>
      <c r="G343" s="374" t="s">
        <v>504</v>
      </c>
      <c r="H343" s="374">
        <v>60</v>
      </c>
      <c r="I343" s="375">
        <v>0.05</v>
      </c>
      <c r="J343" s="361">
        <f t="shared" si="49"/>
        <v>0.0158333333333333</v>
      </c>
      <c r="K343" s="362">
        <v>2800</v>
      </c>
      <c r="L343" s="362">
        <v>2438.15</v>
      </c>
      <c r="M343" s="362"/>
      <c r="N343" s="362">
        <f t="shared" si="43"/>
        <v>361.85</v>
      </c>
      <c r="O343" s="362">
        <v>531.96</v>
      </c>
      <c r="P343" s="363">
        <f t="shared" si="44"/>
        <v>60</v>
      </c>
      <c r="Q343" s="364">
        <v>0.05</v>
      </c>
      <c r="R343" s="365">
        <f t="shared" si="45"/>
        <v>44.3333333333333</v>
      </c>
      <c r="S343" s="366">
        <f t="shared" si="46"/>
        <v>55</v>
      </c>
      <c r="T343" s="367">
        <f t="shared" si="47"/>
        <v>2438.33333333333</v>
      </c>
      <c r="U343" s="367">
        <f t="shared" si="48"/>
        <v>0.183333333333394</v>
      </c>
      <c r="V343" s="334"/>
    </row>
    <row r="344" s="158" customFormat="1" ht="14.55" outlineLevel="1" spans="2:22">
      <c r="B344" s="355"/>
      <c r="C344" s="356" t="s">
        <v>1397</v>
      </c>
      <c r="D344" s="357" t="s">
        <v>179</v>
      </c>
      <c r="E344" s="373" t="s">
        <v>746</v>
      </c>
      <c r="F344" s="374" t="s">
        <v>642</v>
      </c>
      <c r="G344" s="374" t="s">
        <v>504</v>
      </c>
      <c r="H344" s="374">
        <v>60</v>
      </c>
      <c r="I344" s="375">
        <v>0.05</v>
      </c>
      <c r="J344" s="361">
        <f t="shared" si="49"/>
        <v>0.0158333333333333</v>
      </c>
      <c r="K344" s="362">
        <v>3500</v>
      </c>
      <c r="L344" s="362">
        <v>3048.1</v>
      </c>
      <c r="M344" s="362"/>
      <c r="N344" s="362">
        <f t="shared" si="43"/>
        <v>451.9</v>
      </c>
      <c r="O344" s="362">
        <v>665.04</v>
      </c>
      <c r="P344" s="363">
        <f t="shared" si="44"/>
        <v>60</v>
      </c>
      <c r="Q344" s="364">
        <v>0.05</v>
      </c>
      <c r="R344" s="365">
        <f t="shared" si="45"/>
        <v>55.4166666666667</v>
      </c>
      <c r="S344" s="366">
        <f t="shared" si="46"/>
        <v>55</v>
      </c>
      <c r="T344" s="367">
        <f t="shared" si="47"/>
        <v>3047.91666666667</v>
      </c>
      <c r="U344" s="367">
        <f t="shared" si="48"/>
        <v>-0.183333333333394</v>
      </c>
      <c r="V344" s="334"/>
    </row>
    <row r="345" s="158" customFormat="1" ht="14.55" outlineLevel="1" spans="2:22">
      <c r="B345" s="355"/>
      <c r="C345" s="356" t="s">
        <v>1397</v>
      </c>
      <c r="D345" s="357" t="s">
        <v>179</v>
      </c>
      <c r="E345" s="373" t="s">
        <v>747</v>
      </c>
      <c r="F345" s="374" t="s">
        <v>748</v>
      </c>
      <c r="G345" s="374" t="s">
        <v>749</v>
      </c>
      <c r="H345" s="374">
        <v>60</v>
      </c>
      <c r="I345" s="375">
        <v>0.05</v>
      </c>
      <c r="J345" s="361">
        <f t="shared" si="49"/>
        <v>0.0158333333333333</v>
      </c>
      <c r="K345" s="362">
        <v>340000</v>
      </c>
      <c r="L345" s="362">
        <v>269166.5</v>
      </c>
      <c r="M345" s="362"/>
      <c r="N345" s="362">
        <f t="shared" si="43"/>
        <v>70833.5</v>
      </c>
      <c r="O345" s="362">
        <v>64599.96</v>
      </c>
      <c r="P345" s="363">
        <f t="shared" si="44"/>
        <v>60</v>
      </c>
      <c r="Q345" s="364">
        <v>0.05</v>
      </c>
      <c r="R345" s="365">
        <f t="shared" si="45"/>
        <v>5383.33333333333</v>
      </c>
      <c r="S345" s="366">
        <f t="shared" si="46"/>
        <v>50</v>
      </c>
      <c r="T345" s="367">
        <f t="shared" si="47"/>
        <v>269166.666666667</v>
      </c>
      <c r="U345" s="367">
        <f t="shared" si="48"/>
        <v>0.166666666627862</v>
      </c>
      <c r="V345" s="334"/>
    </row>
    <row r="346" s="158" customFormat="1" ht="14.55" outlineLevel="1" spans="2:22">
      <c r="B346" s="355"/>
      <c r="C346" s="356" t="s">
        <v>1397</v>
      </c>
      <c r="D346" s="357" t="s">
        <v>179</v>
      </c>
      <c r="E346" s="373" t="s">
        <v>750</v>
      </c>
      <c r="F346" s="374" t="s">
        <v>751</v>
      </c>
      <c r="G346" s="374" t="s">
        <v>752</v>
      </c>
      <c r="H346" s="374">
        <v>60</v>
      </c>
      <c r="I346" s="375">
        <v>0.05</v>
      </c>
      <c r="J346" s="361">
        <f t="shared" si="49"/>
        <v>0.0158333333333333</v>
      </c>
      <c r="K346" s="362">
        <v>48000</v>
      </c>
      <c r="L346" s="362">
        <v>37240</v>
      </c>
      <c r="M346" s="362"/>
      <c r="N346" s="362">
        <f t="shared" si="43"/>
        <v>10760</v>
      </c>
      <c r="O346" s="362">
        <v>9120</v>
      </c>
      <c r="P346" s="363">
        <f t="shared" si="44"/>
        <v>60</v>
      </c>
      <c r="Q346" s="364">
        <v>0.05</v>
      </c>
      <c r="R346" s="365">
        <f t="shared" si="45"/>
        <v>760</v>
      </c>
      <c r="S346" s="366">
        <f t="shared" si="46"/>
        <v>49</v>
      </c>
      <c r="T346" s="367">
        <f t="shared" si="47"/>
        <v>37240</v>
      </c>
      <c r="U346" s="367">
        <f t="shared" si="48"/>
        <v>0</v>
      </c>
      <c r="V346" s="334"/>
    </row>
    <row r="347" s="158" customFormat="1" ht="14.55" outlineLevel="1" spans="2:22">
      <c r="B347" s="355"/>
      <c r="C347" s="356" t="s">
        <v>1397</v>
      </c>
      <c r="D347" s="357" t="s">
        <v>179</v>
      </c>
      <c r="E347" s="373" t="s">
        <v>753</v>
      </c>
      <c r="F347" s="374" t="s">
        <v>644</v>
      </c>
      <c r="G347" s="374" t="s">
        <v>752</v>
      </c>
      <c r="H347" s="374">
        <v>60</v>
      </c>
      <c r="I347" s="375">
        <v>0.05</v>
      </c>
      <c r="J347" s="361">
        <f t="shared" si="49"/>
        <v>0.0158333333333333</v>
      </c>
      <c r="K347" s="362">
        <v>26600</v>
      </c>
      <c r="L347" s="362">
        <v>20637.33</v>
      </c>
      <c r="M347" s="362"/>
      <c r="N347" s="362">
        <f t="shared" si="43"/>
        <v>5962.67</v>
      </c>
      <c r="O347" s="362">
        <v>5054.04</v>
      </c>
      <c r="P347" s="363">
        <f t="shared" si="44"/>
        <v>60</v>
      </c>
      <c r="Q347" s="364">
        <v>0.05</v>
      </c>
      <c r="R347" s="365">
        <f t="shared" si="45"/>
        <v>421.166666666667</v>
      </c>
      <c r="S347" s="366">
        <f t="shared" si="46"/>
        <v>49</v>
      </c>
      <c r="T347" s="367">
        <f t="shared" si="47"/>
        <v>20637.1666666667</v>
      </c>
      <c r="U347" s="367">
        <f t="shared" si="48"/>
        <v>-0.163333333333867</v>
      </c>
      <c r="V347" s="334"/>
    </row>
    <row r="348" s="158" customFormat="1" ht="14.55" outlineLevel="1" spans="2:22">
      <c r="B348" s="355"/>
      <c r="C348" s="356" t="s">
        <v>1397</v>
      </c>
      <c r="D348" s="357" t="s">
        <v>179</v>
      </c>
      <c r="E348" s="373" t="s">
        <v>754</v>
      </c>
      <c r="F348" s="374" t="s">
        <v>755</v>
      </c>
      <c r="G348" s="374" t="s">
        <v>507</v>
      </c>
      <c r="H348" s="374">
        <v>60</v>
      </c>
      <c r="I348" s="375">
        <v>0.05</v>
      </c>
      <c r="J348" s="361">
        <f t="shared" si="49"/>
        <v>0.0158333333333333</v>
      </c>
      <c r="K348" s="362">
        <v>21680</v>
      </c>
      <c r="L348" s="362">
        <v>16476.96</v>
      </c>
      <c r="M348" s="362"/>
      <c r="N348" s="362">
        <f t="shared" si="43"/>
        <v>5203.04</v>
      </c>
      <c r="O348" s="362">
        <v>4119.24</v>
      </c>
      <c r="P348" s="363">
        <f t="shared" si="44"/>
        <v>60</v>
      </c>
      <c r="Q348" s="364">
        <v>0.05</v>
      </c>
      <c r="R348" s="365">
        <f t="shared" si="45"/>
        <v>343.266666666667</v>
      </c>
      <c r="S348" s="366">
        <f t="shared" si="46"/>
        <v>48</v>
      </c>
      <c r="T348" s="367">
        <f t="shared" si="47"/>
        <v>16476.8</v>
      </c>
      <c r="U348" s="367">
        <f t="shared" si="48"/>
        <v>-0.159999999999854</v>
      </c>
      <c r="V348" s="334"/>
    </row>
    <row r="349" s="158" customFormat="1" ht="14.55" outlineLevel="1" spans="2:22">
      <c r="B349" s="355"/>
      <c r="C349" s="356" t="s">
        <v>1397</v>
      </c>
      <c r="D349" s="357" t="s">
        <v>179</v>
      </c>
      <c r="E349" s="373" t="s">
        <v>756</v>
      </c>
      <c r="F349" s="374" t="s">
        <v>757</v>
      </c>
      <c r="G349" s="374" t="s">
        <v>515</v>
      </c>
      <c r="H349" s="374">
        <v>60</v>
      </c>
      <c r="I349" s="375">
        <v>0.05</v>
      </c>
      <c r="J349" s="361">
        <f t="shared" si="49"/>
        <v>0.0158333333333333</v>
      </c>
      <c r="K349" s="362">
        <v>500000</v>
      </c>
      <c r="L349" s="362">
        <v>364166.82</v>
      </c>
      <c r="M349" s="362"/>
      <c r="N349" s="362">
        <f t="shared" si="43"/>
        <v>135833.18</v>
      </c>
      <c r="O349" s="362">
        <v>95000.04</v>
      </c>
      <c r="P349" s="363">
        <f t="shared" si="44"/>
        <v>60</v>
      </c>
      <c r="Q349" s="364">
        <v>0.05</v>
      </c>
      <c r="R349" s="365">
        <f t="shared" si="45"/>
        <v>7916.66666666667</v>
      </c>
      <c r="S349" s="366">
        <f t="shared" si="46"/>
        <v>46</v>
      </c>
      <c r="T349" s="367">
        <f t="shared" si="47"/>
        <v>364166.666666667</v>
      </c>
      <c r="U349" s="367">
        <f t="shared" si="48"/>
        <v>-0.153333333320916</v>
      </c>
      <c r="V349" s="334"/>
    </row>
    <row r="350" s="158" customFormat="1" ht="14.55" outlineLevel="1" spans="2:22">
      <c r="B350" s="355"/>
      <c r="C350" s="356" t="s">
        <v>1397</v>
      </c>
      <c r="D350" s="357" t="s">
        <v>179</v>
      </c>
      <c r="E350" s="373" t="s">
        <v>758</v>
      </c>
      <c r="F350" s="374" t="s">
        <v>759</v>
      </c>
      <c r="G350" s="374" t="s">
        <v>400</v>
      </c>
      <c r="H350" s="374">
        <v>60</v>
      </c>
      <c r="I350" s="375">
        <v>0.05</v>
      </c>
      <c r="J350" s="361">
        <f t="shared" si="49"/>
        <v>0.0158333333333333</v>
      </c>
      <c r="K350" s="362">
        <v>115000</v>
      </c>
      <c r="L350" s="362">
        <v>72833.2</v>
      </c>
      <c r="M350" s="362"/>
      <c r="N350" s="362">
        <f t="shared" si="43"/>
        <v>42166.8</v>
      </c>
      <c r="O350" s="362">
        <v>21849.96</v>
      </c>
      <c r="P350" s="363">
        <f t="shared" si="44"/>
        <v>60</v>
      </c>
      <c r="Q350" s="364">
        <v>0.05</v>
      </c>
      <c r="R350" s="365">
        <f t="shared" si="45"/>
        <v>1820.83333333333</v>
      </c>
      <c r="S350" s="366">
        <f t="shared" si="46"/>
        <v>40</v>
      </c>
      <c r="T350" s="367">
        <f t="shared" si="47"/>
        <v>72833.3333333333</v>
      </c>
      <c r="U350" s="367">
        <f t="shared" si="48"/>
        <v>0.133333333331393</v>
      </c>
      <c r="V350" s="334"/>
    </row>
    <row r="351" s="158" customFormat="1" ht="14.55" outlineLevel="1" spans="2:22">
      <c r="B351" s="355"/>
      <c r="C351" s="356" t="s">
        <v>1397</v>
      </c>
      <c r="D351" s="357" t="s">
        <v>179</v>
      </c>
      <c r="E351" s="373" t="s">
        <v>760</v>
      </c>
      <c r="F351" s="374" t="s">
        <v>761</v>
      </c>
      <c r="G351" s="374" t="s">
        <v>762</v>
      </c>
      <c r="H351" s="374">
        <v>60</v>
      </c>
      <c r="I351" s="375">
        <v>0.05</v>
      </c>
      <c r="J351" s="361">
        <f t="shared" si="49"/>
        <v>0.0158333333333333</v>
      </c>
      <c r="K351" s="362">
        <v>11500</v>
      </c>
      <c r="L351" s="362">
        <v>7101.12</v>
      </c>
      <c r="M351" s="362"/>
      <c r="N351" s="362">
        <f t="shared" si="43"/>
        <v>4398.88</v>
      </c>
      <c r="O351" s="362">
        <v>2184.96</v>
      </c>
      <c r="P351" s="363">
        <f t="shared" si="44"/>
        <v>60</v>
      </c>
      <c r="Q351" s="364">
        <v>0.05</v>
      </c>
      <c r="R351" s="365">
        <f t="shared" si="45"/>
        <v>182.083333333333</v>
      </c>
      <c r="S351" s="366">
        <f t="shared" si="46"/>
        <v>39</v>
      </c>
      <c r="T351" s="367">
        <f t="shared" si="47"/>
        <v>7101.25</v>
      </c>
      <c r="U351" s="367">
        <f t="shared" si="48"/>
        <v>0.130000000000109</v>
      </c>
      <c r="V351" s="334"/>
    </row>
    <row r="352" s="158" customFormat="1" ht="14.55" outlineLevel="1" spans="2:22">
      <c r="B352" s="355"/>
      <c r="C352" s="356" t="s">
        <v>1397</v>
      </c>
      <c r="D352" s="357" t="s">
        <v>179</v>
      </c>
      <c r="E352" s="373" t="s">
        <v>763</v>
      </c>
      <c r="F352" s="374" t="s">
        <v>764</v>
      </c>
      <c r="G352" s="374" t="s">
        <v>765</v>
      </c>
      <c r="H352" s="374">
        <v>60</v>
      </c>
      <c r="I352" s="375">
        <v>0.05</v>
      </c>
      <c r="J352" s="361">
        <f t="shared" si="49"/>
        <v>0.0158333333333333</v>
      </c>
      <c r="K352" s="362">
        <v>6800</v>
      </c>
      <c r="L352" s="362">
        <v>4629.81</v>
      </c>
      <c r="M352" s="362"/>
      <c r="N352" s="362">
        <f t="shared" si="43"/>
        <v>2170.19</v>
      </c>
      <c r="O352" s="362">
        <v>1292.04</v>
      </c>
      <c r="P352" s="363">
        <f t="shared" si="44"/>
        <v>60</v>
      </c>
      <c r="Q352" s="364">
        <v>0.05</v>
      </c>
      <c r="R352" s="365">
        <f t="shared" si="45"/>
        <v>107.666666666667</v>
      </c>
      <c r="S352" s="366">
        <f t="shared" si="46"/>
        <v>43</v>
      </c>
      <c r="T352" s="367">
        <f t="shared" si="47"/>
        <v>4629.66666666667</v>
      </c>
      <c r="U352" s="367">
        <f t="shared" si="48"/>
        <v>-0.14333333333343</v>
      </c>
      <c r="V352" s="334"/>
    </row>
    <row r="353" s="158" customFormat="1" ht="14.55" outlineLevel="1" spans="2:22">
      <c r="B353" s="355"/>
      <c r="C353" s="356" t="s">
        <v>1397</v>
      </c>
      <c r="D353" s="357" t="s">
        <v>179</v>
      </c>
      <c r="E353" s="373" t="s">
        <v>766</v>
      </c>
      <c r="F353" s="374" t="s">
        <v>644</v>
      </c>
      <c r="G353" s="374" t="s">
        <v>419</v>
      </c>
      <c r="H353" s="374">
        <v>60</v>
      </c>
      <c r="I353" s="375">
        <v>0.05</v>
      </c>
      <c r="J353" s="361">
        <f t="shared" si="49"/>
        <v>0.0158333333333333</v>
      </c>
      <c r="K353" s="362">
        <v>12250</v>
      </c>
      <c r="L353" s="362">
        <v>6982.56</v>
      </c>
      <c r="M353" s="362"/>
      <c r="N353" s="362">
        <f t="shared" si="43"/>
        <v>5267.44</v>
      </c>
      <c r="O353" s="362">
        <v>2327.52</v>
      </c>
      <c r="P353" s="363">
        <f t="shared" si="44"/>
        <v>60</v>
      </c>
      <c r="Q353" s="364">
        <v>0.05</v>
      </c>
      <c r="R353" s="365">
        <f t="shared" si="45"/>
        <v>193.958333333333</v>
      </c>
      <c r="S353" s="366">
        <f t="shared" si="46"/>
        <v>36</v>
      </c>
      <c r="T353" s="367">
        <f t="shared" si="47"/>
        <v>6982.5</v>
      </c>
      <c r="U353" s="367">
        <f t="shared" si="48"/>
        <v>-0.0600000000004002</v>
      </c>
      <c r="V353" s="334"/>
    </row>
    <row r="354" s="158" customFormat="1" ht="14.55" outlineLevel="1" spans="2:22">
      <c r="B354" s="355"/>
      <c r="C354" s="356" t="s">
        <v>1397</v>
      </c>
      <c r="D354" s="357" t="s">
        <v>179</v>
      </c>
      <c r="E354" s="373" t="s">
        <v>767</v>
      </c>
      <c r="F354" s="374" t="s">
        <v>768</v>
      </c>
      <c r="G354" s="374" t="s">
        <v>419</v>
      </c>
      <c r="H354" s="374">
        <v>60</v>
      </c>
      <c r="I354" s="375">
        <v>0.05</v>
      </c>
      <c r="J354" s="361">
        <f t="shared" si="49"/>
        <v>0.0158333333333333</v>
      </c>
      <c r="K354" s="362">
        <v>350000</v>
      </c>
      <c r="L354" s="362">
        <v>199500.12</v>
      </c>
      <c r="M354" s="362"/>
      <c r="N354" s="362">
        <f t="shared" si="43"/>
        <v>150499.88</v>
      </c>
      <c r="O354" s="362">
        <v>66500.04</v>
      </c>
      <c r="P354" s="363">
        <f t="shared" si="44"/>
        <v>60</v>
      </c>
      <c r="Q354" s="364">
        <v>0.05</v>
      </c>
      <c r="R354" s="365">
        <f t="shared" si="45"/>
        <v>5541.66666666667</v>
      </c>
      <c r="S354" s="366">
        <f t="shared" si="46"/>
        <v>36</v>
      </c>
      <c r="T354" s="367">
        <f t="shared" si="47"/>
        <v>199500</v>
      </c>
      <c r="U354" s="367">
        <f t="shared" si="48"/>
        <v>-0.119999999995343</v>
      </c>
      <c r="V354" s="334"/>
    </row>
    <row r="355" s="158" customFormat="1" ht="14.55" outlineLevel="1" spans="2:22">
      <c r="B355" s="355"/>
      <c r="C355" s="356" t="s">
        <v>1397</v>
      </c>
      <c r="D355" s="357" t="s">
        <v>179</v>
      </c>
      <c r="E355" s="373" t="s">
        <v>769</v>
      </c>
      <c r="F355" s="374" t="s">
        <v>770</v>
      </c>
      <c r="G355" s="374" t="s">
        <v>771</v>
      </c>
      <c r="H355" s="374">
        <v>60</v>
      </c>
      <c r="I355" s="375">
        <v>0.05</v>
      </c>
      <c r="J355" s="361">
        <f t="shared" si="49"/>
        <v>0.0158333333333333</v>
      </c>
      <c r="K355" s="362">
        <v>7800</v>
      </c>
      <c r="L355" s="362">
        <v>4199</v>
      </c>
      <c r="M355" s="362"/>
      <c r="N355" s="362">
        <f t="shared" si="43"/>
        <v>3601</v>
      </c>
      <c r="O355" s="362">
        <v>1482</v>
      </c>
      <c r="P355" s="363">
        <f t="shared" si="44"/>
        <v>60</v>
      </c>
      <c r="Q355" s="364">
        <v>0.05</v>
      </c>
      <c r="R355" s="365">
        <f t="shared" si="45"/>
        <v>123.5</v>
      </c>
      <c r="S355" s="366">
        <f t="shared" si="46"/>
        <v>34</v>
      </c>
      <c r="T355" s="367">
        <f t="shared" si="47"/>
        <v>4199</v>
      </c>
      <c r="U355" s="367">
        <f t="shared" si="48"/>
        <v>0</v>
      </c>
      <c r="V355" s="334"/>
    </row>
    <row r="356" s="158" customFormat="1" ht="14.55" outlineLevel="1" spans="2:22">
      <c r="B356" s="355"/>
      <c r="C356" s="356" t="s">
        <v>1397</v>
      </c>
      <c r="D356" s="357" t="s">
        <v>179</v>
      </c>
      <c r="E356" s="373" t="s">
        <v>772</v>
      </c>
      <c r="F356" s="374" t="s">
        <v>696</v>
      </c>
      <c r="G356" s="374" t="s">
        <v>428</v>
      </c>
      <c r="H356" s="374">
        <v>60</v>
      </c>
      <c r="I356" s="375">
        <v>0.05</v>
      </c>
      <c r="J356" s="361">
        <f t="shared" si="49"/>
        <v>0.0158333333333333</v>
      </c>
      <c r="K356" s="362">
        <v>122000</v>
      </c>
      <c r="L356" s="362">
        <v>63745.11</v>
      </c>
      <c r="M356" s="362"/>
      <c r="N356" s="362">
        <f t="shared" si="43"/>
        <v>58254.89</v>
      </c>
      <c r="O356" s="362">
        <v>23180.04</v>
      </c>
      <c r="P356" s="363">
        <f t="shared" si="44"/>
        <v>60</v>
      </c>
      <c r="Q356" s="364">
        <v>0.05</v>
      </c>
      <c r="R356" s="365">
        <f t="shared" si="45"/>
        <v>1931.66666666667</v>
      </c>
      <c r="S356" s="366">
        <f t="shared" si="46"/>
        <v>33</v>
      </c>
      <c r="T356" s="367">
        <f t="shared" si="47"/>
        <v>63745</v>
      </c>
      <c r="U356" s="367">
        <f t="shared" si="48"/>
        <v>-0.110000000000582</v>
      </c>
      <c r="V356" s="334"/>
    </row>
    <row r="357" s="158" customFormat="1" ht="14.55" outlineLevel="1" spans="2:22">
      <c r="B357" s="355"/>
      <c r="C357" s="356" t="s">
        <v>1397</v>
      </c>
      <c r="D357" s="357" t="s">
        <v>179</v>
      </c>
      <c r="E357" s="373" t="s">
        <v>773</v>
      </c>
      <c r="F357" s="374" t="s">
        <v>774</v>
      </c>
      <c r="G357" s="374" t="s">
        <v>775</v>
      </c>
      <c r="H357" s="374">
        <v>60</v>
      </c>
      <c r="I357" s="375">
        <v>0.05</v>
      </c>
      <c r="J357" s="361">
        <f t="shared" si="49"/>
        <v>0.0158333333333333</v>
      </c>
      <c r="K357" s="362">
        <v>20715</v>
      </c>
      <c r="L357" s="362">
        <v>10167.69</v>
      </c>
      <c r="M357" s="362"/>
      <c r="N357" s="362">
        <f t="shared" si="43"/>
        <v>10547.31</v>
      </c>
      <c r="O357" s="362">
        <v>3935.88</v>
      </c>
      <c r="P357" s="363">
        <f t="shared" si="44"/>
        <v>60</v>
      </c>
      <c r="Q357" s="364">
        <v>0.05</v>
      </c>
      <c r="R357" s="365">
        <f t="shared" si="45"/>
        <v>327.9875</v>
      </c>
      <c r="S357" s="366">
        <f t="shared" si="46"/>
        <v>31</v>
      </c>
      <c r="T357" s="367">
        <f t="shared" si="47"/>
        <v>10167.6125</v>
      </c>
      <c r="U357" s="367">
        <f t="shared" si="48"/>
        <v>-0.0774999999994179</v>
      </c>
      <c r="V357" s="334"/>
    </row>
    <row r="358" s="158" customFormat="1" ht="14.55" outlineLevel="1" spans="2:22">
      <c r="B358" s="355"/>
      <c r="C358" s="356" t="s">
        <v>1397</v>
      </c>
      <c r="D358" s="357" t="s">
        <v>179</v>
      </c>
      <c r="E358" s="373" t="s">
        <v>870</v>
      </c>
      <c r="F358" s="374" t="s">
        <v>871</v>
      </c>
      <c r="G358" s="374" t="s">
        <v>872</v>
      </c>
      <c r="H358" s="374">
        <v>60</v>
      </c>
      <c r="I358" s="375">
        <v>0.05</v>
      </c>
      <c r="J358" s="361">
        <f t="shared" si="49"/>
        <v>0.0158333333333333</v>
      </c>
      <c r="K358" s="362">
        <v>7200</v>
      </c>
      <c r="L358" s="362">
        <v>3306</v>
      </c>
      <c r="M358" s="362"/>
      <c r="N358" s="362">
        <f t="shared" si="43"/>
        <v>3894</v>
      </c>
      <c r="O358" s="362">
        <v>1368</v>
      </c>
      <c r="P358" s="363">
        <f t="shared" si="44"/>
        <v>60</v>
      </c>
      <c r="Q358" s="364">
        <v>0.05</v>
      </c>
      <c r="R358" s="365">
        <f t="shared" si="45"/>
        <v>114</v>
      </c>
      <c r="S358" s="366">
        <f t="shared" si="46"/>
        <v>29</v>
      </c>
      <c r="T358" s="367">
        <f t="shared" si="47"/>
        <v>3306</v>
      </c>
      <c r="U358" s="367">
        <f t="shared" si="48"/>
        <v>0</v>
      </c>
      <c r="V358" s="334"/>
    </row>
    <row r="359" s="158" customFormat="1" ht="14.55" outlineLevel="1" spans="2:22">
      <c r="B359" s="355"/>
      <c r="C359" s="356" t="s">
        <v>1397</v>
      </c>
      <c r="D359" s="357" t="s">
        <v>179</v>
      </c>
      <c r="E359" s="373" t="s">
        <v>873</v>
      </c>
      <c r="F359" s="374" t="s">
        <v>874</v>
      </c>
      <c r="G359" s="374" t="s">
        <v>872</v>
      </c>
      <c r="H359" s="374">
        <v>60</v>
      </c>
      <c r="I359" s="375">
        <v>0.05</v>
      </c>
      <c r="J359" s="361">
        <f t="shared" si="49"/>
        <v>0.0158333333333333</v>
      </c>
      <c r="K359" s="362">
        <v>1000</v>
      </c>
      <c r="L359" s="362">
        <v>459.07</v>
      </c>
      <c r="M359" s="362"/>
      <c r="N359" s="362">
        <f t="shared" si="43"/>
        <v>540.93</v>
      </c>
      <c r="O359" s="362">
        <v>189.96</v>
      </c>
      <c r="P359" s="363">
        <f t="shared" ref="P359:P390" si="50">_xlfn.XLOOKUP(D359,$C$484:$C$489,$E$484:$E$489)</f>
        <v>60</v>
      </c>
      <c r="Q359" s="364">
        <v>0.05</v>
      </c>
      <c r="R359" s="365">
        <f t="shared" si="45"/>
        <v>15.8333333333333</v>
      </c>
      <c r="S359" s="366">
        <f t="shared" si="46"/>
        <v>29</v>
      </c>
      <c r="T359" s="367">
        <f t="shared" si="47"/>
        <v>459.166666666667</v>
      </c>
      <c r="U359" s="367">
        <f t="shared" si="48"/>
        <v>0.0966666666666924</v>
      </c>
      <c r="V359" s="334"/>
    </row>
    <row r="360" s="158" customFormat="1" ht="14.55" outlineLevel="1" spans="2:22">
      <c r="B360" s="355"/>
      <c r="C360" s="356" t="s">
        <v>1397</v>
      </c>
      <c r="D360" s="357" t="s">
        <v>179</v>
      </c>
      <c r="E360" s="373" t="s">
        <v>875</v>
      </c>
      <c r="F360" s="374" t="s">
        <v>876</v>
      </c>
      <c r="G360" s="374" t="s">
        <v>872</v>
      </c>
      <c r="H360" s="374">
        <v>60</v>
      </c>
      <c r="I360" s="375">
        <v>0.05</v>
      </c>
      <c r="J360" s="361">
        <f t="shared" si="49"/>
        <v>0.0158333333333333</v>
      </c>
      <c r="K360" s="362">
        <v>1000</v>
      </c>
      <c r="L360" s="362">
        <v>459.07</v>
      </c>
      <c r="M360" s="362"/>
      <c r="N360" s="362">
        <f t="shared" si="43"/>
        <v>540.93</v>
      </c>
      <c r="O360" s="362">
        <v>189.96</v>
      </c>
      <c r="P360" s="363">
        <f t="shared" si="50"/>
        <v>60</v>
      </c>
      <c r="Q360" s="364">
        <v>0.05</v>
      </c>
      <c r="R360" s="365">
        <f t="shared" si="45"/>
        <v>15.8333333333333</v>
      </c>
      <c r="S360" s="366">
        <f t="shared" si="46"/>
        <v>29</v>
      </c>
      <c r="T360" s="367">
        <f t="shared" si="47"/>
        <v>459.166666666667</v>
      </c>
      <c r="U360" s="367">
        <f t="shared" si="48"/>
        <v>0.0966666666666924</v>
      </c>
      <c r="V360" s="334"/>
    </row>
    <row r="361" s="158" customFormat="1" ht="14.55" outlineLevel="1" spans="2:22">
      <c r="B361" s="355"/>
      <c r="C361" s="356" t="s">
        <v>1397</v>
      </c>
      <c r="D361" s="357" t="s">
        <v>179</v>
      </c>
      <c r="E361" s="373" t="s">
        <v>877</v>
      </c>
      <c r="F361" s="374" t="s">
        <v>770</v>
      </c>
      <c r="G361" s="374" t="s">
        <v>823</v>
      </c>
      <c r="H361" s="374">
        <v>60</v>
      </c>
      <c r="I361" s="375">
        <v>0.05</v>
      </c>
      <c r="J361" s="361">
        <f t="shared" si="49"/>
        <v>0.0158333333333333</v>
      </c>
      <c r="K361" s="362">
        <v>5000</v>
      </c>
      <c r="L361" s="362">
        <v>2216.76</v>
      </c>
      <c r="M361" s="362"/>
      <c r="N361" s="362">
        <f t="shared" si="43"/>
        <v>2783.24</v>
      </c>
      <c r="O361" s="362">
        <v>950.04</v>
      </c>
      <c r="P361" s="363">
        <f t="shared" si="50"/>
        <v>60</v>
      </c>
      <c r="Q361" s="364">
        <v>0.05</v>
      </c>
      <c r="R361" s="365">
        <f t="shared" si="45"/>
        <v>79.1666666666667</v>
      </c>
      <c r="S361" s="366">
        <f t="shared" si="46"/>
        <v>28</v>
      </c>
      <c r="T361" s="367">
        <f t="shared" si="47"/>
        <v>2216.66666666667</v>
      </c>
      <c r="U361" s="367">
        <f t="shared" si="48"/>
        <v>-0.0933333333332484</v>
      </c>
      <c r="V361" s="334"/>
    </row>
    <row r="362" s="158" customFormat="1" ht="14.55" outlineLevel="1" spans="2:22">
      <c r="B362" s="355"/>
      <c r="C362" s="356" t="s">
        <v>1397</v>
      </c>
      <c r="D362" s="357" t="s">
        <v>179</v>
      </c>
      <c r="E362" s="373" t="s">
        <v>878</v>
      </c>
      <c r="F362" s="374" t="s">
        <v>879</v>
      </c>
      <c r="G362" s="374" t="s">
        <v>880</v>
      </c>
      <c r="H362" s="374">
        <v>60</v>
      </c>
      <c r="I362" s="375">
        <v>0.05</v>
      </c>
      <c r="J362" s="361">
        <f t="shared" si="49"/>
        <v>0.0158333333333333</v>
      </c>
      <c r="K362" s="362">
        <v>4900</v>
      </c>
      <c r="L362" s="362">
        <v>2017.08</v>
      </c>
      <c r="M362" s="362"/>
      <c r="N362" s="362">
        <f t="shared" si="43"/>
        <v>2882.92</v>
      </c>
      <c r="O362" s="362">
        <v>930.96</v>
      </c>
      <c r="P362" s="363">
        <f t="shared" si="50"/>
        <v>60</v>
      </c>
      <c r="Q362" s="364">
        <v>0.05</v>
      </c>
      <c r="R362" s="365">
        <f t="shared" si="45"/>
        <v>77.5833333333333</v>
      </c>
      <c r="S362" s="366">
        <f t="shared" si="46"/>
        <v>26</v>
      </c>
      <c r="T362" s="367">
        <f t="shared" si="47"/>
        <v>2017.16666666667</v>
      </c>
      <c r="U362" s="367">
        <f t="shared" si="48"/>
        <v>0.0866666666665878</v>
      </c>
      <c r="V362" s="334"/>
    </row>
    <row r="363" s="158" customFormat="1" ht="14.55" outlineLevel="1" spans="2:22">
      <c r="B363" s="355"/>
      <c r="C363" s="356" t="s">
        <v>1397</v>
      </c>
      <c r="D363" s="357" t="s">
        <v>179</v>
      </c>
      <c r="E363" s="373" t="s">
        <v>881</v>
      </c>
      <c r="F363" s="374" t="s">
        <v>882</v>
      </c>
      <c r="G363" s="374" t="s">
        <v>880</v>
      </c>
      <c r="H363" s="374">
        <v>60</v>
      </c>
      <c r="I363" s="375">
        <v>0.05</v>
      </c>
      <c r="J363" s="361">
        <f t="shared" si="49"/>
        <v>0.0158333333333333</v>
      </c>
      <c r="K363" s="362">
        <v>42936</v>
      </c>
      <c r="L363" s="362">
        <v>17675.32</v>
      </c>
      <c r="M363" s="362"/>
      <c r="N363" s="362">
        <f t="shared" si="43"/>
        <v>25260.68</v>
      </c>
      <c r="O363" s="362">
        <v>8157.84</v>
      </c>
      <c r="P363" s="363">
        <f t="shared" si="50"/>
        <v>60</v>
      </c>
      <c r="Q363" s="364">
        <v>0.05</v>
      </c>
      <c r="R363" s="365">
        <f t="shared" si="45"/>
        <v>679.82</v>
      </c>
      <c r="S363" s="366">
        <f t="shared" si="46"/>
        <v>26</v>
      </c>
      <c r="T363" s="367">
        <f t="shared" si="47"/>
        <v>17675.32</v>
      </c>
      <c r="U363" s="367">
        <f t="shared" si="48"/>
        <v>0</v>
      </c>
      <c r="V363" s="334"/>
    </row>
    <row r="364" s="158" customFormat="1" ht="14.55" outlineLevel="1" spans="2:22">
      <c r="B364" s="355"/>
      <c r="C364" s="356" t="s">
        <v>1397</v>
      </c>
      <c r="D364" s="357" t="s">
        <v>179</v>
      </c>
      <c r="E364" s="373" t="s">
        <v>883</v>
      </c>
      <c r="F364" s="374" t="s">
        <v>884</v>
      </c>
      <c r="G364" s="374" t="s">
        <v>880</v>
      </c>
      <c r="H364" s="374">
        <v>60</v>
      </c>
      <c r="I364" s="375">
        <v>0.05</v>
      </c>
      <c r="J364" s="361">
        <f t="shared" si="49"/>
        <v>0.0158333333333333</v>
      </c>
      <c r="K364" s="362">
        <v>61235</v>
      </c>
      <c r="L364" s="362">
        <v>25208.3</v>
      </c>
      <c r="M364" s="362"/>
      <c r="N364" s="362">
        <f t="shared" si="43"/>
        <v>36026.7</v>
      </c>
      <c r="O364" s="362">
        <v>11634.6</v>
      </c>
      <c r="P364" s="363">
        <f t="shared" si="50"/>
        <v>60</v>
      </c>
      <c r="Q364" s="364">
        <v>0.05</v>
      </c>
      <c r="R364" s="365">
        <f t="shared" si="45"/>
        <v>969.554166666667</v>
      </c>
      <c r="S364" s="366">
        <f t="shared" si="46"/>
        <v>26</v>
      </c>
      <c r="T364" s="367">
        <f t="shared" si="47"/>
        <v>25208.4083333333</v>
      </c>
      <c r="U364" s="367">
        <f t="shared" si="48"/>
        <v>0.108333333333576</v>
      </c>
      <c r="V364" s="334"/>
    </row>
    <row r="365" s="158" customFormat="1" ht="14.55" outlineLevel="1" spans="2:22">
      <c r="B365" s="355"/>
      <c r="C365" s="356" t="s">
        <v>1397</v>
      </c>
      <c r="D365" s="357" t="s">
        <v>179</v>
      </c>
      <c r="E365" s="373" t="s">
        <v>885</v>
      </c>
      <c r="F365" s="374" t="s">
        <v>748</v>
      </c>
      <c r="G365" s="374" t="s">
        <v>886</v>
      </c>
      <c r="H365" s="374">
        <v>60</v>
      </c>
      <c r="I365" s="375">
        <v>0.05</v>
      </c>
      <c r="J365" s="361">
        <f t="shared" si="49"/>
        <v>0.0158333333333333</v>
      </c>
      <c r="K365" s="362">
        <v>400000</v>
      </c>
      <c r="L365" s="362">
        <v>164666.58</v>
      </c>
      <c r="M365" s="362"/>
      <c r="N365" s="362">
        <f t="shared" si="43"/>
        <v>235333.42</v>
      </c>
      <c r="O365" s="362">
        <v>75999.96</v>
      </c>
      <c r="P365" s="363">
        <f t="shared" si="50"/>
        <v>60</v>
      </c>
      <c r="Q365" s="364">
        <v>0.05</v>
      </c>
      <c r="R365" s="365">
        <f t="shared" si="45"/>
        <v>6333.33333333333</v>
      </c>
      <c r="S365" s="366">
        <f t="shared" si="46"/>
        <v>26</v>
      </c>
      <c r="T365" s="367">
        <f t="shared" si="47"/>
        <v>164666.666666667</v>
      </c>
      <c r="U365" s="367">
        <f t="shared" si="48"/>
        <v>0.0866666666697711</v>
      </c>
      <c r="V365" s="334"/>
    </row>
    <row r="366" s="158" customFormat="1" ht="14.55" outlineLevel="1" spans="2:22">
      <c r="B366" s="355"/>
      <c r="C366" s="356" t="s">
        <v>1397</v>
      </c>
      <c r="D366" s="357" t="s">
        <v>179</v>
      </c>
      <c r="E366" s="373" t="s">
        <v>890</v>
      </c>
      <c r="F366" s="374" t="s">
        <v>882</v>
      </c>
      <c r="G366" s="374" t="s">
        <v>891</v>
      </c>
      <c r="H366" s="374">
        <v>60</v>
      </c>
      <c r="I366" s="375">
        <v>0.05</v>
      </c>
      <c r="J366" s="361">
        <f t="shared" si="49"/>
        <v>0.0158333333333333</v>
      </c>
      <c r="K366" s="362">
        <v>29800</v>
      </c>
      <c r="L366" s="362">
        <v>10852.09</v>
      </c>
      <c r="M366" s="362"/>
      <c r="N366" s="362">
        <f t="shared" si="43"/>
        <v>18947.91</v>
      </c>
      <c r="O366" s="362">
        <v>5661.96</v>
      </c>
      <c r="P366" s="363">
        <f t="shared" si="50"/>
        <v>60</v>
      </c>
      <c r="Q366" s="364">
        <v>0.05</v>
      </c>
      <c r="R366" s="365">
        <f t="shared" si="45"/>
        <v>471.833333333333</v>
      </c>
      <c r="S366" s="366">
        <f t="shared" si="46"/>
        <v>23</v>
      </c>
      <c r="T366" s="367">
        <f t="shared" si="47"/>
        <v>10852.1666666667</v>
      </c>
      <c r="U366" s="367">
        <f t="shared" si="48"/>
        <v>0.0766666666659148</v>
      </c>
      <c r="V366" s="334"/>
    </row>
    <row r="367" s="158" customFormat="1" ht="14.55" outlineLevel="1" spans="2:22">
      <c r="B367" s="355"/>
      <c r="C367" s="356" t="s">
        <v>1397</v>
      </c>
      <c r="D367" s="357" t="s">
        <v>179</v>
      </c>
      <c r="E367" s="373" t="s">
        <v>892</v>
      </c>
      <c r="F367" s="374" t="s">
        <v>893</v>
      </c>
      <c r="G367" s="374" t="s">
        <v>894</v>
      </c>
      <c r="H367" s="374">
        <v>60</v>
      </c>
      <c r="I367" s="375">
        <v>0.05</v>
      </c>
      <c r="J367" s="361">
        <f t="shared" si="49"/>
        <v>0.0158333333333333</v>
      </c>
      <c r="K367" s="362">
        <v>17000</v>
      </c>
      <c r="L367" s="362">
        <v>6190.91</v>
      </c>
      <c r="M367" s="362"/>
      <c r="N367" s="362">
        <f t="shared" si="43"/>
        <v>10809.09</v>
      </c>
      <c r="O367" s="362">
        <v>3230.04</v>
      </c>
      <c r="P367" s="363">
        <f t="shared" si="50"/>
        <v>60</v>
      </c>
      <c r="Q367" s="364">
        <v>0.05</v>
      </c>
      <c r="R367" s="365">
        <f t="shared" si="45"/>
        <v>269.166666666667</v>
      </c>
      <c r="S367" s="366">
        <f t="shared" si="46"/>
        <v>23</v>
      </c>
      <c r="T367" s="367">
        <f t="shared" si="47"/>
        <v>6190.83333333333</v>
      </c>
      <c r="U367" s="367">
        <f t="shared" si="48"/>
        <v>-0.0766666666659148</v>
      </c>
      <c r="V367" s="334"/>
    </row>
    <row r="368" s="158" customFormat="1" ht="14.55" outlineLevel="1" spans="2:22">
      <c r="B368" s="355"/>
      <c r="C368" s="356" t="s">
        <v>1397</v>
      </c>
      <c r="D368" s="357" t="s">
        <v>179</v>
      </c>
      <c r="E368" s="373" t="s">
        <v>895</v>
      </c>
      <c r="F368" s="374" t="s">
        <v>896</v>
      </c>
      <c r="G368" s="374" t="s">
        <v>894</v>
      </c>
      <c r="H368" s="374">
        <v>60</v>
      </c>
      <c r="I368" s="375">
        <v>0.05</v>
      </c>
      <c r="J368" s="361">
        <f t="shared" si="49"/>
        <v>0.0158333333333333</v>
      </c>
      <c r="K368" s="362">
        <v>27500</v>
      </c>
      <c r="L368" s="362">
        <v>10014.66</v>
      </c>
      <c r="M368" s="362"/>
      <c r="N368" s="362">
        <f t="shared" si="43"/>
        <v>17485.34</v>
      </c>
      <c r="O368" s="362">
        <v>5225.04</v>
      </c>
      <c r="P368" s="363">
        <f t="shared" si="50"/>
        <v>60</v>
      </c>
      <c r="Q368" s="364">
        <v>0.05</v>
      </c>
      <c r="R368" s="365">
        <f t="shared" si="45"/>
        <v>435.416666666667</v>
      </c>
      <c r="S368" s="366">
        <f t="shared" si="46"/>
        <v>23</v>
      </c>
      <c r="T368" s="367">
        <f t="shared" si="47"/>
        <v>10014.5833333333</v>
      </c>
      <c r="U368" s="367">
        <f t="shared" si="48"/>
        <v>-0.0766666666659148</v>
      </c>
      <c r="V368" s="334"/>
    </row>
    <row r="369" s="158" customFormat="1" ht="14.55" outlineLevel="1" spans="2:23">
      <c r="B369" s="355"/>
      <c r="C369" s="356" t="s">
        <v>1397</v>
      </c>
      <c r="D369" s="357" t="s">
        <v>179</v>
      </c>
      <c r="E369" s="373" t="s">
        <v>897</v>
      </c>
      <c r="F369" s="374" t="s">
        <v>898</v>
      </c>
      <c r="G369" s="374" t="s">
        <v>894</v>
      </c>
      <c r="H369" s="374">
        <v>60</v>
      </c>
      <c r="I369" s="375">
        <v>0.05</v>
      </c>
      <c r="J369" s="361">
        <f t="shared" si="49"/>
        <v>0.0158333333333333</v>
      </c>
      <c r="K369" s="362">
        <v>15000</v>
      </c>
      <c r="L369" s="362">
        <v>5462.5</v>
      </c>
      <c r="M369" s="362"/>
      <c r="N369" s="362">
        <f t="shared" si="43"/>
        <v>9537.5</v>
      </c>
      <c r="O369" s="362">
        <v>2850</v>
      </c>
      <c r="P369" s="363">
        <f t="shared" si="50"/>
        <v>60</v>
      </c>
      <c r="Q369" s="364">
        <v>0.05</v>
      </c>
      <c r="R369" s="365">
        <f t="shared" si="45"/>
        <v>237.5</v>
      </c>
      <c r="S369" s="366">
        <f t="shared" si="46"/>
        <v>23</v>
      </c>
      <c r="T369" s="367">
        <f t="shared" si="47"/>
        <v>5462.5</v>
      </c>
      <c r="U369" s="367">
        <f t="shared" si="48"/>
        <v>0</v>
      </c>
      <c r="V369" s="334"/>
    </row>
    <row r="370" s="158" customFormat="1" ht="14.55" outlineLevel="1" spans="2:23">
      <c r="B370" s="355"/>
      <c r="C370" s="356" t="s">
        <v>1397</v>
      </c>
      <c r="D370" s="357" t="s">
        <v>179</v>
      </c>
      <c r="E370" s="373" t="s">
        <v>899</v>
      </c>
      <c r="F370" s="374" t="s">
        <v>900</v>
      </c>
      <c r="G370" s="374" t="s">
        <v>894</v>
      </c>
      <c r="H370" s="374">
        <v>60</v>
      </c>
      <c r="I370" s="375">
        <v>0.05</v>
      </c>
      <c r="J370" s="361">
        <f t="shared" si="49"/>
        <v>0.0158333333333333</v>
      </c>
      <c r="K370" s="362">
        <v>41000</v>
      </c>
      <c r="L370" s="362">
        <v>14930.91</v>
      </c>
      <c r="M370" s="362"/>
      <c r="N370" s="362">
        <f t="shared" si="43"/>
        <v>26069.09</v>
      </c>
      <c r="O370" s="362">
        <v>7790.04</v>
      </c>
      <c r="P370" s="363">
        <f t="shared" si="50"/>
        <v>60</v>
      </c>
      <c r="Q370" s="364">
        <v>0.05</v>
      </c>
      <c r="R370" s="365">
        <f t="shared" si="45"/>
        <v>649.166666666667</v>
      </c>
      <c r="S370" s="366">
        <f t="shared" si="46"/>
        <v>23</v>
      </c>
      <c r="T370" s="367">
        <f t="shared" si="47"/>
        <v>14930.8333333333</v>
      </c>
      <c r="U370" s="367">
        <f t="shared" si="48"/>
        <v>-0.0766666666677338</v>
      </c>
      <c r="V370" s="334"/>
    </row>
    <row r="371" s="158" customFormat="1" ht="14.55" spans="2:23">
      <c r="B371" s="355"/>
      <c r="C371" s="356" t="s">
        <v>1397</v>
      </c>
      <c r="D371" s="357" t="s">
        <v>179</v>
      </c>
      <c r="E371" s="373" t="s">
        <v>901</v>
      </c>
      <c r="F371" s="374" t="s">
        <v>902</v>
      </c>
      <c r="G371" s="374" t="s">
        <v>894</v>
      </c>
      <c r="H371" s="374">
        <v>60</v>
      </c>
      <c r="I371" s="375">
        <v>0.05</v>
      </c>
      <c r="J371" s="361">
        <f t="shared" si="49"/>
        <v>0.0158333333333333</v>
      </c>
      <c r="K371" s="362">
        <v>58600</v>
      </c>
      <c r="L371" s="362">
        <v>21340.09</v>
      </c>
      <c r="M371" s="362"/>
      <c r="N371" s="362">
        <f t="shared" si="43"/>
        <v>37259.91</v>
      </c>
      <c r="O371" s="362">
        <v>11133.96</v>
      </c>
      <c r="P371" s="363">
        <f t="shared" si="50"/>
        <v>60</v>
      </c>
      <c r="Q371" s="364">
        <v>0.05</v>
      </c>
      <c r="R371" s="365">
        <f t="shared" si="45"/>
        <v>927.833333333333</v>
      </c>
      <c r="S371" s="366">
        <f t="shared" si="46"/>
        <v>23</v>
      </c>
      <c r="T371" s="367">
        <f t="shared" si="47"/>
        <v>21340.1666666667</v>
      </c>
      <c r="U371" s="367">
        <f t="shared" si="48"/>
        <v>0.0766666666677338</v>
      </c>
      <c r="V371" s="334"/>
    </row>
    <row r="372" s="158" customFormat="1" ht="14.55" spans="2:23">
      <c r="B372" s="355"/>
      <c r="C372" s="356" t="s">
        <v>1397</v>
      </c>
      <c r="D372" s="357" t="s">
        <v>179</v>
      </c>
      <c r="E372" s="373" t="s">
        <v>903</v>
      </c>
      <c r="F372" s="374" t="s">
        <v>904</v>
      </c>
      <c r="G372" s="374" t="s">
        <v>905</v>
      </c>
      <c r="H372" s="374">
        <v>60</v>
      </c>
      <c r="I372" s="375">
        <v>0.05</v>
      </c>
      <c r="J372" s="361">
        <f t="shared" si="49"/>
        <v>0.0158333333333333</v>
      </c>
      <c r="K372" s="362">
        <v>3500</v>
      </c>
      <c r="L372" s="362">
        <v>1108.4</v>
      </c>
      <c r="M372" s="362"/>
      <c r="N372" s="362">
        <f t="shared" si="43"/>
        <v>2391.6</v>
      </c>
      <c r="O372" s="362">
        <v>665.04</v>
      </c>
      <c r="P372" s="363">
        <f t="shared" si="50"/>
        <v>60</v>
      </c>
      <c r="Q372" s="364">
        <v>0.05</v>
      </c>
      <c r="R372" s="365">
        <f t="shared" si="45"/>
        <v>55.4166666666667</v>
      </c>
      <c r="S372" s="366">
        <f t="shared" si="46"/>
        <v>20</v>
      </c>
      <c r="T372" s="367">
        <f t="shared" si="47"/>
        <v>1108.33333333333</v>
      </c>
      <c r="U372" s="367">
        <f t="shared" si="48"/>
        <v>-0.0666666666668334</v>
      </c>
      <c r="V372" s="334"/>
    </row>
    <row r="373" s="158" customFormat="1" ht="14.55" outlineLevel="1" spans="2:23">
      <c r="B373" s="355"/>
      <c r="C373" s="356" t="s">
        <v>1397</v>
      </c>
      <c r="D373" s="357" t="s">
        <v>179</v>
      </c>
      <c r="E373" s="373" t="s">
        <v>906</v>
      </c>
      <c r="F373" s="374" t="s">
        <v>882</v>
      </c>
      <c r="G373" s="374" t="s">
        <v>905</v>
      </c>
      <c r="H373" s="374">
        <v>60</v>
      </c>
      <c r="I373" s="375">
        <v>0.05</v>
      </c>
      <c r="J373" s="361">
        <f t="shared" si="49"/>
        <v>0.0158333333333333</v>
      </c>
      <c r="K373" s="362">
        <v>9999</v>
      </c>
      <c r="L373" s="362">
        <v>3166.4</v>
      </c>
      <c r="M373" s="362"/>
      <c r="N373" s="362">
        <f t="shared" si="43"/>
        <v>6832.6</v>
      </c>
      <c r="O373" s="362">
        <v>1899.84</v>
      </c>
      <c r="P373" s="363">
        <f t="shared" si="50"/>
        <v>60</v>
      </c>
      <c r="Q373" s="364">
        <v>0.05</v>
      </c>
      <c r="R373" s="365">
        <f t="shared" si="45"/>
        <v>158.3175</v>
      </c>
      <c r="S373" s="366">
        <f t="shared" si="46"/>
        <v>20</v>
      </c>
      <c r="T373" s="367">
        <f t="shared" si="47"/>
        <v>3166.35</v>
      </c>
      <c r="U373" s="367">
        <f t="shared" si="48"/>
        <v>-0.0500000000001819</v>
      </c>
      <c r="V373" s="334"/>
    </row>
    <row r="374" s="158" customFormat="1" ht="14.55" outlineLevel="1" spans="2:23">
      <c r="B374" s="355"/>
      <c r="C374" s="356" t="s">
        <v>1397</v>
      </c>
      <c r="D374" s="357" t="s">
        <v>179</v>
      </c>
      <c r="E374" s="373" t="s">
        <v>907</v>
      </c>
      <c r="F374" s="374" t="s">
        <v>908</v>
      </c>
      <c r="G374" s="374" t="s">
        <v>909</v>
      </c>
      <c r="H374" s="374">
        <v>60</v>
      </c>
      <c r="I374" s="375">
        <v>0.05</v>
      </c>
      <c r="J374" s="361">
        <f t="shared" si="49"/>
        <v>0.0158333333333333</v>
      </c>
      <c r="K374" s="362">
        <v>363000</v>
      </c>
      <c r="L374" s="362">
        <v>109202.5</v>
      </c>
      <c r="M374" s="362"/>
      <c r="N374" s="362">
        <f t="shared" si="43"/>
        <v>253797.5</v>
      </c>
      <c r="O374" s="362">
        <v>68970</v>
      </c>
      <c r="P374" s="363">
        <f t="shared" si="50"/>
        <v>60</v>
      </c>
      <c r="Q374" s="364">
        <v>0.05</v>
      </c>
      <c r="R374" s="365">
        <f t="shared" si="45"/>
        <v>5747.5</v>
      </c>
      <c r="S374" s="366">
        <f t="shared" si="46"/>
        <v>19</v>
      </c>
      <c r="T374" s="367">
        <f t="shared" si="47"/>
        <v>109202.5</v>
      </c>
      <c r="U374" s="367">
        <f t="shared" si="48"/>
        <v>0</v>
      </c>
      <c r="V374" s="334"/>
    </row>
    <row r="375" s="158" customFormat="1" ht="14.55" outlineLevel="1" spans="2:23">
      <c r="B375" s="355"/>
      <c r="C375" s="356" t="s">
        <v>1397</v>
      </c>
      <c r="D375" s="357" t="s">
        <v>179</v>
      </c>
      <c r="E375" s="373" t="s">
        <v>910</v>
      </c>
      <c r="F375" s="374" t="s">
        <v>911</v>
      </c>
      <c r="G375" s="374" t="s">
        <v>909</v>
      </c>
      <c r="H375" s="374">
        <v>60</v>
      </c>
      <c r="I375" s="375">
        <v>0.05</v>
      </c>
      <c r="J375" s="361">
        <f t="shared" si="49"/>
        <v>0.0158333333333333</v>
      </c>
      <c r="K375" s="362">
        <v>90000</v>
      </c>
      <c r="L375" s="362">
        <v>27075</v>
      </c>
      <c r="M375" s="362"/>
      <c r="N375" s="362">
        <f t="shared" si="43"/>
        <v>62925</v>
      </c>
      <c r="O375" s="362">
        <v>17100</v>
      </c>
      <c r="P375" s="363">
        <f t="shared" si="50"/>
        <v>60</v>
      </c>
      <c r="Q375" s="364">
        <v>0.05</v>
      </c>
      <c r="R375" s="365">
        <f t="shared" si="45"/>
        <v>1425</v>
      </c>
      <c r="S375" s="366">
        <f t="shared" si="46"/>
        <v>19</v>
      </c>
      <c r="T375" s="367">
        <f t="shared" si="47"/>
        <v>27075</v>
      </c>
      <c r="U375" s="367">
        <f t="shared" si="48"/>
        <v>0</v>
      </c>
      <c r="V375" s="334"/>
    </row>
    <row r="376" s="158" customFormat="1" ht="14.55" outlineLevel="1" spans="2:23">
      <c r="B376" s="355"/>
      <c r="C376" s="356" t="s">
        <v>1397</v>
      </c>
      <c r="D376" s="357" t="s">
        <v>179</v>
      </c>
      <c r="E376" s="373" t="s">
        <v>912</v>
      </c>
      <c r="F376" s="374" t="s">
        <v>913</v>
      </c>
      <c r="G376" s="374" t="s">
        <v>914</v>
      </c>
      <c r="H376" s="374">
        <v>60</v>
      </c>
      <c r="I376" s="375">
        <v>0.05</v>
      </c>
      <c r="J376" s="361">
        <f t="shared" si="49"/>
        <v>0.0158333333333333</v>
      </c>
      <c r="K376" s="362">
        <v>9500</v>
      </c>
      <c r="L376" s="362">
        <v>1955.46</v>
      </c>
      <c r="M376" s="362"/>
      <c r="N376" s="362">
        <f t="shared" si="43"/>
        <v>7544.54</v>
      </c>
      <c r="O376" s="362">
        <v>1805.04</v>
      </c>
      <c r="P376" s="363">
        <f t="shared" si="50"/>
        <v>60</v>
      </c>
      <c r="Q376" s="364">
        <v>0.05</v>
      </c>
      <c r="R376" s="365">
        <f t="shared" si="45"/>
        <v>150.416666666667</v>
      </c>
      <c r="S376" s="366">
        <f t="shared" si="46"/>
        <v>13</v>
      </c>
      <c r="T376" s="367">
        <f t="shared" si="47"/>
        <v>1955.41666666667</v>
      </c>
      <c r="U376" s="367">
        <f t="shared" si="48"/>
        <v>-0.0433333333335213</v>
      </c>
      <c r="V376" s="334"/>
    </row>
    <row r="377" s="158" customFormat="1" ht="14.55" outlineLevel="1" spans="2:23">
      <c r="B377" s="355"/>
      <c r="C377" s="356" t="s">
        <v>1397</v>
      </c>
      <c r="D377" s="357" t="s">
        <v>179</v>
      </c>
      <c r="E377" s="373" t="s">
        <v>915</v>
      </c>
      <c r="F377" s="374" t="s">
        <v>916</v>
      </c>
      <c r="G377" s="374" t="s">
        <v>914</v>
      </c>
      <c r="H377" s="374">
        <v>60</v>
      </c>
      <c r="I377" s="375">
        <v>0.05</v>
      </c>
      <c r="J377" s="361">
        <f t="shared" si="49"/>
        <v>0.0158333333333333</v>
      </c>
      <c r="K377" s="362">
        <v>24480</v>
      </c>
      <c r="L377" s="362">
        <v>5038.8</v>
      </c>
      <c r="M377" s="362"/>
      <c r="N377" s="362">
        <f t="shared" si="43"/>
        <v>19441.2</v>
      </c>
      <c r="O377" s="362">
        <v>4651.2</v>
      </c>
      <c r="P377" s="363">
        <f t="shared" si="50"/>
        <v>60</v>
      </c>
      <c r="Q377" s="364">
        <v>0.05</v>
      </c>
      <c r="R377" s="365">
        <f t="shared" si="45"/>
        <v>387.6</v>
      </c>
      <c r="S377" s="366">
        <f t="shared" si="46"/>
        <v>13</v>
      </c>
      <c r="T377" s="367">
        <f t="shared" si="47"/>
        <v>5038.8</v>
      </c>
      <c r="U377" s="367">
        <f t="shared" si="48"/>
        <v>0</v>
      </c>
      <c r="V377" s="334"/>
    </row>
    <row r="378" s="158" customFormat="1" ht="14.55" outlineLevel="1" spans="2:23">
      <c r="B378" s="355"/>
      <c r="C378" s="356" t="s">
        <v>1397</v>
      </c>
      <c r="D378" s="357" t="s">
        <v>179</v>
      </c>
      <c r="E378" s="373" t="s">
        <v>917</v>
      </c>
      <c r="F378" s="374" t="s">
        <v>918</v>
      </c>
      <c r="G378" s="374" t="s">
        <v>914</v>
      </c>
      <c r="H378" s="374">
        <v>60</v>
      </c>
      <c r="I378" s="375">
        <v>0.05</v>
      </c>
      <c r="J378" s="361">
        <f t="shared" si="49"/>
        <v>0.0158333333333333</v>
      </c>
      <c r="K378" s="362">
        <v>630000</v>
      </c>
      <c r="L378" s="362">
        <v>129675</v>
      </c>
      <c r="M378" s="362"/>
      <c r="N378" s="362">
        <f t="shared" si="43"/>
        <v>500325</v>
      </c>
      <c r="O378" s="362">
        <v>119700</v>
      </c>
      <c r="P378" s="363">
        <f t="shared" si="50"/>
        <v>60</v>
      </c>
      <c r="Q378" s="364">
        <v>0.05</v>
      </c>
      <c r="R378" s="365">
        <f t="shared" si="45"/>
        <v>9975</v>
      </c>
      <c r="S378" s="366">
        <f t="shared" si="46"/>
        <v>13</v>
      </c>
      <c r="T378" s="367">
        <f t="shared" si="47"/>
        <v>129675</v>
      </c>
      <c r="U378" s="367">
        <f t="shared" si="48"/>
        <v>0</v>
      </c>
      <c r="V378" s="334"/>
    </row>
    <row r="379" s="158" customFormat="1" ht="14.55" outlineLevel="1" spans="2:23">
      <c r="B379" s="355"/>
      <c r="C379" s="356" t="s">
        <v>1397</v>
      </c>
      <c r="D379" s="357" t="s">
        <v>179</v>
      </c>
      <c r="E379" s="373" t="s">
        <v>919</v>
      </c>
      <c r="F379" s="374" t="s">
        <v>920</v>
      </c>
      <c r="G379" s="374" t="s">
        <v>921</v>
      </c>
      <c r="H379" s="374">
        <v>60</v>
      </c>
      <c r="I379" s="375">
        <v>0.05</v>
      </c>
      <c r="J379" s="361">
        <f t="shared" si="49"/>
        <v>0.0158333333333333</v>
      </c>
      <c r="K379" s="362">
        <v>380000</v>
      </c>
      <c r="L379" s="362">
        <v>72200.04</v>
      </c>
      <c r="M379" s="362"/>
      <c r="N379" s="362">
        <f t="shared" si="43"/>
        <v>307799.96</v>
      </c>
      <c r="O379" s="362">
        <v>72200.04</v>
      </c>
      <c r="P379" s="363">
        <f t="shared" si="50"/>
        <v>60</v>
      </c>
      <c r="Q379" s="364">
        <v>0.05</v>
      </c>
      <c r="R379" s="365">
        <f t="shared" si="45"/>
        <v>6016.66666666667</v>
      </c>
      <c r="S379" s="366">
        <f t="shared" si="46"/>
        <v>12</v>
      </c>
      <c r="T379" s="367">
        <f t="shared" si="47"/>
        <v>72200</v>
      </c>
      <c r="U379" s="367">
        <f t="shared" si="48"/>
        <v>-0.0399999999935972</v>
      </c>
      <c r="V379" s="334"/>
    </row>
    <row r="380" s="158" customFormat="1" ht="14.55" outlineLevel="1" spans="2:23">
      <c r="B380" s="355"/>
      <c r="C380" s="356" t="s">
        <v>1397</v>
      </c>
      <c r="D380" s="357" t="s">
        <v>179</v>
      </c>
      <c r="E380" s="373" t="s">
        <v>922</v>
      </c>
      <c r="F380" s="374" t="s">
        <v>923</v>
      </c>
      <c r="G380" s="374" t="s">
        <v>921</v>
      </c>
      <c r="H380" s="374">
        <v>60</v>
      </c>
      <c r="I380" s="375">
        <v>0.05</v>
      </c>
      <c r="J380" s="361">
        <f t="shared" si="49"/>
        <v>0.0158333333333333</v>
      </c>
      <c r="K380" s="362">
        <v>103473.04</v>
      </c>
      <c r="L380" s="362">
        <v>39319.68</v>
      </c>
      <c r="M380" s="362"/>
      <c r="N380" s="362">
        <f t="shared" si="43"/>
        <v>64153.36</v>
      </c>
      <c r="O380" s="362">
        <v>19659.84</v>
      </c>
      <c r="P380" s="363">
        <f t="shared" si="50"/>
        <v>60</v>
      </c>
      <c r="Q380" s="364">
        <v>0.05</v>
      </c>
      <c r="R380" s="365">
        <f t="shared" si="45"/>
        <v>1638.32313333333</v>
      </c>
      <c r="S380" s="366">
        <f t="shared" si="46"/>
        <v>12</v>
      </c>
      <c r="T380" s="367">
        <f t="shared" si="47"/>
        <v>19659.8776</v>
      </c>
      <c r="U380" s="367">
        <f t="shared" si="48"/>
        <v>-19659.8024</v>
      </c>
      <c r="V380" s="334"/>
      <c r="W380" s="376"/>
    </row>
    <row r="381" s="158" customFormat="1" ht="14.55" outlineLevel="1" spans="2:23">
      <c r="B381" s="355"/>
      <c r="C381" s="356" t="s">
        <v>1397</v>
      </c>
      <c r="D381" s="357" t="s">
        <v>179</v>
      </c>
      <c r="E381" s="373" t="s">
        <v>948</v>
      </c>
      <c r="F381" s="374" t="s">
        <v>949</v>
      </c>
      <c r="G381" s="374" t="s">
        <v>950</v>
      </c>
      <c r="H381" s="374">
        <v>60</v>
      </c>
      <c r="I381" s="375">
        <v>0.05</v>
      </c>
      <c r="J381" s="361">
        <f t="shared" si="49"/>
        <v>0.0158333333333333</v>
      </c>
      <c r="K381" s="362">
        <v>63000</v>
      </c>
      <c r="L381" s="362">
        <v>8977.5</v>
      </c>
      <c r="M381" s="362"/>
      <c r="N381" s="362">
        <f t="shared" si="43"/>
        <v>54022.5</v>
      </c>
      <c r="O381" s="362">
        <v>8977.5</v>
      </c>
      <c r="P381" s="363">
        <f t="shared" si="50"/>
        <v>60</v>
      </c>
      <c r="Q381" s="364">
        <v>0.05</v>
      </c>
      <c r="R381" s="365">
        <f t="shared" si="45"/>
        <v>997.5</v>
      </c>
      <c r="S381" s="366">
        <f t="shared" si="46"/>
        <v>9</v>
      </c>
      <c r="T381" s="367">
        <f t="shared" si="47"/>
        <v>8977.5</v>
      </c>
      <c r="U381" s="367">
        <f t="shared" si="48"/>
        <v>0</v>
      </c>
      <c r="V381" s="334"/>
    </row>
    <row r="382" s="158" customFormat="1" ht="14.55" outlineLevel="1" spans="2:23">
      <c r="B382" s="355"/>
      <c r="C382" s="356" t="s">
        <v>1397</v>
      </c>
      <c r="D382" s="357" t="s">
        <v>179</v>
      </c>
      <c r="E382" s="373" t="s">
        <v>951</v>
      </c>
      <c r="F382" s="374" t="s">
        <v>882</v>
      </c>
      <c r="G382" s="374" t="s">
        <v>952</v>
      </c>
      <c r="H382" s="374">
        <v>60</v>
      </c>
      <c r="I382" s="375">
        <v>0.05</v>
      </c>
      <c r="J382" s="361">
        <f t="shared" si="49"/>
        <v>0.0158333333333333</v>
      </c>
      <c r="K382" s="362">
        <v>16800</v>
      </c>
      <c r="L382" s="362">
        <v>2128</v>
      </c>
      <c r="M382" s="362"/>
      <c r="N382" s="362">
        <f t="shared" si="43"/>
        <v>14672</v>
      </c>
      <c r="O382" s="362">
        <v>2128</v>
      </c>
      <c r="P382" s="363">
        <f t="shared" si="50"/>
        <v>60</v>
      </c>
      <c r="Q382" s="364">
        <v>0.05</v>
      </c>
      <c r="R382" s="365">
        <f t="shared" si="45"/>
        <v>266</v>
      </c>
      <c r="S382" s="366">
        <f t="shared" si="46"/>
        <v>8</v>
      </c>
      <c r="T382" s="367">
        <f t="shared" si="47"/>
        <v>2128</v>
      </c>
      <c r="U382" s="367">
        <f t="shared" si="48"/>
        <v>0</v>
      </c>
      <c r="V382" s="334"/>
    </row>
    <row r="383" s="158" customFormat="1" ht="14.55" outlineLevel="1" spans="2:23">
      <c r="B383" s="355"/>
      <c r="C383" s="356" t="s">
        <v>1397</v>
      </c>
      <c r="D383" s="357" t="s">
        <v>179</v>
      </c>
      <c r="E383" s="373" t="s">
        <v>953</v>
      </c>
      <c r="F383" s="374" t="s">
        <v>954</v>
      </c>
      <c r="G383" s="374" t="s">
        <v>955</v>
      </c>
      <c r="H383" s="374">
        <v>60</v>
      </c>
      <c r="I383" s="375">
        <v>0.05</v>
      </c>
      <c r="J383" s="361">
        <f t="shared" si="49"/>
        <v>0.0158333333333333</v>
      </c>
      <c r="K383" s="362">
        <v>188000</v>
      </c>
      <c r="L383" s="362">
        <v>20836.69</v>
      </c>
      <c r="M383" s="362"/>
      <c r="N383" s="362">
        <f t="shared" si="43"/>
        <v>167163.31</v>
      </c>
      <c r="O383" s="362">
        <v>20836.69</v>
      </c>
      <c r="P383" s="363">
        <f t="shared" si="50"/>
        <v>60</v>
      </c>
      <c r="Q383" s="364">
        <v>0.05</v>
      </c>
      <c r="R383" s="365">
        <f t="shared" si="45"/>
        <v>2976.66666666667</v>
      </c>
      <c r="S383" s="366">
        <f t="shared" si="46"/>
        <v>7</v>
      </c>
      <c r="T383" s="367">
        <f t="shared" si="47"/>
        <v>20836.6666666667</v>
      </c>
      <c r="U383" s="367">
        <f t="shared" si="48"/>
        <v>-0.023333333334449</v>
      </c>
      <c r="V383" s="334"/>
    </row>
    <row r="384" s="158" customFormat="1" ht="14.55" outlineLevel="1" spans="2:23">
      <c r="B384" s="355"/>
      <c r="C384" s="356" t="s">
        <v>1397</v>
      </c>
      <c r="D384" s="357" t="s">
        <v>179</v>
      </c>
      <c r="E384" s="373" t="s">
        <v>956</v>
      </c>
      <c r="F384" s="374" t="s">
        <v>737</v>
      </c>
      <c r="G384" s="374" t="s">
        <v>938</v>
      </c>
      <c r="H384" s="374">
        <v>60</v>
      </c>
      <c r="I384" s="375">
        <v>0.05</v>
      </c>
      <c r="J384" s="361">
        <f t="shared" si="49"/>
        <v>0.0158333333333333</v>
      </c>
      <c r="K384" s="362">
        <v>36900</v>
      </c>
      <c r="L384" s="362">
        <v>2337</v>
      </c>
      <c r="M384" s="362"/>
      <c r="N384" s="362">
        <f t="shared" si="43"/>
        <v>34563</v>
      </c>
      <c r="O384" s="362">
        <v>2337</v>
      </c>
      <c r="P384" s="363">
        <f t="shared" si="50"/>
        <v>60</v>
      </c>
      <c r="Q384" s="364">
        <v>0.05</v>
      </c>
      <c r="R384" s="365">
        <f t="shared" si="45"/>
        <v>584.25</v>
      </c>
      <c r="S384" s="366">
        <f t="shared" si="46"/>
        <v>4</v>
      </c>
      <c r="T384" s="367">
        <f t="shared" si="47"/>
        <v>2337</v>
      </c>
      <c r="U384" s="367">
        <f t="shared" si="48"/>
        <v>0</v>
      </c>
      <c r="V384" s="334"/>
    </row>
    <row r="385" s="158" customFormat="1" ht="14.55" outlineLevel="1" spans="2:22">
      <c r="B385" s="355"/>
      <c r="C385" s="356" t="s">
        <v>1397</v>
      </c>
      <c r="D385" s="357" t="s">
        <v>179</v>
      </c>
      <c r="E385" s="373" t="s">
        <v>957</v>
      </c>
      <c r="F385" s="374" t="s">
        <v>737</v>
      </c>
      <c r="G385" s="374" t="s">
        <v>938</v>
      </c>
      <c r="H385" s="374">
        <v>60</v>
      </c>
      <c r="I385" s="375">
        <v>0.05</v>
      </c>
      <c r="J385" s="361">
        <f t="shared" si="49"/>
        <v>0.0158333333333333</v>
      </c>
      <c r="K385" s="362">
        <v>14000</v>
      </c>
      <c r="L385" s="362">
        <v>886.68</v>
      </c>
      <c r="M385" s="362"/>
      <c r="N385" s="362">
        <f t="shared" si="43"/>
        <v>13113.32</v>
      </c>
      <c r="O385" s="362">
        <v>886.68</v>
      </c>
      <c r="P385" s="363">
        <f t="shared" si="50"/>
        <v>60</v>
      </c>
      <c r="Q385" s="364">
        <v>0.05</v>
      </c>
      <c r="R385" s="365">
        <f t="shared" si="45"/>
        <v>221.666666666667</v>
      </c>
      <c r="S385" s="366">
        <f t="shared" si="46"/>
        <v>4</v>
      </c>
      <c r="T385" s="367">
        <f t="shared" si="47"/>
        <v>886.666666666667</v>
      </c>
      <c r="U385" s="367">
        <f t="shared" si="48"/>
        <v>-0.0133333333333212</v>
      </c>
      <c r="V385" s="334"/>
    </row>
    <row r="386" s="158" customFormat="1" ht="14.55" outlineLevel="1" spans="2:22">
      <c r="B386" s="355"/>
      <c r="C386" s="356" t="s">
        <v>1397</v>
      </c>
      <c r="D386" s="357" t="s">
        <v>179</v>
      </c>
      <c r="E386" s="373" t="s">
        <v>958</v>
      </c>
      <c r="F386" s="374" t="s">
        <v>959</v>
      </c>
      <c r="G386" s="374" t="s">
        <v>938</v>
      </c>
      <c r="H386" s="374">
        <v>60</v>
      </c>
      <c r="I386" s="375">
        <v>0.05</v>
      </c>
      <c r="J386" s="361">
        <f t="shared" si="49"/>
        <v>0.0158333333333333</v>
      </c>
      <c r="K386" s="362">
        <v>3000</v>
      </c>
      <c r="L386" s="362">
        <v>190</v>
      </c>
      <c r="M386" s="362"/>
      <c r="N386" s="362">
        <f t="shared" si="43"/>
        <v>2810</v>
      </c>
      <c r="O386" s="362">
        <v>190</v>
      </c>
      <c r="P386" s="363">
        <f t="shared" si="50"/>
        <v>60</v>
      </c>
      <c r="Q386" s="364">
        <v>0.05</v>
      </c>
      <c r="R386" s="365">
        <f t="shared" si="45"/>
        <v>47.5</v>
      </c>
      <c r="S386" s="366">
        <f t="shared" si="46"/>
        <v>4</v>
      </c>
      <c r="T386" s="367">
        <f t="shared" si="47"/>
        <v>190</v>
      </c>
      <c r="U386" s="367">
        <f t="shared" si="48"/>
        <v>0</v>
      </c>
      <c r="V386" s="334"/>
    </row>
    <row r="387" s="158" customFormat="1" ht="14.55" outlineLevel="1" spans="2:22">
      <c r="B387" s="355"/>
      <c r="C387" s="356" t="s">
        <v>1397</v>
      </c>
      <c r="D387" s="357" t="s">
        <v>179</v>
      </c>
      <c r="E387" s="373" t="s">
        <v>960</v>
      </c>
      <c r="F387" s="374" t="s">
        <v>961</v>
      </c>
      <c r="G387" s="374" t="s">
        <v>938</v>
      </c>
      <c r="H387" s="374">
        <v>60</v>
      </c>
      <c r="I387" s="375">
        <v>0.05</v>
      </c>
      <c r="J387" s="361">
        <f t="shared" si="49"/>
        <v>0.0158333333333333</v>
      </c>
      <c r="K387" s="362">
        <v>1800</v>
      </c>
      <c r="L387" s="362">
        <v>114</v>
      </c>
      <c r="M387" s="362"/>
      <c r="N387" s="362">
        <f t="shared" si="43"/>
        <v>1686</v>
      </c>
      <c r="O387" s="362">
        <v>114</v>
      </c>
      <c r="P387" s="363">
        <f t="shared" si="50"/>
        <v>60</v>
      </c>
      <c r="Q387" s="364">
        <v>0.05</v>
      </c>
      <c r="R387" s="365">
        <f t="shared" si="45"/>
        <v>28.5</v>
      </c>
      <c r="S387" s="366">
        <f t="shared" si="46"/>
        <v>4</v>
      </c>
      <c r="T387" s="367">
        <f t="shared" si="47"/>
        <v>114</v>
      </c>
      <c r="U387" s="367">
        <f t="shared" si="48"/>
        <v>0</v>
      </c>
      <c r="V387" s="334"/>
    </row>
    <row r="388" s="158" customFormat="1" ht="14.55" outlineLevel="1" spans="2:22">
      <c r="B388" s="355"/>
      <c r="C388" s="356" t="s">
        <v>1397</v>
      </c>
      <c r="D388" s="357" t="s">
        <v>179</v>
      </c>
      <c r="E388" s="373" t="s">
        <v>962</v>
      </c>
      <c r="F388" s="374" t="s">
        <v>707</v>
      </c>
      <c r="G388" s="374" t="s">
        <v>938</v>
      </c>
      <c r="H388" s="374">
        <v>60</v>
      </c>
      <c r="I388" s="375">
        <v>0.05</v>
      </c>
      <c r="J388" s="361">
        <f t="shared" si="49"/>
        <v>0.0158333333333333</v>
      </c>
      <c r="K388" s="362">
        <v>8800</v>
      </c>
      <c r="L388" s="362">
        <v>557.32</v>
      </c>
      <c r="M388" s="362"/>
      <c r="N388" s="362">
        <f t="shared" si="43"/>
        <v>8242.68</v>
      </c>
      <c r="O388" s="362">
        <v>557.32</v>
      </c>
      <c r="P388" s="363">
        <f t="shared" si="50"/>
        <v>60</v>
      </c>
      <c r="Q388" s="364">
        <v>0.05</v>
      </c>
      <c r="R388" s="365">
        <f t="shared" si="45"/>
        <v>139.333333333333</v>
      </c>
      <c r="S388" s="366">
        <f t="shared" si="46"/>
        <v>4</v>
      </c>
      <c r="T388" s="367">
        <f t="shared" si="47"/>
        <v>557.333333333333</v>
      </c>
      <c r="U388" s="367">
        <f t="shared" si="48"/>
        <v>0.0133333333333212</v>
      </c>
      <c r="V388" s="334"/>
    </row>
    <row r="389" s="158" customFormat="1" ht="14.55" outlineLevel="1" spans="2:22">
      <c r="B389" s="355"/>
      <c r="C389" s="356" t="s">
        <v>1397</v>
      </c>
      <c r="D389" s="357" t="s">
        <v>179</v>
      </c>
      <c r="E389" s="373" t="s">
        <v>963</v>
      </c>
      <c r="F389" s="374" t="s">
        <v>964</v>
      </c>
      <c r="G389" s="374" t="s">
        <v>965</v>
      </c>
      <c r="H389" s="374">
        <v>60</v>
      </c>
      <c r="I389" s="375">
        <v>0.05</v>
      </c>
      <c r="J389" s="361">
        <f t="shared" si="49"/>
        <v>0.0158333333333333</v>
      </c>
      <c r="K389" s="362">
        <v>62000</v>
      </c>
      <c r="L389" s="362">
        <v>2945.01</v>
      </c>
      <c r="M389" s="362"/>
      <c r="N389" s="362">
        <f t="shared" si="43"/>
        <v>59054.99</v>
      </c>
      <c r="O389" s="362">
        <v>2945.01</v>
      </c>
      <c r="P389" s="363">
        <f t="shared" si="50"/>
        <v>60</v>
      </c>
      <c r="Q389" s="364">
        <v>0.05</v>
      </c>
      <c r="R389" s="365">
        <f t="shared" si="45"/>
        <v>981.666666666667</v>
      </c>
      <c r="S389" s="366">
        <f t="shared" si="46"/>
        <v>3</v>
      </c>
      <c r="T389" s="367">
        <f t="shared" si="47"/>
        <v>2945</v>
      </c>
      <c r="U389" s="367">
        <f t="shared" si="48"/>
        <v>-0.0100000000002183</v>
      </c>
      <c r="V389" s="334"/>
    </row>
    <row r="390" s="158" customFormat="1" ht="14.55" outlineLevel="1" spans="2:22">
      <c r="B390" s="355"/>
      <c r="C390" s="356" t="s">
        <v>1397</v>
      </c>
      <c r="D390" s="357" t="s">
        <v>179</v>
      </c>
      <c r="E390" s="373" t="s">
        <v>966</v>
      </c>
      <c r="F390" s="374" t="s">
        <v>967</v>
      </c>
      <c r="G390" s="374" t="s">
        <v>968</v>
      </c>
      <c r="H390" s="374">
        <v>60</v>
      </c>
      <c r="I390" s="375">
        <v>0.05</v>
      </c>
      <c r="J390" s="361">
        <f t="shared" si="49"/>
        <v>0.0158333333333333</v>
      </c>
      <c r="K390" s="362">
        <v>380000</v>
      </c>
      <c r="L390" s="362">
        <v>12033.34</v>
      </c>
      <c r="M390" s="362"/>
      <c r="N390" s="362">
        <f t="shared" ref="N390" si="51">K390-L390</f>
        <v>367966.66</v>
      </c>
      <c r="O390" s="362">
        <v>12033.34</v>
      </c>
      <c r="P390" s="363">
        <f t="shared" si="50"/>
        <v>60</v>
      </c>
      <c r="Q390" s="364">
        <v>0.05</v>
      </c>
      <c r="R390" s="365">
        <f t="shared" si="45"/>
        <v>6016.66666666667</v>
      </c>
      <c r="S390" s="366">
        <f t="shared" si="46"/>
        <v>2</v>
      </c>
      <c r="T390" s="367">
        <f t="shared" si="47"/>
        <v>12033.3333333333</v>
      </c>
      <c r="U390" s="367">
        <f t="shared" si="48"/>
        <v>-0.00666666666620586</v>
      </c>
      <c r="V390" s="334"/>
    </row>
    <row r="391" s="158" customFormat="1" ht="14.55" outlineLevel="1" spans="2:22">
      <c r="B391" s="355"/>
      <c r="C391" s="356"/>
      <c r="D391" s="357"/>
      <c r="E391" s="357"/>
      <c r="F391" s="357"/>
      <c r="G391" s="358"/>
      <c r="H391" s="35"/>
      <c r="I391" s="371"/>
      <c r="J391" s="361"/>
      <c r="K391" s="370">
        <f>SUM(K263:K390)</f>
        <v>14496928.04</v>
      </c>
      <c r="L391" s="370">
        <f>SUM(L263:L390)</f>
        <v>11089177.73</v>
      </c>
      <c r="M391" s="370">
        <f>SUM(M263:M390)</f>
        <v>0</v>
      </c>
      <c r="N391" s="370">
        <f>SUM(N263:N390)</f>
        <v>3407750.31</v>
      </c>
      <c r="O391" s="370">
        <f>SUM(O263:O390)</f>
        <v>1518625.58</v>
      </c>
      <c r="P391" s="363"/>
      <c r="Q391" s="364"/>
      <c r="R391" s="365"/>
      <c r="S391" s="366"/>
      <c r="T391" s="367"/>
      <c r="U391" s="367"/>
      <c r="V391" s="334"/>
    </row>
    <row r="392" s="158" customFormat="1" ht="14.55" outlineLevel="1" spans="2:22">
      <c r="B392" s="355"/>
      <c r="C392" s="356"/>
      <c r="D392" s="357"/>
      <c r="E392" s="357"/>
      <c r="F392" s="357"/>
      <c r="G392" s="358"/>
      <c r="H392" s="35"/>
      <c r="I392" s="371"/>
      <c r="J392" s="361"/>
      <c r="K392" s="362"/>
      <c r="L392" s="362"/>
      <c r="M392" s="362"/>
      <c r="N392" s="362"/>
      <c r="O392" s="362"/>
      <c r="P392" s="363"/>
      <c r="Q392" s="364"/>
      <c r="R392" s="365"/>
      <c r="S392" s="366"/>
      <c r="T392" s="367"/>
      <c r="U392" s="367"/>
      <c r="V392" s="334"/>
    </row>
    <row r="393" s="158" customFormat="1" ht="14.55" outlineLevel="1" spans="2:22">
      <c r="B393" s="355"/>
      <c r="C393" s="356"/>
      <c r="D393" s="369" t="s">
        <v>179</v>
      </c>
      <c r="E393" s="357"/>
      <c r="F393" s="357"/>
      <c r="G393" s="358"/>
      <c r="H393" s="359"/>
      <c r="I393" s="360"/>
      <c r="J393" s="361"/>
      <c r="K393" s="362"/>
      <c r="L393" s="362"/>
      <c r="M393" s="362"/>
      <c r="N393" s="362">
        <f t="shared" ref="N393:N413" si="52">K393-L393</f>
        <v>0</v>
      </c>
      <c r="O393" s="362"/>
      <c r="P393" s="363"/>
      <c r="Q393" s="364"/>
      <c r="R393" s="365"/>
      <c r="S393" s="366"/>
      <c r="T393" s="367"/>
      <c r="U393" s="367"/>
      <c r="V393" s="334"/>
    </row>
    <row r="394" s="158" customFormat="1" ht="14.55" outlineLevel="1" spans="2:22">
      <c r="B394" s="355"/>
      <c r="C394" s="356"/>
      <c r="D394" s="357"/>
      <c r="E394" s="357"/>
      <c r="F394" s="357"/>
      <c r="G394" s="358"/>
      <c r="H394" s="359"/>
      <c r="I394" s="360"/>
      <c r="J394" s="361"/>
      <c r="K394" s="362"/>
      <c r="L394" s="362"/>
      <c r="M394" s="362"/>
      <c r="N394" s="362">
        <f t="shared" si="52"/>
        <v>0</v>
      </c>
      <c r="O394" s="362">
        <v>0</v>
      </c>
      <c r="P394" s="363"/>
      <c r="Q394" s="364"/>
      <c r="R394" s="365"/>
      <c r="S394" s="366"/>
      <c r="T394" s="367"/>
      <c r="U394" s="367"/>
      <c r="V394" s="334"/>
    </row>
    <row r="395" s="158" customFormat="1" ht="14.55" outlineLevel="1" spans="2:22">
      <c r="B395" s="355"/>
      <c r="C395" s="356" t="s">
        <v>1397</v>
      </c>
      <c r="D395" s="357" t="s">
        <v>180</v>
      </c>
      <c r="E395" s="357" t="s">
        <v>776</v>
      </c>
      <c r="F395" s="357" t="s">
        <v>777</v>
      </c>
      <c r="G395" s="358" t="s">
        <v>575</v>
      </c>
      <c r="H395" s="359">
        <v>36</v>
      </c>
      <c r="I395" s="360">
        <v>0.05</v>
      </c>
      <c r="J395" s="361">
        <f t="shared" si="49"/>
        <v>0.0263888888888889</v>
      </c>
      <c r="K395" s="362">
        <v>3000</v>
      </c>
      <c r="L395" s="362">
        <v>2850</v>
      </c>
      <c r="M395" s="362"/>
      <c r="N395" s="362">
        <f t="shared" si="52"/>
        <v>150</v>
      </c>
      <c r="O395" s="362">
        <v>0</v>
      </c>
      <c r="P395" s="363">
        <f>H395</f>
        <v>36</v>
      </c>
      <c r="Q395" s="364">
        <v>0.05</v>
      </c>
      <c r="R395" s="365">
        <f t="shared" ref="R395:R409" si="53">K395*(1-Q395)/P395</f>
        <v>79.1666666666667</v>
      </c>
      <c r="S395" s="366">
        <f t="shared" ref="S395:S409" si="54">IF(YEAR(G395)=YEAR($P$85),MIN(DATEDIF(EOMONTH(G395,-1)+1,$P$85,"m"),P395),MIN(P395,DATEDIF(EOMONTH(G395,-1)+1,$P$85,"m")))</f>
        <v>36</v>
      </c>
      <c r="T395" s="367">
        <f t="shared" ref="T395:T409" si="55">S395*R395</f>
        <v>2850</v>
      </c>
      <c r="U395" s="367">
        <f t="shared" ref="U395:U409" si="56">T395-L395</f>
        <v>0</v>
      </c>
      <c r="V395" s="334"/>
    </row>
    <row r="396" s="158" customFormat="1" ht="14.55" outlineLevel="1" spans="2:22">
      <c r="B396" s="355"/>
      <c r="C396" s="356" t="s">
        <v>1397</v>
      </c>
      <c r="D396" s="357" t="s">
        <v>180</v>
      </c>
      <c r="E396" s="357" t="s">
        <v>778</v>
      </c>
      <c r="F396" s="357" t="s">
        <v>779</v>
      </c>
      <c r="G396" s="358" t="s">
        <v>575</v>
      </c>
      <c r="H396" s="359">
        <v>36</v>
      </c>
      <c r="I396" s="360">
        <v>0.05</v>
      </c>
      <c r="J396" s="361">
        <f t="shared" si="49"/>
        <v>0.0263888888888889</v>
      </c>
      <c r="K396" s="362">
        <v>2600</v>
      </c>
      <c r="L396" s="362">
        <v>2470</v>
      </c>
      <c r="M396" s="362"/>
      <c r="N396" s="362">
        <f t="shared" si="52"/>
        <v>130</v>
      </c>
      <c r="O396" s="362">
        <v>0</v>
      </c>
      <c r="P396" s="363">
        <f t="shared" ref="P396:P409" si="57">H396</f>
        <v>36</v>
      </c>
      <c r="Q396" s="364">
        <v>0.05</v>
      </c>
      <c r="R396" s="365">
        <f t="shared" si="53"/>
        <v>68.6111111111111</v>
      </c>
      <c r="S396" s="366">
        <f t="shared" si="54"/>
        <v>36</v>
      </c>
      <c r="T396" s="367">
        <f t="shared" si="55"/>
        <v>2470</v>
      </c>
      <c r="U396" s="367">
        <f t="shared" si="56"/>
        <v>0</v>
      </c>
      <c r="V396" s="334"/>
    </row>
    <row r="397" s="158" customFormat="1" ht="14.55" outlineLevel="1" spans="2:22">
      <c r="B397" s="355"/>
      <c r="C397" s="356" t="s">
        <v>1397</v>
      </c>
      <c r="D397" s="357" t="s">
        <v>180</v>
      </c>
      <c r="E397" s="357" t="s">
        <v>780</v>
      </c>
      <c r="F397" s="357" t="s">
        <v>781</v>
      </c>
      <c r="G397" s="358" t="s">
        <v>575</v>
      </c>
      <c r="H397" s="359">
        <v>36</v>
      </c>
      <c r="I397" s="360">
        <v>0.05</v>
      </c>
      <c r="J397" s="361">
        <f t="shared" si="49"/>
        <v>0.0263888888888889</v>
      </c>
      <c r="K397" s="362">
        <v>8000</v>
      </c>
      <c r="L397" s="362">
        <v>7600</v>
      </c>
      <c r="M397" s="362"/>
      <c r="N397" s="362">
        <f t="shared" si="52"/>
        <v>400</v>
      </c>
      <c r="O397" s="362">
        <v>0</v>
      </c>
      <c r="P397" s="363">
        <f t="shared" si="57"/>
        <v>36</v>
      </c>
      <c r="Q397" s="364">
        <v>0.05</v>
      </c>
      <c r="R397" s="365">
        <f t="shared" si="53"/>
        <v>211.111111111111</v>
      </c>
      <c r="S397" s="366">
        <f t="shared" si="54"/>
        <v>36</v>
      </c>
      <c r="T397" s="367">
        <f t="shared" si="55"/>
        <v>7600</v>
      </c>
      <c r="U397" s="367">
        <f t="shared" si="56"/>
        <v>0</v>
      </c>
      <c r="V397" s="334"/>
    </row>
    <row r="398" s="158" customFormat="1" ht="14.55" outlineLevel="1" spans="2:22">
      <c r="B398" s="355"/>
      <c r="C398" s="356" t="s">
        <v>1397</v>
      </c>
      <c r="D398" s="357" t="s">
        <v>180</v>
      </c>
      <c r="E398" s="357" t="s">
        <v>782</v>
      </c>
      <c r="F398" s="357" t="s">
        <v>783</v>
      </c>
      <c r="G398" s="358" t="s">
        <v>784</v>
      </c>
      <c r="H398" s="359">
        <v>36</v>
      </c>
      <c r="I398" s="360">
        <v>0.05</v>
      </c>
      <c r="J398" s="361">
        <f t="shared" si="49"/>
        <v>0.0263888888888889</v>
      </c>
      <c r="K398" s="362">
        <v>5600</v>
      </c>
      <c r="L398" s="362">
        <v>5320</v>
      </c>
      <c r="M398" s="362"/>
      <c r="N398" s="362">
        <f t="shared" si="52"/>
        <v>280</v>
      </c>
      <c r="O398" s="362">
        <v>0</v>
      </c>
      <c r="P398" s="363">
        <f t="shared" si="57"/>
        <v>36</v>
      </c>
      <c r="Q398" s="364">
        <v>0.05</v>
      </c>
      <c r="R398" s="365">
        <f t="shared" si="53"/>
        <v>147.777777777778</v>
      </c>
      <c r="S398" s="366">
        <f t="shared" si="54"/>
        <v>36</v>
      </c>
      <c r="T398" s="367">
        <f t="shared" si="55"/>
        <v>5320</v>
      </c>
      <c r="U398" s="367">
        <f t="shared" si="56"/>
        <v>0</v>
      </c>
      <c r="V398" s="334"/>
    </row>
    <row r="399" s="158" customFormat="1" ht="14.55" spans="2:22">
      <c r="B399" s="355"/>
      <c r="C399" s="356" t="s">
        <v>1397</v>
      </c>
      <c r="D399" s="357" t="s">
        <v>180</v>
      </c>
      <c r="E399" s="357" t="s">
        <v>785</v>
      </c>
      <c r="F399" s="357" t="s">
        <v>647</v>
      </c>
      <c r="G399" s="358" t="s">
        <v>629</v>
      </c>
      <c r="H399" s="359">
        <v>36</v>
      </c>
      <c r="I399" s="360">
        <v>0.05</v>
      </c>
      <c r="J399" s="361">
        <f t="shared" si="49"/>
        <v>0.0263888888888889</v>
      </c>
      <c r="K399" s="362">
        <v>3000</v>
      </c>
      <c r="L399" s="362">
        <v>2850</v>
      </c>
      <c r="M399" s="362"/>
      <c r="N399" s="362">
        <f t="shared" si="52"/>
        <v>150</v>
      </c>
      <c r="O399" s="362">
        <v>0</v>
      </c>
      <c r="P399" s="363">
        <f t="shared" si="57"/>
        <v>36</v>
      </c>
      <c r="Q399" s="364">
        <v>0.05</v>
      </c>
      <c r="R399" s="365">
        <f t="shared" si="53"/>
        <v>79.1666666666667</v>
      </c>
      <c r="S399" s="366">
        <f t="shared" si="54"/>
        <v>36</v>
      </c>
      <c r="T399" s="367">
        <f t="shared" si="55"/>
        <v>2850</v>
      </c>
      <c r="U399" s="367">
        <f t="shared" si="56"/>
        <v>0</v>
      </c>
      <c r="V399" s="334"/>
    </row>
    <row r="400" s="158" customFormat="1" ht="14.55" spans="2:22">
      <c r="B400" s="355"/>
      <c r="C400" s="356" t="s">
        <v>1397</v>
      </c>
      <c r="D400" s="357" t="s">
        <v>180</v>
      </c>
      <c r="E400" s="357" t="s">
        <v>786</v>
      </c>
      <c r="F400" s="357" t="s">
        <v>787</v>
      </c>
      <c r="G400" s="358" t="s">
        <v>788</v>
      </c>
      <c r="H400" s="359">
        <v>36</v>
      </c>
      <c r="I400" s="360">
        <v>0.050001620156183</v>
      </c>
      <c r="J400" s="361">
        <f t="shared" si="49"/>
        <v>0.0263888438845505</v>
      </c>
      <c r="K400" s="362">
        <v>2777.51</v>
      </c>
      <c r="L400" s="362">
        <v>2638.63</v>
      </c>
      <c r="M400" s="362"/>
      <c r="N400" s="362">
        <f t="shared" si="52"/>
        <v>138.88</v>
      </c>
      <c r="O400" s="362">
        <v>0</v>
      </c>
      <c r="P400" s="363">
        <f t="shared" si="57"/>
        <v>36</v>
      </c>
      <c r="Q400" s="364">
        <v>0.05</v>
      </c>
      <c r="R400" s="365">
        <f t="shared" si="53"/>
        <v>73.2954027777778</v>
      </c>
      <c r="S400" s="366">
        <f t="shared" si="54"/>
        <v>36</v>
      </c>
      <c r="T400" s="367">
        <f t="shared" si="55"/>
        <v>2638.6345</v>
      </c>
      <c r="U400" s="367">
        <f t="shared" si="56"/>
        <v>0.00450000000000728</v>
      </c>
      <c r="V400" s="334"/>
    </row>
    <row r="401" s="158" customFormat="1" ht="14.55" outlineLevel="1" spans="2:22">
      <c r="B401" s="355"/>
      <c r="C401" s="356" t="s">
        <v>1397</v>
      </c>
      <c r="D401" s="357" t="s">
        <v>180</v>
      </c>
      <c r="E401" s="357" t="s">
        <v>789</v>
      </c>
      <c r="F401" s="357" t="s">
        <v>790</v>
      </c>
      <c r="G401" s="358" t="s">
        <v>308</v>
      </c>
      <c r="H401" s="359">
        <v>36</v>
      </c>
      <c r="I401" s="360">
        <v>0.04</v>
      </c>
      <c r="J401" s="361">
        <f t="shared" si="49"/>
        <v>0.0266666666666667</v>
      </c>
      <c r="K401" s="362">
        <v>4600</v>
      </c>
      <c r="L401" s="362">
        <v>4416</v>
      </c>
      <c r="M401" s="362"/>
      <c r="N401" s="362">
        <f t="shared" si="52"/>
        <v>184</v>
      </c>
      <c r="O401" s="362">
        <v>0</v>
      </c>
      <c r="P401" s="363">
        <f t="shared" si="57"/>
        <v>36</v>
      </c>
      <c r="Q401" s="364">
        <v>0.05</v>
      </c>
      <c r="R401" s="365">
        <f t="shared" si="53"/>
        <v>121.388888888889</v>
      </c>
      <c r="S401" s="366">
        <f t="shared" si="54"/>
        <v>36</v>
      </c>
      <c r="T401" s="367">
        <f t="shared" si="55"/>
        <v>4370</v>
      </c>
      <c r="U401" s="367">
        <f t="shared" si="56"/>
        <v>-46</v>
      </c>
      <c r="V401" s="334"/>
    </row>
    <row r="402" s="158" customFormat="1" ht="14.55" spans="2:22">
      <c r="B402" s="355"/>
      <c r="C402" s="356" t="s">
        <v>1397</v>
      </c>
      <c r="D402" s="357" t="s">
        <v>180</v>
      </c>
      <c r="E402" s="357" t="s">
        <v>791</v>
      </c>
      <c r="F402" s="357" t="s">
        <v>792</v>
      </c>
      <c r="G402" s="358" t="s">
        <v>323</v>
      </c>
      <c r="H402" s="359">
        <v>36</v>
      </c>
      <c r="I402" s="360">
        <v>0.04</v>
      </c>
      <c r="J402" s="361">
        <f t="shared" si="49"/>
        <v>0.0266666666666667</v>
      </c>
      <c r="K402" s="362">
        <v>2480</v>
      </c>
      <c r="L402" s="362">
        <v>2380.8</v>
      </c>
      <c r="M402" s="362"/>
      <c r="N402" s="362">
        <f t="shared" si="52"/>
        <v>99.1999999999998</v>
      </c>
      <c r="O402" s="362">
        <v>0</v>
      </c>
      <c r="P402" s="363">
        <f t="shared" si="57"/>
        <v>36</v>
      </c>
      <c r="Q402" s="364">
        <v>0.05</v>
      </c>
      <c r="R402" s="365">
        <f t="shared" si="53"/>
        <v>65.4444444444444</v>
      </c>
      <c r="S402" s="366">
        <f t="shared" si="54"/>
        <v>36</v>
      </c>
      <c r="T402" s="367">
        <f t="shared" si="55"/>
        <v>2356</v>
      </c>
      <c r="U402" s="367">
        <f t="shared" si="56"/>
        <v>-24.8000000000002</v>
      </c>
      <c r="V402" s="334"/>
    </row>
    <row r="403" s="158" customFormat="1" ht="14.55" spans="2:22">
      <c r="B403" s="355"/>
      <c r="C403" s="356" t="s">
        <v>1397</v>
      </c>
      <c r="D403" s="357" t="s">
        <v>180</v>
      </c>
      <c r="E403" s="357" t="s">
        <v>793</v>
      </c>
      <c r="F403" s="357" t="s">
        <v>794</v>
      </c>
      <c r="G403" s="358" t="s">
        <v>795</v>
      </c>
      <c r="H403" s="359">
        <v>48</v>
      </c>
      <c r="I403" s="360">
        <v>0.04</v>
      </c>
      <c r="J403" s="361">
        <f t="shared" si="49"/>
        <v>0.02</v>
      </c>
      <c r="K403" s="362">
        <v>208000</v>
      </c>
      <c r="L403" s="362">
        <v>199680</v>
      </c>
      <c r="M403" s="362"/>
      <c r="N403" s="362">
        <f t="shared" si="52"/>
        <v>8320</v>
      </c>
      <c r="O403" s="362">
        <v>0</v>
      </c>
      <c r="P403" s="363">
        <f t="shared" si="57"/>
        <v>48</v>
      </c>
      <c r="Q403" s="364">
        <v>0.05</v>
      </c>
      <c r="R403" s="365">
        <f t="shared" si="53"/>
        <v>4116.66666666667</v>
      </c>
      <c r="S403" s="366">
        <f t="shared" si="54"/>
        <v>48</v>
      </c>
      <c r="T403" s="367">
        <f t="shared" si="55"/>
        <v>197600</v>
      </c>
      <c r="U403" s="367">
        <f t="shared" si="56"/>
        <v>-2080</v>
      </c>
      <c r="V403" s="334"/>
    </row>
    <row r="404" s="158" customFormat="1" ht="14.55" spans="2:22">
      <c r="B404" s="355"/>
      <c r="C404" s="356" t="s">
        <v>1397</v>
      </c>
      <c r="D404" s="357" t="s">
        <v>180</v>
      </c>
      <c r="E404" s="357" t="s">
        <v>796</v>
      </c>
      <c r="F404" s="357" t="s">
        <v>797</v>
      </c>
      <c r="G404" s="358" t="s">
        <v>798</v>
      </c>
      <c r="H404" s="359">
        <v>36</v>
      </c>
      <c r="I404" s="360">
        <v>0.050001620156183</v>
      </c>
      <c r="J404" s="361">
        <f t="shared" si="49"/>
        <v>0.0263888438845505</v>
      </c>
      <c r="K404" s="362">
        <v>9300</v>
      </c>
      <c r="L404" s="362">
        <v>8835</v>
      </c>
      <c r="M404" s="362"/>
      <c r="N404" s="362">
        <f t="shared" si="52"/>
        <v>465</v>
      </c>
      <c r="O404" s="362">
        <v>736.14</v>
      </c>
      <c r="P404" s="363">
        <f t="shared" si="57"/>
        <v>36</v>
      </c>
      <c r="Q404" s="364">
        <v>0.05</v>
      </c>
      <c r="R404" s="365">
        <f t="shared" si="53"/>
        <v>245.416666666667</v>
      </c>
      <c r="S404" s="366">
        <f t="shared" si="54"/>
        <v>36</v>
      </c>
      <c r="T404" s="367">
        <f t="shared" si="55"/>
        <v>8835</v>
      </c>
      <c r="U404" s="367">
        <f t="shared" si="56"/>
        <v>0</v>
      </c>
      <c r="V404" s="334"/>
    </row>
    <row r="405" s="158" customFormat="1" ht="14.55" spans="2:22">
      <c r="B405" s="355"/>
      <c r="C405" s="356" t="s">
        <v>1397</v>
      </c>
      <c r="D405" s="357" t="s">
        <v>180</v>
      </c>
      <c r="E405" s="357" t="s">
        <v>799</v>
      </c>
      <c r="F405" s="357" t="s">
        <v>800</v>
      </c>
      <c r="G405" s="358" t="s">
        <v>801</v>
      </c>
      <c r="H405" s="359">
        <v>36</v>
      </c>
      <c r="I405" s="360">
        <v>0.050001620156183</v>
      </c>
      <c r="J405" s="361">
        <f t="shared" si="49"/>
        <v>0.0263888438845505</v>
      </c>
      <c r="K405" s="362">
        <v>3076.99</v>
      </c>
      <c r="L405" s="362">
        <v>2923.14</v>
      </c>
      <c r="M405" s="362"/>
      <c r="N405" s="362">
        <f t="shared" si="52"/>
        <v>153.85</v>
      </c>
      <c r="O405" s="362">
        <v>487.14</v>
      </c>
      <c r="P405" s="363">
        <f t="shared" si="57"/>
        <v>36</v>
      </c>
      <c r="Q405" s="364">
        <v>0.05</v>
      </c>
      <c r="R405" s="365">
        <f t="shared" si="53"/>
        <v>81.1983472222222</v>
      </c>
      <c r="S405" s="366">
        <f t="shared" si="54"/>
        <v>36</v>
      </c>
      <c r="T405" s="367">
        <f t="shared" si="55"/>
        <v>2923.1405</v>
      </c>
      <c r="U405" s="367">
        <f t="shared" si="56"/>
        <v>0.000499999999647116</v>
      </c>
      <c r="V405" s="334"/>
    </row>
    <row r="406" s="158" customFormat="1" ht="14.55" spans="2:22">
      <c r="B406" s="355"/>
      <c r="C406" s="356" t="s">
        <v>1397</v>
      </c>
      <c r="D406" s="357" t="s">
        <v>180</v>
      </c>
      <c r="E406" s="357" t="s">
        <v>802</v>
      </c>
      <c r="F406" s="357" t="s">
        <v>803</v>
      </c>
      <c r="G406" s="358" t="s">
        <v>801</v>
      </c>
      <c r="H406" s="359">
        <v>36</v>
      </c>
      <c r="I406" s="360">
        <v>0.050001620156183</v>
      </c>
      <c r="J406" s="361">
        <f t="shared" si="49"/>
        <v>0.0263888438845505</v>
      </c>
      <c r="K406" s="362">
        <v>8384</v>
      </c>
      <c r="L406" s="362">
        <v>7964.8</v>
      </c>
      <c r="M406" s="362"/>
      <c r="N406" s="362">
        <f t="shared" si="52"/>
        <v>419.2</v>
      </c>
      <c r="O406" s="362">
        <v>1327.6</v>
      </c>
      <c r="P406" s="363">
        <f t="shared" si="57"/>
        <v>36</v>
      </c>
      <c r="Q406" s="364">
        <v>0.05</v>
      </c>
      <c r="R406" s="365">
        <f t="shared" si="53"/>
        <v>221.244444444444</v>
      </c>
      <c r="S406" s="366">
        <f t="shared" si="54"/>
        <v>36</v>
      </c>
      <c r="T406" s="367">
        <f t="shared" si="55"/>
        <v>7964.8</v>
      </c>
      <c r="U406" s="367">
        <f t="shared" si="56"/>
        <v>0</v>
      </c>
      <c r="V406" s="334"/>
    </row>
    <row r="407" s="158" customFormat="1" ht="14.55" spans="2:22">
      <c r="B407" s="355"/>
      <c r="C407" s="356" t="s">
        <v>1397</v>
      </c>
      <c r="D407" s="357" t="s">
        <v>180</v>
      </c>
      <c r="E407" s="357" t="s">
        <v>804</v>
      </c>
      <c r="F407" s="357" t="s">
        <v>805</v>
      </c>
      <c r="G407" s="358" t="s">
        <v>400</v>
      </c>
      <c r="H407" s="359">
        <v>36</v>
      </c>
      <c r="I407" s="360">
        <v>0.050001620156183</v>
      </c>
      <c r="J407" s="361">
        <f t="shared" si="49"/>
        <v>0.0263888438845505</v>
      </c>
      <c r="K407" s="362">
        <v>30270</v>
      </c>
      <c r="L407" s="362">
        <v>28756.5</v>
      </c>
      <c r="M407" s="362"/>
      <c r="N407" s="362">
        <f t="shared" si="52"/>
        <v>1513.5</v>
      </c>
      <c r="O407" s="362">
        <v>6390.38</v>
      </c>
      <c r="P407" s="363">
        <f t="shared" si="57"/>
        <v>36</v>
      </c>
      <c r="Q407" s="364">
        <v>0.05</v>
      </c>
      <c r="R407" s="365">
        <f t="shared" si="53"/>
        <v>798.791666666667</v>
      </c>
      <c r="S407" s="366">
        <f t="shared" si="54"/>
        <v>36</v>
      </c>
      <c r="T407" s="367">
        <f t="shared" si="55"/>
        <v>28756.5</v>
      </c>
      <c r="U407" s="367">
        <f t="shared" si="56"/>
        <v>0</v>
      </c>
      <c r="V407" s="334"/>
    </row>
    <row r="408" s="158" customFormat="1" ht="14.55" spans="2:22">
      <c r="B408" s="355"/>
      <c r="C408" s="356" t="s">
        <v>1397</v>
      </c>
      <c r="D408" s="357" t="s">
        <v>180</v>
      </c>
      <c r="E408" s="357" t="s">
        <v>806</v>
      </c>
      <c r="F408" s="357" t="s">
        <v>807</v>
      </c>
      <c r="G408" s="358" t="s">
        <v>412</v>
      </c>
      <c r="H408" s="359">
        <v>36</v>
      </c>
      <c r="I408" s="360">
        <v>0.050001620156183</v>
      </c>
      <c r="J408" s="361">
        <f t="shared" si="49"/>
        <v>0.0263888438845505</v>
      </c>
      <c r="K408" s="362">
        <v>29000</v>
      </c>
      <c r="L408" s="362">
        <v>27550</v>
      </c>
      <c r="M408" s="362"/>
      <c r="N408" s="362">
        <f t="shared" si="52"/>
        <v>1450</v>
      </c>
      <c r="O408" s="362">
        <v>8418</v>
      </c>
      <c r="P408" s="363">
        <f t="shared" si="57"/>
        <v>36</v>
      </c>
      <c r="Q408" s="364">
        <v>0.05</v>
      </c>
      <c r="R408" s="365">
        <f t="shared" si="53"/>
        <v>765.277777777778</v>
      </c>
      <c r="S408" s="366">
        <f t="shared" si="54"/>
        <v>36</v>
      </c>
      <c r="T408" s="367">
        <f t="shared" si="55"/>
        <v>27550</v>
      </c>
      <c r="U408" s="367">
        <f t="shared" si="56"/>
        <v>0</v>
      </c>
      <c r="V408" s="334"/>
    </row>
    <row r="409" s="158" customFormat="1" ht="14.55" spans="2:22">
      <c r="B409" s="355"/>
      <c r="C409" s="356" t="s">
        <v>1397</v>
      </c>
      <c r="D409" s="357" t="s">
        <v>180</v>
      </c>
      <c r="E409" s="357" t="s">
        <v>969</v>
      </c>
      <c r="F409" s="357" t="s">
        <v>970</v>
      </c>
      <c r="G409" s="358" t="s">
        <v>952</v>
      </c>
      <c r="H409" s="359">
        <v>36</v>
      </c>
      <c r="I409" s="360">
        <v>0.05</v>
      </c>
      <c r="J409" s="361">
        <f t="shared" si="49"/>
        <v>0.0263888888888889</v>
      </c>
      <c r="K409" s="362">
        <v>6500</v>
      </c>
      <c r="L409" s="362">
        <v>1372.24</v>
      </c>
      <c r="M409" s="362"/>
      <c r="N409" s="362">
        <f t="shared" si="52"/>
        <v>5127.76</v>
      </c>
      <c r="O409" s="362">
        <v>1372.24</v>
      </c>
      <c r="P409" s="363">
        <f t="shared" si="57"/>
        <v>36</v>
      </c>
      <c r="Q409" s="364">
        <v>0.05</v>
      </c>
      <c r="R409" s="365">
        <f t="shared" si="53"/>
        <v>171.527777777778</v>
      </c>
      <c r="S409" s="366">
        <f t="shared" si="54"/>
        <v>8</v>
      </c>
      <c r="T409" s="367">
        <f t="shared" si="55"/>
        <v>1372.22222222222</v>
      </c>
      <c r="U409" s="367">
        <f t="shared" si="56"/>
        <v>-0.0177777777778374</v>
      </c>
      <c r="V409" s="334"/>
    </row>
    <row r="410" s="158" customFormat="1" ht="14.55" spans="2:22">
      <c r="B410" s="355"/>
      <c r="C410" s="356"/>
      <c r="D410" s="369"/>
      <c r="E410" s="357"/>
      <c r="F410" s="357"/>
      <c r="G410" s="358"/>
      <c r="H410" s="359"/>
      <c r="I410" s="360"/>
      <c r="J410" s="377"/>
      <c r="K410" s="370">
        <f>SUM(K395:K409)</f>
        <v>326588.5</v>
      </c>
      <c r="L410" s="370">
        <f>SUM(L395:L409)</f>
        <v>307607.11</v>
      </c>
      <c r="M410" s="370">
        <f>SUM(M395:M409)</f>
        <v>0</v>
      </c>
      <c r="N410" s="370">
        <f>SUM(N395:N409)</f>
        <v>18981.39</v>
      </c>
      <c r="O410" s="370">
        <f>SUM(O395:O409)</f>
        <v>18731.5</v>
      </c>
      <c r="P410" s="362"/>
      <c r="Q410" s="364"/>
      <c r="R410" s="365"/>
      <c r="S410" s="366"/>
      <c r="T410" s="367"/>
      <c r="U410" s="367"/>
      <c r="V410" s="334"/>
    </row>
    <row r="411" s="158" customFormat="1" ht="14.55" spans="2:22">
      <c r="B411" s="355"/>
      <c r="C411" s="356"/>
      <c r="D411" s="369" t="s">
        <v>180</v>
      </c>
      <c r="E411" s="357"/>
      <c r="F411" s="357"/>
      <c r="G411" s="358"/>
      <c r="H411" s="359"/>
      <c r="I411" s="360"/>
      <c r="J411" s="377"/>
      <c r="K411" s="362"/>
      <c r="L411" s="362"/>
      <c r="M411" s="362"/>
      <c r="N411" s="362">
        <f t="shared" si="52"/>
        <v>0</v>
      </c>
      <c r="O411" s="362"/>
      <c r="P411" s="362"/>
      <c r="Q411" s="364"/>
      <c r="R411" s="365"/>
      <c r="S411" s="366"/>
      <c r="T411" s="367"/>
      <c r="U411" s="367"/>
      <c r="V411" s="334"/>
    </row>
    <row r="412" s="158" customFormat="1" ht="14.55" spans="2:22">
      <c r="B412" s="355"/>
      <c r="C412" s="356"/>
      <c r="D412" s="357"/>
      <c r="E412" s="357"/>
      <c r="F412" s="357"/>
      <c r="G412" s="358"/>
      <c r="H412" s="359"/>
      <c r="I412" s="360"/>
      <c r="J412" s="361"/>
      <c r="K412" s="362"/>
      <c r="L412" s="362"/>
      <c r="M412" s="362"/>
      <c r="N412" s="362">
        <f t="shared" si="52"/>
        <v>0</v>
      </c>
      <c r="O412" s="362"/>
      <c r="P412" s="363"/>
      <c r="Q412" s="364"/>
      <c r="R412" s="365"/>
      <c r="S412" s="366"/>
      <c r="T412" s="367"/>
      <c r="U412" s="367"/>
      <c r="V412" s="334"/>
    </row>
    <row r="413" s="158" customFormat="1" ht="14.55" spans="2:22">
      <c r="B413" s="355"/>
      <c r="C413" s="356" t="s">
        <v>1397</v>
      </c>
      <c r="D413" s="357" t="s">
        <v>181</v>
      </c>
      <c r="E413" s="357" t="s">
        <v>808</v>
      </c>
      <c r="F413" s="357" t="s">
        <v>809</v>
      </c>
      <c r="G413" s="358" t="s">
        <v>788</v>
      </c>
      <c r="H413" s="359">
        <v>48</v>
      </c>
      <c r="I413" s="360">
        <v>0.05</v>
      </c>
      <c r="J413" s="361">
        <f t="shared" ref="J413:J416" si="58">(1-I413)/H413</f>
        <v>0.0197916666666667</v>
      </c>
      <c r="K413" s="362">
        <v>848000</v>
      </c>
      <c r="L413" s="362">
        <v>805600</v>
      </c>
      <c r="M413" s="362"/>
      <c r="N413" s="362">
        <f t="shared" si="52"/>
        <v>42400</v>
      </c>
      <c r="O413" s="362">
        <v>0</v>
      </c>
      <c r="P413" s="363">
        <f>_xlfn.XLOOKUP(D413,$C$484:$C$489,$E$484:$E$489)</f>
        <v>48</v>
      </c>
      <c r="Q413" s="364">
        <v>0.05</v>
      </c>
      <c r="R413" s="365">
        <f t="shared" ref="R413:R416" si="59">K413*(1-Q413)/P413</f>
        <v>16783.3333333333</v>
      </c>
      <c r="S413" s="366">
        <f t="shared" ref="S413:S416" si="60">IF(YEAR(G413)=YEAR($P$85),MIN(DATEDIF(EOMONTH(G413,-1)+1,$P$85,"m"),P413),MIN(P413,DATEDIF(EOMONTH(G413,-1)+1,$P$85,"m")))</f>
        <v>48</v>
      </c>
      <c r="T413" s="367">
        <f>S413*R413</f>
        <v>805600</v>
      </c>
      <c r="U413" s="367">
        <f>T413-L413</f>
        <v>0</v>
      </c>
      <c r="V413" s="334"/>
    </row>
    <row r="414" s="158" customFormat="1" ht="14.55" spans="2:22">
      <c r="B414" s="355"/>
      <c r="C414" s="356" t="s">
        <v>1397</v>
      </c>
      <c r="D414" s="357" t="s">
        <v>181</v>
      </c>
      <c r="E414" s="357" t="s">
        <v>810</v>
      </c>
      <c r="F414" s="357" t="s">
        <v>811</v>
      </c>
      <c r="G414" s="358" t="s">
        <v>812</v>
      </c>
      <c r="H414" s="359">
        <v>48</v>
      </c>
      <c r="I414" s="360">
        <v>0.05</v>
      </c>
      <c r="J414" s="361">
        <f t="shared" si="58"/>
        <v>0.0197916666666667</v>
      </c>
      <c r="K414" s="362">
        <v>404223.01</v>
      </c>
      <c r="L414" s="362">
        <v>336010.5</v>
      </c>
      <c r="M414" s="362"/>
      <c r="N414" s="362">
        <f t="shared" ref="N414:N416" si="61">K414-L414</f>
        <v>68212.51</v>
      </c>
      <c r="O414" s="362">
        <v>96003</v>
      </c>
      <c r="P414" s="363">
        <f>_xlfn.XLOOKUP(D414,$C$484:$C$489,$E$484:$E$489)</f>
        <v>48</v>
      </c>
      <c r="Q414" s="364">
        <v>0.05</v>
      </c>
      <c r="R414" s="365">
        <f t="shared" si="59"/>
        <v>8000.24707291667</v>
      </c>
      <c r="S414" s="366">
        <f t="shared" si="60"/>
        <v>42</v>
      </c>
      <c r="T414" s="367">
        <f t="shared" ref="T414:T416" si="62">S414*R414</f>
        <v>336010.3770625</v>
      </c>
      <c r="U414" s="367">
        <f t="shared" ref="U414:U416" si="63">T414-L414</f>
        <v>-0.122937500011176</v>
      </c>
      <c r="V414" s="334"/>
    </row>
    <row r="415" s="158" customFormat="1" ht="14.55" spans="2:22">
      <c r="B415" s="355"/>
      <c r="C415" s="356" t="s">
        <v>1397</v>
      </c>
      <c r="D415" s="357" t="s">
        <v>181</v>
      </c>
      <c r="E415" s="357" t="s">
        <v>925</v>
      </c>
      <c r="F415" s="357" t="s">
        <v>926</v>
      </c>
      <c r="G415" s="358" t="s">
        <v>909</v>
      </c>
      <c r="H415" s="359">
        <v>48</v>
      </c>
      <c r="I415" s="360">
        <v>0.049999963539693</v>
      </c>
      <c r="J415" s="361">
        <f t="shared" si="58"/>
        <v>0.0197916674262564</v>
      </c>
      <c r="K415" s="362">
        <v>41140.63</v>
      </c>
      <c r="L415" s="362">
        <v>15470.56</v>
      </c>
      <c r="M415" s="362"/>
      <c r="N415" s="362">
        <f t="shared" si="61"/>
        <v>25670.07</v>
      </c>
      <c r="O415" s="362">
        <v>9770.88</v>
      </c>
      <c r="P415" s="363">
        <f t="shared" ref="P415:P416" si="64">_xlfn.XLOOKUP(D415,$C$484:$C$489,$E$484:$E$489)</f>
        <v>48</v>
      </c>
      <c r="Q415" s="364">
        <v>0.05</v>
      </c>
      <c r="R415" s="365">
        <f t="shared" si="59"/>
        <v>814.241635416667</v>
      </c>
      <c r="S415" s="366">
        <f t="shared" si="60"/>
        <v>19</v>
      </c>
      <c r="T415" s="367">
        <f t="shared" si="62"/>
        <v>15470.5910729167</v>
      </c>
      <c r="U415" s="367">
        <f t="shared" si="63"/>
        <v>0.0310729166649253</v>
      </c>
      <c r="V415" s="334"/>
    </row>
    <row r="416" s="158" customFormat="1" ht="14.55" spans="2:22">
      <c r="B416" s="355"/>
      <c r="C416" s="356" t="s">
        <v>1397</v>
      </c>
      <c r="D416" s="357" t="s">
        <v>181</v>
      </c>
      <c r="E416" s="357" t="s">
        <v>971</v>
      </c>
      <c r="F416" s="357" t="s">
        <v>972</v>
      </c>
      <c r="G416" s="358" t="s">
        <v>973</v>
      </c>
      <c r="H416" s="359">
        <v>48</v>
      </c>
      <c r="I416" s="360">
        <v>0.05</v>
      </c>
      <c r="J416" s="361">
        <f t="shared" si="58"/>
        <v>0.0197916666666667</v>
      </c>
      <c r="K416" s="362">
        <v>60000</v>
      </c>
      <c r="L416" s="362">
        <v>10687.5</v>
      </c>
      <c r="M416" s="362"/>
      <c r="N416" s="362">
        <f t="shared" si="61"/>
        <v>49312.5</v>
      </c>
      <c r="O416" s="362">
        <v>10687.5</v>
      </c>
      <c r="P416" s="363">
        <f t="shared" si="64"/>
        <v>48</v>
      </c>
      <c r="Q416" s="364">
        <v>0.05</v>
      </c>
      <c r="R416" s="365">
        <f t="shared" si="59"/>
        <v>1187.5</v>
      </c>
      <c r="S416" s="366">
        <f t="shared" si="60"/>
        <v>9</v>
      </c>
      <c r="T416" s="367">
        <f t="shared" si="62"/>
        <v>10687.5</v>
      </c>
      <c r="U416" s="367">
        <f t="shared" si="63"/>
        <v>0</v>
      </c>
      <c r="V416" s="334"/>
    </row>
    <row r="417" s="158" customFormat="1" ht="14.55" spans="2:22">
      <c r="B417" s="355"/>
      <c r="C417" s="356"/>
      <c r="D417" s="357"/>
      <c r="E417" s="357"/>
      <c r="F417" s="357"/>
      <c r="G417" s="358"/>
      <c r="H417" s="359"/>
      <c r="I417" s="360"/>
      <c r="J417" s="361"/>
      <c r="K417" s="370">
        <f>SUM(K413:K416)</f>
        <v>1353363.64</v>
      </c>
      <c r="L417" s="370">
        <f>SUM(L413:L416)</f>
        <v>1167768.56</v>
      </c>
      <c r="M417" s="370">
        <f t="shared" ref="M417" si="65">SUM(M413:M415)</f>
        <v>0</v>
      </c>
      <c r="N417" s="370">
        <f>SUM(N413:N416)</f>
        <v>185595.08</v>
      </c>
      <c r="O417" s="370">
        <f>SUM(O413:O416)</f>
        <v>116461.38</v>
      </c>
      <c r="P417" s="363"/>
      <c r="Q417" s="364"/>
      <c r="R417" s="365"/>
      <c r="S417" s="366"/>
      <c r="T417" s="367"/>
      <c r="U417" s="367"/>
      <c r="V417" s="334"/>
    </row>
    <row r="418" s="158" customFormat="1" ht="14.55" spans="2:22">
      <c r="B418" s="355"/>
      <c r="C418" s="356"/>
      <c r="D418" s="357"/>
      <c r="E418" s="357"/>
      <c r="F418" s="357"/>
      <c r="G418" s="358"/>
      <c r="H418" s="359"/>
      <c r="I418" s="360"/>
      <c r="J418" s="361"/>
      <c r="K418" s="362"/>
      <c r="L418" s="362"/>
      <c r="M418" s="362"/>
      <c r="N418" s="362"/>
      <c r="O418" s="362"/>
      <c r="P418" s="363"/>
      <c r="Q418" s="364"/>
      <c r="R418" s="365"/>
      <c r="S418" s="366"/>
      <c r="T418" s="367"/>
      <c r="U418" s="367"/>
      <c r="V418" s="334"/>
    </row>
    <row r="419" s="158" customFormat="1" ht="14.55" spans="2:22">
      <c r="B419" s="355"/>
      <c r="C419" s="378"/>
      <c r="D419" s="379"/>
      <c r="E419" s="357"/>
      <c r="F419" s="357"/>
      <c r="G419" s="380"/>
      <c r="H419" s="381"/>
      <c r="I419" s="382"/>
      <c r="J419" s="377"/>
      <c r="K419" s="362"/>
      <c r="L419" s="362"/>
      <c r="M419" s="362"/>
      <c r="N419" s="362"/>
      <c r="O419" s="362"/>
      <c r="P419" s="362"/>
      <c r="Q419" s="364"/>
      <c r="R419" s="365"/>
      <c r="S419" s="366"/>
      <c r="T419" s="367"/>
      <c r="U419" s="367"/>
      <c r="V419" s="334"/>
    </row>
    <row r="420" s="158" customFormat="1" ht="15.3" spans="2:22">
      <c r="B420" s="383"/>
      <c r="C420" s="384"/>
      <c r="D420" s="385"/>
      <c r="E420" s="385"/>
      <c r="F420" s="385"/>
      <c r="G420" s="386"/>
      <c r="H420" s="387"/>
      <c r="I420" s="388"/>
      <c r="J420" s="389"/>
      <c r="K420" s="390">
        <f>K164+K261+K391+K410+K417</f>
        <v>18040855.35</v>
      </c>
      <c r="L420" s="390">
        <f>L164+L261+L391+L410+L417</f>
        <v>14108429.27</v>
      </c>
      <c r="M420" s="390">
        <f>M164+M261+M391+M410+M417</f>
        <v>0</v>
      </c>
      <c r="N420" s="390">
        <f>N164+N261+N391+N410+N417</f>
        <v>3932426.08</v>
      </c>
      <c r="O420" s="390">
        <f>O164+O261+O391+O410+O417</f>
        <v>1904537.3</v>
      </c>
      <c r="P420" s="391"/>
      <c r="Q420" s="392"/>
      <c r="R420" s="392"/>
      <c r="S420" s="392"/>
      <c r="T420" s="393"/>
      <c r="U420" s="391">
        <f>SUM(U93:U419)</f>
        <v>57152.4892103688</v>
      </c>
      <c r="V420" s="394" t="s">
        <v>1398</v>
      </c>
    </row>
    <row r="421" s="158" customFormat="1" ht="14.55" spans="2:22">
      <c r="C421" s="395"/>
      <c r="D421" s="395"/>
      <c r="E421" s="395"/>
      <c r="F421" s="396"/>
      <c r="G421" s="397"/>
      <c r="H421" s="398"/>
      <c r="I421" s="399"/>
      <c r="J421" s="400"/>
      <c r="K421" s="400" t="b">
        <f>K420='K.00 Lead Sheet'!G49</f>
        <v>0</v>
      </c>
      <c r="L421" s="400" t="b">
        <f>L420='K.00 Lead Sheet'!G50</f>
        <v>1</v>
      </c>
      <c r="M421" s="400"/>
      <c r="N421" s="400" t="b">
        <f>ROUND(N420,0)=ROUND('K.00 Lead Sheet'!G53,0)</f>
        <v>0</v>
      </c>
      <c r="O421" s="400" t="b">
        <f>O420='K.01.1a FA list'!K336-30330.24</f>
        <v>1</v>
      </c>
      <c r="P421" s="401"/>
      <c r="Q421" s="402"/>
      <c r="R421" s="403"/>
      <c r="S421" s="398"/>
      <c r="T421" s="404"/>
    </row>
    <row r="422" s="158" customFormat="1" ht="14.55" spans="2:22">
      <c r="B422" s="299" t="s">
        <v>1399</v>
      </c>
      <c r="F422" s="405"/>
      <c r="G422" s="406"/>
      <c r="H422" s="407"/>
      <c r="I422" s="298"/>
      <c r="J422" s="407"/>
      <c r="N422" s="408"/>
      <c r="O422" s="408"/>
      <c r="S422" s="409"/>
    </row>
    <row r="423" s="158" customFormat="1" ht="15.3" hidden="1" spans="2:22">
      <c r="B423" s="299"/>
      <c r="C423" s="307" t="s">
        <v>1400</v>
      </c>
      <c r="E423" s="299"/>
      <c r="I423" s="298"/>
      <c r="O423" s="410"/>
      <c r="P423" s="410"/>
      <c r="Q423" s="410"/>
      <c r="R423" s="410"/>
      <c r="S423" s="410"/>
      <c r="T423" s="410"/>
      <c r="U423" s="410"/>
    </row>
    <row r="424" s="158" customFormat="1" ht="15.3" hidden="1" spans="2:22">
      <c r="B424" s="299"/>
      <c r="C424" s="312" t="s">
        <v>1368</v>
      </c>
      <c r="D424" s="312" t="s">
        <v>1368</v>
      </c>
      <c r="E424" s="312" t="s">
        <v>1368</v>
      </c>
      <c r="F424" s="312" t="s">
        <v>1368</v>
      </c>
      <c r="G424" s="411" t="s">
        <v>1368</v>
      </c>
      <c r="H424" s="411" t="s">
        <v>1368</v>
      </c>
      <c r="I424" s="412" t="s">
        <v>1368</v>
      </c>
      <c r="J424" s="313" t="s">
        <v>1368</v>
      </c>
      <c r="K424" s="313"/>
      <c r="L424" s="314" t="s">
        <v>1368</v>
      </c>
      <c r="M424" s="314" t="s">
        <v>1368</v>
      </c>
      <c r="N424" s="413"/>
      <c r="O424" s="414" t="s">
        <v>1368</v>
      </c>
      <c r="P424" s="415"/>
      <c r="Q424" s="415"/>
      <c r="R424" s="416"/>
      <c r="S424" s="417"/>
      <c r="T424" s="417"/>
      <c r="U424" s="418"/>
      <c r="V424" s="419"/>
    </row>
    <row r="425" s="158" customFormat="1" ht="27.45" hidden="1" spans="2:22">
      <c r="B425" s="299"/>
      <c r="C425" s="318" t="s">
        <v>1370</v>
      </c>
      <c r="D425" s="420" t="s">
        <v>1371</v>
      </c>
      <c r="E425" s="420" t="s">
        <v>1372</v>
      </c>
      <c r="F425" s="420" t="s">
        <v>1373</v>
      </c>
      <c r="G425" s="421" t="s">
        <v>1374</v>
      </c>
      <c r="H425" s="421" t="s">
        <v>1304</v>
      </c>
      <c r="I425" s="422" t="s">
        <v>1375</v>
      </c>
      <c r="J425" s="423" t="s">
        <v>1376</v>
      </c>
      <c r="K425" s="423"/>
      <c r="L425" s="424" t="s">
        <v>1401</v>
      </c>
      <c r="M425" s="424" t="s">
        <v>1402</v>
      </c>
      <c r="N425" s="425"/>
      <c r="O425" s="426" t="s">
        <v>1379</v>
      </c>
      <c r="P425" s="422"/>
      <c r="Q425" s="422"/>
      <c r="R425" s="427"/>
      <c r="S425" s="332"/>
      <c r="T425" s="428"/>
      <c r="U425" s="429"/>
      <c r="V425" s="334"/>
    </row>
    <row r="426" s="158" customFormat="1" ht="14.55" hidden="1" spans="2:22">
      <c r="B426" s="299"/>
      <c r="C426" s="318" t="s">
        <v>1380</v>
      </c>
      <c r="D426" s="420" t="s">
        <v>1380</v>
      </c>
      <c r="E426" s="420" t="s">
        <v>1380</v>
      </c>
      <c r="F426" s="420" t="s">
        <v>1380</v>
      </c>
      <c r="G426" s="421" t="s">
        <v>1380</v>
      </c>
      <c r="H426" s="421" t="s">
        <v>1380</v>
      </c>
      <c r="I426" s="422" t="s">
        <v>1380</v>
      </c>
      <c r="J426" s="423" t="s">
        <v>1380</v>
      </c>
      <c r="K426" s="423"/>
      <c r="L426" s="424" t="s">
        <v>1380</v>
      </c>
      <c r="M426" s="424" t="s">
        <v>1380</v>
      </c>
      <c r="N426" s="425"/>
      <c r="O426" s="426" t="s">
        <v>1380</v>
      </c>
      <c r="P426" s="422"/>
      <c r="Q426" s="422"/>
      <c r="R426" s="427"/>
      <c r="S426" s="332"/>
      <c r="T426" s="428"/>
      <c r="U426" s="429"/>
      <c r="V426" s="334"/>
    </row>
    <row r="427" s="158" customFormat="1" ht="15.3" hidden="1" spans="2:22">
      <c r="B427" s="299"/>
      <c r="C427" s="430"/>
      <c r="D427" s="431"/>
      <c r="E427" s="432"/>
      <c r="F427" s="432"/>
      <c r="G427" s="433"/>
      <c r="H427" s="433"/>
      <c r="I427" s="368"/>
      <c r="J427" s="434"/>
      <c r="K427" s="435" t="str">
        <f>IF(I427&lt;&gt;0,(1-J427)/I427*12,"")</f>
        <v/>
      </c>
      <c r="L427" s="436"/>
      <c r="M427" s="436"/>
      <c r="N427" s="436">
        <f>L427-M427</f>
        <v>0</v>
      </c>
      <c r="O427" s="437"/>
      <c r="P427" s="438">
        <f>IFERROR(VLOOKUP($D427,$C$33:$D$36,2,FALSE),0)</f>
        <v>0</v>
      </c>
      <c r="Q427" s="438"/>
      <c r="R427" s="439" t="e">
        <f>IF(DATE(YEAR(EOMONTH(G427,(I427-1))),MONTH(EOMONTH(G427,(I427-1))),DAY(EOMONTH(G427,(I427-1))))&lt;DATE(YEAR($P$86),MONTH($P$86),DAY($P$86)),"Y","N")</f>
        <v>#NUM!</v>
      </c>
      <c r="S427" s="438" t="e">
        <f>IF(T427=0,0,L427*(1-J427)/I427*T427)</f>
        <v>#NUM!</v>
      </c>
      <c r="T427" s="363" t="e" cm="1">
        <f t="array" ref="T427">_xlfn.IFS(YEAR(I427)&lt;&gt;YEAR($D$5),_xlfn.IFS(YEAR(EOMONTH(G427,I427-MONTH(1)))&gt;YEAR($D$5),MONTH($D$5),YEAR(EOMONTH(G427,I427-MONTH(1)))=YEAR($D$5),IF(MONTH(EOMONTH(G427,I427-MONTH(1)))&gt;=MONTH($D$5),MONTH($D$5),MONTH(EOMONTH(G427,I427-MONTH(1)))),YEAR(EOMONTH(G427,I427-MONTH(1)))&lt;YEAR($D$5),0),(YEAR(I427)=YEAR($D$5)),MONTH($D$5)+1-(MONTH(I427)))</f>
        <v>#NUM!</v>
      </c>
      <c r="U427" s="438" t="e">
        <f>O427-S427</f>
        <v>#NUM!</v>
      </c>
      <c r="V427" s="440" t="str">
        <f>IF(ABS([11]K1_400折旧测试!$U388)&gt;$G$9,"Note","m")</f>
        <v>m</v>
      </c>
    </row>
    <row r="428" s="158" customFormat="1" ht="29.15" hidden="1" spans="2:22">
      <c r="B428" s="347" t="s">
        <v>1403</v>
      </c>
      <c r="C428" s="348" t="s">
        <v>1382</v>
      </c>
      <c r="D428" s="441" t="s">
        <v>1383</v>
      </c>
      <c r="E428" s="349" t="s">
        <v>1384</v>
      </c>
      <c r="F428" s="349" t="s">
        <v>1385</v>
      </c>
      <c r="G428" s="349" t="s">
        <v>1374</v>
      </c>
      <c r="H428" s="349" t="s">
        <v>1404</v>
      </c>
      <c r="I428" s="349" t="s">
        <v>1386</v>
      </c>
      <c r="J428" s="350" t="s">
        <v>1376</v>
      </c>
      <c r="K428" s="442" t="s">
        <v>1387</v>
      </c>
      <c r="L428" s="441" t="s">
        <v>1405</v>
      </c>
      <c r="M428" s="349" t="s">
        <v>166</v>
      </c>
      <c r="N428" s="351" t="s">
        <v>1406</v>
      </c>
      <c r="O428" s="443" t="s">
        <v>1407</v>
      </c>
      <c r="P428" s="444" t="s">
        <v>1390</v>
      </c>
      <c r="Q428" s="352" t="s">
        <v>1391</v>
      </c>
      <c r="R428" s="352" t="s">
        <v>1392</v>
      </c>
      <c r="S428" s="352" t="s">
        <v>1393</v>
      </c>
      <c r="T428" s="352" t="s">
        <v>1394</v>
      </c>
      <c r="U428" s="353" t="s">
        <v>1395</v>
      </c>
      <c r="V428" s="352" t="s">
        <v>1396</v>
      </c>
    </row>
    <row r="429" s="158" customFormat="1" ht="14.55" hidden="1" spans="2:22">
      <c r="B429" s="445"/>
      <c r="C429" s="446"/>
      <c r="D429" s="447"/>
      <c r="E429" s="448"/>
      <c r="F429" s="448"/>
      <c r="G429" s="448"/>
      <c r="H429" s="448"/>
      <c r="I429" s="448"/>
      <c r="J429" s="449"/>
      <c r="K429" s="450"/>
      <c r="L429" s="447"/>
      <c r="M429" s="448"/>
      <c r="N429" s="451"/>
      <c r="O429" s="452"/>
      <c r="P429" s="453"/>
      <c r="Q429" s="454"/>
      <c r="R429" s="454"/>
      <c r="S429" s="454"/>
      <c r="T429" s="454"/>
      <c r="U429" s="455"/>
      <c r="V429" s="456"/>
    </row>
    <row r="430" s="158" customFormat="1" ht="13.7" hidden="1" outlineLevel="1" spans="2:22">
      <c r="B430" s="457"/>
      <c r="C430" s="356"/>
      <c r="D430" s="458"/>
      <c r="E430" s="458"/>
      <c r="F430" s="458"/>
      <c r="G430" s="459"/>
      <c r="H430" s="459"/>
      <c r="I430" s="428"/>
      <c r="J430" s="460"/>
      <c r="K430" s="461"/>
      <c r="L430" s="462"/>
      <c r="M430" s="429"/>
      <c r="N430" s="463"/>
      <c r="O430" s="464"/>
      <c r="P430" s="465"/>
      <c r="Q430" s="364"/>
      <c r="R430" s="365" t="e">
        <f>L430*(1-Q430)/P430</f>
        <v>#DIV/0!</v>
      </c>
      <c r="S430" s="366" t="e">
        <f t="shared" ref="S430" si="66">IF(YEAR(G430)=YEAR($P$85),MIN(DATEDIF(EOMONTH(G430,-1)+1,$P$85,"m"),P430),MIN(P430,DATEDIF(EOMONTH(G430,-1)+1,$P$85,"m")))</f>
        <v>#NUM!</v>
      </c>
      <c r="T430" s="367" t="e">
        <f t="shared" ref="T430" si="67">S430*R430</f>
        <v>#NUM!</v>
      </c>
      <c r="U430" s="367" t="e">
        <f t="shared" ref="U430" si="68">T430-L430</f>
        <v>#NUM!</v>
      </c>
      <c r="V430" s="334"/>
    </row>
    <row r="431" s="158" customFormat="1" ht="19.15" hidden="1" customHeight="1" collapsed="1" spans="2:22">
      <c r="B431" s="457"/>
      <c r="C431" s="466"/>
      <c r="D431" s="467" t="s">
        <v>178</v>
      </c>
      <c r="E431" s="468"/>
      <c r="F431" s="468"/>
      <c r="G431" s="469"/>
      <c r="H431" s="469"/>
      <c r="I431" s="470"/>
      <c r="J431" s="471"/>
      <c r="K431" s="472"/>
      <c r="L431" s="473"/>
      <c r="M431" s="473"/>
      <c r="N431" s="474"/>
      <c r="O431" s="475"/>
      <c r="P431" s="476"/>
      <c r="Q431" s="477"/>
      <c r="R431" s="478"/>
      <c r="S431" s="479"/>
      <c r="T431" s="480"/>
      <c r="U431" s="481"/>
      <c r="V431" s="456"/>
    </row>
    <row r="432" s="158" customFormat="1" ht="15.3" hidden="1" spans="2:22">
      <c r="B432" s="457"/>
      <c r="C432" s="384"/>
      <c r="D432" s="482"/>
      <c r="E432" s="483"/>
      <c r="F432" s="483"/>
      <c r="G432" s="484"/>
      <c r="H432" s="484"/>
      <c r="I432" s="485"/>
      <c r="J432" s="486"/>
      <c r="K432" s="487"/>
      <c r="L432" s="488">
        <f>SUM(L430:L430)</f>
        <v>0</v>
      </c>
      <c r="M432" s="489"/>
      <c r="N432" s="490">
        <f>SUM(N430:N430)</f>
        <v>0</v>
      </c>
      <c r="O432" s="491">
        <f>SUM(O430:O430)</f>
        <v>0</v>
      </c>
      <c r="P432" s="492"/>
      <c r="Q432" s="492"/>
      <c r="R432" s="493"/>
      <c r="S432" s="391"/>
      <c r="T432" s="494"/>
      <c r="U432" s="495">
        <v>0</v>
      </c>
      <c r="V432" s="394" t="s">
        <v>1398</v>
      </c>
    </row>
    <row r="433" s="158" customFormat="1" ht="14.55" hidden="1" spans="2:20">
      <c r="C433" s="395"/>
      <c r="D433" s="395"/>
      <c r="E433" s="395"/>
      <c r="F433" s="396"/>
      <c r="G433" s="397"/>
      <c r="H433" s="398"/>
      <c r="I433" s="399"/>
      <c r="J433" s="496"/>
      <c r="K433" s="496"/>
      <c r="L433" s="400" t="b">
        <f>[11]K1_100Breakdown!$G$34=L432</f>
        <v>1</v>
      </c>
      <c r="M433" s="400" t="b">
        <f>[11]K1_100Breakdown!$L$34=M432</f>
        <v>1</v>
      </c>
      <c r="N433" s="497"/>
      <c r="O433" s="402"/>
      <c r="P433" s="401"/>
      <c r="Q433" s="402"/>
      <c r="R433" s="403"/>
      <c r="S433" s="398"/>
      <c r="T433" s="404"/>
    </row>
    <row r="434" s="158" customFormat="1" ht="13.7" spans="2:20">
      <c r="C434" s="395"/>
      <c r="D434" s="395"/>
      <c r="E434" s="395"/>
      <c r="F434" s="396"/>
      <c r="G434" s="397"/>
      <c r="H434" s="398"/>
      <c r="I434" s="399"/>
      <c r="J434" s="496"/>
      <c r="K434" s="496"/>
      <c r="L434" s="496"/>
      <c r="M434" s="497"/>
      <c r="N434" s="497"/>
      <c r="O434" s="402"/>
      <c r="P434" s="401"/>
      <c r="Q434" s="402"/>
      <c r="R434" s="403"/>
      <c r="S434" s="398"/>
      <c r="T434" s="404"/>
    </row>
    <row r="435" hidden="1" customHeight="1" spans="2:20">
      <c r="B435" s="299" t="s">
        <v>233</v>
      </c>
      <c r="C435" s="498" t="s">
        <v>1408</v>
      </c>
      <c r="D435" s="499"/>
      <c r="E435" s="500"/>
      <c r="F435" s="501"/>
      <c r="G435" s="402"/>
      <c r="H435" s="402"/>
      <c r="I435" s="502"/>
      <c r="J435" s="402"/>
    </row>
    <row r="436" hidden="1" customHeight="1" spans="2:20">
      <c r="B436" s="402"/>
      <c r="C436" s="503" t="s">
        <v>1409</v>
      </c>
      <c r="D436" s="504"/>
      <c r="E436" s="398" t="s">
        <v>1410</v>
      </c>
      <c r="F436" s="505"/>
      <c r="G436" s="402"/>
      <c r="H436" s="402"/>
      <c r="I436" s="502"/>
      <c r="J436" s="402"/>
    </row>
    <row r="437" hidden="1" customHeight="1" spans="2:20">
      <c r="B437" s="158"/>
      <c r="C437" s="506" t="s">
        <v>1411</v>
      </c>
      <c r="D437" s="158" t="s">
        <v>1412</v>
      </c>
      <c r="E437" s="507">
        <f>'K.01 Agree SL to GL'!F79</f>
        <v>1480467.56</v>
      </c>
      <c r="F437" s="508"/>
      <c r="G437" s="158"/>
      <c r="H437" s="158"/>
      <c r="I437" s="298"/>
      <c r="J437" s="158"/>
      <c r="M437" s="509"/>
    </row>
    <row r="438" hidden="1" customHeight="1" spans="2:20">
      <c r="B438" s="158"/>
      <c r="C438" s="506" t="s">
        <v>1413</v>
      </c>
      <c r="D438" s="158" t="s">
        <v>1414</v>
      </c>
      <c r="E438" s="507">
        <f>'K.01 Agree SL to GL'!F77</f>
        <v>163559.85</v>
      </c>
      <c r="F438" s="508"/>
      <c r="G438" s="158"/>
      <c r="H438" s="158"/>
      <c r="I438" s="298"/>
      <c r="J438" s="158"/>
    </row>
    <row r="439" hidden="1" customHeight="1" spans="2:20">
      <c r="B439" s="158"/>
      <c r="C439" s="506" t="s">
        <v>1415</v>
      </c>
      <c r="D439" s="158" t="s">
        <v>1416</v>
      </c>
      <c r="E439" s="507">
        <f>'K.01 Agree SL to GL'!F76</f>
        <v>190840.13</v>
      </c>
      <c r="F439" s="508"/>
      <c r="G439" s="158"/>
      <c r="H439" s="158"/>
      <c r="I439" s="298"/>
      <c r="J439" s="158"/>
    </row>
    <row r="440" hidden="1" customHeight="1" spans="2:20">
      <c r="B440" s="158"/>
      <c r="C440" s="510"/>
      <c r="D440" s="158" t="s">
        <v>1020</v>
      </c>
      <c r="E440" s="511">
        <f>SUM(E437:E439)</f>
        <v>1834867.54</v>
      </c>
      <c r="F440" s="508"/>
      <c r="G440" s="158"/>
      <c r="H440" s="158"/>
      <c r="I440" s="298"/>
      <c r="J440" s="158"/>
    </row>
    <row r="441" hidden="1" customHeight="1" spans="2:20">
      <c r="B441" s="158"/>
      <c r="C441" s="506" t="s">
        <v>249</v>
      </c>
      <c r="D441" s="158" t="s">
        <v>1417</v>
      </c>
      <c r="E441" s="512">
        <f>'K.01 Agree SL to GL'!F81</f>
        <v>1934867.54</v>
      </c>
      <c r="F441" s="508"/>
      <c r="G441" s="158"/>
      <c r="H441" s="158"/>
      <c r="I441" s="298"/>
      <c r="J441" s="158"/>
    </row>
    <row r="442" hidden="1" customHeight="1" spans="2:20">
      <c r="B442" s="158"/>
      <c r="C442" s="510"/>
      <c r="D442" s="158" t="s">
        <v>1418</v>
      </c>
      <c r="E442" s="513">
        <f>E440-E441</f>
        <v>-100000</v>
      </c>
      <c r="F442" s="514" t="s">
        <v>107</v>
      </c>
      <c r="G442" s="158"/>
      <c r="H442" s="158"/>
      <c r="I442" s="298"/>
      <c r="J442" s="158"/>
    </row>
    <row r="443" hidden="1" customHeight="1" spans="2:20">
      <c r="B443" s="158"/>
      <c r="C443" s="510"/>
      <c r="D443" s="158" t="s">
        <v>1419</v>
      </c>
      <c r="E443" s="515" t="str">
        <f>IF(ABS(E442)&gt;$H$9,"是","否")</f>
        <v>是</v>
      </c>
      <c r="F443" s="508"/>
      <c r="G443" s="158"/>
      <c r="H443" s="158"/>
      <c r="I443" s="298"/>
      <c r="J443" s="158"/>
    </row>
    <row r="444" hidden="1" customHeight="1" spans="2:20">
      <c r="B444" s="158"/>
      <c r="C444" s="516"/>
      <c r="D444" s="517"/>
      <c r="E444" s="517"/>
      <c r="F444" s="518"/>
      <c r="G444" s="158"/>
      <c r="H444" s="158"/>
      <c r="I444" s="298"/>
      <c r="J444" s="158"/>
    </row>
    <row r="445" customHeight="1" spans="2:20">
      <c r="B445" s="158"/>
      <c r="C445" s="158"/>
      <c r="D445" s="158"/>
      <c r="E445" s="158"/>
      <c r="F445" s="405"/>
      <c r="G445" s="158"/>
      <c r="H445" s="158"/>
      <c r="I445" s="298"/>
      <c r="J445" s="158"/>
    </row>
    <row r="446" customHeight="1" spans="2:20">
      <c r="B446" s="158"/>
      <c r="C446" s="158"/>
      <c r="D446" s="158"/>
      <c r="E446" s="158"/>
      <c r="F446" s="405"/>
      <c r="G446" s="158"/>
      <c r="H446" s="158"/>
      <c r="I446" s="298"/>
      <c r="J446" s="158"/>
    </row>
    <row r="447" customHeight="1" spans="2:20">
      <c r="B447" s="158"/>
      <c r="C447" s="519" t="s">
        <v>1420</v>
      </c>
      <c r="D447" s="520"/>
      <c r="E447" s="520"/>
      <c r="F447" s="520"/>
      <c r="G447" s="520"/>
      <c r="H447" s="520"/>
      <c r="I447" s="520"/>
      <c r="J447" s="521"/>
    </row>
    <row r="448" customHeight="1" spans="2:20">
      <c r="B448" s="158"/>
      <c r="C448" s="522"/>
      <c r="D448" s="523"/>
      <c r="E448" s="523"/>
      <c r="F448" s="523"/>
      <c r="G448" s="523"/>
      <c r="H448" s="523"/>
      <c r="I448" s="523"/>
      <c r="J448" s="524"/>
    </row>
    <row r="449" customHeight="1" spans="2:10">
      <c r="B449" s="158"/>
      <c r="C449" s="525" t="s">
        <v>1398</v>
      </c>
      <c r="D449" s="523" t="s">
        <v>1421</v>
      </c>
      <c r="E449" s="523"/>
      <c r="F449" s="523"/>
      <c r="G449" s="523"/>
      <c r="H449" s="523"/>
      <c r="I449" s="523"/>
      <c r="J449" s="524"/>
    </row>
    <row r="450" customHeight="1" spans="2:10">
      <c r="B450" s="158"/>
      <c r="C450" s="522"/>
      <c r="D450" s="523"/>
      <c r="E450" s="523"/>
      <c r="F450" s="523"/>
      <c r="G450" s="523"/>
      <c r="H450" s="523"/>
      <c r="I450" s="523"/>
      <c r="J450" s="524"/>
    </row>
    <row r="451" customHeight="1" spans="2:10">
      <c r="B451" s="158"/>
      <c r="C451" s="525"/>
      <c r="D451" s="526"/>
      <c r="E451" s="527" t="s">
        <v>166</v>
      </c>
      <c r="F451" s="527" t="s">
        <v>166</v>
      </c>
      <c r="G451" s="528" t="s">
        <v>166</v>
      </c>
      <c r="H451" s="523"/>
      <c r="I451" s="523"/>
      <c r="J451" s="524"/>
    </row>
    <row r="452" customHeight="1" spans="2:10">
      <c r="B452" s="158"/>
      <c r="C452" s="522"/>
      <c r="D452" s="529" t="s">
        <v>1383</v>
      </c>
      <c r="E452" s="530" t="s">
        <v>1422</v>
      </c>
      <c r="F452" s="530" t="s">
        <v>1423</v>
      </c>
      <c r="G452" s="531" t="s">
        <v>1424</v>
      </c>
      <c r="H452" s="523"/>
      <c r="I452" s="523"/>
      <c r="J452" s="524"/>
    </row>
    <row r="453" customHeight="1" spans="2:10">
      <c r="B453" s="158"/>
      <c r="C453" s="522"/>
      <c r="D453" s="529" t="s">
        <v>177</v>
      </c>
      <c r="E453" s="532">
        <v>96280.4840555556</v>
      </c>
      <c r="F453" s="532">
        <f>SUMIF($D:$D,D453,$U:$U)</f>
        <v>94077.3119749521</v>
      </c>
      <c r="G453" s="533">
        <f>F453-E453</f>
        <v>-2203.17208060346</v>
      </c>
      <c r="H453" s="523"/>
      <c r="I453" s="523"/>
      <c r="J453" s="524"/>
    </row>
    <row r="454" customHeight="1" spans="2:10">
      <c r="B454" s="158"/>
      <c r="C454" s="522"/>
      <c r="D454" s="529" t="s">
        <v>178</v>
      </c>
      <c r="E454" s="532">
        <v>-1830.95172222223</v>
      </c>
      <c r="F454" s="532">
        <f>SUMIF($D:$D,D454,$U:$U)</f>
        <v>-1831.52322222223</v>
      </c>
      <c r="G454" s="533">
        <f t="shared" ref="G454:G457" si="69">F454-E454</f>
        <v>-0.571499999997741</v>
      </c>
      <c r="H454" s="523"/>
      <c r="I454" s="523"/>
      <c r="J454" s="524"/>
    </row>
    <row r="455" customHeight="1" spans="2:10">
      <c r="B455" s="158"/>
      <c r="C455" s="522"/>
      <c r="D455" s="529" t="s">
        <v>179</v>
      </c>
      <c r="E455" s="532">
        <v>-32942.6875</v>
      </c>
      <c r="F455" s="532">
        <f>SUMIF($D:$D,D455,$U:$U)</f>
        <v>-32942.3949</v>
      </c>
      <c r="G455" s="533">
        <f t="shared" si="69"/>
        <v>0.292600000022503</v>
      </c>
      <c r="H455" s="523"/>
      <c r="I455" s="523"/>
      <c r="J455" s="524"/>
    </row>
    <row r="456" customHeight="1" spans="2:10">
      <c r="B456" s="158"/>
      <c r="C456" s="522"/>
      <c r="D456" s="529" t="s">
        <v>180</v>
      </c>
      <c r="E456" s="532">
        <v>-2150.83063888889</v>
      </c>
      <c r="F456" s="532">
        <f>SUMIF($D:$D,D456,$U:$U)</f>
        <v>-2150.81277777778</v>
      </c>
      <c r="G456" s="533">
        <f t="shared" si="69"/>
        <v>0.0178611111127793</v>
      </c>
      <c r="H456" s="523"/>
      <c r="I456" s="523"/>
      <c r="J456" s="524"/>
    </row>
    <row r="457" customHeight="1" spans="2:10">
      <c r="B457" s="158"/>
      <c r="C457" s="522"/>
      <c r="D457" s="529" t="s">
        <v>181</v>
      </c>
      <c r="E457" s="532">
        <v>-0.0763645833503688</v>
      </c>
      <c r="F457" s="532">
        <f>SUMIF($D:$D,D457,$U:$U)</f>
        <v>-0.0918645833462506</v>
      </c>
      <c r="G457" s="533">
        <f t="shared" si="69"/>
        <v>-0.0154999999958818</v>
      </c>
      <c r="H457" s="523"/>
      <c r="I457" s="523"/>
      <c r="J457" s="524"/>
    </row>
    <row r="458" customHeight="1" spans="2:10">
      <c r="B458" s="158"/>
      <c r="C458" s="522"/>
      <c r="D458" s="529"/>
      <c r="E458" s="534">
        <f>SUM(E453:E457)</f>
        <v>59355.9378298611</v>
      </c>
      <c r="F458" s="534">
        <f>SUM(F453:F457)</f>
        <v>57152.4892103688</v>
      </c>
      <c r="G458" s="535"/>
      <c r="H458" s="523"/>
      <c r="I458" s="523"/>
      <c r="J458" s="524"/>
    </row>
    <row r="459" customHeight="1" spans="2:10">
      <c r="B459" s="158"/>
      <c r="C459" s="522"/>
      <c r="D459" s="536"/>
      <c r="E459" s="537" t="b">
        <f>E458=[12]K1_400折旧测试!$F$500</f>
        <v>1</v>
      </c>
      <c r="F459" s="537" t="b">
        <f>SUM(U432,U420)=F458</f>
        <v>1</v>
      </c>
      <c r="G459" s="538"/>
      <c r="H459" s="523"/>
      <c r="I459" s="523"/>
      <c r="J459" s="524"/>
    </row>
    <row r="460" customHeight="1" spans="2:10">
      <c r="B460" s="158"/>
      <c r="C460" s="522"/>
      <c r="D460" s="523"/>
      <c r="E460" s="523"/>
      <c r="F460" s="523"/>
      <c r="G460" s="523"/>
      <c r="H460" s="523"/>
      <c r="I460" s="523"/>
      <c r="J460" s="524"/>
    </row>
    <row r="461" customHeight="1" spans="2:10">
      <c r="B461" s="158"/>
      <c r="C461" s="522"/>
      <c r="D461" s="523"/>
      <c r="E461" s="523"/>
      <c r="F461" s="523"/>
      <c r="G461" s="523"/>
      <c r="H461" s="523"/>
      <c r="I461" s="523"/>
      <c r="J461" s="524"/>
    </row>
    <row r="462" customHeight="1" spans="2:10">
      <c r="B462" s="158"/>
      <c r="C462" s="522"/>
      <c r="D462" s="539" t="s">
        <v>165</v>
      </c>
      <c r="E462" s="540" t="s">
        <v>166</v>
      </c>
      <c r="F462" s="540"/>
      <c r="G462" s="541">
        <f>-SUM(G463:G465)</f>
        <v>-57152.4892103688</v>
      </c>
      <c r="H462" s="542"/>
      <c r="I462" s="523"/>
      <c r="J462" s="524"/>
    </row>
    <row r="463" customHeight="1" spans="2:10">
      <c r="B463" s="158"/>
      <c r="C463" s="522"/>
      <c r="D463" s="539" t="s">
        <v>165</v>
      </c>
      <c r="E463" s="523" t="s">
        <v>1425</v>
      </c>
      <c r="F463" s="523"/>
      <c r="G463" s="533">
        <f>G455</f>
        <v>0.292600000022503</v>
      </c>
      <c r="H463" s="542"/>
      <c r="I463" s="523"/>
      <c r="J463" s="524"/>
    </row>
    <row r="464" customHeight="1" spans="2:10">
      <c r="B464" s="158"/>
      <c r="C464" s="522"/>
      <c r="D464" s="539" t="s">
        <v>165</v>
      </c>
      <c r="E464" s="523" t="s">
        <v>1426</v>
      </c>
      <c r="F464" s="523"/>
      <c r="G464" s="533">
        <f>SUM(G453,G454,G456,G457)</f>
        <v>-2203.74121949234</v>
      </c>
      <c r="H464" s="542"/>
      <c r="I464" s="523"/>
      <c r="J464" s="524"/>
    </row>
    <row r="465" customHeight="1" spans="2:12">
      <c r="B465" s="158"/>
      <c r="C465" s="522"/>
      <c r="D465" s="539" t="s">
        <v>165</v>
      </c>
      <c r="E465" s="543" t="s">
        <v>167</v>
      </c>
      <c r="F465" s="543"/>
      <c r="G465" s="544">
        <f>E458</f>
        <v>59355.9378298611</v>
      </c>
      <c r="H465" s="523"/>
      <c r="I465" s="523"/>
      <c r="J465" s="524"/>
    </row>
    <row r="466" customHeight="1" spans="2:12">
      <c r="B466" s="158"/>
      <c r="C466" s="522"/>
      <c r="D466" s="523"/>
      <c r="E466" s="523"/>
      <c r="F466" s="523"/>
      <c r="G466" s="523"/>
      <c r="H466" s="523"/>
      <c r="I466" s="523"/>
      <c r="J466" s="524"/>
    </row>
    <row r="467" customHeight="1" spans="2:12">
      <c r="B467" s="158"/>
      <c r="C467" s="522" t="s">
        <v>1427</v>
      </c>
      <c r="D467" s="523"/>
      <c r="E467" s="523"/>
      <c r="F467" s="523"/>
      <c r="G467" s="523"/>
      <c r="H467" s="523"/>
      <c r="I467" s="523"/>
      <c r="J467" s="524"/>
    </row>
    <row r="468" customHeight="1" spans="2:12">
      <c r="B468" s="158"/>
      <c r="C468" s="522"/>
      <c r="D468" s="539" t="s">
        <v>165</v>
      </c>
      <c r="E468" s="540" t="s">
        <v>166</v>
      </c>
      <c r="F468" s="523"/>
      <c r="G468" s="545">
        <f>-G469</f>
        <v>-59355.9378298611</v>
      </c>
      <c r="H468" s="523"/>
      <c r="I468" s="523"/>
      <c r="J468" s="524"/>
    </row>
    <row r="469" customHeight="1" spans="2:12">
      <c r="B469" s="158"/>
      <c r="C469" s="522"/>
      <c r="D469" s="539" t="s">
        <v>165</v>
      </c>
      <c r="E469" s="543" t="s">
        <v>167</v>
      </c>
      <c r="F469" s="523"/>
      <c r="G469" s="545">
        <f>G465</f>
        <v>59355.9378298611</v>
      </c>
      <c r="H469" s="523"/>
      <c r="I469" s="523"/>
      <c r="J469" s="524"/>
    </row>
    <row r="470" customHeight="1" spans="2:12">
      <c r="B470" s="158"/>
      <c r="C470" s="522"/>
      <c r="D470" s="523"/>
      <c r="E470" s="523"/>
      <c r="F470" s="523"/>
      <c r="G470" s="523"/>
      <c r="H470" s="523"/>
      <c r="I470" s="523"/>
      <c r="J470" s="524"/>
    </row>
    <row r="471" customHeight="1" spans="2:12">
      <c r="B471" s="158"/>
      <c r="C471" s="522"/>
      <c r="D471" s="523"/>
      <c r="E471" s="523"/>
      <c r="F471" s="523"/>
      <c r="G471" s="523"/>
      <c r="H471" s="523"/>
      <c r="I471" s="523"/>
      <c r="J471" s="524"/>
    </row>
    <row r="472" customHeight="1" spans="2:12">
      <c r="B472" s="158"/>
      <c r="C472" s="522"/>
      <c r="D472" s="523"/>
      <c r="E472" s="523"/>
      <c r="F472" s="523"/>
      <c r="G472" s="523"/>
      <c r="H472" s="523"/>
      <c r="I472" s="523"/>
      <c r="J472" s="524"/>
    </row>
    <row r="473" customHeight="1" spans="2:12">
      <c r="B473" s="158"/>
      <c r="C473" s="522"/>
      <c r="D473" s="523"/>
      <c r="E473" s="523"/>
      <c r="F473" s="523"/>
      <c r="G473" s="523"/>
      <c r="H473" s="523"/>
      <c r="I473" s="523"/>
      <c r="J473" s="524"/>
    </row>
    <row r="474" customHeight="1" spans="2:12">
      <c r="B474" s="158"/>
      <c r="C474" s="546"/>
      <c r="D474" s="547"/>
      <c r="E474" s="547"/>
      <c r="F474" s="547"/>
      <c r="G474" s="547"/>
      <c r="H474" s="547"/>
      <c r="I474" s="547"/>
      <c r="J474" s="548"/>
    </row>
    <row r="480" customHeight="1" spans="2:12">
      <c r="C480" s="549"/>
      <c r="D480" s="550"/>
      <c r="E480" s="550"/>
      <c r="F480" s="551"/>
      <c r="G480" s="550"/>
      <c r="H480" s="550"/>
      <c r="I480" s="552"/>
      <c r="J480" s="550"/>
      <c r="K480" s="550"/>
      <c r="L480" s="553"/>
    </row>
    <row r="481" customHeight="1" spans="3:12">
      <c r="C481" s="554" t="s">
        <v>1428</v>
      </c>
      <c r="D481" s="555"/>
      <c r="E481" s="555"/>
      <c r="F481" s="556"/>
      <c r="G481" s="555"/>
      <c r="H481" s="555"/>
      <c r="I481" s="557"/>
      <c r="J481" s="555"/>
      <c r="K481" s="555"/>
      <c r="L481" s="558"/>
    </row>
    <row r="482" customHeight="1" spans="3:12">
      <c r="C482" s="559"/>
      <c r="D482" s="555"/>
      <c r="E482" s="555"/>
      <c r="F482" s="556"/>
      <c r="G482" s="555"/>
      <c r="H482" s="555"/>
      <c r="I482" s="557"/>
      <c r="J482" s="555"/>
      <c r="K482" s="555"/>
      <c r="L482" s="558"/>
    </row>
    <row r="483" customHeight="1" spans="3:12">
      <c r="C483" s="560" t="s">
        <v>1383</v>
      </c>
      <c r="D483" s="561" t="s">
        <v>1429</v>
      </c>
      <c r="E483" s="562" t="s">
        <v>1430</v>
      </c>
      <c r="F483" s="561" t="s">
        <v>1431</v>
      </c>
      <c r="G483" s="561" t="s">
        <v>1432</v>
      </c>
      <c r="H483" s="561"/>
      <c r="I483" s="561"/>
      <c r="J483" s="561"/>
      <c r="K483" s="561"/>
      <c r="L483" s="563"/>
    </row>
    <row r="484" customHeight="1" spans="3:12">
      <c r="C484" s="560" t="s">
        <v>1433</v>
      </c>
      <c r="D484" s="561" t="s">
        <v>1434</v>
      </c>
      <c r="E484" s="561">
        <v>240</v>
      </c>
      <c r="F484" s="564">
        <v>0.05</v>
      </c>
      <c r="G484" s="561"/>
      <c r="H484" s="561"/>
      <c r="I484" s="561"/>
      <c r="J484" s="561"/>
      <c r="K484" s="561"/>
      <c r="L484" s="563"/>
    </row>
    <row r="485" customHeight="1" spans="3:12">
      <c r="C485" s="560" t="s">
        <v>179</v>
      </c>
      <c r="D485" s="561">
        <v>60</v>
      </c>
      <c r="E485" s="561">
        <v>60</v>
      </c>
      <c r="F485" s="564">
        <v>0.05</v>
      </c>
      <c r="G485" s="561" t="s">
        <v>1435</v>
      </c>
      <c r="H485" s="561"/>
      <c r="I485" s="561"/>
      <c r="J485" s="561"/>
      <c r="K485" s="561"/>
      <c r="L485" s="563"/>
    </row>
    <row r="486" customHeight="1" spans="3:12">
      <c r="C486" s="560" t="s">
        <v>181</v>
      </c>
      <c r="D486" s="561">
        <v>48</v>
      </c>
      <c r="E486" s="561">
        <v>48</v>
      </c>
      <c r="F486" s="564">
        <v>0.05</v>
      </c>
      <c r="G486" s="561" t="s">
        <v>1436</v>
      </c>
      <c r="H486" s="561"/>
      <c r="I486" s="561"/>
      <c r="J486" s="561"/>
      <c r="K486" s="561"/>
      <c r="L486" s="563"/>
    </row>
    <row r="487" customHeight="1" spans="3:12">
      <c r="C487" s="560" t="s">
        <v>178</v>
      </c>
      <c r="D487" s="561">
        <v>36</v>
      </c>
      <c r="E487" s="561">
        <v>36</v>
      </c>
      <c r="F487" s="564">
        <v>0.05</v>
      </c>
      <c r="G487" s="561" t="s">
        <v>1437</v>
      </c>
      <c r="H487" s="561"/>
      <c r="I487" s="561"/>
      <c r="J487" s="561"/>
      <c r="K487" s="561"/>
      <c r="L487" s="563"/>
    </row>
    <row r="488" customHeight="1" spans="3:12">
      <c r="C488" s="560" t="s">
        <v>177</v>
      </c>
      <c r="D488" s="561">
        <v>36</v>
      </c>
      <c r="E488" s="561">
        <v>36</v>
      </c>
      <c r="F488" s="564">
        <v>0.05</v>
      </c>
      <c r="G488" s="561" t="s">
        <v>1438</v>
      </c>
      <c r="H488" s="561"/>
      <c r="I488" s="561"/>
      <c r="J488" s="561"/>
      <c r="K488" s="561"/>
      <c r="L488" s="563"/>
    </row>
    <row r="489" customHeight="1" spans="3:12">
      <c r="C489" s="560" t="s">
        <v>282</v>
      </c>
      <c r="D489" s="561">
        <v>60</v>
      </c>
      <c r="E489" s="561">
        <v>60</v>
      </c>
      <c r="F489" s="564">
        <v>0.05</v>
      </c>
      <c r="G489" s="561" t="s">
        <v>1439</v>
      </c>
      <c r="H489" s="561"/>
      <c r="I489" s="561"/>
      <c r="J489" s="561"/>
      <c r="K489" s="561"/>
      <c r="L489" s="563"/>
    </row>
    <row r="490" customHeight="1" spans="3:12">
      <c r="C490" s="559"/>
      <c r="D490" s="555"/>
      <c r="E490" s="555"/>
      <c r="F490" s="556"/>
      <c r="G490" s="555"/>
      <c r="H490" s="555"/>
      <c r="I490" s="557"/>
      <c r="J490" s="555"/>
      <c r="K490" s="555"/>
      <c r="L490" s="558"/>
    </row>
    <row r="491" customHeight="1" spans="3:12">
      <c r="C491" s="559"/>
      <c r="D491" s="555"/>
      <c r="E491" s="555"/>
      <c r="F491" s="556"/>
      <c r="G491" s="555"/>
      <c r="H491" s="555"/>
      <c r="I491" s="557"/>
      <c r="J491" s="555"/>
      <c r="K491" s="555"/>
      <c r="L491" s="558"/>
    </row>
    <row r="492" customHeight="1" spans="3:12">
      <c r="C492" s="559" t="s">
        <v>1440</v>
      </c>
      <c r="D492" s="555"/>
      <c r="E492" s="555"/>
      <c r="F492" s="556"/>
      <c r="G492" s="555"/>
      <c r="H492" s="555"/>
      <c r="I492" s="557"/>
      <c r="J492" s="555"/>
      <c r="K492" s="555"/>
      <c r="L492" s="558"/>
    </row>
    <row r="493" customHeight="1" spans="3:12">
      <c r="C493" s="559" t="s">
        <v>1441</v>
      </c>
      <c r="D493" s="555"/>
      <c r="E493" s="555"/>
      <c r="F493" s="556"/>
      <c r="G493" s="555"/>
      <c r="H493" s="555"/>
      <c r="I493" s="557"/>
      <c r="J493" s="555"/>
      <c r="K493" s="555"/>
      <c r="L493" s="558"/>
    </row>
    <row r="494" customHeight="1" spans="3:12">
      <c r="C494" s="559" t="s">
        <v>1442</v>
      </c>
      <c r="D494" s="555"/>
      <c r="E494" s="555"/>
      <c r="F494" s="556"/>
      <c r="G494" s="555"/>
      <c r="H494" s="555"/>
      <c r="I494" s="557"/>
      <c r="J494" s="555"/>
      <c r="K494" s="555"/>
      <c r="L494" s="558"/>
    </row>
    <row r="495" customHeight="1" spans="3:12">
      <c r="C495" s="559" t="s">
        <v>1443</v>
      </c>
      <c r="D495" s="555"/>
      <c r="E495" s="555"/>
      <c r="F495" s="556"/>
      <c r="G495" s="555"/>
      <c r="H495" s="555"/>
      <c r="I495" s="557"/>
      <c r="J495" s="555"/>
      <c r="K495" s="555"/>
      <c r="L495" s="558"/>
    </row>
    <row r="496" customHeight="1" spans="3:12">
      <c r="C496" s="559"/>
      <c r="D496" s="555"/>
      <c r="E496" s="555"/>
      <c r="F496" s="556"/>
      <c r="G496" s="555"/>
      <c r="H496" s="555"/>
      <c r="I496" s="557"/>
      <c r="J496" s="555"/>
      <c r="K496" s="555"/>
      <c r="L496" s="558"/>
    </row>
    <row r="497" customHeight="1" spans="3:12">
      <c r="C497" s="565"/>
      <c r="D497" s="566"/>
      <c r="E497" s="566"/>
      <c r="F497" s="567"/>
      <c r="G497" s="566"/>
      <c r="H497" s="566"/>
      <c r="I497" s="568"/>
      <c r="J497" s="566"/>
      <c r="K497" s="566"/>
      <c r="L497" s="569"/>
    </row>
  </sheetData>
  <autoFilter xmlns:etc="http://www.wps.cn/officeDocument/2017/etCustomData" ref="A92:XP417" etc:filterBottomFollowUsedRange="0">
    <extLst/>
  </autoFilter>
  <mergeCells count="19">
    <mergeCell ref="C18:G18"/>
    <mergeCell ref="C20:G20"/>
    <mergeCell ref="C22:G22"/>
    <mergeCell ref="C26:G26"/>
    <mergeCell ref="D30:F30"/>
    <mergeCell ref="G30:I30"/>
    <mergeCell ref="D31:F31"/>
    <mergeCell ref="G31:I31"/>
    <mergeCell ref="E54:F54"/>
    <mergeCell ref="D69:F69"/>
    <mergeCell ref="I69:J69"/>
    <mergeCell ref="G483:L483"/>
    <mergeCell ref="G484:L484"/>
    <mergeCell ref="G485:L485"/>
    <mergeCell ref="G486:L486"/>
    <mergeCell ref="G487:L487"/>
    <mergeCell ref="G488:L488"/>
    <mergeCell ref="G489:L489"/>
    <mergeCell ref="J30:J32"/>
  </mergeCells>
  <conditionalFormatting sqref="C26">
    <cfRule type="cellIs" dxfId="3" priority="10" operator="equal">
      <formula>"从下拉列表中选择，如果没有列出请手动添加。"</formula>
    </cfRule>
  </conditionalFormatting>
  <conditionalFormatting sqref="U420">
    <cfRule type="cellIs" dxfId="4" priority="8" operator="notEqual">
      <formula>0</formula>
    </cfRule>
  </conditionalFormatting>
  <conditionalFormatting sqref="O432">
    <cfRule type="cellIs" dxfId="4" priority="3" operator="notEqual">
      <formula>0</formula>
    </cfRule>
  </conditionalFormatting>
  <conditionalFormatting sqref="S432">
    <cfRule type="cellIs" dxfId="4" priority="4" operator="notEqual">
      <formula>0</formula>
    </cfRule>
  </conditionalFormatting>
  <conditionalFormatting sqref="U432">
    <cfRule type="cellIs" dxfId="4" priority="5" operator="notEqual">
      <formula>0</formula>
    </cfRule>
  </conditionalFormatting>
  <conditionalFormatting sqref="E442">
    <cfRule type="cellIs" dxfId="4" priority="7" operator="notEqual">
      <formula>0</formula>
    </cfRule>
  </conditionalFormatting>
  <conditionalFormatting sqref="V424:V427">
    <cfRule type="cellIs" dxfId="5" priority="6" operator="equal">
      <formula>"m"</formula>
    </cfRule>
  </conditionalFormatting>
  <conditionalFormatting sqref="V429:V432">
    <cfRule type="cellIs" dxfId="5" priority="2" operator="equal">
      <formula>"m"</formula>
    </cfRule>
  </conditionalFormatting>
  <conditionalFormatting sqref="V89:V91 V93:V420">
    <cfRule type="cellIs" dxfId="5" priority="9" operator="equal">
      <formula>"m"</formula>
    </cfRule>
  </conditionalFormatting>
  <conditionalFormatting sqref="E263:I390">
    <cfRule type="containsBlanks" dxfId="1" priority="1">
      <formula>LEN(TRIM(E263))=0</formula>
    </cfRule>
  </conditionalFormatting>
  <dataValidations count="2">
    <dataValidation type="list" allowBlank="1" showInputMessage="1" sqref="C26">
      <formula1>"从下拉列表中选择，如果没有列出请手动添加。,我们执行上述程序，未发现任何重大错报。,我们执行上述程序，已将发现的重大错报汇总于审计调整表（SAD）内。,项目组自行定义。"</formula1>
    </dataValidation>
    <dataValidation type="list" allowBlank="1" showInputMessage="1" showErrorMessage="1" sqref="D31 G31">
      <formula1>"年限平均法,工作量法,双倍余额递减法,年数总和法"</formula1>
    </dataValidation>
  </dataValidations>
  <hyperlinks>
    <hyperlink ref="I2" location="汇总!A1" display="返回汇总页"/>
  </hyperlinks>
  <pageMargins left="0.7" right="0.7" top="0.75" bottom="0.75" header="0.3" footer="0.3"/>
  <pageSetup paperSize="9" orientation="portrait" horizontalDpi="300" verticalDpi="300"/>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showGridLines="0" zoomScale="70" zoomScaleNormal="70" workbookViewId="0">
      <selection activeCell="E25" sqref="E25"/>
    </sheetView>
  </sheetViews>
  <sheetFormatPr defaultColWidth="9" defaultRowHeight="14.1"/>
  <cols>
    <col min="1" max="1" width="2.63063063063063" style="4" customWidth="1"/>
    <col min="2" max="9" width="22.6306306306306" style="4" customWidth="1"/>
    <col min="10" max="10" width="2.63063063063063" style="4" customWidth="1"/>
    <col min="11" max="11" width="1.63063063063063" style="4" customWidth="1"/>
    <col min="12" max="16384" width="9" style="4"/>
  </cols>
  <sheetData>
    <row r="1" ht="50.15" customHeight="1" spans="1:11">
      <c r="A1" s="5"/>
      <c r="B1" s="6" t="s">
        <v>168</v>
      </c>
      <c r="C1" s="7"/>
      <c r="D1" s="7"/>
      <c r="E1" s="7"/>
      <c r="F1" s="7"/>
      <c r="G1" s="7"/>
      <c r="H1" s="7"/>
      <c r="I1" s="8"/>
      <c r="J1" s="17"/>
      <c r="K1" s="9"/>
    </row>
    <row r="2" s="1" customFormat="1" ht="30" customHeight="1" spans="1:11">
      <c r="A2" s="10"/>
      <c r="B2" s="11" t="s">
        <v>1444</v>
      </c>
      <c r="C2" s="12"/>
      <c r="D2" s="12"/>
      <c r="E2" s="12"/>
      <c r="F2" s="12"/>
      <c r="G2" s="12"/>
      <c r="H2" s="12"/>
      <c r="I2" s="13"/>
      <c r="J2" s="142"/>
      <c r="K2" s="14"/>
    </row>
    <row r="3" spans="1:11">
      <c r="A3" s="5"/>
      <c r="B3" s="15"/>
      <c r="C3" s="15"/>
      <c r="D3" s="5"/>
      <c r="E3" s="15"/>
      <c r="F3" s="16"/>
      <c r="G3" s="16"/>
      <c r="H3" s="15"/>
      <c r="I3" s="5"/>
      <c r="J3" s="17"/>
      <c r="K3" s="9"/>
    </row>
    <row r="4" spans="1:11">
      <c r="A4" s="5"/>
      <c r="B4" s="18" t="s">
        <v>77</v>
      </c>
      <c r="C4" s="19"/>
      <c r="D4" s="5"/>
      <c r="E4" s="15"/>
      <c r="F4" s="16"/>
      <c r="G4" s="16"/>
      <c r="H4" s="15"/>
      <c r="I4" s="5"/>
      <c r="J4" s="17"/>
      <c r="K4" s="9"/>
    </row>
    <row r="5" spans="1:11">
      <c r="A5" s="5"/>
      <c r="B5" s="20"/>
      <c r="C5" s="19"/>
      <c r="D5" s="5"/>
      <c r="E5" s="15"/>
      <c r="F5" s="16"/>
      <c r="G5" s="16"/>
      <c r="H5" s="15"/>
      <c r="I5" s="5"/>
      <c r="J5" s="17"/>
      <c r="K5" s="9"/>
    </row>
    <row r="6" ht="14.55" spans="1:11">
      <c r="A6" s="5"/>
      <c r="B6" s="143" t="s">
        <v>1445</v>
      </c>
      <c r="C6" s="19"/>
      <c r="D6" s="5"/>
      <c r="E6" s="15"/>
      <c r="F6" s="16"/>
      <c r="G6" s="16"/>
      <c r="H6" s="15"/>
      <c r="I6" s="5"/>
      <c r="J6" s="17"/>
      <c r="K6" s="9"/>
    </row>
    <row r="7" spans="1:11">
      <c r="A7" s="5"/>
      <c r="B7" s="144"/>
      <c r="C7" s="145"/>
      <c r="D7" s="145"/>
      <c r="E7" s="145"/>
      <c r="F7" s="145"/>
      <c r="G7" s="145"/>
      <c r="H7" s="145"/>
      <c r="I7" s="146"/>
      <c r="J7" s="17"/>
      <c r="K7" s="9"/>
    </row>
    <row r="8" spans="1:11">
      <c r="A8" s="5"/>
      <c r="B8" s="15"/>
      <c r="C8" s="15"/>
      <c r="D8" s="5"/>
      <c r="E8" s="15"/>
      <c r="F8" s="16"/>
      <c r="G8" s="16"/>
      <c r="H8" s="15"/>
      <c r="I8" s="5"/>
      <c r="J8" s="17"/>
      <c r="K8" s="9"/>
    </row>
    <row r="9" ht="14.15" customHeight="1" spans="1:11">
      <c r="A9" s="5"/>
      <c r="B9" s="147"/>
      <c r="C9" s="148"/>
      <c r="D9" s="148"/>
      <c r="E9" s="148"/>
      <c r="F9" s="148"/>
      <c r="G9" s="148"/>
      <c r="H9" s="148"/>
      <c r="I9" s="149"/>
      <c r="J9" s="17"/>
      <c r="K9" s="9"/>
    </row>
    <row r="10" spans="1:11">
      <c r="A10" s="5"/>
      <c r="B10" s="150"/>
      <c r="C10" s="151"/>
      <c r="D10" s="151"/>
      <c r="E10" s="151"/>
      <c r="F10" s="151"/>
      <c r="G10" s="151"/>
      <c r="H10" s="151"/>
      <c r="I10" s="152"/>
      <c r="J10" s="17"/>
      <c r="K10" s="9"/>
    </row>
    <row r="11" spans="1:11">
      <c r="A11" s="5"/>
      <c r="B11" s="150"/>
      <c r="C11" s="151"/>
      <c r="D11" s="151"/>
      <c r="E11" s="151"/>
      <c r="F11" s="151"/>
      <c r="G11" s="151"/>
      <c r="H11" s="151"/>
      <c r="I11" s="152"/>
      <c r="J11" s="17"/>
      <c r="K11" s="9"/>
    </row>
    <row r="12" spans="1:11">
      <c r="A12" s="5"/>
      <c r="B12" s="150"/>
      <c r="C12" s="151"/>
      <c r="D12" s="151"/>
      <c r="E12" s="151"/>
      <c r="F12" s="151"/>
      <c r="G12" s="151"/>
      <c r="H12" s="151"/>
      <c r="I12" s="152"/>
      <c r="J12" s="17"/>
      <c r="K12" s="9"/>
    </row>
    <row r="13" spans="1:11">
      <c r="A13" s="5"/>
      <c r="B13" s="150"/>
      <c r="C13" s="151"/>
      <c r="D13" s="151"/>
      <c r="E13" s="151"/>
      <c r="F13" s="151"/>
      <c r="G13" s="151"/>
      <c r="H13" s="151"/>
      <c r="I13" s="152"/>
      <c r="J13" s="17"/>
      <c r="K13" s="9"/>
    </row>
    <row r="14" spans="1:11">
      <c r="A14" s="5"/>
      <c r="B14" s="150"/>
      <c r="C14" s="151"/>
      <c r="D14" s="151"/>
      <c r="E14" s="151"/>
      <c r="F14" s="151"/>
      <c r="G14" s="151"/>
      <c r="H14" s="151"/>
      <c r="I14" s="152"/>
      <c r="J14" s="17"/>
      <c r="K14" s="9"/>
    </row>
    <row r="15" spans="1:11">
      <c r="A15" s="5"/>
      <c r="B15" s="150"/>
      <c r="C15" s="151"/>
      <c r="D15" s="151"/>
      <c r="E15" s="151"/>
      <c r="F15" s="151"/>
      <c r="G15" s="151"/>
      <c r="H15" s="151"/>
      <c r="I15" s="152"/>
      <c r="J15" s="17"/>
      <c r="K15" s="9"/>
    </row>
    <row r="16" spans="1:11">
      <c r="A16" s="5"/>
      <c r="B16" s="150"/>
      <c r="C16" s="151"/>
      <c r="D16" s="151"/>
      <c r="E16" s="151"/>
      <c r="F16" s="151"/>
      <c r="G16" s="151"/>
      <c r="H16" s="151"/>
      <c r="I16" s="152"/>
      <c r="J16" s="17"/>
      <c r="K16" s="9"/>
    </row>
    <row r="17" spans="1:11">
      <c r="A17" s="5"/>
      <c r="B17" s="150"/>
      <c r="C17" s="151"/>
      <c r="D17" s="151"/>
      <c r="E17" s="151"/>
      <c r="F17" s="151"/>
      <c r="G17" s="151"/>
      <c r="H17" s="151"/>
      <c r="I17" s="152"/>
      <c r="J17" s="17"/>
      <c r="K17" s="9"/>
    </row>
    <row r="18" spans="1:11">
      <c r="A18" s="5"/>
      <c r="B18" s="150"/>
      <c r="C18" s="151"/>
      <c r="D18" s="151"/>
      <c r="E18" s="151"/>
      <c r="F18" s="151"/>
      <c r="G18" s="151"/>
      <c r="H18" s="151"/>
      <c r="I18" s="152"/>
      <c r="J18" s="17"/>
      <c r="K18" s="9"/>
    </row>
    <row r="19" spans="1:11">
      <c r="A19" s="5"/>
      <c r="B19" s="150"/>
      <c r="C19" s="151"/>
      <c r="D19" s="151"/>
      <c r="E19" s="151"/>
      <c r="F19" s="151"/>
      <c r="G19" s="151"/>
      <c r="H19" s="151"/>
      <c r="I19" s="152"/>
      <c r="J19" s="17"/>
      <c r="K19" s="9"/>
    </row>
    <row r="20" spans="1:11">
      <c r="A20" s="5"/>
      <c r="B20" s="150"/>
      <c r="C20" s="151"/>
      <c r="D20" s="151"/>
      <c r="E20" s="151"/>
      <c r="F20" s="151"/>
      <c r="G20" s="151"/>
      <c r="H20" s="151"/>
      <c r="I20" s="152"/>
      <c r="J20" s="17"/>
      <c r="K20" s="9"/>
    </row>
    <row r="21" ht="8.25" customHeight="1" spans="1:11">
      <c r="A21" s="17"/>
      <c r="B21" s="150"/>
      <c r="C21" s="151"/>
      <c r="D21" s="151"/>
      <c r="E21" s="151"/>
      <c r="F21" s="151"/>
      <c r="G21" s="151"/>
      <c r="H21" s="151"/>
      <c r="I21" s="152"/>
      <c r="J21" s="17"/>
      <c r="K21" s="9"/>
    </row>
    <row r="22" spans="1:11">
      <c r="B22" s="153"/>
      <c r="C22" s="154"/>
      <c r="D22" s="154"/>
      <c r="E22" s="154"/>
      <c r="F22" s="154"/>
      <c r="G22" s="154"/>
      <c r="H22" s="154"/>
      <c r="I22" s="155"/>
      <c r="K22" s="9"/>
    </row>
    <row r="23" ht="15" customHeight="1" spans="1:11">
      <c r="B23" s="52"/>
      <c r="K23" s="9"/>
    </row>
    <row r="24" ht="7.5" customHeight="1" spans="1:11">
      <c r="A24" s="9"/>
      <c r="B24" s="9"/>
      <c r="C24" s="9"/>
      <c r="D24" s="9"/>
      <c r="E24" s="9"/>
      <c r="F24" s="9"/>
      <c r="G24" s="9"/>
      <c r="H24" s="9"/>
      <c r="I24" s="9"/>
      <c r="J24" s="9"/>
      <c r="K24" s="9"/>
    </row>
  </sheetData>
  <mergeCells count="2">
    <mergeCell ref="B7:I7"/>
    <mergeCell ref="B9:I22"/>
  </mergeCells>
  <conditionalFormatting sqref="B7:I7">
    <cfRule type="containsBlanks" dxfId="1" priority="2">
      <formula>LEN(TRIM(B7))=0</formula>
    </cfRule>
  </conditionalFormatting>
  <conditionalFormatting sqref="B9">
    <cfRule type="containsBlanks" dxfId="1" priority="1">
      <formula>LEN(TRIM(B9))=0</formula>
    </cfRule>
  </conditionalFormatting>
  <hyperlinks>
    <hyperlink ref="B4" location="'汇总 '!A1" display="返回汇总页"/>
  </hyperlinks>
  <pageMargins left="0.7" right="0.7" top="0.75" bottom="0.75" header="0.3" footer="0.3"/>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U42"/>
  <sheetViews>
    <sheetView showGridLines="0" zoomScale="70" zoomScaleNormal="70" workbookViewId="0">
      <selection activeCell="W31" sqref="W31"/>
    </sheetView>
  </sheetViews>
  <sheetFormatPr defaultColWidth="8.90990990990991" defaultRowHeight="12.75" customHeight="1"/>
  <cols>
    <col min="1" max="1" width="2.63063063063063" style="57" customWidth="1"/>
    <col min="2" max="2" width="10.0900900900901" style="58" customWidth="1"/>
    <col min="3" max="3" width="16.4504504504505" style="58" customWidth="1"/>
    <col min="4" max="4" width="13.9099099099099" style="58" customWidth="1"/>
    <col min="5" max="5" width="15.2702702702703" style="58" customWidth="1"/>
    <col min="6" max="6" width="13.9099099099099" style="59" customWidth="1"/>
    <col min="7" max="7" width="13.9099099099099" style="58" customWidth="1"/>
    <col min="8" max="8" width="15" style="58" customWidth="1"/>
    <col min="9" max="9" width="18.6306306306306" style="60" customWidth="1"/>
    <col min="10" max="10" width="23" style="58" customWidth="1"/>
    <col min="11" max="11" width="11.4504504504505" style="58" customWidth="1"/>
    <col min="12" max="12" width="8.27027027027027" style="58" customWidth="1"/>
    <col min="13" max="13" width="13.6306306306306" style="58" customWidth="1"/>
    <col min="14" max="14" width="10.9099099099099" style="58" customWidth="1"/>
    <col min="15" max="15" width="15.6306306306306" style="58" customWidth="1"/>
    <col min="16" max="16" width="13.4504504504505" style="58" customWidth="1"/>
    <col min="17" max="17" width="12.9099099099099" style="58" customWidth="1"/>
    <col min="18" max="18" width="8.72972972972973" style="58" customWidth="1"/>
    <col min="19" max="19" width="7.90990990990991" style="58" customWidth="1"/>
    <col min="20" max="20" width="2.63063063063063" style="58" customWidth="1"/>
    <col min="21" max="21" width="1.63063063063063" style="58" customWidth="1"/>
    <col min="22" max="30" width="12.9099099099099" style="58" customWidth="1"/>
    <col min="31" max="16384" width="8.90990990990991" style="58"/>
  </cols>
  <sheetData>
    <row r="1" s="4" customFormat="1" ht="50.15" customHeight="1" spans="1:21">
      <c r="A1" s="5"/>
      <c r="B1" s="6" t="s">
        <v>168</v>
      </c>
      <c r="C1" s="7"/>
      <c r="D1" s="7"/>
      <c r="E1" s="7"/>
      <c r="F1" s="7"/>
      <c r="G1" s="7"/>
      <c r="H1" s="7"/>
      <c r="I1" s="7"/>
      <c r="J1" s="61"/>
      <c r="K1" s="7"/>
      <c r="L1" s="7"/>
      <c r="M1" s="7"/>
      <c r="N1" s="7"/>
      <c r="O1" s="7"/>
      <c r="P1" s="7"/>
      <c r="Q1" s="7"/>
      <c r="R1" s="7"/>
      <c r="S1" s="8"/>
      <c r="U1" s="62"/>
    </row>
    <row r="2" s="4" customFormat="1" ht="30" customHeight="1" spans="1:21">
      <c r="A2" s="63"/>
      <c r="B2" s="11" t="s">
        <v>1446</v>
      </c>
      <c r="C2" s="12"/>
      <c r="D2" s="12"/>
      <c r="E2" s="12"/>
      <c r="F2" s="12"/>
      <c r="G2" s="12"/>
      <c r="H2" s="12"/>
      <c r="I2" s="12"/>
      <c r="J2" s="64"/>
      <c r="K2" s="12"/>
      <c r="L2" s="12"/>
      <c r="M2" s="12"/>
      <c r="N2" s="12"/>
      <c r="O2" s="12"/>
      <c r="P2" s="12"/>
      <c r="Q2" s="12"/>
      <c r="R2" s="12"/>
      <c r="S2" s="13"/>
      <c r="U2" s="62"/>
    </row>
    <row r="3" s="53" customFormat="1" ht="12.4" spans="1:21">
      <c r="A3" s="65"/>
      <c r="B3" s="66"/>
      <c r="C3" s="66"/>
      <c r="D3" s="66"/>
      <c r="E3" s="66"/>
      <c r="F3" s="66"/>
      <c r="G3" s="66"/>
      <c r="H3" s="66"/>
      <c r="I3" s="66"/>
      <c r="J3" s="66"/>
      <c r="K3" s="66"/>
      <c r="L3" s="66"/>
      <c r="M3" s="66"/>
      <c r="N3" s="66"/>
      <c r="O3" s="66"/>
      <c r="P3" s="66"/>
      <c r="Q3" s="65"/>
      <c r="R3" s="65"/>
      <c r="U3" s="67"/>
    </row>
    <row r="4" s="53" customFormat="1" ht="13.15" customHeight="1" spans="1:21">
      <c r="A4" s="65"/>
      <c r="B4" s="18" t="s">
        <v>77</v>
      </c>
      <c r="C4"/>
      <c r="D4" s="68"/>
      <c r="E4" s="68"/>
      <c r="F4" s="68"/>
      <c r="G4" s="68"/>
      <c r="H4" s="68"/>
      <c r="I4" s="68"/>
      <c r="J4" s="68"/>
      <c r="K4" s="68"/>
      <c r="L4" s="68"/>
      <c r="M4" s="68"/>
      <c r="N4" s="68"/>
      <c r="O4" s="68"/>
      <c r="P4" s="68"/>
      <c r="Q4" s="65"/>
      <c r="R4" s="65"/>
      <c r="U4" s="67"/>
    </row>
    <row r="5" s="53" customFormat="1" ht="12.4" spans="1:21">
      <c r="A5" s="65"/>
      <c r="B5" s="66"/>
      <c r="C5" s="66"/>
      <c r="D5" s="66"/>
      <c r="E5" s="66"/>
      <c r="F5" s="66"/>
      <c r="G5" s="66"/>
      <c r="H5" s="66"/>
      <c r="I5" s="66"/>
      <c r="J5" s="66"/>
      <c r="K5" s="66"/>
      <c r="L5" s="66"/>
      <c r="M5" s="66"/>
      <c r="N5" s="66"/>
      <c r="O5" s="66"/>
      <c r="P5" s="66"/>
      <c r="Q5" s="65"/>
      <c r="R5" s="65"/>
      <c r="U5" s="67"/>
    </row>
    <row r="6" s="53" customFormat="1" ht="12.4" spans="1:21">
      <c r="A6" s="65"/>
      <c r="B6" s="66" t="s">
        <v>979</v>
      </c>
      <c r="C6" s="66"/>
      <c r="D6" s="66"/>
      <c r="E6" s="66"/>
      <c r="F6" s="66"/>
      <c r="G6" s="66"/>
      <c r="H6" s="66"/>
      <c r="I6" s="66"/>
      <c r="J6" s="66"/>
      <c r="K6" s="66"/>
      <c r="L6" s="66"/>
      <c r="M6" s="66"/>
      <c r="N6" s="66"/>
      <c r="O6" s="66"/>
      <c r="P6" s="66"/>
      <c r="Q6" s="65"/>
      <c r="R6" s="65"/>
      <c r="U6" s="67"/>
    </row>
    <row r="7" s="53" customFormat="1" ht="12.4" spans="1:21">
      <c r="A7" s="69"/>
      <c r="B7" s="70"/>
      <c r="C7" s="71"/>
      <c r="D7" s="71"/>
      <c r="E7" s="71"/>
      <c r="F7" s="72"/>
      <c r="G7" s="73"/>
      <c r="H7" s="73"/>
      <c r="I7" s="73"/>
      <c r="J7" s="73"/>
      <c r="K7" s="73"/>
      <c r="L7" s="73"/>
      <c r="U7" s="67"/>
    </row>
    <row r="8" s="53" customFormat="1" ht="12.4" spans="1:21">
      <c r="A8" s="69"/>
      <c r="B8" s="74"/>
      <c r="C8" s="75"/>
      <c r="D8" s="75"/>
      <c r="E8" s="75"/>
      <c r="F8" s="76"/>
      <c r="G8" s="73"/>
      <c r="H8" s="73"/>
      <c r="I8" s="73"/>
      <c r="J8" s="73"/>
      <c r="K8" s="73"/>
      <c r="L8" s="73"/>
      <c r="U8" s="67"/>
    </row>
    <row r="9" s="53" customFormat="1" ht="12.4" spans="1:21">
      <c r="A9" s="69"/>
      <c r="B9" s="74"/>
      <c r="C9" s="75"/>
      <c r="D9" s="75"/>
      <c r="E9" s="75"/>
      <c r="F9" s="76"/>
      <c r="G9" s="73"/>
      <c r="H9" s="73"/>
      <c r="I9" s="73"/>
      <c r="J9" s="73"/>
      <c r="K9" s="73"/>
      <c r="L9" s="73"/>
      <c r="U9" s="67"/>
    </row>
    <row r="10" s="53" customFormat="1" ht="12.4" spans="1:21">
      <c r="A10" s="69"/>
      <c r="B10" s="77"/>
      <c r="C10" s="78"/>
      <c r="D10" s="78"/>
      <c r="E10" s="78"/>
      <c r="F10" s="79"/>
      <c r="G10" s="73"/>
      <c r="H10" s="73"/>
      <c r="I10" s="73"/>
      <c r="J10" s="73"/>
      <c r="K10" s="73"/>
      <c r="L10" s="73"/>
      <c r="U10" s="67"/>
    </row>
    <row r="11" s="53" customFormat="1" ht="12.4" spans="1:21">
      <c r="A11" s="69"/>
      <c r="J11" s="80"/>
      <c r="U11" s="67"/>
    </row>
    <row r="12" s="53" customFormat="1" ht="13.7" spans="1:21">
      <c r="A12" s="69"/>
      <c r="B12" s="81" t="s">
        <v>1447</v>
      </c>
      <c r="C12" s="81"/>
      <c r="D12" s="82"/>
      <c r="E12" s="82"/>
      <c r="F12" s="83"/>
      <c r="G12" s="82"/>
      <c r="H12" s="82"/>
      <c r="I12" s="82"/>
      <c r="J12" s="82"/>
      <c r="U12" s="67"/>
    </row>
    <row r="13" s="53" customFormat="1" ht="13.7" spans="1:21">
      <c r="A13" s="69"/>
      <c r="B13" s="84" t="s">
        <v>1448</v>
      </c>
      <c r="C13" s="81"/>
      <c r="D13" s="82"/>
      <c r="E13" s="82"/>
      <c r="F13" s="85">
        <f>'K.01 Agree SL to GL'!Z20</f>
        <v>1934867.54</v>
      </c>
      <c r="G13" s="86" t="s">
        <v>1449</v>
      </c>
      <c r="H13" s="82"/>
      <c r="I13" s="82"/>
      <c r="J13" s="82"/>
      <c r="U13" s="67"/>
    </row>
    <row r="14" s="53" customFormat="1" ht="14.55" spans="1:21">
      <c r="A14" s="69"/>
      <c r="B14" s="87" t="s">
        <v>251</v>
      </c>
      <c r="C14" s="87"/>
      <c r="D14" s="88"/>
      <c r="E14" s="88"/>
      <c r="F14" s="89">
        <f>F12-F13</f>
        <v>-1934867.54</v>
      </c>
      <c r="G14" s="86" t="s">
        <v>104</v>
      </c>
      <c r="H14" s="90" t="s">
        <v>1450</v>
      </c>
      <c r="I14" s="82"/>
      <c r="J14" s="91" t="str">
        <f>IF(ABS(F14)&gt;'K.00 Lead Sheet'!$C$6,"是","否")</f>
        <v>是</v>
      </c>
      <c r="U14" s="67"/>
    </row>
    <row r="15" s="53" customFormat="1" ht="12.4" spans="1:21">
      <c r="A15" s="69"/>
      <c r="B15" s="92"/>
      <c r="C15" s="92"/>
      <c r="D15" s="93"/>
      <c r="E15" s="93"/>
      <c r="F15" s="94"/>
      <c r="G15" s="93"/>
      <c r="H15" s="93"/>
      <c r="I15" s="93"/>
      <c r="J15" s="93"/>
      <c r="U15" s="67"/>
    </row>
    <row r="16" s="53" customFormat="1" ht="13.7" spans="1:21">
      <c r="A16" s="69"/>
      <c r="B16" s="95" t="s">
        <v>984</v>
      </c>
      <c r="C16" s="19"/>
      <c r="D16" s="19"/>
      <c r="E16" s="19"/>
      <c r="F16" s="83"/>
      <c r="G16" s="82"/>
      <c r="H16" s="19"/>
      <c r="I16" s="19"/>
      <c r="J16" s="19"/>
      <c r="U16" s="67"/>
    </row>
    <row r="17" s="53" customFormat="1" ht="13.7" spans="1:21">
      <c r="A17" s="69"/>
      <c r="B17" s="87" t="s">
        <v>986</v>
      </c>
      <c r="C17" s="87"/>
      <c r="D17" s="96"/>
      <c r="E17" s="96"/>
      <c r="F17" s="97">
        <f>F12-F16</f>
        <v>0</v>
      </c>
      <c r="G17" s="82"/>
      <c r="H17" s="98"/>
      <c r="I17" s="99"/>
      <c r="J17" s="82"/>
      <c r="U17" s="67"/>
    </row>
    <row r="18" s="53" customFormat="1" ht="12.4" spans="1:21">
      <c r="A18" s="69"/>
      <c r="B18" s="81"/>
      <c r="C18" s="81"/>
      <c r="D18" s="19"/>
      <c r="E18" s="19"/>
      <c r="F18" s="100"/>
      <c r="G18" s="82"/>
      <c r="H18" s="98"/>
      <c r="I18" s="99"/>
      <c r="J18" s="82"/>
      <c r="U18" s="67"/>
    </row>
    <row r="19" s="54" customFormat="1" ht="14.55" spans="1:21">
      <c r="A19" s="101"/>
      <c r="B19" s="102" t="s">
        <v>987</v>
      </c>
      <c r="C19" s="53"/>
      <c r="D19" s="53"/>
      <c r="E19" s="53"/>
      <c r="F19" s="53"/>
      <c r="G19" s="53"/>
      <c r="H19" s="53"/>
      <c r="I19" s="80"/>
      <c r="J19" s="53"/>
      <c r="K19" s="53"/>
      <c r="L19" s="53"/>
      <c r="M19" s="53"/>
      <c r="N19" s="53"/>
      <c r="O19" s="53"/>
      <c r="P19" s="53"/>
      <c r="U19" s="67"/>
    </row>
    <row r="20" s="54" customFormat="1" ht="14.25" customHeight="1" spans="1:21">
      <c r="A20" s="53"/>
      <c r="B20" s="70"/>
      <c r="C20" s="71"/>
      <c r="D20" s="71"/>
      <c r="E20" s="71"/>
      <c r="F20" s="72"/>
      <c r="G20" s="73"/>
      <c r="H20" s="73"/>
      <c r="I20" s="73"/>
      <c r="J20" s="73"/>
      <c r="K20" s="73"/>
      <c r="L20" s="73"/>
      <c r="M20" s="53"/>
      <c r="N20" s="53"/>
      <c r="O20" s="53"/>
      <c r="P20" s="53"/>
      <c r="U20" s="67"/>
    </row>
    <row r="21" s="54" customFormat="1" ht="14.25" customHeight="1" spans="1:21">
      <c r="A21" s="53"/>
      <c r="B21" s="74"/>
      <c r="C21" s="75"/>
      <c r="D21" s="75"/>
      <c r="E21" s="75"/>
      <c r="F21" s="76"/>
      <c r="G21" s="73"/>
      <c r="H21" s="73"/>
      <c r="I21" s="73"/>
      <c r="J21" s="73"/>
      <c r="K21" s="73"/>
      <c r="L21" s="73"/>
      <c r="M21" s="53"/>
      <c r="N21" s="53"/>
      <c r="O21" s="53"/>
      <c r="P21" s="53"/>
      <c r="U21" s="67"/>
    </row>
    <row r="22" s="54" customFormat="1" ht="14.25" customHeight="1" spans="1:21">
      <c r="A22" s="53"/>
      <c r="B22" s="74"/>
      <c r="C22" s="75"/>
      <c r="D22" s="75"/>
      <c r="E22" s="75"/>
      <c r="F22" s="76"/>
      <c r="G22" s="73"/>
      <c r="H22" s="73"/>
      <c r="I22" s="73"/>
      <c r="J22" s="73"/>
      <c r="K22" s="73"/>
      <c r="L22" s="73"/>
      <c r="M22" s="53"/>
      <c r="N22" s="53"/>
      <c r="O22" s="53"/>
      <c r="P22" s="53"/>
      <c r="U22" s="67"/>
    </row>
    <row r="23" s="54" customFormat="1" ht="14.25" customHeight="1" spans="1:21">
      <c r="A23" s="53"/>
      <c r="B23" s="77"/>
      <c r="C23" s="78"/>
      <c r="D23" s="78"/>
      <c r="E23" s="78"/>
      <c r="F23" s="79"/>
      <c r="G23" s="73"/>
      <c r="H23" s="73"/>
      <c r="I23" s="73"/>
      <c r="J23" s="73"/>
      <c r="K23" s="73"/>
      <c r="L23" s="73"/>
      <c r="M23" s="53"/>
      <c r="N23" s="53"/>
      <c r="O23" s="53"/>
      <c r="P23" s="53"/>
      <c r="U23" s="67"/>
    </row>
    <row r="24" s="53" customFormat="1" ht="12.4" spans="1:21">
      <c r="A24" s="69"/>
      <c r="B24" s="81"/>
      <c r="C24" s="81"/>
      <c r="D24" s="19"/>
      <c r="E24" s="19"/>
      <c r="F24" s="100"/>
      <c r="G24" s="73"/>
      <c r="H24" s="73"/>
      <c r="I24" s="73"/>
      <c r="J24" s="73"/>
      <c r="K24" s="73"/>
      <c r="L24" s="73"/>
      <c r="M24" s="73"/>
      <c r="U24" s="67"/>
    </row>
    <row r="25" s="53" customFormat="1" ht="14.55" spans="1:21">
      <c r="A25" s="103"/>
      <c r="B25" s="104" t="s">
        <v>992</v>
      </c>
      <c r="C25" s="105"/>
      <c r="D25" s="105"/>
      <c r="E25" s="105"/>
      <c r="F25" s="106"/>
      <c r="G25" s="73"/>
      <c r="H25" s="73"/>
      <c r="I25" s="73"/>
      <c r="J25" s="73"/>
      <c r="K25" s="73"/>
      <c r="L25" s="73"/>
      <c r="M25" s="73"/>
      <c r="U25" s="67"/>
    </row>
    <row r="26" s="55" customFormat="1" ht="30" customHeight="1" spans="1:21">
      <c r="B26" s="107" t="s">
        <v>993</v>
      </c>
      <c r="C26" s="108"/>
      <c r="D26" s="108"/>
      <c r="E26" s="108"/>
      <c r="F26" s="109"/>
      <c r="G26" s="110"/>
      <c r="H26" s="110"/>
      <c r="I26" s="110"/>
      <c r="J26" s="110"/>
      <c r="K26" s="110"/>
      <c r="L26" s="110"/>
      <c r="M26" s="110"/>
      <c r="U26" s="111"/>
    </row>
    <row r="27" s="55" customFormat="1" ht="33" customHeight="1" spans="1:21">
      <c r="B27" s="112" t="s">
        <v>1451</v>
      </c>
      <c r="C27" s="113"/>
      <c r="D27" s="113"/>
      <c r="E27" s="113"/>
      <c r="F27" s="114"/>
      <c r="G27" s="110"/>
      <c r="H27" s="110"/>
      <c r="I27" s="110"/>
      <c r="J27" s="110"/>
      <c r="K27" s="110"/>
      <c r="L27" s="110"/>
      <c r="M27" s="110"/>
      <c r="U27" s="111"/>
    </row>
    <row r="28" s="55" customFormat="1" ht="44.65" customHeight="1" spans="1:21">
      <c r="B28" s="115" t="s">
        <v>1452</v>
      </c>
      <c r="C28" s="116"/>
      <c r="D28" s="116"/>
      <c r="E28" s="116"/>
      <c r="F28" s="117"/>
      <c r="G28" s="110"/>
      <c r="H28" s="110"/>
      <c r="I28" s="110"/>
      <c r="J28" s="110"/>
      <c r="K28" s="110"/>
      <c r="L28" s="110"/>
      <c r="M28" s="110"/>
      <c r="U28" s="111"/>
    </row>
    <row r="29" s="53" customFormat="1" ht="12.4" spans="1:21">
      <c r="G29" s="73"/>
      <c r="H29" s="73"/>
      <c r="I29" s="73"/>
      <c r="J29" s="73"/>
      <c r="K29" s="73"/>
      <c r="L29" s="73"/>
      <c r="M29" s="73"/>
      <c r="U29" s="67"/>
    </row>
    <row r="30" s="53" customFormat="1" ht="21" customHeight="1" spans="1:21">
      <c r="D30" s="118"/>
      <c r="E30" s="118"/>
      <c r="F30" s="118"/>
      <c r="G30" s="118"/>
      <c r="H30" s="118"/>
      <c r="I30" s="118"/>
      <c r="J30" s="118"/>
      <c r="K30" s="118"/>
      <c r="L30" s="57"/>
      <c r="M30" s="57"/>
      <c r="N30" s="57"/>
      <c r="O30" s="57"/>
      <c r="P30" s="119" t="s">
        <v>998</v>
      </c>
      <c r="Q30" s="57"/>
      <c r="R30" s="120" t="s">
        <v>999</v>
      </c>
      <c r="S30" s="121"/>
      <c r="U30" s="62"/>
    </row>
    <row r="31" s="56" customFormat="1" ht="46.3" spans="1:21">
      <c r="A31" s="122"/>
      <c r="B31" s="123" t="s">
        <v>1453</v>
      </c>
      <c r="C31" s="123" t="s">
        <v>1000</v>
      </c>
      <c r="D31" s="124" t="s">
        <v>176</v>
      </c>
      <c r="E31" s="125" t="s">
        <v>1001</v>
      </c>
      <c r="F31" s="123" t="s">
        <v>1002</v>
      </c>
      <c r="G31" s="123" t="s">
        <v>1003</v>
      </c>
      <c r="H31" s="123" t="s">
        <v>152</v>
      </c>
      <c r="I31" s="126" t="s">
        <v>1454</v>
      </c>
      <c r="J31" s="123" t="s">
        <v>1455</v>
      </c>
      <c r="K31" s="123" t="s">
        <v>1006</v>
      </c>
      <c r="L31" s="123" t="s">
        <v>1008</v>
      </c>
      <c r="M31" s="127" t="s">
        <v>1456</v>
      </c>
      <c r="N31" s="127" t="s">
        <v>1457</v>
      </c>
      <c r="O31" s="127" t="s">
        <v>1458</v>
      </c>
      <c r="P31" s="127" t="s">
        <v>1357</v>
      </c>
      <c r="Q31" s="123" t="s">
        <v>1459</v>
      </c>
      <c r="R31" s="123">
        <v>1</v>
      </c>
      <c r="S31" s="123">
        <v>2</v>
      </c>
      <c r="U31" s="128"/>
    </row>
    <row r="32" s="53" customFormat="1" ht="12.4" spans="1:21">
      <c r="A32" s="129"/>
      <c r="B32" s="130">
        <v>1</v>
      </c>
      <c r="C32" s="131"/>
      <c r="D32" s="131"/>
      <c r="E32" s="131"/>
      <c r="F32" s="131"/>
      <c r="G32" s="131"/>
      <c r="H32" s="132"/>
      <c r="I32" s="132"/>
      <c r="J32" s="133"/>
      <c r="K32" s="131"/>
      <c r="L32" s="131"/>
      <c r="M32" s="134"/>
      <c r="N32" s="135"/>
      <c r="O32" s="135"/>
      <c r="P32" s="132">
        <f>N32-O32</f>
        <v>0</v>
      </c>
      <c r="Q32" s="136"/>
      <c r="R32" s="131"/>
      <c r="S32" s="131"/>
      <c r="U32" s="67"/>
    </row>
    <row r="33" s="53" customFormat="1" ht="12.4" spans="1:21">
      <c r="A33" s="129"/>
      <c r="B33" s="130">
        <v>2</v>
      </c>
      <c r="C33" s="131"/>
      <c r="D33" s="131"/>
      <c r="E33" s="131"/>
      <c r="F33" s="131"/>
      <c r="G33" s="131"/>
      <c r="H33" s="132"/>
      <c r="I33" s="132"/>
      <c r="J33" s="133"/>
      <c r="K33" s="131"/>
      <c r="L33" s="131"/>
      <c r="M33" s="134"/>
      <c r="N33" s="135"/>
      <c r="O33" s="135"/>
      <c r="P33" s="132">
        <f>N33-O33</f>
        <v>0</v>
      </c>
      <c r="Q33" s="136"/>
      <c r="R33" s="131"/>
      <c r="S33" s="131"/>
      <c r="U33" s="67"/>
    </row>
    <row r="34" s="53" customFormat="1" ht="12.4" spans="1:21">
      <c r="A34" s="129"/>
      <c r="B34" s="130">
        <v>3</v>
      </c>
      <c r="C34" s="131"/>
      <c r="D34" s="131"/>
      <c r="E34" s="131"/>
      <c r="F34" s="131"/>
      <c r="G34" s="131"/>
      <c r="H34" s="132"/>
      <c r="I34" s="132"/>
      <c r="J34" s="133"/>
      <c r="K34" s="131"/>
      <c r="L34" s="131"/>
      <c r="M34" s="134"/>
      <c r="N34" s="135"/>
      <c r="O34" s="135"/>
      <c r="P34" s="132">
        <f>N34-O34</f>
        <v>0</v>
      </c>
      <c r="Q34" s="131"/>
      <c r="R34" s="131"/>
      <c r="S34" s="131"/>
      <c r="U34" s="67"/>
    </row>
    <row r="35" s="53" customFormat="1" ht="12.4" spans="1:21">
      <c r="A35" s="129"/>
      <c r="B35" s="129"/>
      <c r="C35" s="137"/>
      <c r="D35" s="137"/>
      <c r="E35" s="137"/>
      <c r="F35" s="138"/>
      <c r="G35" s="139"/>
      <c r="H35" s="140"/>
      <c r="I35" s="141"/>
      <c r="J35" s="137"/>
      <c r="K35" s="137"/>
      <c r="L35" s="137"/>
      <c r="M35" s="137"/>
      <c r="O35" s="137"/>
      <c r="U35" s="67"/>
    </row>
    <row r="36" ht="17.15" customHeight="1" spans="1:21">
      <c r="A36" s="58"/>
      <c r="B36" s="54" t="s">
        <v>1176</v>
      </c>
      <c r="E36" s="59"/>
      <c r="F36" s="58"/>
      <c r="H36" s="60"/>
      <c r="I36" s="58"/>
      <c r="U36" s="62"/>
    </row>
    <row r="37" customHeight="1" spans="1:21">
      <c r="A37" s="58"/>
      <c r="B37" s="70"/>
      <c r="C37" s="71"/>
      <c r="D37" s="71"/>
      <c r="E37" s="71"/>
      <c r="F37" s="72"/>
      <c r="H37" s="60"/>
      <c r="I37" s="58"/>
      <c r="U37" s="62"/>
    </row>
    <row r="38" customHeight="1" spans="1:21">
      <c r="A38" s="58"/>
      <c r="B38" s="74"/>
      <c r="C38" s="75"/>
      <c r="D38" s="75"/>
      <c r="E38" s="75"/>
      <c r="F38" s="76"/>
      <c r="H38" s="60"/>
      <c r="I38" s="58"/>
      <c r="U38" s="62"/>
    </row>
    <row r="39" customHeight="1" spans="1:21">
      <c r="A39" s="58"/>
      <c r="B39" s="74"/>
      <c r="C39" s="75"/>
      <c r="D39" s="75"/>
      <c r="E39" s="75"/>
      <c r="F39" s="76"/>
      <c r="H39" s="60"/>
      <c r="I39" s="58"/>
      <c r="U39" s="62"/>
    </row>
    <row r="40" customHeight="1" spans="1:21">
      <c r="A40" s="58"/>
      <c r="B40" s="77"/>
      <c r="C40" s="78"/>
      <c r="D40" s="78"/>
      <c r="E40" s="78"/>
      <c r="F40" s="79"/>
      <c r="H40" s="60"/>
      <c r="I40" s="58"/>
      <c r="U40" s="62"/>
    </row>
    <row r="41" ht="15" customHeight="1" spans="1:21">
      <c r="A41" s="58"/>
      <c r="E41" s="59"/>
      <c r="F41" s="58"/>
      <c r="H41" s="60"/>
      <c r="I41" s="58"/>
      <c r="U41" s="62"/>
    </row>
    <row r="42" ht="7.5" customHeight="1" spans="1:21">
      <c r="A42" s="62"/>
      <c r="B42" s="62"/>
      <c r="C42" s="62"/>
      <c r="D42" s="62"/>
      <c r="E42" s="62"/>
      <c r="F42" s="62"/>
      <c r="G42" s="62"/>
      <c r="H42" s="62"/>
      <c r="I42" s="62"/>
      <c r="J42" s="67"/>
      <c r="K42" s="62"/>
      <c r="L42" s="62"/>
      <c r="M42" s="62"/>
      <c r="N42" s="62"/>
      <c r="O42" s="62"/>
      <c r="P42" s="62"/>
      <c r="Q42" s="62"/>
      <c r="R42" s="62"/>
      <c r="S42" s="62"/>
      <c r="T42" s="62"/>
      <c r="U42" s="62"/>
    </row>
  </sheetData>
  <mergeCells count="14">
    <mergeCell ref="B3:P3"/>
    <mergeCell ref="Q3:R3"/>
    <mergeCell ref="Q4:R4"/>
    <mergeCell ref="B5:P5"/>
    <mergeCell ref="Q5:R5"/>
    <mergeCell ref="B6:P6"/>
    <mergeCell ref="Q6:R6"/>
    <mergeCell ref="B26:F26"/>
    <mergeCell ref="B27:F27"/>
    <mergeCell ref="B28:F28"/>
    <mergeCell ref="R30:S30"/>
    <mergeCell ref="B37:F40"/>
    <mergeCell ref="B20:F23"/>
    <mergeCell ref="B7:F10"/>
  </mergeCells>
  <conditionalFormatting sqref="B7">
    <cfRule type="containsBlanks" dxfId="1" priority="2">
      <formula>LEN(TRIM(B7))=0</formula>
    </cfRule>
  </conditionalFormatting>
  <conditionalFormatting sqref="F12">
    <cfRule type="containsBlanks" dxfId="1" priority="6">
      <formula>LEN(TRIM(F12))=0</formula>
    </cfRule>
  </conditionalFormatting>
  <conditionalFormatting sqref="F16">
    <cfRule type="containsBlanks" dxfId="1" priority="1">
      <formula>LEN(TRIM(F16))=0</formula>
    </cfRule>
  </conditionalFormatting>
  <conditionalFormatting sqref="B20">
    <cfRule type="containsBlanks" dxfId="1" priority="3">
      <formula>LEN(TRIM(B20))=0</formula>
    </cfRule>
  </conditionalFormatting>
  <conditionalFormatting sqref="B37">
    <cfRule type="containsBlanks" dxfId="1" priority="4">
      <formula>LEN(TRIM(B37))=0</formula>
    </cfRule>
  </conditionalFormatting>
  <conditionalFormatting sqref="B32:S34">
    <cfRule type="containsBlanks" dxfId="1" priority="5">
      <formula>LEN(TRIM(B32))=0</formula>
    </cfRule>
  </conditionalFormatting>
  <dataValidations count="3">
    <dataValidation allowBlank="1" showInputMessage="1" sqref="B32:B34"/>
    <dataValidation type="list" allowBlank="1" showInputMessage="1" sqref="C32:C34">
      <formula1>"关键项（key item）,代表性样本"</formula1>
    </dataValidation>
    <dataValidation type="list" allowBlank="1" showInputMessage="1" sqref="R32:S34">
      <formula1>"Y,N"</formula1>
    </dataValidation>
  </dataValidations>
  <hyperlinks>
    <hyperlink ref="B4" location="'汇总 '!A1" display="返回汇总页"/>
  </hyperlinks>
  <pageMargins left="0.7" right="0.7" top="0.75" bottom="0.75" header="0.3" footer="0.3"/>
  <pageSetup paperSize="9" orientation="portrait" horizontalDpi="300" verticalDpi="300"/>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7"/>
  <sheetViews>
    <sheetView showGridLines="0" zoomScale="70" zoomScaleNormal="70" workbookViewId="0">
      <selection activeCell="G19" sqref="G19"/>
    </sheetView>
  </sheetViews>
  <sheetFormatPr defaultColWidth="9" defaultRowHeight="14.1"/>
  <cols>
    <col min="1" max="1" width="2.63063063063063" style="4" customWidth="1"/>
    <col min="2" max="9" width="22.6306306306306" style="4" customWidth="1"/>
    <col min="10" max="10" width="7.63063063063063" style="4" customWidth="1"/>
    <col min="11" max="11" width="8.90990990990991" style="4" customWidth="1"/>
    <col min="12" max="12" width="2.63063063063063" style="4" customWidth="1"/>
    <col min="13" max="13" width="1.63063063063063" style="4" customWidth="1"/>
    <col min="14" max="16384" width="9" style="4"/>
  </cols>
  <sheetData>
    <row r="1" ht="50.15" customHeight="1" spans="1:24">
      <c r="A1" s="5"/>
      <c r="B1" s="6" t="s">
        <v>168</v>
      </c>
      <c r="C1" s="7"/>
      <c r="D1" s="7"/>
      <c r="E1" s="7"/>
      <c r="F1" s="7"/>
      <c r="G1" s="7"/>
      <c r="H1" s="7"/>
      <c r="I1" s="7"/>
      <c r="J1" s="7"/>
      <c r="K1" s="8"/>
      <c r="M1" s="9"/>
    </row>
    <row r="2" s="1" customFormat="1" ht="30" customHeight="1" spans="1:24">
      <c r="A2" s="10"/>
      <c r="B2" s="11" t="s">
        <v>1460</v>
      </c>
      <c r="C2" s="12"/>
      <c r="D2" s="12"/>
      <c r="E2" s="12"/>
      <c r="F2" s="12"/>
      <c r="G2" s="12"/>
      <c r="H2" s="12"/>
      <c r="I2" s="12"/>
      <c r="J2" s="12"/>
      <c r="K2" s="13"/>
      <c r="M2" s="14"/>
    </row>
    <row r="3" spans="1:24">
      <c r="A3" s="5"/>
      <c r="B3" s="15"/>
      <c r="C3" s="15"/>
      <c r="D3" s="5"/>
      <c r="E3" s="15"/>
      <c r="F3" s="16"/>
      <c r="G3" s="16"/>
      <c r="H3" s="15"/>
      <c r="I3" s="5"/>
      <c r="J3" s="17"/>
      <c r="M3" s="9"/>
    </row>
    <row r="4" spans="1:24">
      <c r="A4" s="5"/>
      <c r="B4" s="18" t="s">
        <v>77</v>
      </c>
      <c r="C4" s="19"/>
      <c r="D4" s="5"/>
      <c r="E4" s="15"/>
      <c r="F4" s="16"/>
      <c r="G4" s="16"/>
      <c r="H4" s="15"/>
      <c r="I4" s="5"/>
      <c r="J4" s="17"/>
      <c r="M4" s="9"/>
    </row>
    <row r="5" spans="1:24">
      <c r="A5" s="5"/>
      <c r="B5" s="20"/>
      <c r="C5" s="19"/>
      <c r="D5" s="5"/>
      <c r="E5" s="15"/>
      <c r="F5" s="16"/>
      <c r="G5" s="16"/>
      <c r="H5" s="15"/>
      <c r="I5" s="5"/>
      <c r="J5" s="17"/>
      <c r="M5" s="9"/>
    </row>
    <row r="6" s="2" customFormat="1" ht="14.55" spans="1:24">
      <c r="B6" s="21" t="s">
        <v>1461</v>
      </c>
      <c r="M6" s="9"/>
      <c r="X6" s="22"/>
    </row>
    <row r="7" s="3" customFormat="1" spans="1:24">
      <c r="B7" s="23" t="s">
        <v>1462</v>
      </c>
      <c r="H7" s="24"/>
      <c r="M7" s="9"/>
      <c r="X7" s="22"/>
    </row>
    <row r="8" s="3" customFormat="1" spans="1:24">
      <c r="A8" s="25"/>
      <c r="B8" s="26"/>
      <c r="C8" s="27"/>
      <c r="D8" s="27"/>
      <c r="E8" s="27"/>
      <c r="F8" s="27"/>
      <c r="G8" s="27"/>
      <c r="H8" s="27"/>
      <c r="I8" s="25"/>
      <c r="J8" s="25"/>
      <c r="K8" s="25"/>
      <c r="L8" s="25"/>
      <c r="M8" s="9"/>
      <c r="X8" s="22"/>
    </row>
    <row r="9" s="3" customFormat="1" ht="14.55" spans="1:24">
      <c r="B9" s="28" t="s">
        <v>174</v>
      </c>
      <c r="C9" s="29" t="s">
        <v>1338</v>
      </c>
      <c r="D9" s="30"/>
      <c r="E9" s="30"/>
      <c r="F9" s="30"/>
      <c r="G9" s="30"/>
      <c r="H9" s="31"/>
      <c r="M9" s="9"/>
      <c r="X9" s="22"/>
    </row>
    <row r="10" s="3" customFormat="1" ht="14.15" customHeight="1" spans="1:24">
      <c r="B10" s="32"/>
      <c r="C10" s="33">
        <f>'K.00 Lead Sheet'!C3</f>
        <v>46022</v>
      </c>
      <c r="D10" s="33"/>
      <c r="E10" s="33"/>
      <c r="F10" s="33">
        <f>C10-365</f>
        <v>45657</v>
      </c>
      <c r="G10" s="33"/>
      <c r="H10" s="33"/>
      <c r="I10" s="33" t="s">
        <v>251</v>
      </c>
      <c r="J10" s="33"/>
      <c r="K10" s="33"/>
      <c r="L10" s="25"/>
      <c r="M10" s="9"/>
      <c r="X10" s="22"/>
    </row>
    <row r="11" s="3" customFormat="1" ht="14.15" customHeight="1" spans="1:24">
      <c r="B11" s="34" t="s">
        <v>1008</v>
      </c>
      <c r="C11" s="35" t="s">
        <v>1331</v>
      </c>
      <c r="D11" s="35"/>
      <c r="E11" s="35"/>
      <c r="F11" s="35" t="s">
        <v>1331</v>
      </c>
      <c r="G11" s="35"/>
      <c r="H11" s="35"/>
      <c r="I11" s="35" t="b">
        <f>C11=F11</f>
        <v>1</v>
      </c>
      <c r="J11" s="35"/>
      <c r="K11" s="35"/>
      <c r="L11" s="25"/>
      <c r="M11" s="9"/>
      <c r="X11" s="22"/>
    </row>
    <row r="12" s="3" customFormat="1" ht="14.15" customHeight="1" spans="1:24">
      <c r="B12" s="35" t="s">
        <v>1332</v>
      </c>
      <c r="C12" s="36" t="s">
        <v>1341</v>
      </c>
      <c r="D12" s="36" t="s">
        <v>1334</v>
      </c>
      <c r="E12" s="36" t="s">
        <v>1463</v>
      </c>
      <c r="F12" s="36" t="s">
        <v>1341</v>
      </c>
      <c r="G12" s="36" t="s">
        <v>1334</v>
      </c>
      <c r="H12" s="36" t="s">
        <v>1463</v>
      </c>
      <c r="I12" s="37" t="s">
        <v>1341</v>
      </c>
      <c r="J12" s="37" t="s">
        <v>1334</v>
      </c>
      <c r="K12" s="37" t="s">
        <v>1464</v>
      </c>
      <c r="L12" s="25"/>
      <c r="M12" s="9"/>
      <c r="X12" s="22"/>
    </row>
    <row r="13" s="3" customFormat="1" ht="14.15" customHeight="1" spans="1:24">
      <c r="B13" s="38"/>
      <c r="C13" s="38"/>
      <c r="D13" s="39"/>
      <c r="E13" s="40" t="e">
        <f t="shared" ref="E13:E20" si="0">(1-D13)/C13</f>
        <v>#DIV/0!</v>
      </c>
      <c r="F13" s="38"/>
      <c r="G13" s="39"/>
      <c r="H13" s="40" t="e">
        <f t="shared" ref="H13:H20" si="1">(1-G13)/F13</f>
        <v>#DIV/0!</v>
      </c>
      <c r="I13" s="41" t="b">
        <f t="shared" ref="I13:I20" si="2">C13=F13</f>
        <v>1</v>
      </c>
      <c r="J13" s="41" t="b">
        <f t="shared" ref="J13:J20" si="3">C13=F13</f>
        <v>1</v>
      </c>
      <c r="K13" s="42"/>
      <c r="L13" s="25"/>
      <c r="M13" s="9"/>
      <c r="X13" s="22"/>
    </row>
    <row r="14" s="3" customFormat="1" spans="1:24">
      <c r="B14" s="38"/>
      <c r="C14" s="38"/>
      <c r="D14" s="39"/>
      <c r="E14" s="40" t="e">
        <f t="shared" si="0"/>
        <v>#DIV/0!</v>
      </c>
      <c r="F14" s="38"/>
      <c r="G14" s="39"/>
      <c r="H14" s="40" t="e">
        <f t="shared" si="1"/>
        <v>#DIV/0!</v>
      </c>
      <c r="I14" s="41" t="b">
        <f t="shared" si="2"/>
        <v>1</v>
      </c>
      <c r="J14" s="41" t="b">
        <f t="shared" si="3"/>
        <v>1</v>
      </c>
      <c r="K14" s="42"/>
      <c r="L14" s="25"/>
      <c r="M14" s="9"/>
      <c r="X14" s="22"/>
    </row>
    <row r="15" s="3" customFormat="1" spans="1:24">
      <c r="B15" s="38"/>
      <c r="C15" s="38"/>
      <c r="D15" s="39"/>
      <c r="E15" s="40" t="e">
        <f t="shared" si="0"/>
        <v>#DIV/0!</v>
      </c>
      <c r="F15" s="38"/>
      <c r="G15" s="39"/>
      <c r="H15" s="40" t="e">
        <f t="shared" si="1"/>
        <v>#DIV/0!</v>
      </c>
      <c r="I15" s="41" t="b">
        <f t="shared" si="2"/>
        <v>1</v>
      </c>
      <c r="J15" s="41" t="b">
        <f t="shared" si="3"/>
        <v>1</v>
      </c>
      <c r="K15" s="42"/>
      <c r="L15" s="25"/>
      <c r="M15" s="9"/>
      <c r="X15" s="22"/>
    </row>
    <row r="16" s="3" customFormat="1" spans="1:24">
      <c r="B16" s="38"/>
      <c r="C16" s="38"/>
      <c r="D16" s="39"/>
      <c r="E16" s="43" t="e">
        <f t="shared" si="0"/>
        <v>#DIV/0!</v>
      </c>
      <c r="F16" s="38"/>
      <c r="G16" s="39"/>
      <c r="H16" s="43" t="e">
        <f t="shared" si="1"/>
        <v>#DIV/0!</v>
      </c>
      <c r="I16" s="41" t="b">
        <f t="shared" si="2"/>
        <v>1</v>
      </c>
      <c r="J16" s="41" t="b">
        <f t="shared" si="3"/>
        <v>1</v>
      </c>
      <c r="K16" s="42"/>
      <c r="L16" s="25"/>
      <c r="M16" s="9"/>
      <c r="X16" s="22"/>
    </row>
    <row r="17" s="3" customFormat="1" spans="1:24">
      <c r="B17" s="38"/>
      <c r="C17" s="38"/>
      <c r="D17" s="39"/>
      <c r="E17" s="43" t="e">
        <f t="shared" si="0"/>
        <v>#DIV/0!</v>
      </c>
      <c r="F17" s="38"/>
      <c r="G17" s="39"/>
      <c r="H17" s="43" t="e">
        <f t="shared" si="1"/>
        <v>#DIV/0!</v>
      </c>
      <c r="I17" s="41" t="b">
        <f t="shared" si="2"/>
        <v>1</v>
      </c>
      <c r="J17" s="41" t="b">
        <f t="shared" si="3"/>
        <v>1</v>
      </c>
      <c r="K17" s="42"/>
      <c r="L17" s="25"/>
      <c r="M17" s="9"/>
      <c r="X17" s="22"/>
    </row>
    <row r="18" s="3" customFormat="1" spans="1:24">
      <c r="B18" s="38"/>
      <c r="C18" s="38"/>
      <c r="D18" s="39"/>
      <c r="E18" s="43" t="e">
        <f t="shared" si="0"/>
        <v>#DIV/0!</v>
      </c>
      <c r="F18" s="38"/>
      <c r="G18" s="39"/>
      <c r="H18" s="43" t="e">
        <f t="shared" si="1"/>
        <v>#DIV/0!</v>
      </c>
      <c r="I18" s="41" t="b">
        <f t="shared" si="2"/>
        <v>1</v>
      </c>
      <c r="J18" s="41" t="b">
        <f t="shared" si="3"/>
        <v>1</v>
      </c>
      <c r="K18" s="42"/>
      <c r="L18" s="25"/>
      <c r="M18" s="9"/>
      <c r="X18" s="22"/>
    </row>
    <row r="19" s="3" customFormat="1" spans="1:24">
      <c r="B19" s="38"/>
      <c r="C19" s="38"/>
      <c r="D19" s="39"/>
      <c r="E19" s="43" t="e">
        <f t="shared" si="0"/>
        <v>#DIV/0!</v>
      </c>
      <c r="F19" s="38"/>
      <c r="G19" s="39"/>
      <c r="H19" s="43" t="e">
        <f t="shared" si="1"/>
        <v>#DIV/0!</v>
      </c>
      <c r="I19" s="41" t="b">
        <f t="shared" si="2"/>
        <v>1</v>
      </c>
      <c r="J19" s="41" t="b">
        <f t="shared" si="3"/>
        <v>1</v>
      </c>
      <c r="K19" s="42"/>
      <c r="L19" s="25"/>
      <c r="M19" s="9"/>
      <c r="X19" s="22"/>
    </row>
    <row r="20" s="3" customFormat="1" spans="1:24">
      <c r="B20" s="38"/>
      <c r="C20" s="38"/>
      <c r="D20" s="39"/>
      <c r="E20" s="43" t="e">
        <f t="shared" si="0"/>
        <v>#DIV/0!</v>
      </c>
      <c r="F20" s="38"/>
      <c r="G20" s="39"/>
      <c r="H20" s="43" t="e">
        <f t="shared" si="1"/>
        <v>#DIV/0!</v>
      </c>
      <c r="I20" s="41" t="b">
        <f t="shared" si="2"/>
        <v>1</v>
      </c>
      <c r="J20" s="41" t="b">
        <f t="shared" si="3"/>
        <v>1</v>
      </c>
      <c r="K20" s="42"/>
      <c r="L20" s="25"/>
      <c r="M20" s="9"/>
      <c r="R20" s="2"/>
      <c r="S20" s="2"/>
      <c r="T20" s="2"/>
      <c r="U20" s="2"/>
      <c r="X20" s="22"/>
    </row>
    <row r="21" s="2" customFormat="1" spans="1:24">
      <c r="I21" s="44"/>
      <c r="J21" s="44"/>
      <c r="K21" s="44"/>
      <c r="M21" s="9"/>
      <c r="X21" s="22"/>
    </row>
    <row r="22" s="2" customFormat="1" spans="1:24">
      <c r="B22" s="45" t="s">
        <v>151</v>
      </c>
      <c r="C22" s="46"/>
      <c r="D22" s="46"/>
      <c r="I22" s="44"/>
      <c r="J22" s="44"/>
      <c r="K22" s="44"/>
      <c r="M22" s="9"/>
      <c r="X22" s="22"/>
    </row>
    <row r="23" s="2" customFormat="1" ht="65.65" customHeight="1" spans="1:24">
      <c r="B23" s="47"/>
      <c r="C23" s="48"/>
      <c r="D23" s="48"/>
      <c r="E23" s="48"/>
      <c r="F23" s="48"/>
      <c r="G23" s="48"/>
      <c r="H23" s="49"/>
      <c r="I23" s="44"/>
      <c r="J23" s="44"/>
      <c r="K23" s="44"/>
      <c r="L23" s="50"/>
      <c r="M23" s="9"/>
      <c r="N23" s="44"/>
      <c r="O23" s="44"/>
      <c r="P23" s="44"/>
      <c r="Q23" s="44"/>
      <c r="R23" s="51"/>
      <c r="S23" s="22"/>
      <c r="T23" s="22"/>
      <c r="X23" s="22"/>
    </row>
    <row r="24" ht="15" customHeight="1" spans="1:24">
      <c r="A24" s="5"/>
      <c r="B24" s="5"/>
      <c r="C24" s="5"/>
      <c r="D24" s="5"/>
      <c r="E24" s="5"/>
      <c r="F24" s="5"/>
      <c r="G24" s="5"/>
      <c r="H24" s="5"/>
      <c r="I24" s="5"/>
      <c r="M24" s="9"/>
    </row>
    <row r="25" ht="7.5" customHeight="1" spans="1:24">
      <c r="A25" s="9"/>
      <c r="B25" s="9"/>
      <c r="C25" s="9"/>
      <c r="D25" s="9"/>
      <c r="E25" s="9"/>
      <c r="F25" s="9"/>
      <c r="G25" s="9"/>
      <c r="H25" s="9"/>
      <c r="I25" s="9"/>
      <c r="J25" s="9"/>
      <c r="K25" s="9"/>
      <c r="L25" s="9"/>
      <c r="M25" s="9"/>
    </row>
    <row r="27" spans="1:24">
      <c r="B27" s="52"/>
    </row>
  </sheetData>
  <mergeCells count="8">
    <mergeCell ref="C9:H9"/>
    <mergeCell ref="C10:E10"/>
    <mergeCell ref="F10:H10"/>
    <mergeCell ref="I10:K10"/>
    <mergeCell ref="C11:E11"/>
    <mergeCell ref="F11:H11"/>
    <mergeCell ref="I11:K11"/>
    <mergeCell ref="B23:H23"/>
  </mergeCells>
  <conditionalFormatting sqref="C11:K11">
    <cfRule type="containsBlanks" dxfId="1" priority="4">
      <formula>LEN(TRIM(C11))=0</formula>
    </cfRule>
  </conditionalFormatting>
  <conditionalFormatting sqref="B23">
    <cfRule type="containsBlanks" dxfId="1" priority="1">
      <formula>LEN(TRIM(B23))=0</formula>
    </cfRule>
  </conditionalFormatting>
  <conditionalFormatting sqref="B13:D20">
    <cfRule type="containsBlanks" dxfId="1" priority="2">
      <formula>LEN(TRIM(B13))=0</formula>
    </cfRule>
  </conditionalFormatting>
  <conditionalFormatting sqref="F13:G20 I13:J20">
    <cfRule type="containsBlanks" dxfId="1" priority="3">
      <formula>LEN(TRIM(F13))=0</formula>
    </cfRule>
  </conditionalFormatting>
  <hyperlinks>
    <hyperlink ref="B4" location="'汇总 '!A1" display="返回汇总页"/>
  </hyperlinks>
  <pageMargins left="0.7" right="0.7" top="0.75" bottom="0.75" header="0.3" footer="0.3"/>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
    </sheetView>
  </sheetViews>
  <sheetFormatPr defaultColWidth="9" defaultRowHeight="14.1" outlineLevelRow="4" outlineLevelCol="7"/>
  <sheetData>
    <row r="1" spans="1:8">
      <c r="A1">
        <v>1773661426305</v>
      </c>
      <c r="B1" t="s">
        <v>1465</v>
      </c>
      <c r="C1" t="s">
        <v>1466</v>
      </c>
      <c r="D1">
        <v>4</v>
      </c>
      <c r="E1">
        <v>1777542195159</v>
      </c>
      <c r="F1" t="s">
        <v>1467</v>
      </c>
      <c r="G1" t="s">
        <v>1468</v>
      </c>
      <c r="H1">
        <v>0</v>
      </c>
    </row>
    <row r="2" spans="1:8">
      <c r="A2">
        <v>1773661426626</v>
      </c>
      <c r="B2" t="s">
        <v>1469</v>
      </c>
      <c r="C2" t="s">
        <v>1470</v>
      </c>
      <c r="D2" t="s">
        <v>1471</v>
      </c>
    </row>
    <row r="3" spans="1:8">
      <c r="A3">
        <v>1773662088195</v>
      </c>
      <c r="B3" t="s">
        <v>1472</v>
      </c>
      <c r="C3" t="s">
        <v>1470</v>
      </c>
      <c r="D3" t="s">
        <v>1473</v>
      </c>
    </row>
    <row r="4" spans="1:8">
      <c r="A4">
        <v>1773662145720</v>
      </c>
      <c r="B4" t="s">
        <v>1472</v>
      </c>
      <c r="C4" t="s">
        <v>1470</v>
      </c>
      <c r="D4" t="s">
        <v>1474</v>
      </c>
    </row>
    <row r="5" spans="1:8">
      <c r="A5">
        <v>1773662153216</v>
      </c>
      <c r="B5" t="s">
        <v>1475</v>
      </c>
      <c r="C5" t="s">
        <v>1470</v>
      </c>
      <c r="D5" t="s">
        <v>1474</v>
      </c>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
    </sheetView>
  </sheetViews>
  <sheetFormatPr defaultColWidth="9" defaultRowHeight="14.1" outlineLevelRow="6" outlineLevelCol="7"/>
  <sheetData>
    <row r="1" spans="1:8">
      <c r="A1">
        <v>1773661426440</v>
      </c>
      <c r="B1" t="s">
        <v>1465</v>
      </c>
      <c r="C1" t="s">
        <v>1466</v>
      </c>
      <c r="D1">
        <v>6</v>
      </c>
      <c r="E1">
        <v>1777542193914</v>
      </c>
      <c r="F1" t="s">
        <v>1467</v>
      </c>
      <c r="G1" t="s">
        <v>1468</v>
      </c>
      <c r="H1">
        <v>0</v>
      </c>
    </row>
    <row r="2" spans="1:8">
      <c r="A2">
        <v>1773661426622</v>
      </c>
      <c r="B2" t="s">
        <v>1469</v>
      </c>
      <c r="C2" t="s">
        <v>1476</v>
      </c>
      <c r="D2" t="s">
        <v>1477</v>
      </c>
    </row>
    <row r="3" spans="1:8">
      <c r="A3">
        <v>1773661426626</v>
      </c>
      <c r="B3" t="s">
        <v>1469</v>
      </c>
      <c r="C3" t="s">
        <v>1478</v>
      </c>
      <c r="D3" t="s">
        <v>1479</v>
      </c>
    </row>
    <row r="4" spans="1:8">
      <c r="A4">
        <v>1773661426626</v>
      </c>
      <c r="B4" t="s">
        <v>1469</v>
      </c>
      <c r="C4" t="s">
        <v>1480</v>
      </c>
      <c r="D4" t="s">
        <v>1481</v>
      </c>
    </row>
    <row r="5" spans="1:8">
      <c r="A5">
        <v>1773661426626</v>
      </c>
      <c r="B5" t="s">
        <v>1469</v>
      </c>
      <c r="C5" t="s">
        <v>1482</v>
      </c>
      <c r="D5" t="s">
        <v>1483</v>
      </c>
    </row>
    <row r="6" spans="1:8">
      <c r="A6">
        <v>1773661426626</v>
      </c>
      <c r="B6" t="s">
        <v>1469</v>
      </c>
      <c r="C6" t="s">
        <v>1484</v>
      </c>
      <c r="D6" t="s">
        <v>1485</v>
      </c>
    </row>
    <row r="7" spans="1:8">
      <c r="A7">
        <v>1773662126774</v>
      </c>
      <c r="B7" t="s">
        <v>1472</v>
      </c>
      <c r="C7" t="s">
        <v>1478</v>
      </c>
      <c r="D7" t="s">
        <v>1486</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
  <sheetViews>
    <sheetView workbookViewId="0">
      <selection activeCell="A1" sqref="A1"/>
    </sheetView>
  </sheetViews>
  <sheetFormatPr defaultColWidth="9" defaultRowHeight="14.1" outlineLevelCol="7"/>
  <sheetData>
    <row r="1" spans="1:8">
      <c r="A1">
        <v>1773661426517</v>
      </c>
      <c r="B1" t="s">
        <v>1465</v>
      </c>
      <c r="C1" t="s">
        <v>1466</v>
      </c>
      <c r="D1">
        <v>0</v>
      </c>
      <c r="E1">
        <v>1777542195074</v>
      </c>
      <c r="F1" t="s">
        <v>1467</v>
      </c>
      <c r="G1" t="s">
        <v>1468</v>
      </c>
      <c r="H1">
        <v>0</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1" sqref="A1"/>
    </sheetView>
  </sheetViews>
  <sheetFormatPr defaultColWidth="9" defaultRowHeight="14.1" outlineLevelCol="7"/>
  <sheetData>
    <row r="1" spans="1:8">
      <c r="A1">
        <v>1773661426572</v>
      </c>
      <c r="B1" t="s">
        <v>1465</v>
      </c>
      <c r="C1" t="s">
        <v>1466</v>
      </c>
      <c r="D1">
        <v>8</v>
      </c>
      <c r="E1">
        <v>1777542195214</v>
      </c>
      <c r="F1" t="s">
        <v>1467</v>
      </c>
      <c r="G1" t="s">
        <v>1468</v>
      </c>
      <c r="H1">
        <v>0</v>
      </c>
    </row>
    <row r="2" spans="1:8">
      <c r="A2">
        <v>1773661454160</v>
      </c>
      <c r="B2" t="s">
        <v>1469</v>
      </c>
      <c r="C2" t="s">
        <v>1487</v>
      </c>
      <c r="D2" t="s">
        <v>1488</v>
      </c>
    </row>
    <row r="3" spans="1:8">
      <c r="A3">
        <v>1773661542102</v>
      </c>
      <c r="B3" t="s">
        <v>1469</v>
      </c>
      <c r="C3" t="s">
        <v>1489</v>
      </c>
      <c r="D3" t="s">
        <v>1490</v>
      </c>
    </row>
    <row r="4" spans="1:8">
      <c r="A4">
        <v>1773661544961</v>
      </c>
      <c r="B4" t="s">
        <v>1475</v>
      </c>
      <c r="C4" t="s">
        <v>1489</v>
      </c>
      <c r="D4" t="s">
        <v>1490</v>
      </c>
    </row>
    <row r="5" spans="1:8">
      <c r="A5">
        <v>1773661548950</v>
      </c>
      <c r="B5" t="s">
        <v>1469</v>
      </c>
      <c r="C5" t="s">
        <v>1491</v>
      </c>
      <c r="D5" t="s">
        <v>1492</v>
      </c>
    </row>
    <row r="6" spans="1:8">
      <c r="A6">
        <v>1773661551359</v>
      </c>
      <c r="B6" t="s">
        <v>1475</v>
      </c>
      <c r="C6" t="s">
        <v>1491</v>
      </c>
      <c r="D6" t="s">
        <v>1492</v>
      </c>
    </row>
    <row r="7" spans="1:8">
      <c r="A7">
        <v>1773661564082</v>
      </c>
      <c r="B7" t="s">
        <v>1469</v>
      </c>
      <c r="C7" t="s">
        <v>1493</v>
      </c>
      <c r="D7" t="s">
        <v>1494</v>
      </c>
    </row>
    <row r="8" spans="1:8">
      <c r="A8">
        <v>1773662153403</v>
      </c>
      <c r="B8" t="s">
        <v>1475</v>
      </c>
      <c r="C8" t="s">
        <v>1487</v>
      </c>
      <c r="D8" t="s">
        <v>1488</v>
      </c>
    </row>
    <row r="9" spans="1:8">
      <c r="A9">
        <v>1773662153403</v>
      </c>
      <c r="B9" t="s">
        <v>1475</v>
      </c>
      <c r="C9" t="s">
        <v>1493</v>
      </c>
      <c r="D9" t="s">
        <v>1494</v>
      </c>
    </row>
  </sheetData>
  <pageMargins left="0.7" right="0.7" top="0.75" bottom="0.75" header="0.3" footer="0.3"/>
  <headerFooter/>
</worksheet>
</file>

<file path=customUI/_rels/customUI.xml.rels><?xml version="1.0" encoding="UTF-8" standalone="yes"?>
<Relationships xmlns="http://schemas.openxmlformats.org/package/2006/relationships"><Relationship Id="Extract" Type="http://schemas.openxmlformats.org/officeDocument/2006/relationships/image" Target="images/Extract.jpg"/><Relationship Id="DeleteRow" Type="http://schemas.openxmlformats.org/officeDocument/2006/relationships/image" Target="images/DeleteRow.jpg"/><Relationship Id="AddRow" Type="http://schemas.openxmlformats.org/officeDocument/2006/relationships/image" Target="images/AddRow.jpg"/></Relationships>
</file>

<file path=customUI/customUI.xml><?xml version="1.0" encoding="utf-8"?>
<customUI xmlns="http://schemas.microsoft.com/office/2009/07/customui">
  <ribbon>
    <tabs>
      <tab id="Enabler" label="AuditStandardization" visible="true">
        <group id="Func" label="ExcelFunction" visible="true">
          <button description="Extract Data for PPELead" enabled="true" id="Copy_Data" image="Extract" size="large" label="Extract Data For Lead" screentip="Extract Data For PPE Lead" showImage="true" showLabel="true" supertip="Extract Data For PPE Lead" visible="true" onAction="UploadPPEData"/>
          <button description="Extract CRA Data from Canvas" enabled="true" id="Extract_Data" image="Extract" size="large" label="Extract CRA Data From Canvas" screentip="Extract CRA Data From Canvas" showImage="true" showLabel="true" supertip="Extract CRA Data From Canvas" visible="true" onAction="UpdateCRA"/>
          <button description="Generate OSP" enabled="true" id="Generate_OSP" image="Extract" size="large" label="Generate OSP" screentip="Generate OSP Sheet" showImage="true" showLabel="true" supertip="Generate the OSP Sheet" visible="true" onAction="OSPforPPEButton"/>
          <button description="Goto PSP Selection" enabled="true" id="PSP_Selection" image="Extract" size="large" label="Goto PSP Selection" screentip="Goto PSP" showImage="true" showLabel="true" supertip="Goto PSP" visible="true" onAction="GotoPSPSelection"/>
          <button description="Generate New Macro" enabled="true" id="Generate_New" image="Extract" size="large" label="Generate New Macro" screentip="Generate New Macro" showImage="true" showLabel="true" supertip="Generate New Macro" visible="true" onAction="GenerateNewMacro"/>
          <button description="Extact Excel" enabled="true" id="Extract_Excel" image="Extract" size="large" label="Extract Excel" screentip="Saves workbook" showImage="true" showLabel="true" supertip="Save As Workbook" visible="true" onAction="ExtractExcel"/>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634E35E6-5B3F-4278-A13E-A6A53437F838}">
  <ds:schemaRefs/>
</ds:datastoreItem>
</file>

<file path=customXml/itemProps2.xml><?xml version="1.0" encoding="utf-8"?>
<ds:datastoreItem xmlns:ds="http://schemas.openxmlformats.org/officeDocument/2006/customXml" ds:itemID="{D9A73D27-335D-4885-BA98-54096DFE06F7}">
  <ds:schemaRefs/>
</ds:datastoreItem>
</file>

<file path=customXml/itemProps3.xml><?xml version="1.0" encoding="utf-8"?>
<ds:datastoreItem xmlns:ds="http://schemas.openxmlformats.org/officeDocument/2006/customXml" ds:itemID="{F24E9DA6-74DD-488C-9C89-98AE865032C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Comments【归档前删除】</vt:lpstr>
      <vt:lpstr>汇总 </vt:lpstr>
      <vt:lpstr>K.00 Lead Sheet</vt:lpstr>
      <vt:lpstr>K.01 Agree SL to GL</vt:lpstr>
      <vt:lpstr>K.01.1a FA list</vt:lpstr>
      <vt:lpstr>K.02.1 新增测试 </vt:lpstr>
      <vt:lpstr>新增清单</vt:lpstr>
      <vt:lpstr>K.02.1a 新增选样输出</vt:lpstr>
      <vt:lpstr>K.02.2 处置测试</vt:lpstr>
      <vt:lpstr>SkywindSettingSheet</vt:lpstr>
      <vt:lpstr>处置清单</vt:lpstr>
      <vt:lpstr>K1_400折旧测试</vt:lpstr>
      <vt:lpstr>K.03.1 SAP</vt:lpstr>
      <vt:lpstr>K.03.2 折旧测试TOD</vt:lpstr>
      <vt:lpstr>K.03.3 折旧政策复核</vt:lpstr>
      <vt:lpstr>DS_INTERNAL_DOCUMENT_STORAGE</vt:lpstr>
      <vt:lpstr>DS_INTERNAL_SETTINGS_STORAGE</vt:lpstr>
      <vt:lpstr>DS_INTERNAL_DOCGROUP_STORAGE</vt:lpstr>
      <vt:lpstr>DS_INTERNAL_SNIP_STORAGE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Skywind_K1_固定资产_20201231_sihan13.xlsx</dc:title>
  <dc:creator>Jyothi Prakash A</dc:creator>
  <cp:keywords>Final Audit.V6.K1.0922</cp:keywords>
  <dc:description>8C639849-B002-4EB7-A119-1A38F8B535F1</dc:description>
  <cp:lastModifiedBy>Admin1</cp:lastModifiedBy>
  <dcterms:created xsi:type="dcterms:W3CDTF">2006-09-16T00:00:00Z</dcterms:created>
  <dcterms:modified xsi:type="dcterms:W3CDTF">2026-06-10T02:16:22Z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0x010100D40DFAF3432C29498E127C09540A1D00</vt:lpwstr>
  </property>
  <property fmtid="{D5CDD505-2E9C-101B-9397-08002B2CF9AE}" pid="3" name="ICV">
    <vt:lpwstr>A78D4271E3384F7BB9110692EB095D0C_12</vt:lpwstr>
  </property>
  <property fmtid="{D5CDD505-2E9C-101B-9397-08002B2CF9AE}" pid="4" name="KSOProductBuildVer">
    <vt:lpwstr>2052-12.1.0.26375</vt:lpwstr>
  </property>
  <property fmtid="{D5CDD505-2E9C-101B-9397-08002B2CF9AE}" pid="5" name="CalculationRule">
    <vt:i4>0</vt:i4>
  </property>
</Properties>
</file>